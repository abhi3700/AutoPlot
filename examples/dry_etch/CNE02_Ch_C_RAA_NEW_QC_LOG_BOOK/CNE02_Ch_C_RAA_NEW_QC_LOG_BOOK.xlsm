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showInkAnnotation="0" codeName="ThisWorkbook" autoCompressPictures="0"/>
  <bookViews>
    <workbookView xWindow="-105" yWindow="-105" windowWidth="20730" windowHeight="11760" tabRatio="500" activeTab="2"/>
  </bookViews>
  <sheets>
    <sheet name="REOX1C-WSA" sheetId="6" r:id="rId1"/>
    <sheet name="REOX1C-CP" sheetId="3" r:id="rId2"/>
    <sheet name="REOX1C-ER" sheetId="4" r:id="rId3"/>
    <sheet name="RUN_code" sheetId="1" r:id="rId4"/>
    <sheet name="CL calculation sheet" sheetId="5" r:id="rId5"/>
    <sheet name="_xlwings.conf" sheetId="2" state="hidden" r:id="rId6"/>
    <sheet name="Sheet1" sheetId="7" r:id="rId7"/>
  </sheets>
  <definedNames>
    <definedName name="_xlnm._FilterDatabase" localSheetId="1" hidden="1">'REOX1C-CP'!$A$10:$Q$358</definedName>
    <definedName name="_xlnm._FilterDatabase" localSheetId="2" hidden="1">'REOX1C-ER'!$A$13:$AE$1493</definedName>
    <definedName name="_xlnm._FilterDatabase" localSheetId="6" hidden="1">Sheet1!$B$1:$B$69</definedName>
    <definedName name="_xlnm.Print_Area" localSheetId="0">'REOX1C-WSA'!$A$1:$G$52</definedName>
  </definedNames>
  <calcPr calcId="125725"/>
</workbook>
</file>

<file path=xl/calcChain.xml><?xml version="1.0" encoding="utf-8"?>
<calcChain xmlns="http://schemas.openxmlformats.org/spreadsheetml/2006/main">
  <c r="L1637" i="4"/>
  <c r="K1637"/>
  <c r="J1637"/>
  <c r="I1637"/>
  <c r="H1637"/>
  <c r="G1637"/>
  <c r="F1637"/>
  <c r="E1637"/>
  <c r="Q1635" s="1"/>
  <c r="D1637"/>
  <c r="U1635"/>
  <c r="P1634"/>
  <c r="L1634"/>
  <c r="K1634"/>
  <c r="J1634"/>
  <c r="I1634"/>
  <c r="H1634"/>
  <c r="G1634"/>
  <c r="F1634"/>
  <c r="E1634"/>
  <c r="D1634"/>
  <c r="U1632"/>
  <c r="K355" i="3"/>
  <c r="H355"/>
  <c r="E355"/>
  <c r="N355" s="1"/>
  <c r="L1631" i="4"/>
  <c r="K1631"/>
  <c r="J1631"/>
  <c r="I1631"/>
  <c r="H1631"/>
  <c r="G1631"/>
  <c r="F1631"/>
  <c r="E1631"/>
  <c r="R1629" s="1"/>
  <c r="D1631"/>
  <c r="U1629"/>
  <c r="Q1629"/>
  <c r="P1628"/>
  <c r="L1628"/>
  <c r="K1628"/>
  <c r="J1628"/>
  <c r="I1628"/>
  <c r="H1628"/>
  <c r="G1628"/>
  <c r="F1628"/>
  <c r="E1628"/>
  <c r="R1626" s="1"/>
  <c r="D1628"/>
  <c r="U1626"/>
  <c r="K354" i="3"/>
  <c r="H354"/>
  <c r="E354"/>
  <c r="N354" s="1"/>
  <c r="L1625" i="4"/>
  <c r="K1625"/>
  <c r="J1625"/>
  <c r="I1625"/>
  <c r="H1625"/>
  <c r="G1625"/>
  <c r="F1625"/>
  <c r="E1625"/>
  <c r="Q1623" s="1"/>
  <c r="D1625"/>
  <c r="U1623"/>
  <c r="P1622"/>
  <c r="L1622"/>
  <c r="K1622"/>
  <c r="J1622"/>
  <c r="I1622"/>
  <c r="H1622"/>
  <c r="G1622"/>
  <c r="F1622"/>
  <c r="E1622"/>
  <c r="Q1620" s="1"/>
  <c r="D1622"/>
  <c r="U1620"/>
  <c r="K353" i="3"/>
  <c r="H353"/>
  <c r="K352"/>
  <c r="H352"/>
  <c r="E352"/>
  <c r="N352" s="1"/>
  <c r="L1619" i="4"/>
  <c r="K1619"/>
  <c r="J1619"/>
  <c r="I1619"/>
  <c r="H1619"/>
  <c r="G1619"/>
  <c r="F1619"/>
  <c r="E1619"/>
  <c r="D1619"/>
  <c r="U1617"/>
  <c r="R1617"/>
  <c r="P1616"/>
  <c r="L1616"/>
  <c r="K1616"/>
  <c r="J1616"/>
  <c r="I1616"/>
  <c r="H1616"/>
  <c r="G1616"/>
  <c r="F1616"/>
  <c r="E1616"/>
  <c r="D1616"/>
  <c r="Q1614" s="1"/>
  <c r="U1614"/>
  <c r="L1613"/>
  <c r="K1613"/>
  <c r="J1613"/>
  <c r="I1613"/>
  <c r="H1613"/>
  <c r="G1613"/>
  <c r="F1613"/>
  <c r="E1613"/>
  <c r="Q1611" s="1"/>
  <c r="D1613"/>
  <c r="U1611"/>
  <c r="P1610"/>
  <c r="L1610"/>
  <c r="K1610"/>
  <c r="J1610"/>
  <c r="I1610"/>
  <c r="H1610"/>
  <c r="G1610"/>
  <c r="Q1608" s="1"/>
  <c r="F1610"/>
  <c r="E1610"/>
  <c r="S1608" s="1"/>
  <c r="D1610"/>
  <c r="U1608"/>
  <c r="N351" i="3"/>
  <c r="K351"/>
  <c r="H351"/>
  <c r="E351"/>
  <c r="K350"/>
  <c r="H350"/>
  <c r="E350"/>
  <c r="N350" s="1"/>
  <c r="L1607" i="4"/>
  <c r="K1607"/>
  <c r="J1607"/>
  <c r="I1607"/>
  <c r="H1607"/>
  <c r="G1607"/>
  <c r="F1607"/>
  <c r="E1607"/>
  <c r="S1605" s="1"/>
  <c r="D1607"/>
  <c r="U1605"/>
  <c r="R1605"/>
  <c r="P1604"/>
  <c r="L1604"/>
  <c r="K1604"/>
  <c r="J1604"/>
  <c r="I1604"/>
  <c r="H1604"/>
  <c r="G1604"/>
  <c r="F1604"/>
  <c r="E1604"/>
  <c r="Q1602" s="1"/>
  <c r="D1604"/>
  <c r="U1602"/>
  <c r="L1601"/>
  <c r="K1601"/>
  <c r="J1601"/>
  <c r="I1601"/>
  <c r="H1601"/>
  <c r="G1601"/>
  <c r="F1601"/>
  <c r="E1601"/>
  <c r="Q1599" s="1"/>
  <c r="D1601"/>
  <c r="U1599"/>
  <c r="P1598"/>
  <c r="L1598"/>
  <c r="K1598"/>
  <c r="J1598"/>
  <c r="I1598"/>
  <c r="H1598"/>
  <c r="G1598"/>
  <c r="F1598"/>
  <c r="E1598"/>
  <c r="D1598"/>
  <c r="U1596"/>
  <c r="K349" i="3"/>
  <c r="H349"/>
  <c r="E349"/>
  <c r="N349" s="1"/>
  <c r="L1595" i="4"/>
  <c r="K1595"/>
  <c r="J1595"/>
  <c r="I1595"/>
  <c r="H1595"/>
  <c r="G1595"/>
  <c r="F1595"/>
  <c r="E1595"/>
  <c r="S1593" s="1"/>
  <c r="D1595"/>
  <c r="U1593"/>
  <c r="P1592"/>
  <c r="L1592"/>
  <c r="K1592"/>
  <c r="J1592"/>
  <c r="I1592"/>
  <c r="H1592"/>
  <c r="G1592"/>
  <c r="F1592"/>
  <c r="E1592"/>
  <c r="D1592"/>
  <c r="U1590"/>
  <c r="K348" i="3"/>
  <c r="H348"/>
  <c r="E348"/>
  <c r="N348" s="1"/>
  <c r="K347"/>
  <c r="Q1632" i="4" l="1"/>
  <c r="S1632"/>
  <c r="S1635"/>
  <c r="R1632"/>
  <c r="T1632" s="1"/>
  <c r="V1632" s="1"/>
  <c r="R1635"/>
  <c r="T1635" s="1"/>
  <c r="V1635" s="1"/>
  <c r="Q1626"/>
  <c r="T1626" s="1"/>
  <c r="T1629"/>
  <c r="S1626"/>
  <c r="S1629"/>
  <c r="R1623"/>
  <c r="T1623" s="1"/>
  <c r="R1620"/>
  <c r="T1620" s="1"/>
  <c r="S1620"/>
  <c r="S1623"/>
  <c r="Q1617"/>
  <c r="T1617" s="1"/>
  <c r="V1617"/>
  <c r="S1617"/>
  <c r="S1614"/>
  <c r="R1614"/>
  <c r="T1614" s="1"/>
  <c r="V1614" s="1"/>
  <c r="R1611"/>
  <c r="T1611" s="1"/>
  <c r="R1608"/>
  <c r="T1608" s="1"/>
  <c r="V1608" s="1"/>
  <c r="S1611"/>
  <c r="Q1605"/>
  <c r="T1605" s="1"/>
  <c r="V1605" s="1"/>
  <c r="S1602"/>
  <c r="R1602"/>
  <c r="T1602" s="1"/>
  <c r="V1602" s="1"/>
  <c r="R1599"/>
  <c r="T1599" s="1"/>
  <c r="Q1596"/>
  <c r="T1596" s="1"/>
  <c r="V1596" s="1"/>
  <c r="S1596"/>
  <c r="S1599"/>
  <c r="R1596"/>
  <c r="Q1593"/>
  <c r="Q1590"/>
  <c r="T1590"/>
  <c r="V1590" s="1"/>
  <c r="R1590"/>
  <c r="R1593"/>
  <c r="T1593" s="1"/>
  <c r="V1593" s="1"/>
  <c r="S1590"/>
  <c r="L1589"/>
  <c r="K1589"/>
  <c r="J1589"/>
  <c r="I1589"/>
  <c r="H1589"/>
  <c r="G1589"/>
  <c r="F1589"/>
  <c r="E1589"/>
  <c r="Q1587" s="1"/>
  <c r="T1587" s="1"/>
  <c r="D1589"/>
  <c r="U1587"/>
  <c r="R1587"/>
  <c r="P1586"/>
  <c r="L1586"/>
  <c r="K1586"/>
  <c r="J1586"/>
  <c r="I1586"/>
  <c r="H1586"/>
  <c r="G1586"/>
  <c r="F1586"/>
  <c r="E1586"/>
  <c r="Q1584" s="1"/>
  <c r="D1586"/>
  <c r="U1584"/>
  <c r="H347" i="3"/>
  <c r="E347"/>
  <c r="N347" s="1"/>
  <c r="K346"/>
  <c r="H346"/>
  <c r="E346"/>
  <c r="N346" s="1"/>
  <c r="L1583" i="4"/>
  <c r="K1583"/>
  <c r="J1583"/>
  <c r="I1583"/>
  <c r="H1583"/>
  <c r="G1583"/>
  <c r="F1583"/>
  <c r="E1583"/>
  <c r="D1583"/>
  <c r="Q1581" s="1"/>
  <c r="U1581"/>
  <c r="P1580"/>
  <c r="L1580"/>
  <c r="K1580"/>
  <c r="J1580"/>
  <c r="I1580"/>
  <c r="H1580"/>
  <c r="G1580"/>
  <c r="Q1578" s="1"/>
  <c r="F1580"/>
  <c r="E1580"/>
  <c r="D1580"/>
  <c r="U1578"/>
  <c r="L1577"/>
  <c r="K1577"/>
  <c r="J1577"/>
  <c r="I1577"/>
  <c r="H1577"/>
  <c r="G1577"/>
  <c r="F1577"/>
  <c r="E1577"/>
  <c r="Q1575" s="1"/>
  <c r="D1577"/>
  <c r="U1575"/>
  <c r="P1574"/>
  <c r="L1574"/>
  <c r="K1574"/>
  <c r="J1574"/>
  <c r="I1574"/>
  <c r="H1574"/>
  <c r="G1574"/>
  <c r="F1574"/>
  <c r="E1574"/>
  <c r="D1574"/>
  <c r="U1572"/>
  <c r="K345" i="3"/>
  <c r="H345"/>
  <c r="E345"/>
  <c r="N345" s="1"/>
  <c r="K344"/>
  <c r="H344"/>
  <c r="V1626" i="4" l="1"/>
  <c r="V1629"/>
  <c r="V1623"/>
  <c r="V1620"/>
  <c r="V1611"/>
  <c r="V1599"/>
  <c r="S1584"/>
  <c r="S1587"/>
  <c r="V1587" s="1"/>
  <c r="R1584"/>
  <c r="T1584" s="1"/>
  <c r="V1584" s="1"/>
  <c r="R1581"/>
  <c r="T1581" s="1"/>
  <c r="S1581"/>
  <c r="R1578"/>
  <c r="T1578" s="1"/>
  <c r="V1578" s="1"/>
  <c r="S1578"/>
  <c r="R1572"/>
  <c r="Q1572"/>
  <c r="T1572" s="1"/>
  <c r="V1572" s="1"/>
  <c r="S1572"/>
  <c r="S1575"/>
  <c r="R1575"/>
  <c r="T1575" s="1"/>
  <c r="K1571"/>
  <c r="U1569"/>
  <c r="J1571"/>
  <c r="F1571"/>
  <c r="L1571"/>
  <c r="I1571"/>
  <c r="H1571"/>
  <c r="G1571"/>
  <c r="D1571"/>
  <c r="P1568"/>
  <c r="L1568"/>
  <c r="K1568"/>
  <c r="J1568"/>
  <c r="I1568"/>
  <c r="H1568"/>
  <c r="G1568"/>
  <c r="F1568"/>
  <c r="E1568"/>
  <c r="D1568"/>
  <c r="U1566"/>
  <c r="L1565"/>
  <c r="K1565"/>
  <c r="J1565"/>
  <c r="I1565"/>
  <c r="H1565"/>
  <c r="G1565"/>
  <c r="F1565"/>
  <c r="E1565"/>
  <c r="Q1563" s="1"/>
  <c r="D1565"/>
  <c r="U1563"/>
  <c r="P1562"/>
  <c r="L1562"/>
  <c r="K1562"/>
  <c r="J1562"/>
  <c r="I1562"/>
  <c r="H1562"/>
  <c r="G1562"/>
  <c r="F1562"/>
  <c r="E1562"/>
  <c r="Q1560" s="1"/>
  <c r="D1562"/>
  <c r="U1560"/>
  <c r="K343" i="3"/>
  <c r="H343"/>
  <c r="E343"/>
  <c r="N343" s="1"/>
  <c r="L1559" i="4"/>
  <c r="K1559"/>
  <c r="J1559"/>
  <c r="I1559"/>
  <c r="H1559"/>
  <c r="G1559"/>
  <c r="F1559"/>
  <c r="E1559"/>
  <c r="Q1557" s="1"/>
  <c r="D1559"/>
  <c r="U1557"/>
  <c r="P1556"/>
  <c r="L1556"/>
  <c r="K1556"/>
  <c r="J1556"/>
  <c r="I1556"/>
  <c r="H1556"/>
  <c r="G1556"/>
  <c r="F1556"/>
  <c r="E1556"/>
  <c r="D1556"/>
  <c r="U1554"/>
  <c r="H342" i="3"/>
  <c r="K342"/>
  <c r="E342"/>
  <c r="N342" s="1"/>
  <c r="L1553" i="4"/>
  <c r="K1553"/>
  <c r="J1553"/>
  <c r="I1553"/>
  <c r="H1553"/>
  <c r="G1553"/>
  <c r="F1553"/>
  <c r="E1553"/>
  <c r="Q1551" s="1"/>
  <c r="D1553"/>
  <c r="U1551"/>
  <c r="P1550"/>
  <c r="L1550"/>
  <c r="K1550"/>
  <c r="J1550"/>
  <c r="I1550"/>
  <c r="H1550"/>
  <c r="G1550"/>
  <c r="F1550"/>
  <c r="E1550"/>
  <c r="D1550"/>
  <c r="R1548" s="1"/>
  <c r="U1548"/>
  <c r="K341" i="3"/>
  <c r="H341"/>
  <c r="E341"/>
  <c r="N341" s="1"/>
  <c r="L1547" i="4"/>
  <c r="K1547"/>
  <c r="J1547"/>
  <c r="I1547"/>
  <c r="H1547"/>
  <c r="G1547"/>
  <c r="F1547"/>
  <c r="E1547"/>
  <c r="S1545" s="1"/>
  <c r="D1547"/>
  <c r="Q1545" s="1"/>
  <c r="T1545" s="1"/>
  <c r="V1545" s="1"/>
  <c r="U1545"/>
  <c r="R1545"/>
  <c r="P1544"/>
  <c r="L1544"/>
  <c r="K1544"/>
  <c r="J1544"/>
  <c r="I1544"/>
  <c r="H1544"/>
  <c r="G1544"/>
  <c r="Q1542" s="1"/>
  <c r="F1544"/>
  <c r="E1544"/>
  <c r="R1542" s="1"/>
  <c r="D1544"/>
  <c r="U1542"/>
  <c r="K340" i="3"/>
  <c r="H340"/>
  <c r="E340"/>
  <c r="N340" s="1"/>
  <c r="K338"/>
  <c r="K339"/>
  <c r="H338"/>
  <c r="H339"/>
  <c r="E339"/>
  <c r="N339" s="1"/>
  <c r="L1541" i="4"/>
  <c r="K1541"/>
  <c r="J1541"/>
  <c r="I1541"/>
  <c r="H1541"/>
  <c r="G1541"/>
  <c r="F1541"/>
  <c r="E1541"/>
  <c r="S1539" s="1"/>
  <c r="D1541"/>
  <c r="U1539"/>
  <c r="P1538"/>
  <c r="L1538"/>
  <c r="K1538"/>
  <c r="J1538"/>
  <c r="I1538"/>
  <c r="H1538"/>
  <c r="G1538"/>
  <c r="F1538"/>
  <c r="E1538"/>
  <c r="D1538"/>
  <c r="U1536"/>
  <c r="L1535"/>
  <c r="K1535"/>
  <c r="J1535"/>
  <c r="I1535"/>
  <c r="H1535"/>
  <c r="G1535"/>
  <c r="F1535"/>
  <c r="E1535"/>
  <c r="S1533" s="1"/>
  <c r="D1535"/>
  <c r="U1533"/>
  <c r="R1533"/>
  <c r="P1532"/>
  <c r="L1532"/>
  <c r="K1532"/>
  <c r="J1532"/>
  <c r="I1532"/>
  <c r="H1532"/>
  <c r="G1532"/>
  <c r="F1532"/>
  <c r="E1532"/>
  <c r="Q1530" s="1"/>
  <c r="D1532"/>
  <c r="U1530"/>
  <c r="E338" i="3"/>
  <c r="N338" s="1"/>
  <c r="K337"/>
  <c r="H337"/>
  <c r="E337"/>
  <c r="N337" s="1"/>
  <c r="L1529" i="4"/>
  <c r="K1529"/>
  <c r="J1529"/>
  <c r="I1529"/>
  <c r="H1529"/>
  <c r="G1529"/>
  <c r="F1529"/>
  <c r="E1529"/>
  <c r="S1527" s="1"/>
  <c r="D1529"/>
  <c r="U1527"/>
  <c r="P1526"/>
  <c r="L1526"/>
  <c r="K1526"/>
  <c r="J1526"/>
  <c r="I1526"/>
  <c r="H1526"/>
  <c r="G1526"/>
  <c r="F1526"/>
  <c r="E1526"/>
  <c r="S1524" s="1"/>
  <c r="D1526"/>
  <c r="U1524"/>
  <c r="H336" i="3"/>
  <c r="K336"/>
  <c r="E336"/>
  <c r="N336" s="1"/>
  <c r="L1523" i="4"/>
  <c r="K1523"/>
  <c r="J1523"/>
  <c r="I1523"/>
  <c r="H1523"/>
  <c r="G1523"/>
  <c r="F1523"/>
  <c r="E1523"/>
  <c r="D1523"/>
  <c r="U1521"/>
  <c r="P1520"/>
  <c r="L1520"/>
  <c r="K1520"/>
  <c r="J1520"/>
  <c r="I1520"/>
  <c r="H1520"/>
  <c r="G1520"/>
  <c r="Q1518" s="1"/>
  <c r="F1520"/>
  <c r="E1520"/>
  <c r="S1518" s="1"/>
  <c r="D1520"/>
  <c r="U1518"/>
  <c r="H270" i="3"/>
  <c r="H271"/>
  <c r="H272"/>
  <c r="H273"/>
  <c r="H275"/>
  <c r="H269"/>
  <c r="K273"/>
  <c r="H263"/>
  <c r="H264"/>
  <c r="H265"/>
  <c r="H262"/>
  <c r="K259"/>
  <c r="K258"/>
  <c r="K257"/>
  <c r="K256"/>
  <c r="H259"/>
  <c r="H258"/>
  <c r="H257"/>
  <c r="H256"/>
  <c r="H254"/>
  <c r="H253"/>
  <c r="H252"/>
  <c r="K252"/>
  <c r="K251"/>
  <c r="K250"/>
  <c r="H251"/>
  <c r="H250"/>
  <c r="L1517" i="4"/>
  <c r="K1517"/>
  <c r="J1517"/>
  <c r="I1517"/>
  <c r="H1517"/>
  <c r="G1517"/>
  <c r="F1517"/>
  <c r="E1517"/>
  <c r="Q1515" s="1"/>
  <c r="T1515" s="1"/>
  <c r="D1517"/>
  <c r="U1515"/>
  <c r="R1515"/>
  <c r="P1514"/>
  <c r="L1514"/>
  <c r="K1514"/>
  <c r="J1514"/>
  <c r="I1514"/>
  <c r="H1514"/>
  <c r="G1514"/>
  <c r="F1514"/>
  <c r="E1514"/>
  <c r="D1514"/>
  <c r="U1512"/>
  <c r="E334" i="3"/>
  <c r="N334" s="1"/>
  <c r="L1511" i="4"/>
  <c r="K1511"/>
  <c r="J1511"/>
  <c r="I1511"/>
  <c r="H1511"/>
  <c r="G1511"/>
  <c r="F1511"/>
  <c r="E1511"/>
  <c r="Q1509" s="1"/>
  <c r="D1511"/>
  <c r="U1509"/>
  <c r="P1508"/>
  <c r="L1508"/>
  <c r="K1508"/>
  <c r="J1508"/>
  <c r="I1508"/>
  <c r="H1508"/>
  <c r="G1508"/>
  <c r="F1508"/>
  <c r="E1508"/>
  <c r="D1508"/>
  <c r="R1506" s="1"/>
  <c r="U1506"/>
  <c r="E333" i="3"/>
  <c r="N333" s="1"/>
  <c r="L1505" i="4"/>
  <c r="K1505"/>
  <c r="J1505"/>
  <c r="I1505"/>
  <c r="H1505"/>
  <c r="G1505"/>
  <c r="F1505"/>
  <c r="E1505"/>
  <c r="D1505"/>
  <c r="U1503"/>
  <c r="P1502"/>
  <c r="L1502"/>
  <c r="K1502"/>
  <c r="J1502"/>
  <c r="I1502"/>
  <c r="H1502"/>
  <c r="G1502"/>
  <c r="R1500" s="1"/>
  <c r="F1502"/>
  <c r="E1502"/>
  <c r="D1502"/>
  <c r="U1500"/>
  <c r="E331" i="3"/>
  <c r="N331" s="1"/>
  <c r="E330"/>
  <c r="N330" s="1"/>
  <c r="E329"/>
  <c r="N329" s="1"/>
  <c r="E328"/>
  <c r="N328" s="1"/>
  <c r="E327"/>
  <c r="V1581" i="4" l="1"/>
  <c r="V1575"/>
  <c r="E1571"/>
  <c r="S1569" s="1"/>
  <c r="Q1566"/>
  <c r="R1566"/>
  <c r="R1569"/>
  <c r="S1566"/>
  <c r="S1560"/>
  <c r="S1563"/>
  <c r="R1560"/>
  <c r="T1560" s="1"/>
  <c r="V1560" s="1"/>
  <c r="R1563"/>
  <c r="T1563" s="1"/>
  <c r="V1563" s="1"/>
  <c r="Q1554"/>
  <c r="T1554"/>
  <c r="V1554" s="1"/>
  <c r="S1554"/>
  <c r="S1557"/>
  <c r="R1554"/>
  <c r="R1557"/>
  <c r="T1557" s="1"/>
  <c r="V1557" s="1"/>
  <c r="Q1548"/>
  <c r="T1548" s="1"/>
  <c r="S1548"/>
  <c r="T1551"/>
  <c r="R1551"/>
  <c r="V1548"/>
  <c r="S1551"/>
  <c r="T1542"/>
  <c r="S1542"/>
  <c r="V1542"/>
  <c r="Q1539"/>
  <c r="S1536"/>
  <c r="R1536"/>
  <c r="R1539"/>
  <c r="T1539" s="1"/>
  <c r="V1539" s="1"/>
  <c r="Q1536"/>
  <c r="Q1533"/>
  <c r="T1533" s="1"/>
  <c r="V1533" s="1"/>
  <c r="S1530"/>
  <c r="R1530"/>
  <c r="T1530" s="1"/>
  <c r="Q1527"/>
  <c r="Q1524"/>
  <c r="T1524" s="1"/>
  <c r="V1524" s="1"/>
  <c r="R1524"/>
  <c r="R1527"/>
  <c r="T1527" s="1"/>
  <c r="V1527" s="1"/>
  <c r="R1521"/>
  <c r="S1521"/>
  <c r="Q1521"/>
  <c r="T1521" s="1"/>
  <c r="V1521" s="1"/>
  <c r="R1518"/>
  <c r="T1518" s="1"/>
  <c r="V1518" s="1"/>
  <c r="Q1512"/>
  <c r="S1512"/>
  <c r="S1515"/>
  <c r="V1515" s="1"/>
  <c r="R1512"/>
  <c r="Q1506"/>
  <c r="T1506" s="1"/>
  <c r="S1506"/>
  <c r="R1509"/>
  <c r="T1509" s="1"/>
  <c r="V1506"/>
  <c r="S1509"/>
  <c r="Q1503"/>
  <c r="R1503"/>
  <c r="Q1500"/>
  <c r="T1500" s="1"/>
  <c r="V1500" s="1"/>
  <c r="S1500"/>
  <c r="S1503"/>
  <c r="L1499"/>
  <c r="K1499"/>
  <c r="J1499"/>
  <c r="I1499"/>
  <c r="H1499"/>
  <c r="G1499"/>
  <c r="F1499"/>
  <c r="E1499"/>
  <c r="R1497" s="1"/>
  <c r="D1499"/>
  <c r="U1497"/>
  <c r="Q1497"/>
  <c r="P1496"/>
  <c r="L1496"/>
  <c r="K1496"/>
  <c r="J1496"/>
  <c r="I1496"/>
  <c r="H1496"/>
  <c r="G1496"/>
  <c r="F1496"/>
  <c r="E1496"/>
  <c r="D1496"/>
  <c r="Q1494" s="1"/>
  <c r="U1494"/>
  <c r="N327" i="3"/>
  <c r="E326"/>
  <c r="N326" s="1"/>
  <c r="L1493" i="4"/>
  <c r="K1493"/>
  <c r="J1493"/>
  <c r="I1493"/>
  <c r="H1493"/>
  <c r="G1493"/>
  <c r="F1493"/>
  <c r="Q1491" s="1"/>
  <c r="E1493"/>
  <c r="D1493"/>
  <c r="U1491"/>
  <c r="R1491"/>
  <c r="P1490"/>
  <c r="L1490"/>
  <c r="K1490"/>
  <c r="J1490"/>
  <c r="I1490"/>
  <c r="H1490"/>
  <c r="G1490"/>
  <c r="F1490"/>
  <c r="E1490"/>
  <c r="Q1488" s="1"/>
  <c r="D1490"/>
  <c r="U1488"/>
  <c r="S1488"/>
  <c r="L1487"/>
  <c r="K1487"/>
  <c r="J1487"/>
  <c r="I1487"/>
  <c r="H1487"/>
  <c r="G1487"/>
  <c r="F1487"/>
  <c r="E1487"/>
  <c r="D1487"/>
  <c r="U1485"/>
  <c r="P1484"/>
  <c r="L1484"/>
  <c r="K1484"/>
  <c r="J1484"/>
  <c r="I1484"/>
  <c r="H1484"/>
  <c r="G1484"/>
  <c r="F1484"/>
  <c r="E1484"/>
  <c r="D1484"/>
  <c r="U1482"/>
  <c r="L1481"/>
  <c r="K1481"/>
  <c r="J1481"/>
  <c r="I1481"/>
  <c r="H1481"/>
  <c r="G1481"/>
  <c r="F1481"/>
  <c r="E1481"/>
  <c r="D1481"/>
  <c r="U1479"/>
  <c r="P1478"/>
  <c r="L1478"/>
  <c r="K1478"/>
  <c r="J1478"/>
  <c r="I1478"/>
  <c r="H1478"/>
  <c r="G1478"/>
  <c r="F1478"/>
  <c r="E1478"/>
  <c r="D1478"/>
  <c r="U1476"/>
  <c r="L1475"/>
  <c r="K1475"/>
  <c r="J1475"/>
  <c r="I1475"/>
  <c r="H1475"/>
  <c r="G1475"/>
  <c r="F1475"/>
  <c r="E1475"/>
  <c r="D1475"/>
  <c r="U1473"/>
  <c r="P1472"/>
  <c r="L1472"/>
  <c r="K1472"/>
  <c r="J1472"/>
  <c r="I1472"/>
  <c r="H1472"/>
  <c r="G1472"/>
  <c r="F1472"/>
  <c r="E1472"/>
  <c r="D1472"/>
  <c r="U1470"/>
  <c r="E323" i="3"/>
  <c r="N323" s="1"/>
  <c r="L1469" i="4"/>
  <c r="K1469"/>
  <c r="J1469"/>
  <c r="I1469"/>
  <c r="H1469"/>
  <c r="G1469"/>
  <c r="F1469"/>
  <c r="E1469"/>
  <c r="D1469"/>
  <c r="R1467" s="1"/>
  <c r="U1467"/>
  <c r="P1466"/>
  <c r="L1466"/>
  <c r="K1466"/>
  <c r="J1466"/>
  <c r="I1466"/>
  <c r="H1466"/>
  <c r="G1466"/>
  <c r="F1466"/>
  <c r="E1466"/>
  <c r="D1466"/>
  <c r="U1464"/>
  <c r="E320" i="3"/>
  <c r="N320" s="1"/>
  <c r="E319"/>
  <c r="N319" s="1"/>
  <c r="E318"/>
  <c r="N318" s="1"/>
  <c r="E317"/>
  <c r="N317" s="1"/>
  <c r="L1463" i="4"/>
  <c r="K1463"/>
  <c r="J1463"/>
  <c r="I1463"/>
  <c r="H1463"/>
  <c r="G1463"/>
  <c r="F1463"/>
  <c r="E1463"/>
  <c r="D1463"/>
  <c r="U1461"/>
  <c r="P1460"/>
  <c r="L1460"/>
  <c r="K1460"/>
  <c r="J1460"/>
  <c r="I1460"/>
  <c r="H1460"/>
  <c r="G1460"/>
  <c r="F1460"/>
  <c r="E1460"/>
  <c r="D1460"/>
  <c r="U1458"/>
  <c r="L1457"/>
  <c r="K1457"/>
  <c r="J1457"/>
  <c r="I1457"/>
  <c r="H1457"/>
  <c r="G1457"/>
  <c r="F1457"/>
  <c r="E1457"/>
  <c r="D1457"/>
  <c r="U1455"/>
  <c r="P1454"/>
  <c r="L1454"/>
  <c r="K1454"/>
  <c r="J1454"/>
  <c r="I1454"/>
  <c r="H1454"/>
  <c r="G1454"/>
  <c r="F1454"/>
  <c r="E1454"/>
  <c r="D1454"/>
  <c r="U1452"/>
  <c r="L1451"/>
  <c r="K1451"/>
  <c r="J1451"/>
  <c r="I1451"/>
  <c r="H1451"/>
  <c r="G1451"/>
  <c r="F1451"/>
  <c r="E1451"/>
  <c r="D1451"/>
  <c r="U1449"/>
  <c r="P1448"/>
  <c r="L1448"/>
  <c r="K1448"/>
  <c r="J1448"/>
  <c r="I1448"/>
  <c r="H1448"/>
  <c r="G1448"/>
  <c r="F1448"/>
  <c r="E1448"/>
  <c r="D1448"/>
  <c r="U1446"/>
  <c r="L1445"/>
  <c r="K1445"/>
  <c r="J1445"/>
  <c r="I1445"/>
  <c r="H1445"/>
  <c r="G1445"/>
  <c r="F1445"/>
  <c r="E1445"/>
  <c r="D1445"/>
  <c r="U1443"/>
  <c r="R1443"/>
  <c r="Q1443"/>
  <c r="T1443" s="1"/>
  <c r="V1443" s="1"/>
  <c r="P1442"/>
  <c r="L1442"/>
  <c r="K1442"/>
  <c r="J1442"/>
  <c r="I1442"/>
  <c r="H1442"/>
  <c r="G1442"/>
  <c r="F1442"/>
  <c r="E1442"/>
  <c r="D1442"/>
  <c r="U1440"/>
  <c r="E314" i="3"/>
  <c r="N314" s="1"/>
  <c r="E313"/>
  <c r="N313" s="1"/>
  <c r="L1439" i="4"/>
  <c r="K1439"/>
  <c r="J1439"/>
  <c r="I1439"/>
  <c r="H1439"/>
  <c r="G1439"/>
  <c r="F1439"/>
  <c r="E1439"/>
  <c r="D1439"/>
  <c r="U1437"/>
  <c r="P1436"/>
  <c r="L1436"/>
  <c r="K1436"/>
  <c r="J1436"/>
  <c r="I1436"/>
  <c r="H1436"/>
  <c r="G1436"/>
  <c r="F1436"/>
  <c r="E1436"/>
  <c r="D1436"/>
  <c r="U1434"/>
  <c r="E312" i="3"/>
  <c r="N312" s="1"/>
  <c r="E311"/>
  <c r="N311" s="1"/>
  <c r="L1433" i="4"/>
  <c r="K1433"/>
  <c r="J1433"/>
  <c r="I1433"/>
  <c r="H1433"/>
  <c r="G1433"/>
  <c r="F1433"/>
  <c r="E1433"/>
  <c r="D1433"/>
  <c r="U1431"/>
  <c r="P1430"/>
  <c r="L1430"/>
  <c r="K1430"/>
  <c r="J1430"/>
  <c r="I1430"/>
  <c r="H1430"/>
  <c r="G1430"/>
  <c r="F1430"/>
  <c r="E1430"/>
  <c r="D1430"/>
  <c r="U1428"/>
  <c r="E310" i="3"/>
  <c r="N310" s="1"/>
  <c r="L1427" i="4"/>
  <c r="K1427"/>
  <c r="J1427"/>
  <c r="I1427"/>
  <c r="H1427"/>
  <c r="G1427"/>
  <c r="F1427"/>
  <c r="E1427"/>
  <c r="D1427"/>
  <c r="U1425"/>
  <c r="P1424"/>
  <c r="L1424"/>
  <c r="K1424"/>
  <c r="J1424"/>
  <c r="I1424"/>
  <c r="H1424"/>
  <c r="G1424"/>
  <c r="F1424"/>
  <c r="E1424"/>
  <c r="D1424"/>
  <c r="U1422"/>
  <c r="E309" i="3"/>
  <c r="N309" s="1"/>
  <c r="E308"/>
  <c r="N308" s="1"/>
  <c r="L1421" i="4"/>
  <c r="K1421"/>
  <c r="J1421"/>
  <c r="I1421"/>
  <c r="H1421"/>
  <c r="G1421"/>
  <c r="F1421"/>
  <c r="E1421"/>
  <c r="D1421"/>
  <c r="U1419"/>
  <c r="P1418"/>
  <c r="L1418"/>
  <c r="K1418"/>
  <c r="J1418"/>
  <c r="I1418"/>
  <c r="H1418"/>
  <c r="G1418"/>
  <c r="F1418"/>
  <c r="E1418"/>
  <c r="D1418"/>
  <c r="U1416"/>
  <c r="E306" i="3"/>
  <c r="N306" s="1"/>
  <c r="E305"/>
  <c r="N305" s="1"/>
  <c r="U1410" i="4"/>
  <c r="D1412"/>
  <c r="E1412"/>
  <c r="F1412"/>
  <c r="G1412"/>
  <c r="H1412"/>
  <c r="I1412"/>
  <c r="J1412"/>
  <c r="K1412"/>
  <c r="L1412"/>
  <c r="P1412"/>
  <c r="U1413"/>
  <c r="D1415"/>
  <c r="E1415"/>
  <c r="F1415"/>
  <c r="G1415"/>
  <c r="H1415"/>
  <c r="I1415"/>
  <c r="J1415"/>
  <c r="K1415"/>
  <c r="L1415"/>
  <c r="L1409"/>
  <c r="K1409"/>
  <c r="J1409"/>
  <c r="I1409"/>
  <c r="H1409"/>
  <c r="G1409"/>
  <c r="F1409"/>
  <c r="E1409"/>
  <c r="D1409"/>
  <c r="U1407"/>
  <c r="P1406"/>
  <c r="L1406"/>
  <c r="K1406"/>
  <c r="J1406"/>
  <c r="I1406"/>
  <c r="H1406"/>
  <c r="G1406"/>
  <c r="F1406"/>
  <c r="E1406"/>
  <c r="D1406"/>
  <c r="U1404"/>
  <c r="E304" i="3"/>
  <c r="N304" s="1"/>
  <c r="Q1569" i="4" l="1"/>
  <c r="T1569" s="1"/>
  <c r="V1569" s="1"/>
  <c r="T1566"/>
  <c r="V1566" s="1"/>
  <c r="V1551"/>
  <c r="T1536"/>
  <c r="V1536" s="1"/>
  <c r="V1530"/>
  <c r="T1512"/>
  <c r="V1512" s="1"/>
  <c r="V1509"/>
  <c r="T1503"/>
  <c r="V1503" s="1"/>
  <c r="R1494"/>
  <c r="T1494" s="1"/>
  <c r="V1494" s="1"/>
  <c r="T1497"/>
  <c r="S1497"/>
  <c r="S1494"/>
  <c r="R1404"/>
  <c r="S1419"/>
  <c r="Q1470"/>
  <c r="Q1419"/>
  <c r="R1431"/>
  <c r="R1473"/>
  <c r="T1473" s="1"/>
  <c r="R1437"/>
  <c r="Q1473"/>
  <c r="Q1416"/>
  <c r="R1449"/>
  <c r="S1458"/>
  <c r="R1488"/>
  <c r="T1488" s="1"/>
  <c r="V1488" s="1"/>
  <c r="R1446"/>
  <c r="R1458"/>
  <c r="S1461"/>
  <c r="R1407"/>
  <c r="Q1452"/>
  <c r="Q1458"/>
  <c r="Q1482"/>
  <c r="R1428"/>
  <c r="R1440"/>
  <c r="Q1449"/>
  <c r="R1455"/>
  <c r="Q1461"/>
  <c r="Q1467"/>
  <c r="T1467" s="1"/>
  <c r="T1491"/>
  <c r="S1491"/>
  <c r="Q1485"/>
  <c r="R1485"/>
  <c r="S1482"/>
  <c r="R1482"/>
  <c r="T1482" s="1"/>
  <c r="V1482" s="1"/>
  <c r="S1485"/>
  <c r="Q1476"/>
  <c r="S1476"/>
  <c r="R1479"/>
  <c r="S1479"/>
  <c r="Q1479"/>
  <c r="T1479" s="1"/>
  <c r="R1476"/>
  <c r="S1473"/>
  <c r="S1470"/>
  <c r="R1470"/>
  <c r="T1470" s="1"/>
  <c r="S1464"/>
  <c r="S1467"/>
  <c r="R1464"/>
  <c r="Q1464"/>
  <c r="R1461"/>
  <c r="T1458"/>
  <c r="V1458" s="1"/>
  <c r="Q1455"/>
  <c r="T1455" s="1"/>
  <c r="R1452"/>
  <c r="S1452"/>
  <c r="S1455"/>
  <c r="S1449"/>
  <c r="Q1446"/>
  <c r="S1446"/>
  <c r="S1443"/>
  <c r="S1440"/>
  <c r="Q1440"/>
  <c r="R1434"/>
  <c r="Q1434"/>
  <c r="T1434" s="1"/>
  <c r="S1434"/>
  <c r="Q1437"/>
  <c r="T1437" s="1"/>
  <c r="S1437"/>
  <c r="Q1428"/>
  <c r="T1428" s="1"/>
  <c r="S1428"/>
  <c r="Q1431"/>
  <c r="T1431" s="1"/>
  <c r="S1431"/>
  <c r="Q1425"/>
  <c r="R1425"/>
  <c r="R1422"/>
  <c r="Q1422"/>
  <c r="S1422"/>
  <c r="S1425"/>
  <c r="R1416"/>
  <c r="T1416" s="1"/>
  <c r="R1419"/>
  <c r="T1419" s="1"/>
  <c r="V1419" s="1"/>
  <c r="S1416"/>
  <c r="S1413"/>
  <c r="R1413"/>
  <c r="Q1413"/>
  <c r="R1410"/>
  <c r="S1410"/>
  <c r="Q1410"/>
  <c r="Q1407"/>
  <c r="Q1404"/>
  <c r="T1404" s="1"/>
  <c r="S1404"/>
  <c r="S1407"/>
  <c r="V1497" l="1"/>
  <c r="T1413"/>
  <c r="V1413" s="1"/>
  <c r="T1422"/>
  <c r="V1422" s="1"/>
  <c r="T1449"/>
  <c r="V1449" s="1"/>
  <c r="V1428"/>
  <c r="V1467"/>
  <c r="T1410"/>
  <c r="V1410" s="1"/>
  <c r="T1440"/>
  <c r="V1440" s="1"/>
  <c r="T1446"/>
  <c r="V1446" s="1"/>
  <c r="T1452"/>
  <c r="V1452" s="1"/>
  <c r="T1464"/>
  <c r="V1464" s="1"/>
  <c r="V1470"/>
  <c r="T1476"/>
  <c r="V1476" s="1"/>
  <c r="T1485"/>
  <c r="V1485" s="1"/>
  <c r="T1407"/>
  <c r="V1407" s="1"/>
  <c r="T1461"/>
  <c r="V1461" s="1"/>
  <c r="V1473"/>
  <c r="V1491"/>
  <c r="V1479"/>
  <c r="V1455"/>
  <c r="V1434"/>
  <c r="V1437"/>
  <c r="V1431"/>
  <c r="T1425"/>
  <c r="V1425" s="1"/>
  <c r="V1416"/>
  <c r="V1404"/>
  <c r="L1403" l="1"/>
  <c r="K1403"/>
  <c r="J1403"/>
  <c r="I1403"/>
  <c r="H1403"/>
  <c r="G1403"/>
  <c r="F1403"/>
  <c r="E1403"/>
  <c r="D1403"/>
  <c r="U1401"/>
  <c r="P1400"/>
  <c r="L1400"/>
  <c r="K1400"/>
  <c r="J1400"/>
  <c r="I1400"/>
  <c r="H1400"/>
  <c r="G1400"/>
  <c r="F1400"/>
  <c r="E1400"/>
  <c r="D1400"/>
  <c r="U1398"/>
  <c r="E303" i="3"/>
  <c r="N303" s="1"/>
  <c r="L1397" i="4"/>
  <c r="K1397"/>
  <c r="J1397"/>
  <c r="I1397"/>
  <c r="H1397"/>
  <c r="G1397"/>
  <c r="F1397"/>
  <c r="E1397"/>
  <c r="D1397"/>
  <c r="U1395"/>
  <c r="P1394"/>
  <c r="L1394"/>
  <c r="K1394"/>
  <c r="J1394"/>
  <c r="I1394"/>
  <c r="H1394"/>
  <c r="G1394"/>
  <c r="F1394"/>
  <c r="E1394"/>
  <c r="D1394"/>
  <c r="U1392"/>
  <c r="E302" i="3"/>
  <c r="N302" s="1"/>
  <c r="L1391" i="4"/>
  <c r="K1391"/>
  <c r="J1391"/>
  <c r="I1391"/>
  <c r="H1391"/>
  <c r="G1391"/>
  <c r="F1391"/>
  <c r="E1391"/>
  <c r="D1391"/>
  <c r="U1389"/>
  <c r="P1388"/>
  <c r="L1388"/>
  <c r="K1388"/>
  <c r="J1388"/>
  <c r="I1388"/>
  <c r="H1388"/>
  <c r="G1388"/>
  <c r="F1388"/>
  <c r="E1388"/>
  <c r="D1388"/>
  <c r="U1386"/>
  <c r="E301" i="3"/>
  <c r="N301" s="1"/>
  <c r="E300"/>
  <c r="N300" s="1"/>
  <c r="L1385" i="4"/>
  <c r="K1385"/>
  <c r="J1385"/>
  <c r="I1385"/>
  <c r="H1385"/>
  <c r="G1385"/>
  <c r="F1385"/>
  <c r="E1385"/>
  <c r="D1385"/>
  <c r="U1383"/>
  <c r="P1382"/>
  <c r="L1382"/>
  <c r="K1382"/>
  <c r="J1382"/>
  <c r="I1382"/>
  <c r="H1382"/>
  <c r="G1382"/>
  <c r="F1382"/>
  <c r="E1382"/>
  <c r="D1382"/>
  <c r="U1380"/>
  <c r="L1379"/>
  <c r="K1379"/>
  <c r="J1379"/>
  <c r="I1379"/>
  <c r="H1379"/>
  <c r="G1379"/>
  <c r="F1379"/>
  <c r="E1379"/>
  <c r="D1379"/>
  <c r="U1377"/>
  <c r="P1376"/>
  <c r="L1376"/>
  <c r="K1376"/>
  <c r="J1376"/>
  <c r="I1376"/>
  <c r="H1376"/>
  <c r="G1376"/>
  <c r="F1376"/>
  <c r="E1376"/>
  <c r="D1376"/>
  <c r="U1374"/>
  <c r="E299" i="3"/>
  <c r="N299" s="1"/>
  <c r="E298"/>
  <c r="N298" s="1"/>
  <c r="R1377" i="4" l="1"/>
  <c r="R1386"/>
  <c r="Q1380"/>
  <c r="Q1395"/>
  <c r="Q1386"/>
  <c r="T1386" s="1"/>
  <c r="Q1377"/>
  <c r="R1383"/>
  <c r="Q1389"/>
  <c r="Q1401"/>
  <c r="R1401"/>
  <c r="Q1398"/>
  <c r="T1398" s="1"/>
  <c r="R1398"/>
  <c r="S1398"/>
  <c r="S1401"/>
  <c r="Q1392"/>
  <c r="R1395"/>
  <c r="S1392"/>
  <c r="S1395"/>
  <c r="R1392"/>
  <c r="T1392" s="1"/>
  <c r="R1389"/>
  <c r="S1386"/>
  <c r="V1386" s="1"/>
  <c r="S1389"/>
  <c r="Q1383"/>
  <c r="S1380"/>
  <c r="S1383"/>
  <c r="R1380"/>
  <c r="T1380" s="1"/>
  <c r="V1380" s="1"/>
  <c r="S1374"/>
  <c r="R1374"/>
  <c r="Q1374"/>
  <c r="T1374" s="1"/>
  <c r="S1377"/>
  <c r="E297" i="3"/>
  <c r="N297" s="1"/>
  <c r="E296"/>
  <c r="N296" s="1"/>
  <c r="E295"/>
  <c r="N295" s="1"/>
  <c r="E294"/>
  <c r="N294" s="1"/>
  <c r="L1373" i="4"/>
  <c r="K1373"/>
  <c r="J1373"/>
  <c r="I1373"/>
  <c r="H1373"/>
  <c r="G1373"/>
  <c r="F1373"/>
  <c r="E1373"/>
  <c r="D1373"/>
  <c r="U1371"/>
  <c r="P1370"/>
  <c r="L1370"/>
  <c r="K1370"/>
  <c r="J1370"/>
  <c r="I1370"/>
  <c r="H1370"/>
  <c r="G1370"/>
  <c r="F1370"/>
  <c r="E1370"/>
  <c r="D1370"/>
  <c r="U1368"/>
  <c r="L1367"/>
  <c r="K1367"/>
  <c r="J1367"/>
  <c r="I1367"/>
  <c r="H1367"/>
  <c r="G1367"/>
  <c r="R1365" s="1"/>
  <c r="F1367"/>
  <c r="E1367"/>
  <c r="D1367"/>
  <c r="U1365"/>
  <c r="P1364"/>
  <c r="L1364"/>
  <c r="K1364"/>
  <c r="J1364"/>
  <c r="I1364"/>
  <c r="H1364"/>
  <c r="G1364"/>
  <c r="F1364"/>
  <c r="E1364"/>
  <c r="D1364"/>
  <c r="U1362"/>
  <c r="D1349"/>
  <c r="D1352"/>
  <c r="D1355"/>
  <c r="L1361"/>
  <c r="K1361"/>
  <c r="J1361"/>
  <c r="I1361"/>
  <c r="H1361"/>
  <c r="G1361"/>
  <c r="F1361"/>
  <c r="E1361"/>
  <c r="D1361"/>
  <c r="U1359"/>
  <c r="P1358"/>
  <c r="L1358"/>
  <c r="K1358"/>
  <c r="J1358"/>
  <c r="I1358"/>
  <c r="H1358"/>
  <c r="G1358"/>
  <c r="F1358"/>
  <c r="E1358"/>
  <c r="D1358"/>
  <c r="U1356"/>
  <c r="L1355"/>
  <c r="K1355"/>
  <c r="J1355"/>
  <c r="I1355"/>
  <c r="H1355"/>
  <c r="G1355"/>
  <c r="F1355"/>
  <c r="E1355"/>
  <c r="U1353"/>
  <c r="P1352"/>
  <c r="L1352"/>
  <c r="K1352"/>
  <c r="J1352"/>
  <c r="I1352"/>
  <c r="H1352"/>
  <c r="G1352"/>
  <c r="F1352"/>
  <c r="E1352"/>
  <c r="U1350"/>
  <c r="L1349"/>
  <c r="K1349"/>
  <c r="J1349"/>
  <c r="I1349"/>
  <c r="H1349"/>
  <c r="G1349"/>
  <c r="F1349"/>
  <c r="E1349"/>
  <c r="U1347"/>
  <c r="P1346"/>
  <c r="L1346"/>
  <c r="K1346"/>
  <c r="J1346"/>
  <c r="I1346"/>
  <c r="H1346"/>
  <c r="G1346"/>
  <c r="F1346"/>
  <c r="E1346"/>
  <c r="D1346"/>
  <c r="U1344"/>
  <c r="Q1368" l="1"/>
  <c r="R1371"/>
  <c r="T1377"/>
  <c r="V1377" s="1"/>
  <c r="T1401"/>
  <c r="V1401" s="1"/>
  <c r="Q1350"/>
  <c r="V1398"/>
  <c r="Q1362"/>
  <c r="Q1365"/>
  <c r="T1365" s="1"/>
  <c r="T1383"/>
  <c r="V1383" s="1"/>
  <c r="Q1344"/>
  <c r="S1350"/>
  <c r="R1353"/>
  <c r="Q1356"/>
  <c r="S1371"/>
  <c r="T1389"/>
  <c r="V1389" s="1"/>
  <c r="T1395"/>
  <c r="V1395" s="1"/>
  <c r="Q1359"/>
  <c r="V1374"/>
  <c r="V1392"/>
  <c r="Q1371"/>
  <c r="T1371" s="1"/>
  <c r="V1371" s="1"/>
  <c r="S1368"/>
  <c r="R1368"/>
  <c r="S1362"/>
  <c r="S1365"/>
  <c r="R1362"/>
  <c r="R1350"/>
  <c r="R1356"/>
  <c r="T1356" s="1"/>
  <c r="S1359"/>
  <c r="Q1347"/>
  <c r="S1356"/>
  <c r="R1359"/>
  <c r="T1359" s="1"/>
  <c r="Q1353"/>
  <c r="S1353"/>
  <c r="R1347"/>
  <c r="S1347"/>
  <c r="S1344"/>
  <c r="R1344"/>
  <c r="T1344" s="1"/>
  <c r="E290" i="3"/>
  <c r="N290" s="1"/>
  <c r="P1343" i="4"/>
  <c r="L1343"/>
  <c r="K1343"/>
  <c r="J1343"/>
  <c r="I1343"/>
  <c r="H1343"/>
  <c r="G1343"/>
  <c r="F1343"/>
  <c r="E1343"/>
  <c r="D1343"/>
  <c r="U1341"/>
  <c r="L1340"/>
  <c r="K1340"/>
  <c r="J1340"/>
  <c r="I1340"/>
  <c r="H1340"/>
  <c r="G1340"/>
  <c r="F1340"/>
  <c r="E1340"/>
  <c r="D1340"/>
  <c r="U1338"/>
  <c r="P1337"/>
  <c r="L1337"/>
  <c r="K1337"/>
  <c r="J1337"/>
  <c r="I1337"/>
  <c r="H1337"/>
  <c r="G1337"/>
  <c r="F1337"/>
  <c r="E1337"/>
  <c r="D1337"/>
  <c r="U1335"/>
  <c r="T1353" l="1"/>
  <c r="V1353" s="1"/>
  <c r="T1350"/>
  <c r="T1368"/>
  <c r="V1356"/>
  <c r="V1350"/>
  <c r="T1362"/>
  <c r="V1362" s="1"/>
  <c r="V1368"/>
  <c r="S1341"/>
  <c r="V1365"/>
  <c r="V1344"/>
  <c r="T1347"/>
  <c r="V1347" s="1"/>
  <c r="V1359"/>
  <c r="S1338"/>
  <c r="R1335"/>
  <c r="R1338"/>
  <c r="Q1338"/>
  <c r="R1341"/>
  <c r="Q1341"/>
  <c r="Q1335"/>
  <c r="S1335"/>
  <c r="L1334"/>
  <c r="K1334"/>
  <c r="J1334"/>
  <c r="I1334"/>
  <c r="H1334"/>
  <c r="G1334"/>
  <c r="F1334"/>
  <c r="E1334"/>
  <c r="D1334"/>
  <c r="U1332"/>
  <c r="P1331"/>
  <c r="L1331"/>
  <c r="K1331"/>
  <c r="J1331"/>
  <c r="I1331"/>
  <c r="H1331"/>
  <c r="G1331"/>
  <c r="F1331"/>
  <c r="E1331"/>
  <c r="D1331"/>
  <c r="U1329"/>
  <c r="L1328"/>
  <c r="K1328"/>
  <c r="J1328"/>
  <c r="I1328"/>
  <c r="H1328"/>
  <c r="G1328"/>
  <c r="F1328"/>
  <c r="E1328"/>
  <c r="D1328"/>
  <c r="U1326"/>
  <c r="P1325"/>
  <c r="L1325"/>
  <c r="K1325"/>
  <c r="J1325"/>
  <c r="I1325"/>
  <c r="H1325"/>
  <c r="G1325"/>
  <c r="F1325"/>
  <c r="E1325"/>
  <c r="D1325"/>
  <c r="U1323"/>
  <c r="L1322"/>
  <c r="K1322"/>
  <c r="J1322"/>
  <c r="I1322"/>
  <c r="H1322"/>
  <c r="G1322"/>
  <c r="F1322"/>
  <c r="E1322"/>
  <c r="D1322"/>
  <c r="U1320"/>
  <c r="P1319"/>
  <c r="L1319"/>
  <c r="K1319"/>
  <c r="J1319"/>
  <c r="I1319"/>
  <c r="H1319"/>
  <c r="G1319"/>
  <c r="F1319"/>
  <c r="E1319"/>
  <c r="D1319"/>
  <c r="U1317"/>
  <c r="L1316"/>
  <c r="K1316"/>
  <c r="J1316"/>
  <c r="I1316"/>
  <c r="H1316"/>
  <c r="G1316"/>
  <c r="F1316"/>
  <c r="E1316"/>
  <c r="D1316"/>
  <c r="U1314"/>
  <c r="P1313"/>
  <c r="L1313"/>
  <c r="K1313"/>
  <c r="J1313"/>
  <c r="I1313"/>
  <c r="H1313"/>
  <c r="G1313"/>
  <c r="F1313"/>
  <c r="E1313"/>
  <c r="D1313"/>
  <c r="U1311"/>
  <c r="L1310"/>
  <c r="K1310"/>
  <c r="J1310"/>
  <c r="I1310"/>
  <c r="H1310"/>
  <c r="G1310"/>
  <c r="F1310"/>
  <c r="E1310"/>
  <c r="D1310"/>
  <c r="U1308"/>
  <c r="P1307"/>
  <c r="L1307"/>
  <c r="K1307"/>
  <c r="J1307"/>
  <c r="I1307"/>
  <c r="H1307"/>
  <c r="G1307"/>
  <c r="F1307"/>
  <c r="E1307"/>
  <c r="D1307"/>
  <c r="U1305"/>
  <c r="E279" i="3"/>
  <c r="N279" s="1"/>
  <c r="L1304" i="4"/>
  <c r="K1304"/>
  <c r="J1304"/>
  <c r="I1304"/>
  <c r="H1304"/>
  <c r="G1304"/>
  <c r="F1304"/>
  <c r="E1304"/>
  <c r="D1304"/>
  <c r="U1302"/>
  <c r="P1301"/>
  <c r="L1301"/>
  <c r="K1301"/>
  <c r="J1301"/>
  <c r="I1301"/>
  <c r="H1301"/>
  <c r="G1301"/>
  <c r="F1301"/>
  <c r="E1301"/>
  <c r="D1301"/>
  <c r="U1299"/>
  <c r="L1298"/>
  <c r="K1298"/>
  <c r="J1298"/>
  <c r="I1298"/>
  <c r="H1298"/>
  <c r="G1298"/>
  <c r="F1298"/>
  <c r="E1298"/>
  <c r="D1298"/>
  <c r="U1296"/>
  <c r="P1295"/>
  <c r="L1295"/>
  <c r="K1295"/>
  <c r="J1295"/>
  <c r="I1295"/>
  <c r="H1295"/>
  <c r="G1295"/>
  <c r="F1295"/>
  <c r="E1295"/>
  <c r="D1295"/>
  <c r="U1293"/>
  <c r="L1292"/>
  <c r="K1292"/>
  <c r="J1292"/>
  <c r="I1292"/>
  <c r="H1292"/>
  <c r="G1292"/>
  <c r="F1292"/>
  <c r="E1292"/>
  <c r="D1292"/>
  <c r="U1290"/>
  <c r="P1289"/>
  <c r="L1289"/>
  <c r="K1289"/>
  <c r="J1289"/>
  <c r="I1289"/>
  <c r="H1289"/>
  <c r="G1289"/>
  <c r="F1289"/>
  <c r="E1289"/>
  <c r="D1289"/>
  <c r="U1287"/>
  <c r="L1286"/>
  <c r="K1286"/>
  <c r="J1286"/>
  <c r="I1286"/>
  <c r="H1286"/>
  <c r="G1286"/>
  <c r="F1286"/>
  <c r="E1286"/>
  <c r="D1286"/>
  <c r="U1284"/>
  <c r="L1283"/>
  <c r="K1283"/>
  <c r="J1283"/>
  <c r="I1283"/>
  <c r="H1283"/>
  <c r="G1283"/>
  <c r="F1283"/>
  <c r="E1283"/>
  <c r="D1283"/>
  <c r="U1281"/>
  <c r="P1280"/>
  <c r="L1280"/>
  <c r="K1280"/>
  <c r="J1280"/>
  <c r="I1280"/>
  <c r="H1280"/>
  <c r="G1280"/>
  <c r="F1280"/>
  <c r="E1280"/>
  <c r="D1280"/>
  <c r="U1278"/>
  <c r="L1277"/>
  <c r="K1277"/>
  <c r="J1277"/>
  <c r="I1277"/>
  <c r="H1277"/>
  <c r="G1277"/>
  <c r="F1277"/>
  <c r="E1277"/>
  <c r="D1277"/>
  <c r="U1275"/>
  <c r="P1274"/>
  <c r="L1274"/>
  <c r="K1274"/>
  <c r="J1274"/>
  <c r="I1274"/>
  <c r="H1274"/>
  <c r="G1274"/>
  <c r="F1274"/>
  <c r="E1274"/>
  <c r="D1274"/>
  <c r="U1272"/>
  <c r="L1271"/>
  <c r="K1271"/>
  <c r="J1271"/>
  <c r="I1271"/>
  <c r="H1271"/>
  <c r="G1271"/>
  <c r="F1271"/>
  <c r="E1271"/>
  <c r="D1271"/>
  <c r="U1269"/>
  <c r="P1268"/>
  <c r="L1268"/>
  <c r="K1268"/>
  <c r="J1268"/>
  <c r="I1268"/>
  <c r="H1268"/>
  <c r="G1268"/>
  <c r="F1268"/>
  <c r="E1268"/>
  <c r="D1268"/>
  <c r="U1266"/>
  <c r="E273" i="3"/>
  <c r="N273" s="1"/>
  <c r="L1265" i="4"/>
  <c r="K1265"/>
  <c r="J1265"/>
  <c r="I1265"/>
  <c r="H1265"/>
  <c r="G1265"/>
  <c r="F1265"/>
  <c r="E1265"/>
  <c r="D1265"/>
  <c r="U1263"/>
  <c r="P1262"/>
  <c r="L1262"/>
  <c r="K1262"/>
  <c r="J1262"/>
  <c r="I1262"/>
  <c r="H1262"/>
  <c r="G1262"/>
  <c r="F1262"/>
  <c r="E1262"/>
  <c r="D1262"/>
  <c r="U1260"/>
  <c r="E271" i="3"/>
  <c r="N271" s="1"/>
  <c r="E270"/>
  <c r="N270"/>
  <c r="L1259" i="4"/>
  <c r="K1259"/>
  <c r="J1259"/>
  <c r="I1259"/>
  <c r="H1259"/>
  <c r="G1259"/>
  <c r="F1259"/>
  <c r="E1259"/>
  <c r="D1259"/>
  <c r="U1257"/>
  <c r="P1256"/>
  <c r="L1256"/>
  <c r="K1256"/>
  <c r="J1256"/>
  <c r="I1256"/>
  <c r="H1256"/>
  <c r="G1256"/>
  <c r="F1256"/>
  <c r="E1256"/>
  <c r="D1256"/>
  <c r="U1254"/>
  <c r="L1253"/>
  <c r="K1253"/>
  <c r="J1253"/>
  <c r="I1253"/>
  <c r="H1253"/>
  <c r="G1253"/>
  <c r="F1253"/>
  <c r="E1253"/>
  <c r="D1253"/>
  <c r="U1251"/>
  <c r="P1250"/>
  <c r="L1250"/>
  <c r="K1250"/>
  <c r="J1250"/>
  <c r="I1250"/>
  <c r="H1250"/>
  <c r="G1250"/>
  <c r="F1250"/>
  <c r="E1250"/>
  <c r="D1250"/>
  <c r="U1248"/>
  <c r="L1247"/>
  <c r="K1247"/>
  <c r="J1247"/>
  <c r="I1247"/>
  <c r="H1247"/>
  <c r="G1247"/>
  <c r="F1247"/>
  <c r="E1247"/>
  <c r="D1247"/>
  <c r="U1245"/>
  <c r="P1244"/>
  <c r="L1244"/>
  <c r="K1244"/>
  <c r="J1244"/>
  <c r="I1244"/>
  <c r="H1244"/>
  <c r="G1244"/>
  <c r="F1244"/>
  <c r="E1244"/>
  <c r="D1244"/>
  <c r="U1242"/>
  <c r="E265" i="3"/>
  <c r="N265" s="1"/>
  <c r="E264"/>
  <c r="N264" s="1"/>
  <c r="E263"/>
  <c r="N263" s="1"/>
  <c r="N262"/>
  <c r="L1241" i="4"/>
  <c r="K1241"/>
  <c r="J1241"/>
  <c r="I1241"/>
  <c r="H1241"/>
  <c r="G1241"/>
  <c r="F1241"/>
  <c r="E1241"/>
  <c r="D1241"/>
  <c r="U1239"/>
  <c r="P1238"/>
  <c r="L1238"/>
  <c r="K1238"/>
  <c r="J1238"/>
  <c r="I1238"/>
  <c r="H1238"/>
  <c r="G1238"/>
  <c r="F1238"/>
  <c r="E1238"/>
  <c r="D1238"/>
  <c r="U1236"/>
  <c r="L1235"/>
  <c r="K1235"/>
  <c r="J1235"/>
  <c r="I1235"/>
  <c r="H1235"/>
  <c r="G1235"/>
  <c r="F1235"/>
  <c r="E1235"/>
  <c r="D1235"/>
  <c r="U1233"/>
  <c r="P1232"/>
  <c r="L1232"/>
  <c r="K1232"/>
  <c r="J1232"/>
  <c r="I1232"/>
  <c r="H1232"/>
  <c r="G1232"/>
  <c r="F1232"/>
  <c r="E1232"/>
  <c r="D1232"/>
  <c r="U1230"/>
  <c r="E259" i="3"/>
  <c r="N259" s="1"/>
  <c r="E258"/>
  <c r="N258" s="1"/>
  <c r="E257"/>
  <c r="N257" s="1"/>
  <c r="Q1254" i="4" l="1"/>
  <c r="R1260"/>
  <c r="T1335"/>
  <c r="S1332"/>
  <c r="Q1332"/>
  <c r="T1338"/>
  <c r="V1338" s="1"/>
  <c r="S1308"/>
  <c r="Q1329"/>
  <c r="Q1299"/>
  <c r="R1332"/>
  <c r="S1311"/>
  <c r="S1320"/>
  <c r="R1302"/>
  <c r="S1314"/>
  <c r="R1329"/>
  <c r="T1341"/>
  <c r="V1341" s="1"/>
  <c r="V1335"/>
  <c r="S1329"/>
  <c r="R1326"/>
  <c r="Q1323"/>
  <c r="Q1326"/>
  <c r="T1326" s="1"/>
  <c r="R1323"/>
  <c r="S1323"/>
  <c r="S1326"/>
  <c r="Q1320"/>
  <c r="Q1317"/>
  <c r="S1317"/>
  <c r="R1317"/>
  <c r="R1320"/>
  <c r="T1320" s="1"/>
  <c r="V1320" s="1"/>
  <c r="R1314"/>
  <c r="Q1311"/>
  <c r="Q1314"/>
  <c r="R1311"/>
  <c r="T1311" s="1"/>
  <c r="V1311" s="1"/>
  <c r="Q1305"/>
  <c r="R1308"/>
  <c r="Q1308"/>
  <c r="S1305"/>
  <c r="R1305"/>
  <c r="T1305" s="1"/>
  <c r="Q1302"/>
  <c r="S1299"/>
  <c r="S1302"/>
  <c r="R1299"/>
  <c r="Q1296"/>
  <c r="R1296"/>
  <c r="S1296"/>
  <c r="R1293"/>
  <c r="Q1293"/>
  <c r="S1293"/>
  <c r="Q1287"/>
  <c r="R1287"/>
  <c r="R1290"/>
  <c r="Q1290"/>
  <c r="S1284"/>
  <c r="Q1284"/>
  <c r="R1284"/>
  <c r="S1287"/>
  <c r="S1290"/>
  <c r="R1281"/>
  <c r="Q1281"/>
  <c r="Q1278"/>
  <c r="S1278"/>
  <c r="S1281"/>
  <c r="R1278"/>
  <c r="R1275"/>
  <c r="Q1275"/>
  <c r="S1275"/>
  <c r="R1233"/>
  <c r="R1245"/>
  <c r="Q1236"/>
  <c r="S1239"/>
  <c r="Q1272"/>
  <c r="S1272"/>
  <c r="R1272"/>
  <c r="R1230"/>
  <c r="Q1233"/>
  <c r="T1233" s="1"/>
  <c r="Q1239"/>
  <c r="S1242"/>
  <c r="S1245"/>
  <c r="R1239"/>
  <c r="Q1245"/>
  <c r="T1245" s="1"/>
  <c r="Q1248"/>
  <c r="Q1263"/>
  <c r="R1251"/>
  <c r="Q1230"/>
  <c r="R1254"/>
  <c r="R1242"/>
  <c r="Q1257"/>
  <c r="R1236"/>
  <c r="R1248"/>
  <c r="Q1251"/>
  <c r="Q1269"/>
  <c r="R1269"/>
  <c r="Q1266"/>
  <c r="S1266"/>
  <c r="S1269"/>
  <c r="R1266"/>
  <c r="Q1260"/>
  <c r="T1260" s="1"/>
  <c r="S1260"/>
  <c r="R1263"/>
  <c r="S1263"/>
  <c r="S1254"/>
  <c r="R1257"/>
  <c r="S1257"/>
  <c r="S1248"/>
  <c r="S1251"/>
  <c r="Q1242"/>
  <c r="S1236"/>
  <c r="S1230"/>
  <c r="S1233"/>
  <c r="E256" i="3"/>
  <c r="N256" s="1"/>
  <c r="L1229" i="4"/>
  <c r="K1229"/>
  <c r="J1229"/>
  <c r="I1229"/>
  <c r="H1229"/>
  <c r="G1229"/>
  <c r="F1229"/>
  <c r="E1229"/>
  <c r="D1229"/>
  <c r="U1227"/>
  <c r="P1226"/>
  <c r="L1226"/>
  <c r="K1226"/>
  <c r="J1226"/>
  <c r="I1226"/>
  <c r="H1226"/>
  <c r="G1226"/>
  <c r="F1226"/>
  <c r="E1226"/>
  <c r="D1226"/>
  <c r="U1224"/>
  <c r="L1223"/>
  <c r="K1223"/>
  <c r="J1223"/>
  <c r="I1223"/>
  <c r="H1223"/>
  <c r="G1223"/>
  <c r="F1223"/>
  <c r="E1223"/>
  <c r="D1223"/>
  <c r="U1221"/>
  <c r="P1220"/>
  <c r="L1220"/>
  <c r="K1220"/>
  <c r="J1220"/>
  <c r="I1220"/>
  <c r="H1220"/>
  <c r="G1220"/>
  <c r="F1220"/>
  <c r="E1220"/>
  <c r="D1220"/>
  <c r="U1218"/>
  <c r="E252" i="3"/>
  <c r="N252" s="1"/>
  <c r="L1217" i="4"/>
  <c r="K1217"/>
  <c r="J1217"/>
  <c r="I1217"/>
  <c r="H1217"/>
  <c r="G1217"/>
  <c r="F1217"/>
  <c r="E1217"/>
  <c r="D1217"/>
  <c r="U1215"/>
  <c r="P1214"/>
  <c r="L1214"/>
  <c r="K1214"/>
  <c r="J1214"/>
  <c r="I1214"/>
  <c r="H1214"/>
  <c r="G1214"/>
  <c r="F1214"/>
  <c r="E1214"/>
  <c r="D1214"/>
  <c r="U1212"/>
  <c r="E251" i="3"/>
  <c r="N251" s="1"/>
  <c r="L1211" i="4"/>
  <c r="K1211"/>
  <c r="J1211"/>
  <c r="I1211"/>
  <c r="H1211"/>
  <c r="G1211"/>
  <c r="F1211"/>
  <c r="E1211"/>
  <c r="D1211"/>
  <c r="U1209"/>
  <c r="P1208"/>
  <c r="L1208"/>
  <c r="K1208"/>
  <c r="J1208"/>
  <c r="I1208"/>
  <c r="H1208"/>
  <c r="G1208"/>
  <c r="F1208"/>
  <c r="E1208"/>
  <c r="D1208"/>
  <c r="U1206"/>
  <c r="L1205"/>
  <c r="K1205"/>
  <c r="J1205"/>
  <c r="I1205"/>
  <c r="H1205"/>
  <c r="G1205"/>
  <c r="F1205"/>
  <c r="E1205"/>
  <c r="D1205"/>
  <c r="U1203"/>
  <c r="P1202"/>
  <c r="L1202"/>
  <c r="K1202"/>
  <c r="J1202"/>
  <c r="I1202"/>
  <c r="H1202"/>
  <c r="G1202"/>
  <c r="F1202"/>
  <c r="E1202"/>
  <c r="D1202"/>
  <c r="U1200"/>
  <c r="L1199"/>
  <c r="K1199"/>
  <c r="J1199"/>
  <c r="I1199"/>
  <c r="H1199"/>
  <c r="G1199"/>
  <c r="F1199"/>
  <c r="E1199"/>
  <c r="D1199"/>
  <c r="U1197"/>
  <c r="P1196"/>
  <c r="L1196"/>
  <c r="K1196"/>
  <c r="J1196"/>
  <c r="I1196"/>
  <c r="H1196"/>
  <c r="G1196"/>
  <c r="F1196"/>
  <c r="E1196"/>
  <c r="D1196"/>
  <c r="U1194"/>
  <c r="L1193"/>
  <c r="K1193"/>
  <c r="J1193"/>
  <c r="I1193"/>
  <c r="H1193"/>
  <c r="G1193"/>
  <c r="F1193"/>
  <c r="E1193"/>
  <c r="D1193"/>
  <c r="U1191"/>
  <c r="P1190"/>
  <c r="L1190"/>
  <c r="K1190"/>
  <c r="J1190"/>
  <c r="I1190"/>
  <c r="H1190"/>
  <c r="G1190"/>
  <c r="F1190"/>
  <c r="E1190"/>
  <c r="D1190"/>
  <c r="U1188"/>
  <c r="E248" i="3"/>
  <c r="N248" s="1"/>
  <c r="V1245" i="4" l="1"/>
  <c r="T1332"/>
  <c r="V1332" s="1"/>
  <c r="T1275"/>
  <c r="T1254"/>
  <c r="T1299"/>
  <c r="V1299" s="1"/>
  <c r="T1302"/>
  <c r="V1302" s="1"/>
  <c r="T1278"/>
  <c r="V1278" s="1"/>
  <c r="T1296"/>
  <c r="V1296" s="1"/>
  <c r="T1308"/>
  <c r="V1308" s="1"/>
  <c r="T1284"/>
  <c r="V1284" s="1"/>
  <c r="T1323"/>
  <c r="V1323" s="1"/>
  <c r="T1329"/>
  <c r="V1329" s="1"/>
  <c r="T1242"/>
  <c r="V1242" s="1"/>
  <c r="T1263"/>
  <c r="V1263" s="1"/>
  <c r="T1239"/>
  <c r="V1239" s="1"/>
  <c r="T1236"/>
  <c r="V1236" s="1"/>
  <c r="T1230"/>
  <c r="V1230" s="1"/>
  <c r="T1314"/>
  <c r="V1314" s="1"/>
  <c r="T1317"/>
  <c r="V1317" s="1"/>
  <c r="V1275"/>
  <c r="V1326"/>
  <c r="V1305"/>
  <c r="T1293"/>
  <c r="V1293" s="1"/>
  <c r="T1287"/>
  <c r="V1287" s="1"/>
  <c r="T1290"/>
  <c r="V1290" s="1"/>
  <c r="T1281"/>
  <c r="V1281" s="1"/>
  <c r="T1272"/>
  <c r="V1272" s="1"/>
  <c r="Q1218"/>
  <c r="V1254"/>
  <c r="R1215"/>
  <c r="Q1227"/>
  <c r="T1266"/>
  <c r="V1266" s="1"/>
  <c r="R1218"/>
  <c r="R1197"/>
  <c r="R1191"/>
  <c r="R1206"/>
  <c r="R1209"/>
  <c r="R1221"/>
  <c r="V1233"/>
  <c r="T1257"/>
  <c r="Q1188"/>
  <c r="Q1209"/>
  <c r="Q1221"/>
  <c r="R1227"/>
  <c r="T1248"/>
  <c r="V1248" s="1"/>
  <c r="T1251"/>
  <c r="V1251" s="1"/>
  <c r="Q1215"/>
  <c r="T1215" s="1"/>
  <c r="R1188"/>
  <c r="T1188" s="1"/>
  <c r="Q1212"/>
  <c r="R1224"/>
  <c r="R1200"/>
  <c r="Q1206"/>
  <c r="S1221"/>
  <c r="S1224"/>
  <c r="V1257"/>
  <c r="S1197"/>
  <c r="T1269"/>
  <c r="V1269" s="1"/>
  <c r="V1260"/>
  <c r="S1227"/>
  <c r="Q1224"/>
  <c r="S1218"/>
  <c r="S1212"/>
  <c r="S1215"/>
  <c r="V1215" s="1"/>
  <c r="R1212"/>
  <c r="T1212" s="1"/>
  <c r="S1206"/>
  <c r="S1209"/>
  <c r="Q1200"/>
  <c r="T1200" s="1"/>
  <c r="S1200"/>
  <c r="Q1203"/>
  <c r="R1203"/>
  <c r="S1203"/>
  <c r="Q1197"/>
  <c r="S1194"/>
  <c r="Q1194"/>
  <c r="R1194"/>
  <c r="Q1191"/>
  <c r="S1191"/>
  <c r="S1188"/>
  <c r="E247" i="3"/>
  <c r="N247" s="1"/>
  <c r="L1187" i="4"/>
  <c r="K1187"/>
  <c r="J1187"/>
  <c r="I1187"/>
  <c r="H1187"/>
  <c r="G1187"/>
  <c r="F1187"/>
  <c r="E1187"/>
  <c r="D1187"/>
  <c r="U1185"/>
  <c r="P1184"/>
  <c r="L1184"/>
  <c r="K1184"/>
  <c r="J1184"/>
  <c r="I1184"/>
  <c r="H1184"/>
  <c r="G1184"/>
  <c r="F1184"/>
  <c r="E1184"/>
  <c r="D1184"/>
  <c r="U1182"/>
  <c r="L1181"/>
  <c r="K1181"/>
  <c r="J1181"/>
  <c r="I1181"/>
  <c r="H1181"/>
  <c r="G1181"/>
  <c r="F1181"/>
  <c r="E1181"/>
  <c r="D1181"/>
  <c r="U1179"/>
  <c r="P1178"/>
  <c r="L1178"/>
  <c r="K1178"/>
  <c r="J1178"/>
  <c r="I1178"/>
  <c r="H1178"/>
  <c r="G1178"/>
  <c r="F1178"/>
  <c r="E1178"/>
  <c r="D1178"/>
  <c r="U1176"/>
  <c r="E246" i="3"/>
  <c r="N246" s="1"/>
  <c r="N358"/>
  <c r="N245"/>
  <c r="B70" i="7"/>
  <c r="E245" i="3"/>
  <c r="L1175" i="4"/>
  <c r="K1175"/>
  <c r="J1175"/>
  <c r="I1175"/>
  <c r="H1175"/>
  <c r="G1175"/>
  <c r="F1175"/>
  <c r="E1175"/>
  <c r="D1175"/>
  <c r="U1173"/>
  <c r="P1172"/>
  <c r="L1172"/>
  <c r="K1172"/>
  <c r="J1172"/>
  <c r="I1172"/>
  <c r="H1172"/>
  <c r="G1172"/>
  <c r="F1172"/>
  <c r="E1172"/>
  <c r="D1172"/>
  <c r="U1170"/>
  <c r="L1169"/>
  <c r="K1169"/>
  <c r="J1169"/>
  <c r="I1169"/>
  <c r="H1169"/>
  <c r="G1169"/>
  <c r="F1169"/>
  <c r="E1169"/>
  <c r="D1169"/>
  <c r="U1167"/>
  <c r="P1166"/>
  <c r="L1166"/>
  <c r="K1166"/>
  <c r="J1166"/>
  <c r="I1166"/>
  <c r="H1166"/>
  <c r="G1166"/>
  <c r="F1166"/>
  <c r="E1166"/>
  <c r="D1166"/>
  <c r="U1164"/>
  <c r="L1163"/>
  <c r="K1163"/>
  <c r="J1163"/>
  <c r="I1163"/>
  <c r="H1163"/>
  <c r="G1163"/>
  <c r="F1163"/>
  <c r="E1163"/>
  <c r="D1163"/>
  <c r="U1161"/>
  <c r="P1160"/>
  <c r="L1160"/>
  <c r="K1160"/>
  <c r="J1160"/>
  <c r="I1160"/>
  <c r="H1160"/>
  <c r="G1160"/>
  <c r="F1160"/>
  <c r="E1160"/>
  <c r="D1160"/>
  <c r="U1158"/>
  <c r="L1157"/>
  <c r="K1157"/>
  <c r="J1157"/>
  <c r="I1157"/>
  <c r="H1157"/>
  <c r="G1157"/>
  <c r="F1157"/>
  <c r="E1157"/>
  <c r="D1157"/>
  <c r="U1155"/>
  <c r="P1154"/>
  <c r="L1154"/>
  <c r="K1154"/>
  <c r="J1154"/>
  <c r="I1154"/>
  <c r="H1154"/>
  <c r="G1154"/>
  <c r="F1154"/>
  <c r="E1154"/>
  <c r="D1154"/>
  <c r="U1152"/>
  <c r="E242" i="3"/>
  <c r="N242" s="1"/>
  <c r="E241"/>
  <c r="N241" s="1"/>
  <c r="L1151" i="4"/>
  <c r="K1151"/>
  <c r="J1151"/>
  <c r="I1151"/>
  <c r="H1151"/>
  <c r="G1151"/>
  <c r="F1151"/>
  <c r="E1151"/>
  <c r="D1151"/>
  <c r="U1149"/>
  <c r="P1148"/>
  <c r="L1148"/>
  <c r="K1148"/>
  <c r="J1148"/>
  <c r="I1148"/>
  <c r="H1148"/>
  <c r="G1148"/>
  <c r="F1148"/>
  <c r="E1148"/>
  <c r="D1148"/>
  <c r="U1146"/>
  <c r="L1145"/>
  <c r="K1145"/>
  <c r="J1145"/>
  <c r="I1145"/>
  <c r="H1145"/>
  <c r="G1145"/>
  <c r="F1145"/>
  <c r="E1145"/>
  <c r="D1145"/>
  <c r="U1143"/>
  <c r="L1142"/>
  <c r="K1142"/>
  <c r="J1142"/>
  <c r="I1142"/>
  <c r="H1142"/>
  <c r="G1142"/>
  <c r="F1142"/>
  <c r="E1142"/>
  <c r="D1142"/>
  <c r="U1140"/>
  <c r="P1139"/>
  <c r="L1139"/>
  <c r="K1139"/>
  <c r="J1139"/>
  <c r="I1139"/>
  <c r="H1139"/>
  <c r="G1139"/>
  <c r="F1139"/>
  <c r="E1139"/>
  <c r="D1139"/>
  <c r="U1137"/>
  <c r="L1135"/>
  <c r="K1135"/>
  <c r="J1135"/>
  <c r="I1135"/>
  <c r="H1135"/>
  <c r="G1135"/>
  <c r="F1135"/>
  <c r="E1135"/>
  <c r="D1135"/>
  <c r="U1133"/>
  <c r="L1132"/>
  <c r="K1132"/>
  <c r="J1132"/>
  <c r="I1132"/>
  <c r="H1132"/>
  <c r="G1132"/>
  <c r="F1132"/>
  <c r="E1132"/>
  <c r="D1132"/>
  <c r="U1130"/>
  <c r="L1129"/>
  <c r="K1129"/>
  <c r="J1129"/>
  <c r="I1129"/>
  <c r="H1129"/>
  <c r="G1129"/>
  <c r="F1129"/>
  <c r="E1129"/>
  <c r="D1129"/>
  <c r="U1127"/>
  <c r="E235" i="3"/>
  <c r="N235" s="1"/>
  <c r="N232"/>
  <c r="E232"/>
  <c r="E231"/>
  <c r="N231" s="1"/>
  <c r="E230"/>
  <c r="N230" s="1"/>
  <c r="E228"/>
  <c r="N228" s="1"/>
  <c r="E227"/>
  <c r="N227" s="1"/>
  <c r="E225"/>
  <c r="N225" s="1"/>
  <c r="L1024" i="4"/>
  <c r="K1024"/>
  <c r="J1024"/>
  <c r="I1024"/>
  <c r="H1024"/>
  <c r="G1024"/>
  <c r="F1024"/>
  <c r="E1024"/>
  <c r="D1024"/>
  <c r="U1022"/>
  <c r="P1021"/>
  <c r="L1021"/>
  <c r="K1021"/>
  <c r="J1021"/>
  <c r="I1021"/>
  <c r="H1021"/>
  <c r="G1021"/>
  <c r="F1021"/>
  <c r="E1021"/>
  <c r="D1021"/>
  <c r="U1019"/>
  <c r="L1018"/>
  <c r="K1018"/>
  <c r="J1018"/>
  <c r="I1018"/>
  <c r="H1018"/>
  <c r="G1018"/>
  <c r="F1018"/>
  <c r="E1018"/>
  <c r="D1018"/>
  <c r="U1016"/>
  <c r="P1015"/>
  <c r="L1015"/>
  <c r="K1015"/>
  <c r="J1015"/>
  <c r="I1015"/>
  <c r="H1015"/>
  <c r="G1015"/>
  <c r="F1015"/>
  <c r="E1015"/>
  <c r="D1015"/>
  <c r="U1013"/>
  <c r="L1126"/>
  <c r="K1126"/>
  <c r="J1126"/>
  <c r="I1126"/>
  <c r="H1126"/>
  <c r="G1126"/>
  <c r="F1126"/>
  <c r="E1126"/>
  <c r="D1126"/>
  <c r="U1124"/>
  <c r="P1123"/>
  <c r="L1123"/>
  <c r="K1123"/>
  <c r="J1123"/>
  <c r="I1123"/>
  <c r="H1123"/>
  <c r="G1123"/>
  <c r="F1123"/>
  <c r="E1123"/>
  <c r="D1123"/>
  <c r="U1121"/>
  <c r="L1120"/>
  <c r="K1120"/>
  <c r="J1120"/>
  <c r="I1120"/>
  <c r="H1120"/>
  <c r="G1120"/>
  <c r="F1120"/>
  <c r="E1120"/>
  <c r="D1120"/>
  <c r="U1118"/>
  <c r="P1117"/>
  <c r="L1117"/>
  <c r="K1117"/>
  <c r="J1117"/>
  <c r="I1117"/>
  <c r="H1117"/>
  <c r="G1117"/>
  <c r="F1117"/>
  <c r="E1117"/>
  <c r="D1117"/>
  <c r="U1115"/>
  <c r="L1114"/>
  <c r="K1114"/>
  <c r="J1114"/>
  <c r="I1114"/>
  <c r="H1114"/>
  <c r="G1114"/>
  <c r="F1114"/>
  <c r="E1114"/>
  <c r="D1114"/>
  <c r="U1112"/>
  <c r="P1111"/>
  <c r="L1111"/>
  <c r="K1111"/>
  <c r="J1111"/>
  <c r="I1111"/>
  <c r="H1111"/>
  <c r="G1111"/>
  <c r="F1111"/>
  <c r="E1111"/>
  <c r="D1111"/>
  <c r="U1109"/>
  <c r="L1108"/>
  <c r="K1108"/>
  <c r="J1108"/>
  <c r="I1108"/>
  <c r="H1108"/>
  <c r="G1108"/>
  <c r="F1108"/>
  <c r="E1108"/>
  <c r="D1108"/>
  <c r="U1106"/>
  <c r="P1105"/>
  <c r="L1105"/>
  <c r="K1105"/>
  <c r="J1105"/>
  <c r="I1105"/>
  <c r="H1105"/>
  <c r="G1105"/>
  <c r="F1105"/>
  <c r="E1105"/>
  <c r="D1105"/>
  <c r="U1103"/>
  <c r="L1102"/>
  <c r="K1102"/>
  <c r="J1102"/>
  <c r="I1102"/>
  <c r="H1102"/>
  <c r="G1102"/>
  <c r="F1102"/>
  <c r="E1102"/>
  <c r="D1102"/>
  <c r="U1100"/>
  <c r="P1099"/>
  <c r="L1099"/>
  <c r="K1099"/>
  <c r="J1099"/>
  <c r="I1099"/>
  <c r="H1099"/>
  <c r="G1099"/>
  <c r="F1099"/>
  <c r="E1099"/>
  <c r="D1099"/>
  <c r="U1097"/>
  <c r="L1096"/>
  <c r="K1096"/>
  <c r="J1096"/>
  <c r="I1096"/>
  <c r="H1096"/>
  <c r="G1096"/>
  <c r="F1096"/>
  <c r="E1096"/>
  <c r="D1096"/>
  <c r="U1094"/>
  <c r="P1093"/>
  <c r="L1093"/>
  <c r="K1093"/>
  <c r="J1093"/>
  <c r="I1093"/>
  <c r="H1093"/>
  <c r="G1093"/>
  <c r="F1093"/>
  <c r="E1093"/>
  <c r="D1093"/>
  <c r="U1091"/>
  <c r="L1090"/>
  <c r="K1090"/>
  <c r="J1090"/>
  <c r="I1090"/>
  <c r="H1090"/>
  <c r="G1090"/>
  <c r="F1090"/>
  <c r="E1090"/>
  <c r="D1090"/>
  <c r="U1088"/>
  <c r="P1087"/>
  <c r="L1087"/>
  <c r="K1087"/>
  <c r="J1087"/>
  <c r="I1087"/>
  <c r="H1087"/>
  <c r="G1087"/>
  <c r="F1087"/>
  <c r="E1087"/>
  <c r="D1087"/>
  <c r="U1085"/>
  <c r="L1084"/>
  <c r="K1084"/>
  <c r="J1084"/>
  <c r="I1084"/>
  <c r="H1084"/>
  <c r="G1084"/>
  <c r="F1084"/>
  <c r="E1084"/>
  <c r="D1084"/>
  <c r="U1082"/>
  <c r="P1081"/>
  <c r="L1081"/>
  <c r="K1081"/>
  <c r="J1081"/>
  <c r="I1081"/>
  <c r="H1081"/>
  <c r="G1081"/>
  <c r="F1081"/>
  <c r="E1081"/>
  <c r="D1081"/>
  <c r="U1079"/>
  <c r="L1078"/>
  <c r="K1078"/>
  <c r="J1078"/>
  <c r="I1078"/>
  <c r="H1078"/>
  <c r="G1078"/>
  <c r="F1078"/>
  <c r="E1078"/>
  <c r="D1078"/>
  <c r="U1076"/>
  <c r="P1075"/>
  <c r="L1075"/>
  <c r="K1075"/>
  <c r="J1075"/>
  <c r="I1075"/>
  <c r="H1075"/>
  <c r="G1075"/>
  <c r="F1075"/>
  <c r="E1075"/>
  <c r="D1075"/>
  <c r="U1073"/>
  <c r="L1072"/>
  <c r="K1072"/>
  <c r="J1072"/>
  <c r="I1072"/>
  <c r="H1072"/>
  <c r="G1072"/>
  <c r="F1072"/>
  <c r="E1072"/>
  <c r="D1072"/>
  <c r="U1070"/>
  <c r="P1069"/>
  <c r="L1069"/>
  <c r="K1069"/>
  <c r="J1069"/>
  <c r="I1069"/>
  <c r="H1069"/>
  <c r="G1069"/>
  <c r="F1069"/>
  <c r="E1069"/>
  <c r="D1069"/>
  <c r="U1067"/>
  <c r="L1066"/>
  <c r="K1066"/>
  <c r="J1066"/>
  <c r="I1066"/>
  <c r="H1066"/>
  <c r="G1066"/>
  <c r="F1066"/>
  <c r="E1066"/>
  <c r="D1066"/>
  <c r="U1064"/>
  <c r="P1063"/>
  <c r="L1063"/>
  <c r="K1063"/>
  <c r="J1063"/>
  <c r="I1063"/>
  <c r="H1063"/>
  <c r="G1063"/>
  <c r="F1063"/>
  <c r="E1063"/>
  <c r="D1063"/>
  <c r="U1061"/>
  <c r="L1060"/>
  <c r="K1060"/>
  <c r="J1060"/>
  <c r="I1060"/>
  <c r="H1060"/>
  <c r="G1060"/>
  <c r="F1060"/>
  <c r="E1060"/>
  <c r="D1060"/>
  <c r="U1058"/>
  <c r="P1057"/>
  <c r="L1057"/>
  <c r="K1057"/>
  <c r="J1057"/>
  <c r="I1057"/>
  <c r="H1057"/>
  <c r="G1057"/>
  <c r="F1057"/>
  <c r="E1057"/>
  <c r="D1057"/>
  <c r="U1055"/>
  <c r="L1054"/>
  <c r="K1054"/>
  <c r="J1054"/>
  <c r="I1054"/>
  <c r="H1054"/>
  <c r="G1054"/>
  <c r="F1054"/>
  <c r="E1054"/>
  <c r="D1054"/>
  <c r="U1052"/>
  <c r="P1051"/>
  <c r="L1051"/>
  <c r="K1051"/>
  <c r="J1051"/>
  <c r="I1051"/>
  <c r="H1051"/>
  <c r="G1051"/>
  <c r="F1051"/>
  <c r="E1051"/>
  <c r="D1051"/>
  <c r="U1049"/>
  <c r="L1048"/>
  <c r="K1048"/>
  <c r="J1048"/>
  <c r="I1048"/>
  <c r="H1048"/>
  <c r="G1048"/>
  <c r="F1048"/>
  <c r="E1048"/>
  <c r="D1048"/>
  <c r="U1046"/>
  <c r="P1045"/>
  <c r="L1045"/>
  <c r="K1045"/>
  <c r="J1045"/>
  <c r="I1045"/>
  <c r="H1045"/>
  <c r="G1045"/>
  <c r="F1045"/>
  <c r="E1045"/>
  <c r="D1045"/>
  <c r="U1043"/>
  <c r="L1042"/>
  <c r="K1042"/>
  <c r="J1042"/>
  <c r="I1042"/>
  <c r="H1042"/>
  <c r="G1042"/>
  <c r="F1042"/>
  <c r="E1042"/>
  <c r="D1042"/>
  <c r="U1040"/>
  <c r="P1039"/>
  <c r="L1039"/>
  <c r="K1039"/>
  <c r="J1039"/>
  <c r="I1039"/>
  <c r="H1039"/>
  <c r="G1039"/>
  <c r="F1039"/>
  <c r="E1039"/>
  <c r="D1039"/>
  <c r="U1037"/>
  <c r="L1036"/>
  <c r="K1036"/>
  <c r="J1036"/>
  <c r="I1036"/>
  <c r="H1036"/>
  <c r="G1036"/>
  <c r="F1036"/>
  <c r="E1036"/>
  <c r="D1036"/>
  <c r="U1034"/>
  <c r="P1033"/>
  <c r="L1033"/>
  <c r="K1033"/>
  <c r="J1033"/>
  <c r="I1033"/>
  <c r="H1033"/>
  <c r="G1033"/>
  <c r="F1033"/>
  <c r="E1033"/>
  <c r="D1033"/>
  <c r="U1031"/>
  <c r="L1030"/>
  <c r="K1030"/>
  <c r="J1030"/>
  <c r="I1030"/>
  <c r="H1030"/>
  <c r="G1030"/>
  <c r="F1030"/>
  <c r="E1030"/>
  <c r="D1030"/>
  <c r="U1028"/>
  <c r="P1027"/>
  <c r="L1027"/>
  <c r="K1027"/>
  <c r="J1027"/>
  <c r="I1027"/>
  <c r="H1027"/>
  <c r="G1027"/>
  <c r="F1027"/>
  <c r="E1027"/>
  <c r="D1027"/>
  <c r="U1025"/>
  <c r="E218" i="3"/>
  <c r="N218" s="1"/>
  <c r="E217"/>
  <c r="N217" s="1"/>
  <c r="E210"/>
  <c r="N210" s="1"/>
  <c r="E209"/>
  <c r="N209" s="1"/>
  <c r="E208"/>
  <c r="N208" s="1"/>
  <c r="E207"/>
  <c r="N207" s="1"/>
  <c r="E206"/>
  <c r="N206" s="1"/>
  <c r="E205"/>
  <c r="N205" s="1"/>
  <c r="E204"/>
  <c r="N204" s="1"/>
  <c r="E203"/>
  <c r="N203" s="1"/>
  <c r="E202"/>
  <c r="N202" s="1"/>
  <c r="E201"/>
  <c r="N201" s="1"/>
  <c r="E200"/>
  <c r="N200" s="1"/>
  <c r="E199"/>
  <c r="N199" s="1"/>
  <c r="E198"/>
  <c r="N198" s="1"/>
  <c r="E197"/>
  <c r="N197" s="1"/>
  <c r="E196"/>
  <c r="N196" s="1"/>
  <c r="E195"/>
  <c r="N195" s="1"/>
  <c r="E194"/>
  <c r="N194" s="1"/>
  <c r="E193"/>
  <c r="N193" s="1"/>
  <c r="E192"/>
  <c r="N192" s="1"/>
  <c r="E191"/>
  <c r="N191" s="1"/>
  <c r="E190"/>
  <c r="N190" s="1"/>
  <c r="E189"/>
  <c r="N189" s="1"/>
  <c r="E188"/>
  <c r="N188" s="1"/>
  <c r="N187"/>
  <c r="E187"/>
  <c r="E186"/>
  <c r="N186" s="1"/>
  <c r="E185"/>
  <c r="N185" s="1"/>
  <c r="E184"/>
  <c r="N184" s="1"/>
  <c r="E183"/>
  <c r="N183" s="1"/>
  <c r="E182"/>
  <c r="N182" s="1"/>
  <c r="E181"/>
  <c r="N181" s="1"/>
  <c r="E180"/>
  <c r="N180" s="1"/>
  <c r="E179"/>
  <c r="N179" s="1"/>
  <c r="E178"/>
  <c r="N178" s="1"/>
  <c r="E177"/>
  <c r="N177" s="1"/>
  <c r="E176"/>
  <c r="N176" s="1"/>
  <c r="L964" i="4"/>
  <c r="K964"/>
  <c r="J964"/>
  <c r="I964"/>
  <c r="H964"/>
  <c r="G964"/>
  <c r="F964"/>
  <c r="E964"/>
  <c r="D964"/>
  <c r="U962"/>
  <c r="P961"/>
  <c r="L961"/>
  <c r="K961"/>
  <c r="J961"/>
  <c r="I961"/>
  <c r="H961"/>
  <c r="G961"/>
  <c r="F961"/>
  <c r="E961"/>
  <c r="D961"/>
  <c r="U959"/>
  <c r="L958"/>
  <c r="K958"/>
  <c r="J958"/>
  <c r="I958"/>
  <c r="H958"/>
  <c r="G958"/>
  <c r="F958"/>
  <c r="E958"/>
  <c r="D958"/>
  <c r="U956"/>
  <c r="P955"/>
  <c r="L955"/>
  <c r="K955"/>
  <c r="J955"/>
  <c r="I955"/>
  <c r="H955"/>
  <c r="G955"/>
  <c r="F955"/>
  <c r="E955"/>
  <c r="D955"/>
  <c r="U953"/>
  <c r="L952"/>
  <c r="K952"/>
  <c r="J952"/>
  <c r="I952"/>
  <c r="H952"/>
  <c r="G952"/>
  <c r="F952"/>
  <c r="E952"/>
  <c r="D952"/>
  <c r="U950"/>
  <c r="P949"/>
  <c r="L949"/>
  <c r="K949"/>
  <c r="J949"/>
  <c r="I949"/>
  <c r="H949"/>
  <c r="G949"/>
  <c r="F949"/>
  <c r="E949"/>
  <c r="D949"/>
  <c r="U947"/>
  <c r="L946"/>
  <c r="K946"/>
  <c r="J946"/>
  <c r="I946"/>
  <c r="H946"/>
  <c r="G946"/>
  <c r="F946"/>
  <c r="E946"/>
  <c r="D946"/>
  <c r="U944"/>
  <c r="P943"/>
  <c r="L943"/>
  <c r="K943"/>
  <c r="J943"/>
  <c r="I943"/>
  <c r="H943"/>
  <c r="G943"/>
  <c r="F943"/>
  <c r="E943"/>
  <c r="D943"/>
  <c r="U941"/>
  <c r="L940"/>
  <c r="K940"/>
  <c r="J940"/>
  <c r="I940"/>
  <c r="H940"/>
  <c r="G940"/>
  <c r="F940"/>
  <c r="E940"/>
  <c r="D940"/>
  <c r="U938"/>
  <c r="P937"/>
  <c r="L937"/>
  <c r="K937"/>
  <c r="J937"/>
  <c r="I937"/>
  <c r="H937"/>
  <c r="G937"/>
  <c r="F937"/>
  <c r="E937"/>
  <c r="D937"/>
  <c r="U935"/>
  <c r="L934"/>
  <c r="K934"/>
  <c r="J934"/>
  <c r="I934"/>
  <c r="H934"/>
  <c r="G934"/>
  <c r="F934"/>
  <c r="E934"/>
  <c r="D934"/>
  <c r="U932"/>
  <c r="P931"/>
  <c r="L931"/>
  <c r="K931"/>
  <c r="J931"/>
  <c r="I931"/>
  <c r="H931"/>
  <c r="G931"/>
  <c r="F931"/>
  <c r="E931"/>
  <c r="D931"/>
  <c r="U929"/>
  <c r="L928"/>
  <c r="K928"/>
  <c r="J928"/>
  <c r="I928"/>
  <c r="H928"/>
  <c r="G928"/>
  <c r="F928"/>
  <c r="E928"/>
  <c r="D928"/>
  <c r="U926"/>
  <c r="P925"/>
  <c r="L925"/>
  <c r="K925"/>
  <c r="J925"/>
  <c r="I925"/>
  <c r="H925"/>
  <c r="G925"/>
  <c r="F925"/>
  <c r="E925"/>
  <c r="D925"/>
  <c r="U923"/>
  <c r="L922"/>
  <c r="K922"/>
  <c r="J922"/>
  <c r="I922"/>
  <c r="H922"/>
  <c r="G922"/>
  <c r="F922"/>
  <c r="E922"/>
  <c r="D922"/>
  <c r="U920"/>
  <c r="P919"/>
  <c r="L919"/>
  <c r="K919"/>
  <c r="J919"/>
  <c r="I919"/>
  <c r="H919"/>
  <c r="G919"/>
  <c r="F919"/>
  <c r="E919"/>
  <c r="D919"/>
  <c r="U917"/>
  <c r="L916"/>
  <c r="K916"/>
  <c r="J916"/>
  <c r="I916"/>
  <c r="H916"/>
  <c r="G916"/>
  <c r="F916"/>
  <c r="E916"/>
  <c r="D916"/>
  <c r="U914"/>
  <c r="P913"/>
  <c r="L913"/>
  <c r="K913"/>
  <c r="J913"/>
  <c r="I913"/>
  <c r="H913"/>
  <c r="G913"/>
  <c r="F913"/>
  <c r="E913"/>
  <c r="D913"/>
  <c r="U911"/>
  <c r="L910"/>
  <c r="K910"/>
  <c r="J910"/>
  <c r="I910"/>
  <c r="H910"/>
  <c r="G910"/>
  <c r="F910"/>
  <c r="E910"/>
  <c r="D910"/>
  <c r="U908"/>
  <c r="P907"/>
  <c r="L907"/>
  <c r="K907"/>
  <c r="J907"/>
  <c r="I907"/>
  <c r="H907"/>
  <c r="G907"/>
  <c r="F907"/>
  <c r="E907"/>
  <c r="D907"/>
  <c r="U905"/>
  <c r="L904"/>
  <c r="K904"/>
  <c r="J904"/>
  <c r="I904"/>
  <c r="H904"/>
  <c r="G904"/>
  <c r="F904"/>
  <c r="E904"/>
  <c r="D904"/>
  <c r="U902"/>
  <c r="P901"/>
  <c r="L901"/>
  <c r="K901"/>
  <c r="J901"/>
  <c r="I901"/>
  <c r="H901"/>
  <c r="G901"/>
  <c r="F901"/>
  <c r="E901"/>
  <c r="D901"/>
  <c r="U899"/>
  <c r="L898"/>
  <c r="K898"/>
  <c r="J898"/>
  <c r="I898"/>
  <c r="H898"/>
  <c r="G898"/>
  <c r="F898"/>
  <c r="E898"/>
  <c r="D898"/>
  <c r="U896"/>
  <c r="P895"/>
  <c r="L895"/>
  <c r="K895"/>
  <c r="J895"/>
  <c r="I895"/>
  <c r="H895"/>
  <c r="G895"/>
  <c r="F895"/>
  <c r="E895"/>
  <c r="D895"/>
  <c r="U893"/>
  <c r="L892"/>
  <c r="K892"/>
  <c r="J892"/>
  <c r="I892"/>
  <c r="H892"/>
  <c r="G892"/>
  <c r="F892"/>
  <c r="E892"/>
  <c r="D892"/>
  <c r="U890"/>
  <c r="P889"/>
  <c r="L889"/>
  <c r="K889"/>
  <c r="J889"/>
  <c r="I889"/>
  <c r="H889"/>
  <c r="G889"/>
  <c r="F889"/>
  <c r="E889"/>
  <c r="D889"/>
  <c r="U887"/>
  <c r="L886"/>
  <c r="K886"/>
  <c r="J886"/>
  <c r="I886"/>
  <c r="H886"/>
  <c r="G886"/>
  <c r="F886"/>
  <c r="E886"/>
  <c r="D886"/>
  <c r="U884"/>
  <c r="P883"/>
  <c r="L883"/>
  <c r="K883"/>
  <c r="J883"/>
  <c r="I883"/>
  <c r="H883"/>
  <c r="G883"/>
  <c r="F883"/>
  <c r="E883"/>
  <c r="D883"/>
  <c r="U881"/>
  <c r="L880"/>
  <c r="K880"/>
  <c r="J880"/>
  <c r="I880"/>
  <c r="H880"/>
  <c r="G880"/>
  <c r="F880"/>
  <c r="E880"/>
  <c r="D880"/>
  <c r="U878"/>
  <c r="P877"/>
  <c r="L877"/>
  <c r="K877"/>
  <c r="J877"/>
  <c r="I877"/>
  <c r="H877"/>
  <c r="G877"/>
  <c r="F877"/>
  <c r="E877"/>
  <c r="D877"/>
  <c r="U875"/>
  <c r="L874"/>
  <c r="K874"/>
  <c r="J874"/>
  <c r="I874"/>
  <c r="H874"/>
  <c r="G874"/>
  <c r="F874"/>
  <c r="E874"/>
  <c r="D874"/>
  <c r="U872"/>
  <c r="P871"/>
  <c r="L871"/>
  <c r="K871"/>
  <c r="J871"/>
  <c r="I871"/>
  <c r="H871"/>
  <c r="G871"/>
  <c r="F871"/>
  <c r="E871"/>
  <c r="D871"/>
  <c r="U869"/>
  <c r="L868"/>
  <c r="K868"/>
  <c r="J868"/>
  <c r="I868"/>
  <c r="H868"/>
  <c r="G868"/>
  <c r="F868"/>
  <c r="E868"/>
  <c r="D868"/>
  <c r="U866"/>
  <c r="P865"/>
  <c r="L865"/>
  <c r="K865"/>
  <c r="J865"/>
  <c r="I865"/>
  <c r="H865"/>
  <c r="G865"/>
  <c r="F865"/>
  <c r="E865"/>
  <c r="D865"/>
  <c r="U863"/>
  <c r="L862"/>
  <c r="K862"/>
  <c r="J862"/>
  <c r="I862"/>
  <c r="H862"/>
  <c r="G862"/>
  <c r="F862"/>
  <c r="E862"/>
  <c r="D862"/>
  <c r="U860"/>
  <c r="P859"/>
  <c r="L859"/>
  <c r="K859"/>
  <c r="J859"/>
  <c r="I859"/>
  <c r="H859"/>
  <c r="G859"/>
  <c r="F859"/>
  <c r="E859"/>
  <c r="D859"/>
  <c r="U857"/>
  <c r="L856"/>
  <c r="K856"/>
  <c r="J856"/>
  <c r="I856"/>
  <c r="H856"/>
  <c r="G856"/>
  <c r="F856"/>
  <c r="E856"/>
  <c r="D856"/>
  <c r="U854"/>
  <c r="P853"/>
  <c r="L853"/>
  <c r="K853"/>
  <c r="J853"/>
  <c r="I853"/>
  <c r="H853"/>
  <c r="G853"/>
  <c r="F853"/>
  <c r="E853"/>
  <c r="D853"/>
  <c r="U851"/>
  <c r="L850"/>
  <c r="K850"/>
  <c r="J850"/>
  <c r="I850"/>
  <c r="H850"/>
  <c r="G850"/>
  <c r="F850"/>
  <c r="E850"/>
  <c r="D850"/>
  <c r="U848"/>
  <c r="P847"/>
  <c r="L847"/>
  <c r="K847"/>
  <c r="J847"/>
  <c r="I847"/>
  <c r="H847"/>
  <c r="G847"/>
  <c r="F847"/>
  <c r="E847"/>
  <c r="D847"/>
  <c r="U845"/>
  <c r="L844"/>
  <c r="K844"/>
  <c r="J844"/>
  <c r="I844"/>
  <c r="H844"/>
  <c r="G844"/>
  <c r="F844"/>
  <c r="E844"/>
  <c r="D844"/>
  <c r="U842"/>
  <c r="P841"/>
  <c r="L841"/>
  <c r="K841"/>
  <c r="J841"/>
  <c r="I841"/>
  <c r="H841"/>
  <c r="G841"/>
  <c r="F841"/>
  <c r="E841"/>
  <c r="D841"/>
  <c r="U839"/>
  <c r="L838"/>
  <c r="K838"/>
  <c r="J838"/>
  <c r="I838"/>
  <c r="H838"/>
  <c r="G838"/>
  <c r="F838"/>
  <c r="E838"/>
  <c r="D838"/>
  <c r="U836"/>
  <c r="P835"/>
  <c r="L835"/>
  <c r="K835"/>
  <c r="J835"/>
  <c r="I835"/>
  <c r="H835"/>
  <c r="G835"/>
  <c r="F835"/>
  <c r="E835"/>
  <c r="D835"/>
  <c r="U833"/>
  <c r="L832"/>
  <c r="K832"/>
  <c r="J832"/>
  <c r="I832"/>
  <c r="H832"/>
  <c r="G832"/>
  <c r="F832"/>
  <c r="E832"/>
  <c r="D832"/>
  <c r="U830"/>
  <c r="P829"/>
  <c r="L829"/>
  <c r="K829"/>
  <c r="J829"/>
  <c r="I829"/>
  <c r="H829"/>
  <c r="G829"/>
  <c r="F829"/>
  <c r="E829"/>
  <c r="D829"/>
  <c r="U827"/>
  <c r="L826"/>
  <c r="K826"/>
  <c r="J826"/>
  <c r="I826"/>
  <c r="H826"/>
  <c r="G826"/>
  <c r="F826"/>
  <c r="E826"/>
  <c r="D826"/>
  <c r="U824"/>
  <c r="P823"/>
  <c r="L823"/>
  <c r="K823"/>
  <c r="J823"/>
  <c r="I823"/>
  <c r="H823"/>
  <c r="G823"/>
  <c r="F823"/>
  <c r="E823"/>
  <c r="D823"/>
  <c r="U821"/>
  <c r="L820"/>
  <c r="K820"/>
  <c r="J820"/>
  <c r="I820"/>
  <c r="H820"/>
  <c r="G820"/>
  <c r="F820"/>
  <c r="E820"/>
  <c r="D820"/>
  <c r="U818"/>
  <c r="P817"/>
  <c r="L817"/>
  <c r="K817"/>
  <c r="J817"/>
  <c r="I817"/>
  <c r="H817"/>
  <c r="G817"/>
  <c r="F817"/>
  <c r="E817"/>
  <c r="D817"/>
  <c r="U815"/>
  <c r="L814"/>
  <c r="K814"/>
  <c r="J814"/>
  <c r="I814"/>
  <c r="H814"/>
  <c r="G814"/>
  <c r="F814"/>
  <c r="E814"/>
  <c r="D814"/>
  <c r="U812"/>
  <c r="P811"/>
  <c r="L811"/>
  <c r="K811"/>
  <c r="J811"/>
  <c r="I811"/>
  <c r="H811"/>
  <c r="G811"/>
  <c r="F811"/>
  <c r="E811"/>
  <c r="D811"/>
  <c r="U809"/>
  <c r="L808"/>
  <c r="K808"/>
  <c r="J808"/>
  <c r="I808"/>
  <c r="H808"/>
  <c r="G808"/>
  <c r="F808"/>
  <c r="E808"/>
  <c r="D808"/>
  <c r="U806"/>
  <c r="P805"/>
  <c r="L805"/>
  <c r="K805"/>
  <c r="J805"/>
  <c r="I805"/>
  <c r="H805"/>
  <c r="G805"/>
  <c r="F805"/>
  <c r="E805"/>
  <c r="D805"/>
  <c r="U803"/>
  <c r="L802"/>
  <c r="K802"/>
  <c r="J802"/>
  <c r="I802"/>
  <c r="H802"/>
  <c r="G802"/>
  <c r="F802"/>
  <c r="E802"/>
  <c r="D802"/>
  <c r="U800"/>
  <c r="P799"/>
  <c r="L799"/>
  <c r="K799"/>
  <c r="J799"/>
  <c r="I799"/>
  <c r="H799"/>
  <c r="G799"/>
  <c r="F799"/>
  <c r="E799"/>
  <c r="D799"/>
  <c r="U797"/>
  <c r="L796"/>
  <c r="K796"/>
  <c r="J796"/>
  <c r="I796"/>
  <c r="H796"/>
  <c r="G796"/>
  <c r="F796"/>
  <c r="E796"/>
  <c r="D796"/>
  <c r="U794"/>
  <c r="P793"/>
  <c r="L793"/>
  <c r="K793"/>
  <c r="J793"/>
  <c r="I793"/>
  <c r="H793"/>
  <c r="G793"/>
  <c r="F793"/>
  <c r="E793"/>
  <c r="D793"/>
  <c r="U791"/>
  <c r="L790"/>
  <c r="K790"/>
  <c r="J790"/>
  <c r="I790"/>
  <c r="H790"/>
  <c r="G790"/>
  <c r="F790"/>
  <c r="E790"/>
  <c r="D790"/>
  <c r="U788"/>
  <c r="P787"/>
  <c r="L787"/>
  <c r="K787"/>
  <c r="J787"/>
  <c r="I787"/>
  <c r="H787"/>
  <c r="G787"/>
  <c r="F787"/>
  <c r="E787"/>
  <c r="D787"/>
  <c r="U785"/>
  <c r="T1206" l="1"/>
  <c r="V1206" s="1"/>
  <c r="T1218"/>
  <c r="V1218" s="1"/>
  <c r="T1227"/>
  <c r="T1209"/>
  <c r="V1209" s="1"/>
  <c r="T1221"/>
  <c r="V1221" s="1"/>
  <c r="T1191"/>
  <c r="V1191" s="1"/>
  <c r="V1212"/>
  <c r="T1224"/>
  <c r="V1224" s="1"/>
  <c r="Q1070"/>
  <c r="R1079"/>
  <c r="R1112"/>
  <c r="Q1182"/>
  <c r="V1188"/>
  <c r="V1227"/>
  <c r="T1197"/>
  <c r="V1197" s="1"/>
  <c r="V1200"/>
  <c r="T1203"/>
  <c r="V1203" s="1"/>
  <c r="T1194"/>
  <c r="V1194" s="1"/>
  <c r="R1052"/>
  <c r="Q1076"/>
  <c r="R1085"/>
  <c r="R1094"/>
  <c r="R1109"/>
  <c r="R1049"/>
  <c r="Q1058"/>
  <c r="Q1130"/>
  <c r="Q1164"/>
  <c r="R1118"/>
  <c r="Q1028"/>
  <c r="Q1055"/>
  <c r="S1058"/>
  <c r="Q1064"/>
  <c r="S1073"/>
  <c r="Q1079"/>
  <c r="Q1085"/>
  <c r="Q1088"/>
  <c r="R1088"/>
  <c r="Q1094"/>
  <c r="Q1097"/>
  <c r="Q1106"/>
  <c r="S1097"/>
  <c r="Q1103"/>
  <c r="Q1112"/>
  <c r="T1112" s="1"/>
  <c r="Q1124"/>
  <c r="S1049"/>
  <c r="Q1052"/>
  <c r="Q1067"/>
  <c r="S1067"/>
  <c r="R1070"/>
  <c r="Q1109"/>
  <c r="Q1115"/>
  <c r="Q1118"/>
  <c r="T1118" s="1"/>
  <c r="R1019"/>
  <c r="R1149"/>
  <c r="R1161"/>
  <c r="R1028"/>
  <c r="R1043"/>
  <c r="S1055"/>
  <c r="Q1061"/>
  <c r="R1061"/>
  <c r="S1064"/>
  <c r="Q1073"/>
  <c r="S1076"/>
  <c r="Q1082"/>
  <c r="Q1091"/>
  <c r="S1091"/>
  <c r="Q1127"/>
  <c r="Q1149"/>
  <c r="S1152"/>
  <c r="Q1161"/>
  <c r="R1167"/>
  <c r="Q1170"/>
  <c r="Q1176"/>
  <c r="R1185"/>
  <c r="Q1146"/>
  <c r="Q1158"/>
  <c r="Q1167"/>
  <c r="T1167" s="1"/>
  <c r="R1182"/>
  <c r="T1182" s="1"/>
  <c r="Q1185"/>
  <c r="S1185"/>
  <c r="S1182"/>
  <c r="Q1179"/>
  <c r="R1176"/>
  <c r="R1179"/>
  <c r="S1176"/>
  <c r="S1179"/>
  <c r="Q1173"/>
  <c r="R1173"/>
  <c r="S1173"/>
  <c r="S1170"/>
  <c r="R1170"/>
  <c r="R1164"/>
  <c r="S1164"/>
  <c r="S1167"/>
  <c r="R1158"/>
  <c r="S1161"/>
  <c r="S1158"/>
  <c r="Q1155"/>
  <c r="S1155"/>
  <c r="Q1152"/>
  <c r="R1152"/>
  <c r="R1155"/>
  <c r="R1146"/>
  <c r="T1146" s="1"/>
  <c r="S1149"/>
  <c r="S1146"/>
  <c r="Q1143"/>
  <c r="S1143"/>
  <c r="R1143"/>
  <c r="Q1140"/>
  <c r="S1140"/>
  <c r="Q1137"/>
  <c r="S1137"/>
  <c r="R1137"/>
  <c r="R1140"/>
  <c r="Q1121"/>
  <c r="Q1133"/>
  <c r="R1130"/>
  <c r="S1130"/>
  <c r="S1133"/>
  <c r="R1133"/>
  <c r="T1133" s="1"/>
  <c r="S1127"/>
  <c r="R1127"/>
  <c r="T1127" s="1"/>
  <c r="V1127" s="1"/>
  <c r="R1124"/>
  <c r="S1124"/>
  <c r="R1121"/>
  <c r="S1121"/>
  <c r="S1115"/>
  <c r="R1115"/>
  <c r="T1115" s="1"/>
  <c r="S1118"/>
  <c r="S1112"/>
  <c r="V1112" s="1"/>
  <c r="S1109"/>
  <c r="S1106"/>
  <c r="R1106"/>
  <c r="S1103"/>
  <c r="R1103"/>
  <c r="S1100"/>
  <c r="R1100"/>
  <c r="Q1100"/>
  <c r="R1097"/>
  <c r="S1094"/>
  <c r="R1091"/>
  <c r="S1088"/>
  <c r="S1085"/>
  <c r="S1082"/>
  <c r="R1082"/>
  <c r="S1079"/>
  <c r="R1076"/>
  <c r="R1073"/>
  <c r="R1067"/>
  <c r="S1070"/>
  <c r="S1061"/>
  <c r="R1064"/>
  <c r="T1064" s="1"/>
  <c r="R1058"/>
  <c r="R1055"/>
  <c r="Q1049"/>
  <c r="S1052"/>
  <c r="Q1025"/>
  <c r="R1037"/>
  <c r="Q1043"/>
  <c r="R1022"/>
  <c r="Q1037"/>
  <c r="R1040"/>
  <c r="Q1046"/>
  <c r="R1013"/>
  <c r="R1025"/>
  <c r="Q1031"/>
  <c r="R1031"/>
  <c r="S1043"/>
  <c r="R1046"/>
  <c r="S1046"/>
  <c r="S1037"/>
  <c r="Q1040"/>
  <c r="S1040"/>
  <c r="S1031"/>
  <c r="S1034"/>
  <c r="Q1034"/>
  <c r="R1034"/>
  <c r="S1028"/>
  <c r="S1025"/>
  <c r="Q1019"/>
  <c r="S1019"/>
  <c r="Q1022"/>
  <c r="S1022"/>
  <c r="R962"/>
  <c r="Q908"/>
  <c r="S950"/>
  <c r="R956"/>
  <c r="Q962"/>
  <c r="T962" s="1"/>
  <c r="R1016"/>
  <c r="Q1016"/>
  <c r="S1016"/>
  <c r="Q1013"/>
  <c r="T1013" s="1"/>
  <c r="S1013"/>
  <c r="R866"/>
  <c r="Q785"/>
  <c r="S815"/>
  <c r="S848"/>
  <c r="S857"/>
  <c r="R863"/>
  <c r="R914"/>
  <c r="S917"/>
  <c r="R938"/>
  <c r="S947"/>
  <c r="Q881"/>
  <c r="Q797"/>
  <c r="R911"/>
  <c r="S797"/>
  <c r="Q788"/>
  <c r="R839"/>
  <c r="Q791"/>
  <c r="R809"/>
  <c r="Q794"/>
  <c r="R812"/>
  <c r="Q833"/>
  <c r="Q860"/>
  <c r="S869"/>
  <c r="R887"/>
  <c r="S896"/>
  <c r="S905"/>
  <c r="Q929"/>
  <c r="Q935"/>
  <c r="Q941"/>
  <c r="S941"/>
  <c r="R959"/>
  <c r="S845"/>
  <c r="R854"/>
  <c r="S872"/>
  <c r="S875"/>
  <c r="R890"/>
  <c r="Q905"/>
  <c r="S908"/>
  <c r="Q932"/>
  <c r="Q944"/>
  <c r="S944"/>
  <c r="R953"/>
  <c r="R800"/>
  <c r="S800"/>
  <c r="R815"/>
  <c r="S821"/>
  <c r="Q836"/>
  <c r="S824"/>
  <c r="R842"/>
  <c r="Q857"/>
  <c r="S860"/>
  <c r="Q884"/>
  <c r="S893"/>
  <c r="R902"/>
  <c r="S920"/>
  <c r="S923"/>
  <c r="R935"/>
  <c r="Q938"/>
  <c r="S788"/>
  <c r="R827"/>
  <c r="Q845"/>
  <c r="S791"/>
  <c r="S806"/>
  <c r="Q809"/>
  <c r="Q812"/>
  <c r="Q815"/>
  <c r="R830"/>
  <c r="S833"/>
  <c r="Q839"/>
  <c r="R806"/>
  <c r="S809"/>
  <c r="S812"/>
  <c r="R818"/>
  <c r="Q821"/>
  <c r="Q824"/>
  <c r="R833"/>
  <c r="R836"/>
  <c r="S839"/>
  <c r="S842"/>
  <c r="R851"/>
  <c r="S854"/>
  <c r="Q863"/>
  <c r="Q866"/>
  <c r="Q869"/>
  <c r="Q872"/>
  <c r="R881"/>
  <c r="R884"/>
  <c r="S887"/>
  <c r="S890"/>
  <c r="R899"/>
  <c r="S902"/>
  <c r="Q911"/>
  <c r="Q914"/>
  <c r="Q917"/>
  <c r="Q920"/>
  <c r="R929"/>
  <c r="R932"/>
  <c r="S953"/>
  <c r="S956"/>
  <c r="Q959"/>
  <c r="S959"/>
  <c r="S803"/>
  <c r="S818"/>
  <c r="Q842"/>
  <c r="R857"/>
  <c r="R860"/>
  <c r="S863"/>
  <c r="S866"/>
  <c r="R875"/>
  <c r="S878"/>
  <c r="Q887"/>
  <c r="Q890"/>
  <c r="Q893"/>
  <c r="Q896"/>
  <c r="R905"/>
  <c r="R908"/>
  <c r="S911"/>
  <c r="S914"/>
  <c r="R923"/>
  <c r="S926"/>
  <c r="R791"/>
  <c r="R794"/>
  <c r="S830"/>
  <c r="Q848"/>
  <c r="R785"/>
  <c r="R788"/>
  <c r="S794"/>
  <c r="Q803"/>
  <c r="S836"/>
  <c r="S851"/>
  <c r="R878"/>
  <c r="S881"/>
  <c r="S884"/>
  <c r="S899"/>
  <c r="R926"/>
  <c r="S929"/>
  <c r="S932"/>
  <c r="S935"/>
  <c r="S938"/>
  <c r="R947"/>
  <c r="R950"/>
  <c r="Q956"/>
  <c r="T956" s="1"/>
  <c r="S962"/>
  <c r="R797"/>
  <c r="Q818"/>
  <c r="S827"/>
  <c r="S785"/>
  <c r="Q800"/>
  <c r="R803"/>
  <c r="Q806"/>
  <c r="Q827"/>
  <c r="Q830"/>
  <c r="Q851"/>
  <c r="Q854"/>
  <c r="Q875"/>
  <c r="Q878"/>
  <c r="Q899"/>
  <c r="Q902"/>
  <c r="Q923"/>
  <c r="Q926"/>
  <c r="Q947"/>
  <c r="Q950"/>
  <c r="Q953"/>
  <c r="R824"/>
  <c r="R845"/>
  <c r="R848"/>
  <c r="R869"/>
  <c r="R872"/>
  <c r="R893"/>
  <c r="R896"/>
  <c r="R917"/>
  <c r="R920"/>
  <c r="R941"/>
  <c r="R944"/>
  <c r="R821"/>
  <c r="L1012"/>
  <c r="K1012"/>
  <c r="J1012"/>
  <c r="I1012"/>
  <c r="H1012"/>
  <c r="G1012"/>
  <c r="F1012"/>
  <c r="E1012"/>
  <c r="D1012"/>
  <c r="U1010"/>
  <c r="P1009"/>
  <c r="L1009"/>
  <c r="K1009"/>
  <c r="J1009"/>
  <c r="I1009"/>
  <c r="H1009"/>
  <c r="G1009"/>
  <c r="F1009"/>
  <c r="E1009"/>
  <c r="D1009"/>
  <c r="U1007"/>
  <c r="L1006"/>
  <c r="K1006"/>
  <c r="J1006"/>
  <c r="I1006"/>
  <c r="H1006"/>
  <c r="G1006"/>
  <c r="F1006"/>
  <c r="E1006"/>
  <c r="D1006"/>
  <c r="U1004"/>
  <c r="P1003"/>
  <c r="L1003"/>
  <c r="K1003"/>
  <c r="J1003"/>
  <c r="I1003"/>
  <c r="H1003"/>
  <c r="G1003"/>
  <c r="F1003"/>
  <c r="E1003"/>
  <c r="D1003"/>
  <c r="U1001"/>
  <c r="L1000"/>
  <c r="K1000"/>
  <c r="J1000"/>
  <c r="I1000"/>
  <c r="H1000"/>
  <c r="G1000"/>
  <c r="F1000"/>
  <c r="E1000"/>
  <c r="D1000"/>
  <c r="U998"/>
  <c r="P997"/>
  <c r="L997"/>
  <c r="K997"/>
  <c r="J997"/>
  <c r="I997"/>
  <c r="H997"/>
  <c r="G997"/>
  <c r="F997"/>
  <c r="E997"/>
  <c r="D997"/>
  <c r="U995"/>
  <c r="L994"/>
  <c r="K994"/>
  <c r="J994"/>
  <c r="I994"/>
  <c r="H994"/>
  <c r="G994"/>
  <c r="F994"/>
  <c r="E994"/>
  <c r="D994"/>
  <c r="U992"/>
  <c r="P991"/>
  <c r="L991"/>
  <c r="K991"/>
  <c r="J991"/>
  <c r="I991"/>
  <c r="H991"/>
  <c r="G991"/>
  <c r="F991"/>
  <c r="E991"/>
  <c r="D991"/>
  <c r="U989"/>
  <c r="L988"/>
  <c r="K988"/>
  <c r="J988"/>
  <c r="I988"/>
  <c r="H988"/>
  <c r="G988"/>
  <c r="F988"/>
  <c r="E988"/>
  <c r="D988"/>
  <c r="U986"/>
  <c r="P985"/>
  <c r="L985"/>
  <c r="K985"/>
  <c r="J985"/>
  <c r="I985"/>
  <c r="H985"/>
  <c r="G985"/>
  <c r="F985"/>
  <c r="E985"/>
  <c r="D985"/>
  <c r="U983"/>
  <c r="L982"/>
  <c r="K982"/>
  <c r="J982"/>
  <c r="I982"/>
  <c r="H982"/>
  <c r="G982"/>
  <c r="F982"/>
  <c r="E982"/>
  <c r="D982"/>
  <c r="U980"/>
  <c r="P979"/>
  <c r="L979"/>
  <c r="K979"/>
  <c r="J979"/>
  <c r="I979"/>
  <c r="H979"/>
  <c r="G979"/>
  <c r="F979"/>
  <c r="E979"/>
  <c r="D979"/>
  <c r="U977"/>
  <c r="L976"/>
  <c r="K976"/>
  <c r="J976"/>
  <c r="I976"/>
  <c r="H976"/>
  <c r="G976"/>
  <c r="F976"/>
  <c r="E976"/>
  <c r="D976"/>
  <c r="U974"/>
  <c r="P973"/>
  <c r="L973"/>
  <c r="K973"/>
  <c r="J973"/>
  <c r="I973"/>
  <c r="H973"/>
  <c r="G973"/>
  <c r="F973"/>
  <c r="E973"/>
  <c r="D973"/>
  <c r="U971"/>
  <c r="L970"/>
  <c r="K970"/>
  <c r="J970"/>
  <c r="I970"/>
  <c r="H970"/>
  <c r="G970"/>
  <c r="F970"/>
  <c r="E970"/>
  <c r="D970"/>
  <c r="U968"/>
  <c r="P967"/>
  <c r="L967"/>
  <c r="K967"/>
  <c r="J967"/>
  <c r="I967"/>
  <c r="H967"/>
  <c r="G967"/>
  <c r="F967"/>
  <c r="E967"/>
  <c r="D967"/>
  <c r="U965"/>
  <c r="F98" i="5"/>
  <c r="F99"/>
  <c r="F100" s="1"/>
  <c r="H101" s="1"/>
  <c r="G98"/>
  <c r="G101" s="1"/>
  <c r="G99"/>
  <c r="G100"/>
  <c r="B98"/>
  <c r="B99"/>
  <c r="B100" s="1"/>
  <c r="C98"/>
  <c r="C99"/>
  <c r="C100"/>
  <c r="C102" s="1"/>
  <c r="H99"/>
  <c r="H100" s="1"/>
  <c r="D99"/>
  <c r="D100" s="1"/>
  <c r="D16" i="4"/>
  <c r="E16"/>
  <c r="F16"/>
  <c r="G16"/>
  <c r="H16"/>
  <c r="I16"/>
  <c r="J16"/>
  <c r="K16"/>
  <c r="L16"/>
  <c r="U14"/>
  <c r="D19"/>
  <c r="E19"/>
  <c r="F19"/>
  <c r="G19"/>
  <c r="H19"/>
  <c r="I19"/>
  <c r="J19"/>
  <c r="K19"/>
  <c r="L19"/>
  <c r="U17"/>
  <c r="P19"/>
  <c r="D22"/>
  <c r="E22"/>
  <c r="F22"/>
  <c r="G22"/>
  <c r="H22"/>
  <c r="I22"/>
  <c r="J22"/>
  <c r="K22"/>
  <c r="L22"/>
  <c r="U20"/>
  <c r="P22"/>
  <c r="D25"/>
  <c r="E25"/>
  <c r="F25"/>
  <c r="G25"/>
  <c r="H25"/>
  <c r="I25"/>
  <c r="J25"/>
  <c r="K25"/>
  <c r="L25"/>
  <c r="U23"/>
  <c r="P25"/>
  <c r="D28"/>
  <c r="E28"/>
  <c r="F28"/>
  <c r="G28"/>
  <c r="H28"/>
  <c r="I28"/>
  <c r="J28"/>
  <c r="K28"/>
  <c r="L28"/>
  <c r="U26"/>
  <c r="P28"/>
  <c r="D31"/>
  <c r="E31"/>
  <c r="F31"/>
  <c r="G31"/>
  <c r="H31"/>
  <c r="I31"/>
  <c r="J31"/>
  <c r="K31"/>
  <c r="L31"/>
  <c r="U29"/>
  <c r="P31"/>
  <c r="D34"/>
  <c r="E34"/>
  <c r="F34"/>
  <c r="G34"/>
  <c r="H34"/>
  <c r="I34"/>
  <c r="J34"/>
  <c r="K34"/>
  <c r="L34"/>
  <c r="U32"/>
  <c r="D37"/>
  <c r="E37"/>
  <c r="F37"/>
  <c r="G37"/>
  <c r="H37"/>
  <c r="I37"/>
  <c r="J37"/>
  <c r="K37"/>
  <c r="L37"/>
  <c r="U35"/>
  <c r="P37"/>
  <c r="D40"/>
  <c r="E40"/>
  <c r="F40"/>
  <c r="G40"/>
  <c r="H40"/>
  <c r="I40"/>
  <c r="J40"/>
  <c r="K40"/>
  <c r="L40"/>
  <c r="U38"/>
  <c r="D43"/>
  <c r="E43"/>
  <c r="F43"/>
  <c r="G43"/>
  <c r="H43"/>
  <c r="I43"/>
  <c r="J43"/>
  <c r="K43"/>
  <c r="L43"/>
  <c r="U41"/>
  <c r="P43"/>
  <c r="D46"/>
  <c r="E46"/>
  <c r="F46"/>
  <c r="G46"/>
  <c r="H46"/>
  <c r="I46"/>
  <c r="J46"/>
  <c r="K46"/>
  <c r="L46"/>
  <c r="U44"/>
  <c r="D49"/>
  <c r="E49"/>
  <c r="F49"/>
  <c r="G49"/>
  <c r="H49"/>
  <c r="I49"/>
  <c r="J49"/>
  <c r="K49"/>
  <c r="L49"/>
  <c r="U47"/>
  <c r="P49"/>
  <c r="D52"/>
  <c r="E52"/>
  <c r="F52"/>
  <c r="G52"/>
  <c r="H52"/>
  <c r="I52"/>
  <c r="J52"/>
  <c r="K52"/>
  <c r="L52"/>
  <c r="U50"/>
  <c r="D55"/>
  <c r="E55"/>
  <c r="F55"/>
  <c r="G55"/>
  <c r="H55"/>
  <c r="I55"/>
  <c r="J55"/>
  <c r="K55"/>
  <c r="L55"/>
  <c r="U53"/>
  <c r="P55"/>
  <c r="D58"/>
  <c r="E58"/>
  <c r="F58"/>
  <c r="G58"/>
  <c r="H58"/>
  <c r="I58"/>
  <c r="J58"/>
  <c r="K58"/>
  <c r="L58"/>
  <c r="U56"/>
  <c r="P58"/>
  <c r="D61"/>
  <c r="E61"/>
  <c r="F61"/>
  <c r="G61"/>
  <c r="H61"/>
  <c r="I61"/>
  <c r="J61"/>
  <c r="K61"/>
  <c r="L61"/>
  <c r="U59"/>
  <c r="P61"/>
  <c r="D64"/>
  <c r="E64"/>
  <c r="F64"/>
  <c r="G64"/>
  <c r="H64"/>
  <c r="I64"/>
  <c r="J64"/>
  <c r="K64"/>
  <c r="L64"/>
  <c r="U62"/>
  <c r="D67"/>
  <c r="E67"/>
  <c r="F67"/>
  <c r="G67"/>
  <c r="H67"/>
  <c r="I67"/>
  <c r="J67"/>
  <c r="K67"/>
  <c r="L67"/>
  <c r="U65"/>
  <c r="D70"/>
  <c r="E70"/>
  <c r="F70"/>
  <c r="G70"/>
  <c r="H70"/>
  <c r="I70"/>
  <c r="J70"/>
  <c r="K70"/>
  <c r="L70"/>
  <c r="U68"/>
  <c r="P70"/>
  <c r="D73"/>
  <c r="E73"/>
  <c r="F73"/>
  <c r="G73"/>
  <c r="H73"/>
  <c r="I73"/>
  <c r="J73"/>
  <c r="K73"/>
  <c r="L73"/>
  <c r="U71"/>
  <c r="D76"/>
  <c r="E76"/>
  <c r="F76"/>
  <c r="G76"/>
  <c r="H76"/>
  <c r="I76"/>
  <c r="J76"/>
  <c r="K76"/>
  <c r="L76"/>
  <c r="U74"/>
  <c r="P76"/>
  <c r="D79"/>
  <c r="E79"/>
  <c r="F79"/>
  <c r="G79"/>
  <c r="H79"/>
  <c r="I79"/>
  <c r="J79"/>
  <c r="K79"/>
  <c r="L79"/>
  <c r="U77"/>
  <c r="P79"/>
  <c r="D82"/>
  <c r="E82"/>
  <c r="F82"/>
  <c r="G82"/>
  <c r="H82"/>
  <c r="I82"/>
  <c r="J82"/>
  <c r="K82"/>
  <c r="L82"/>
  <c r="U80"/>
  <c r="D85"/>
  <c r="E85"/>
  <c r="F85"/>
  <c r="G85"/>
  <c r="H85"/>
  <c r="I85"/>
  <c r="J85"/>
  <c r="K85"/>
  <c r="L85"/>
  <c r="U83"/>
  <c r="P85"/>
  <c r="D88"/>
  <c r="E88"/>
  <c r="F88"/>
  <c r="G88"/>
  <c r="H88"/>
  <c r="I88"/>
  <c r="J88"/>
  <c r="K88"/>
  <c r="L88"/>
  <c r="U86"/>
  <c r="D91"/>
  <c r="E91"/>
  <c r="F91"/>
  <c r="G91"/>
  <c r="H91"/>
  <c r="I91"/>
  <c r="J91"/>
  <c r="K91"/>
  <c r="L91"/>
  <c r="U89"/>
  <c r="P91"/>
  <c r="D94"/>
  <c r="E94"/>
  <c r="F94"/>
  <c r="G94"/>
  <c r="H94"/>
  <c r="I94"/>
  <c r="J94"/>
  <c r="K94"/>
  <c r="L94"/>
  <c r="U92"/>
  <c r="D97"/>
  <c r="E97"/>
  <c r="F97"/>
  <c r="G97"/>
  <c r="H97"/>
  <c r="I97"/>
  <c r="J97"/>
  <c r="K97"/>
  <c r="L97"/>
  <c r="U95"/>
  <c r="P97"/>
  <c r="D100"/>
  <c r="E100"/>
  <c r="F100"/>
  <c r="G100"/>
  <c r="H100"/>
  <c r="I100"/>
  <c r="J100"/>
  <c r="K100"/>
  <c r="L100"/>
  <c r="U98"/>
  <c r="D103"/>
  <c r="E103"/>
  <c r="F103"/>
  <c r="G103"/>
  <c r="H103"/>
  <c r="I103"/>
  <c r="J103"/>
  <c r="K103"/>
  <c r="L103"/>
  <c r="U101"/>
  <c r="P103"/>
  <c r="D106"/>
  <c r="E106"/>
  <c r="F106"/>
  <c r="G106"/>
  <c r="H106"/>
  <c r="I106"/>
  <c r="J106"/>
  <c r="K106"/>
  <c r="L106"/>
  <c r="U104"/>
  <c r="D109"/>
  <c r="E109"/>
  <c r="F109"/>
  <c r="G109"/>
  <c r="H109"/>
  <c r="I109"/>
  <c r="J109"/>
  <c r="K109"/>
  <c r="L109"/>
  <c r="U107"/>
  <c r="P109"/>
  <c r="D112"/>
  <c r="E112"/>
  <c r="F112"/>
  <c r="G112"/>
  <c r="H112"/>
  <c r="I112"/>
  <c r="J112"/>
  <c r="K112"/>
  <c r="L112"/>
  <c r="U110"/>
  <c r="D115"/>
  <c r="E115"/>
  <c r="F115"/>
  <c r="G115"/>
  <c r="H115"/>
  <c r="I115"/>
  <c r="J115"/>
  <c r="K115"/>
  <c r="L115"/>
  <c r="U113"/>
  <c r="P115"/>
  <c r="D118"/>
  <c r="E118"/>
  <c r="F118"/>
  <c r="G118"/>
  <c r="H118"/>
  <c r="I118"/>
  <c r="J118"/>
  <c r="K118"/>
  <c r="L118"/>
  <c r="U116"/>
  <c r="D121"/>
  <c r="E121"/>
  <c r="F121"/>
  <c r="G121"/>
  <c r="H121"/>
  <c r="I121"/>
  <c r="J121"/>
  <c r="K121"/>
  <c r="L121"/>
  <c r="U119"/>
  <c r="P121"/>
  <c r="D124"/>
  <c r="E124"/>
  <c r="F124"/>
  <c r="G124"/>
  <c r="H124"/>
  <c r="I124"/>
  <c r="J124"/>
  <c r="K124"/>
  <c r="L124"/>
  <c r="U122"/>
  <c r="D127"/>
  <c r="E127"/>
  <c r="F127"/>
  <c r="G127"/>
  <c r="H127"/>
  <c r="I127"/>
  <c r="J127"/>
  <c r="K127"/>
  <c r="L127"/>
  <c r="U125"/>
  <c r="P127"/>
  <c r="D130"/>
  <c r="E130"/>
  <c r="F130"/>
  <c r="G130"/>
  <c r="H130"/>
  <c r="I130"/>
  <c r="J130"/>
  <c r="K130"/>
  <c r="L130"/>
  <c r="U128"/>
  <c r="P130"/>
  <c r="D133"/>
  <c r="E133"/>
  <c r="F133"/>
  <c r="G133"/>
  <c r="H133"/>
  <c r="I133"/>
  <c r="J133"/>
  <c r="K133"/>
  <c r="L133"/>
  <c r="U131"/>
  <c r="D136"/>
  <c r="E136"/>
  <c r="F136"/>
  <c r="G136"/>
  <c r="H136"/>
  <c r="I136"/>
  <c r="J136"/>
  <c r="K136"/>
  <c r="L136"/>
  <c r="U134"/>
  <c r="P136"/>
  <c r="D139"/>
  <c r="E139"/>
  <c r="F139"/>
  <c r="G139"/>
  <c r="H139"/>
  <c r="I139"/>
  <c r="J139"/>
  <c r="K139"/>
  <c r="L139"/>
  <c r="U137"/>
  <c r="D142"/>
  <c r="E142"/>
  <c r="F142"/>
  <c r="G142"/>
  <c r="H142"/>
  <c r="I142"/>
  <c r="J142"/>
  <c r="K142"/>
  <c r="L142"/>
  <c r="U140"/>
  <c r="P142"/>
  <c r="D145"/>
  <c r="E145"/>
  <c r="F145"/>
  <c r="G145"/>
  <c r="H145"/>
  <c r="I145"/>
  <c r="J145"/>
  <c r="K145"/>
  <c r="L145"/>
  <c r="U143"/>
  <c r="D148"/>
  <c r="E148"/>
  <c r="F148"/>
  <c r="G148"/>
  <c r="H148"/>
  <c r="I148"/>
  <c r="J148"/>
  <c r="K148"/>
  <c r="L148"/>
  <c r="U146"/>
  <c r="P148"/>
  <c r="D151"/>
  <c r="E151"/>
  <c r="F151"/>
  <c r="G151"/>
  <c r="H151"/>
  <c r="I151"/>
  <c r="J151"/>
  <c r="K151"/>
  <c r="L151"/>
  <c r="U149"/>
  <c r="D154"/>
  <c r="E154"/>
  <c r="F154"/>
  <c r="G154"/>
  <c r="H154"/>
  <c r="I154"/>
  <c r="J154"/>
  <c r="K154"/>
  <c r="L154"/>
  <c r="U152"/>
  <c r="P154"/>
  <c r="D157"/>
  <c r="E157"/>
  <c r="F157"/>
  <c r="G157"/>
  <c r="H157"/>
  <c r="I157"/>
  <c r="J157"/>
  <c r="K157"/>
  <c r="L157"/>
  <c r="U155"/>
  <c r="D160"/>
  <c r="E160"/>
  <c r="F160"/>
  <c r="G160"/>
  <c r="H160"/>
  <c r="I160"/>
  <c r="J160"/>
  <c r="K160"/>
  <c r="L160"/>
  <c r="U158"/>
  <c r="P160"/>
  <c r="D163"/>
  <c r="E163"/>
  <c r="F163"/>
  <c r="G163"/>
  <c r="H163"/>
  <c r="I163"/>
  <c r="J163"/>
  <c r="K163"/>
  <c r="L163"/>
  <c r="U161"/>
  <c r="D166"/>
  <c r="E166"/>
  <c r="F166"/>
  <c r="G166"/>
  <c r="H166"/>
  <c r="I166"/>
  <c r="J166"/>
  <c r="K166"/>
  <c r="L166"/>
  <c r="U164"/>
  <c r="P166"/>
  <c r="D169"/>
  <c r="E169"/>
  <c r="F169"/>
  <c r="G169"/>
  <c r="H169"/>
  <c r="I169"/>
  <c r="J169"/>
  <c r="K169"/>
  <c r="L169"/>
  <c r="U167"/>
  <c r="D172"/>
  <c r="E172"/>
  <c r="F172"/>
  <c r="G172"/>
  <c r="H172"/>
  <c r="I172"/>
  <c r="J172"/>
  <c r="K172"/>
  <c r="L172"/>
  <c r="U170"/>
  <c r="P172"/>
  <c r="D175"/>
  <c r="E175"/>
  <c r="F175"/>
  <c r="G175"/>
  <c r="H175"/>
  <c r="I175"/>
  <c r="J175"/>
  <c r="K175"/>
  <c r="L175"/>
  <c r="U173"/>
  <c r="D178"/>
  <c r="E178"/>
  <c r="F178"/>
  <c r="G178"/>
  <c r="H178"/>
  <c r="I178"/>
  <c r="J178"/>
  <c r="K178"/>
  <c r="L178"/>
  <c r="U176"/>
  <c r="P178"/>
  <c r="D181"/>
  <c r="E181"/>
  <c r="F181"/>
  <c r="G181"/>
  <c r="H181"/>
  <c r="I181"/>
  <c r="J181"/>
  <c r="K181"/>
  <c r="L181"/>
  <c r="U179"/>
  <c r="D184"/>
  <c r="E184"/>
  <c r="F184"/>
  <c r="G184"/>
  <c r="H184"/>
  <c r="I184"/>
  <c r="J184"/>
  <c r="K184"/>
  <c r="L184"/>
  <c r="U182"/>
  <c r="P184"/>
  <c r="D187"/>
  <c r="E187"/>
  <c r="F187"/>
  <c r="G187"/>
  <c r="H187"/>
  <c r="I187"/>
  <c r="J187"/>
  <c r="K187"/>
  <c r="L187"/>
  <c r="U185"/>
  <c r="D190"/>
  <c r="E190"/>
  <c r="F190"/>
  <c r="G190"/>
  <c r="H190"/>
  <c r="I190"/>
  <c r="J190"/>
  <c r="K190"/>
  <c r="L190"/>
  <c r="U188"/>
  <c r="P190"/>
  <c r="D193"/>
  <c r="E193"/>
  <c r="F193"/>
  <c r="G193"/>
  <c r="H193"/>
  <c r="I193"/>
  <c r="J193"/>
  <c r="K193"/>
  <c r="L193"/>
  <c r="U191"/>
  <c r="D196"/>
  <c r="E196"/>
  <c r="F196"/>
  <c r="G196"/>
  <c r="H196"/>
  <c r="I196"/>
  <c r="J196"/>
  <c r="K196"/>
  <c r="L196"/>
  <c r="U194"/>
  <c r="P196"/>
  <c r="D199"/>
  <c r="E199"/>
  <c r="F199"/>
  <c r="G199"/>
  <c r="H199"/>
  <c r="I199"/>
  <c r="J199"/>
  <c r="K199"/>
  <c r="L199"/>
  <c r="U197"/>
  <c r="D202"/>
  <c r="E202"/>
  <c r="F202"/>
  <c r="G202"/>
  <c r="H202"/>
  <c r="I202"/>
  <c r="J202"/>
  <c r="K202"/>
  <c r="L202"/>
  <c r="U200"/>
  <c r="P202"/>
  <c r="D205"/>
  <c r="E205"/>
  <c r="F205"/>
  <c r="G205"/>
  <c r="H205"/>
  <c r="I205"/>
  <c r="J205"/>
  <c r="K205"/>
  <c r="L205"/>
  <c r="U203"/>
  <c r="D208"/>
  <c r="E208"/>
  <c r="F208"/>
  <c r="G208"/>
  <c r="H208"/>
  <c r="I208"/>
  <c r="J208"/>
  <c r="K208"/>
  <c r="L208"/>
  <c r="U206"/>
  <c r="P208"/>
  <c r="D211"/>
  <c r="E211"/>
  <c r="F211"/>
  <c r="G211"/>
  <c r="H211"/>
  <c r="I211"/>
  <c r="J211"/>
  <c r="K211"/>
  <c r="L211"/>
  <c r="U209"/>
  <c r="D214"/>
  <c r="E214"/>
  <c r="F214"/>
  <c r="G214"/>
  <c r="H214"/>
  <c r="I214"/>
  <c r="J214"/>
  <c r="K214"/>
  <c r="L214"/>
  <c r="U212"/>
  <c r="P214"/>
  <c r="D217"/>
  <c r="E217"/>
  <c r="F217"/>
  <c r="G217"/>
  <c r="H217"/>
  <c r="I217"/>
  <c r="J217"/>
  <c r="K217"/>
  <c r="L217"/>
  <c r="U215"/>
  <c r="D220"/>
  <c r="E220"/>
  <c r="F220"/>
  <c r="G220"/>
  <c r="H220"/>
  <c r="I220"/>
  <c r="J220"/>
  <c r="K220"/>
  <c r="L220"/>
  <c r="U218"/>
  <c r="P220"/>
  <c r="D223"/>
  <c r="E223"/>
  <c r="F223"/>
  <c r="G223"/>
  <c r="H223"/>
  <c r="I223"/>
  <c r="J223"/>
  <c r="K223"/>
  <c r="L223"/>
  <c r="U221"/>
  <c r="D226"/>
  <c r="E226"/>
  <c r="F226"/>
  <c r="G226"/>
  <c r="H226"/>
  <c r="I226"/>
  <c r="J226"/>
  <c r="K226"/>
  <c r="L226"/>
  <c r="U224"/>
  <c r="P226"/>
  <c r="D229"/>
  <c r="E229"/>
  <c r="F229"/>
  <c r="G229"/>
  <c r="H229"/>
  <c r="I229"/>
  <c r="J229"/>
  <c r="K229"/>
  <c r="L229"/>
  <c r="U227"/>
  <c r="D232"/>
  <c r="E232"/>
  <c r="F232"/>
  <c r="G232"/>
  <c r="H232"/>
  <c r="I232"/>
  <c r="J232"/>
  <c r="K232"/>
  <c r="L232"/>
  <c r="U230"/>
  <c r="P232"/>
  <c r="D235"/>
  <c r="E235"/>
  <c r="F235"/>
  <c r="G235"/>
  <c r="H235"/>
  <c r="I235"/>
  <c r="J235"/>
  <c r="K235"/>
  <c r="L235"/>
  <c r="U233"/>
  <c r="D238"/>
  <c r="E238"/>
  <c r="F238"/>
  <c r="G238"/>
  <c r="H238"/>
  <c r="I238"/>
  <c r="J238"/>
  <c r="K238"/>
  <c r="L238"/>
  <c r="U236"/>
  <c r="P238"/>
  <c r="D241"/>
  <c r="E241"/>
  <c r="F241"/>
  <c r="G241"/>
  <c r="H241"/>
  <c r="I241"/>
  <c r="J241"/>
  <c r="K241"/>
  <c r="L241"/>
  <c r="U239"/>
  <c r="D244"/>
  <c r="E244"/>
  <c r="F244"/>
  <c r="G244"/>
  <c r="H244"/>
  <c r="I244"/>
  <c r="J244"/>
  <c r="K244"/>
  <c r="L244"/>
  <c r="U242"/>
  <c r="P244"/>
  <c r="D247"/>
  <c r="E247"/>
  <c r="F247"/>
  <c r="G247"/>
  <c r="H247"/>
  <c r="I247"/>
  <c r="J247"/>
  <c r="K247"/>
  <c r="L247"/>
  <c r="U245"/>
  <c r="D250"/>
  <c r="E250"/>
  <c r="F250"/>
  <c r="G250"/>
  <c r="H250"/>
  <c r="I250"/>
  <c r="J250"/>
  <c r="K250"/>
  <c r="L250"/>
  <c r="U248"/>
  <c r="P250"/>
  <c r="D253"/>
  <c r="E253"/>
  <c r="F253"/>
  <c r="G253"/>
  <c r="H253"/>
  <c r="I253"/>
  <c r="J253"/>
  <c r="K253"/>
  <c r="L253"/>
  <c r="U251"/>
  <c r="D256"/>
  <c r="E256"/>
  <c r="F256"/>
  <c r="G256"/>
  <c r="H256"/>
  <c r="I256"/>
  <c r="J256"/>
  <c r="K256"/>
  <c r="L256"/>
  <c r="U254"/>
  <c r="P256"/>
  <c r="D259"/>
  <c r="E259"/>
  <c r="F259"/>
  <c r="G259"/>
  <c r="H259"/>
  <c r="I259"/>
  <c r="J259"/>
  <c r="K259"/>
  <c r="L259"/>
  <c r="U257"/>
  <c r="D262"/>
  <c r="E262"/>
  <c r="F262"/>
  <c r="G262"/>
  <c r="H262"/>
  <c r="I262"/>
  <c r="J262"/>
  <c r="K262"/>
  <c r="L262"/>
  <c r="U260"/>
  <c r="P262"/>
  <c r="D265"/>
  <c r="E265"/>
  <c r="F265"/>
  <c r="G265"/>
  <c r="H265"/>
  <c r="I265"/>
  <c r="J265"/>
  <c r="K265"/>
  <c r="L265"/>
  <c r="U263"/>
  <c r="D268"/>
  <c r="E268"/>
  <c r="F268"/>
  <c r="G268"/>
  <c r="H268"/>
  <c r="I268"/>
  <c r="J268"/>
  <c r="K268"/>
  <c r="L268"/>
  <c r="U266"/>
  <c r="P268"/>
  <c r="D271"/>
  <c r="E271"/>
  <c r="F271"/>
  <c r="G271"/>
  <c r="H271"/>
  <c r="I271"/>
  <c r="J271"/>
  <c r="K271"/>
  <c r="L271"/>
  <c r="U269"/>
  <c r="D274"/>
  <c r="E274"/>
  <c r="F274"/>
  <c r="G274"/>
  <c r="H274"/>
  <c r="I274"/>
  <c r="J274"/>
  <c r="K274"/>
  <c r="L274"/>
  <c r="U272"/>
  <c r="P274"/>
  <c r="D277"/>
  <c r="E277"/>
  <c r="F277"/>
  <c r="G277"/>
  <c r="H277"/>
  <c r="I277"/>
  <c r="J277"/>
  <c r="K277"/>
  <c r="L277"/>
  <c r="U275"/>
  <c r="D280"/>
  <c r="E280"/>
  <c r="F280"/>
  <c r="G280"/>
  <c r="H280"/>
  <c r="I280"/>
  <c r="J280"/>
  <c r="K280"/>
  <c r="L280"/>
  <c r="U278"/>
  <c r="P280"/>
  <c r="D283"/>
  <c r="E283"/>
  <c r="F283"/>
  <c r="G283"/>
  <c r="H283"/>
  <c r="I283"/>
  <c r="J283"/>
  <c r="K283"/>
  <c r="L283"/>
  <c r="U281"/>
  <c r="D286"/>
  <c r="E286"/>
  <c r="F286"/>
  <c r="G286"/>
  <c r="H286"/>
  <c r="I286"/>
  <c r="J286"/>
  <c r="K286"/>
  <c r="L286"/>
  <c r="U284"/>
  <c r="P286"/>
  <c r="D289"/>
  <c r="E289"/>
  <c r="F289"/>
  <c r="G289"/>
  <c r="H289"/>
  <c r="I289"/>
  <c r="J289"/>
  <c r="K289"/>
  <c r="L289"/>
  <c r="U287"/>
  <c r="D292"/>
  <c r="E292"/>
  <c r="F292"/>
  <c r="G292"/>
  <c r="H292"/>
  <c r="I292"/>
  <c r="J292"/>
  <c r="K292"/>
  <c r="L292"/>
  <c r="U290"/>
  <c r="P292"/>
  <c r="D295"/>
  <c r="E295"/>
  <c r="F295"/>
  <c r="G295"/>
  <c r="H295"/>
  <c r="I295"/>
  <c r="J295"/>
  <c r="K295"/>
  <c r="L295"/>
  <c r="U293"/>
  <c r="D298"/>
  <c r="E298"/>
  <c r="F298"/>
  <c r="G298"/>
  <c r="H298"/>
  <c r="I298"/>
  <c r="J298"/>
  <c r="K298"/>
  <c r="L298"/>
  <c r="U296"/>
  <c r="P298"/>
  <c r="D301"/>
  <c r="E301"/>
  <c r="F301"/>
  <c r="G301"/>
  <c r="H301"/>
  <c r="I301"/>
  <c r="J301"/>
  <c r="K301"/>
  <c r="L301"/>
  <c r="U299"/>
  <c r="D304"/>
  <c r="E304"/>
  <c r="F304"/>
  <c r="G304"/>
  <c r="H304"/>
  <c r="I304"/>
  <c r="J304"/>
  <c r="K304"/>
  <c r="L304"/>
  <c r="U302"/>
  <c r="P304"/>
  <c r="D307"/>
  <c r="E307"/>
  <c r="F307"/>
  <c r="G307"/>
  <c r="H307"/>
  <c r="I307"/>
  <c r="J307"/>
  <c r="K307"/>
  <c r="L307"/>
  <c r="U305"/>
  <c r="D310"/>
  <c r="E310"/>
  <c r="F310"/>
  <c r="G310"/>
  <c r="H310"/>
  <c r="I310"/>
  <c r="J310"/>
  <c r="K310"/>
  <c r="L310"/>
  <c r="U308"/>
  <c r="P310"/>
  <c r="D313"/>
  <c r="E313"/>
  <c r="F313"/>
  <c r="G313"/>
  <c r="H313"/>
  <c r="I313"/>
  <c r="J313"/>
  <c r="K313"/>
  <c r="L313"/>
  <c r="U311"/>
  <c r="D316"/>
  <c r="E316"/>
  <c r="F316"/>
  <c r="G316"/>
  <c r="H316"/>
  <c r="I316"/>
  <c r="J316"/>
  <c r="K316"/>
  <c r="L316"/>
  <c r="U314"/>
  <c r="P316"/>
  <c r="D319"/>
  <c r="E319"/>
  <c r="F319"/>
  <c r="G319"/>
  <c r="H319"/>
  <c r="I319"/>
  <c r="J319"/>
  <c r="K319"/>
  <c r="L319"/>
  <c r="U317"/>
  <c r="D322"/>
  <c r="E322"/>
  <c r="F322"/>
  <c r="G322"/>
  <c r="H322"/>
  <c r="I322"/>
  <c r="J322"/>
  <c r="K322"/>
  <c r="L322"/>
  <c r="U320"/>
  <c r="P322"/>
  <c r="D325"/>
  <c r="E325"/>
  <c r="F325"/>
  <c r="G325"/>
  <c r="H325"/>
  <c r="I325"/>
  <c r="J325"/>
  <c r="K325"/>
  <c r="L325"/>
  <c r="U323"/>
  <c r="D328"/>
  <c r="E328"/>
  <c r="F328"/>
  <c r="G328"/>
  <c r="H328"/>
  <c r="I328"/>
  <c r="J328"/>
  <c r="K328"/>
  <c r="L328"/>
  <c r="U326"/>
  <c r="P328"/>
  <c r="D331"/>
  <c r="E331"/>
  <c r="F331"/>
  <c r="G331"/>
  <c r="H331"/>
  <c r="I331"/>
  <c r="J331"/>
  <c r="K331"/>
  <c r="L331"/>
  <c r="U329"/>
  <c r="D334"/>
  <c r="E334"/>
  <c r="F334"/>
  <c r="G334"/>
  <c r="H334"/>
  <c r="I334"/>
  <c r="J334"/>
  <c r="K334"/>
  <c r="L334"/>
  <c r="U332"/>
  <c r="P334"/>
  <c r="D337"/>
  <c r="E337"/>
  <c r="F337"/>
  <c r="G337"/>
  <c r="H337"/>
  <c r="I337"/>
  <c r="J337"/>
  <c r="K337"/>
  <c r="L337"/>
  <c r="U335"/>
  <c r="D340"/>
  <c r="E340"/>
  <c r="F340"/>
  <c r="G340"/>
  <c r="H340"/>
  <c r="I340"/>
  <c r="J340"/>
  <c r="K340"/>
  <c r="L340"/>
  <c r="U338"/>
  <c r="P340"/>
  <c r="D343"/>
  <c r="E343"/>
  <c r="F343"/>
  <c r="G343"/>
  <c r="H343"/>
  <c r="I343"/>
  <c r="J343"/>
  <c r="K343"/>
  <c r="L343"/>
  <c r="U341"/>
  <c r="D346"/>
  <c r="E346"/>
  <c r="F346"/>
  <c r="G346"/>
  <c r="H346"/>
  <c r="I346"/>
  <c r="J346"/>
  <c r="K346"/>
  <c r="L346"/>
  <c r="U344"/>
  <c r="P346"/>
  <c r="D349"/>
  <c r="E349"/>
  <c r="F349"/>
  <c r="G349"/>
  <c r="H349"/>
  <c r="I349"/>
  <c r="J349"/>
  <c r="K349"/>
  <c r="L349"/>
  <c r="U347"/>
  <c r="D352"/>
  <c r="E352"/>
  <c r="F352"/>
  <c r="G352"/>
  <c r="H352"/>
  <c r="I352"/>
  <c r="J352"/>
  <c r="K352"/>
  <c r="L352"/>
  <c r="U350"/>
  <c r="P352"/>
  <c r="D355"/>
  <c r="E355"/>
  <c r="F355"/>
  <c r="G355"/>
  <c r="H355"/>
  <c r="I355"/>
  <c r="J355"/>
  <c r="K355"/>
  <c r="L355"/>
  <c r="U353"/>
  <c r="D358"/>
  <c r="E358"/>
  <c r="F358"/>
  <c r="G358"/>
  <c r="H358"/>
  <c r="I358"/>
  <c r="J358"/>
  <c r="K358"/>
  <c r="L358"/>
  <c r="U356"/>
  <c r="P358"/>
  <c r="D361"/>
  <c r="E361"/>
  <c r="F361"/>
  <c r="G361"/>
  <c r="H361"/>
  <c r="I361"/>
  <c r="J361"/>
  <c r="K361"/>
  <c r="L361"/>
  <c r="U359"/>
  <c r="D364"/>
  <c r="E364"/>
  <c r="F364"/>
  <c r="G364"/>
  <c r="H364"/>
  <c r="I364"/>
  <c r="J364"/>
  <c r="K364"/>
  <c r="L364"/>
  <c r="U362"/>
  <c r="P364"/>
  <c r="D367"/>
  <c r="E367"/>
  <c r="F367"/>
  <c r="G367"/>
  <c r="H367"/>
  <c r="I367"/>
  <c r="J367"/>
  <c r="K367"/>
  <c r="L367"/>
  <c r="U365"/>
  <c r="D370"/>
  <c r="E370"/>
  <c r="F370"/>
  <c r="G370"/>
  <c r="H370"/>
  <c r="I370"/>
  <c r="J370"/>
  <c r="K370"/>
  <c r="L370"/>
  <c r="U368"/>
  <c r="P370"/>
  <c r="D373"/>
  <c r="E373"/>
  <c r="F373"/>
  <c r="G373"/>
  <c r="H373"/>
  <c r="I373"/>
  <c r="J373"/>
  <c r="K373"/>
  <c r="L373"/>
  <c r="U371"/>
  <c r="D376"/>
  <c r="E376"/>
  <c r="F376"/>
  <c r="G376"/>
  <c r="H376"/>
  <c r="I376"/>
  <c r="J376"/>
  <c r="K376"/>
  <c r="L376"/>
  <c r="U374"/>
  <c r="P376"/>
  <c r="D379"/>
  <c r="E379"/>
  <c r="F379"/>
  <c r="G379"/>
  <c r="H379"/>
  <c r="I379"/>
  <c r="J379"/>
  <c r="K379"/>
  <c r="L379"/>
  <c r="U377"/>
  <c r="D382"/>
  <c r="E382"/>
  <c r="F382"/>
  <c r="G382"/>
  <c r="H382"/>
  <c r="I382"/>
  <c r="J382"/>
  <c r="K382"/>
  <c r="L382"/>
  <c r="U380"/>
  <c r="P382"/>
  <c r="D385"/>
  <c r="E385"/>
  <c r="F385"/>
  <c r="G385"/>
  <c r="H385"/>
  <c r="I385"/>
  <c r="J385"/>
  <c r="K385"/>
  <c r="L385"/>
  <c r="U383"/>
  <c r="D388"/>
  <c r="E388"/>
  <c r="F388"/>
  <c r="G388"/>
  <c r="H388"/>
  <c r="I388"/>
  <c r="J388"/>
  <c r="K388"/>
  <c r="L388"/>
  <c r="U386"/>
  <c r="P388"/>
  <c r="D391"/>
  <c r="E391"/>
  <c r="F391"/>
  <c r="G391"/>
  <c r="H391"/>
  <c r="I391"/>
  <c r="J391"/>
  <c r="K391"/>
  <c r="L391"/>
  <c r="U389"/>
  <c r="D394"/>
  <c r="E394"/>
  <c r="F394"/>
  <c r="G394"/>
  <c r="H394"/>
  <c r="I394"/>
  <c r="J394"/>
  <c r="K394"/>
  <c r="L394"/>
  <c r="U392"/>
  <c r="P394"/>
  <c r="D397"/>
  <c r="E397"/>
  <c r="F397"/>
  <c r="G397"/>
  <c r="H397"/>
  <c r="I397"/>
  <c r="J397"/>
  <c r="K397"/>
  <c r="L397"/>
  <c r="U395"/>
  <c r="D400"/>
  <c r="E400"/>
  <c r="F400"/>
  <c r="G400"/>
  <c r="H400"/>
  <c r="I400"/>
  <c r="J400"/>
  <c r="K400"/>
  <c r="L400"/>
  <c r="U398"/>
  <c r="P400"/>
  <c r="D403"/>
  <c r="E403"/>
  <c r="F403"/>
  <c r="G403"/>
  <c r="H403"/>
  <c r="I403"/>
  <c r="J403"/>
  <c r="K403"/>
  <c r="L403"/>
  <c r="U401"/>
  <c r="D406"/>
  <c r="E406"/>
  <c r="F406"/>
  <c r="G406"/>
  <c r="H406"/>
  <c r="I406"/>
  <c r="J406"/>
  <c r="K406"/>
  <c r="L406"/>
  <c r="U404"/>
  <c r="P406"/>
  <c r="D409"/>
  <c r="E409"/>
  <c r="F409"/>
  <c r="G409"/>
  <c r="H409"/>
  <c r="I409"/>
  <c r="J409"/>
  <c r="K409"/>
  <c r="L409"/>
  <c r="U407"/>
  <c r="D412"/>
  <c r="E412"/>
  <c r="F412"/>
  <c r="G412"/>
  <c r="H412"/>
  <c r="I412"/>
  <c r="J412"/>
  <c r="K412"/>
  <c r="L412"/>
  <c r="U410"/>
  <c r="P412"/>
  <c r="D415"/>
  <c r="E415"/>
  <c r="F415"/>
  <c r="G415"/>
  <c r="H415"/>
  <c r="I415"/>
  <c r="J415"/>
  <c r="K415"/>
  <c r="L415"/>
  <c r="U413"/>
  <c r="D418"/>
  <c r="E418"/>
  <c r="F418"/>
  <c r="G418"/>
  <c r="H418"/>
  <c r="I418"/>
  <c r="J418"/>
  <c r="K418"/>
  <c r="L418"/>
  <c r="U416"/>
  <c r="P418"/>
  <c r="D421"/>
  <c r="E421"/>
  <c r="F421"/>
  <c r="G421"/>
  <c r="H421"/>
  <c r="I421"/>
  <c r="J421"/>
  <c r="K421"/>
  <c r="L421"/>
  <c r="U419"/>
  <c r="D424"/>
  <c r="E424"/>
  <c r="F424"/>
  <c r="G424"/>
  <c r="H424"/>
  <c r="I424"/>
  <c r="J424"/>
  <c r="K424"/>
  <c r="L424"/>
  <c r="U422"/>
  <c r="P424"/>
  <c r="D427"/>
  <c r="E427"/>
  <c r="F427"/>
  <c r="G427"/>
  <c r="H427"/>
  <c r="I427"/>
  <c r="J427"/>
  <c r="K427"/>
  <c r="L427"/>
  <c r="U425"/>
  <c r="D430"/>
  <c r="E430"/>
  <c r="F430"/>
  <c r="G430"/>
  <c r="H430"/>
  <c r="I430"/>
  <c r="J430"/>
  <c r="K430"/>
  <c r="L430"/>
  <c r="U428"/>
  <c r="P430"/>
  <c r="D433"/>
  <c r="E433"/>
  <c r="F433"/>
  <c r="G433"/>
  <c r="H433"/>
  <c r="I433"/>
  <c r="J433"/>
  <c r="K433"/>
  <c r="L433"/>
  <c r="U431"/>
  <c r="D436"/>
  <c r="E436"/>
  <c r="F436"/>
  <c r="G436"/>
  <c r="H436"/>
  <c r="I436"/>
  <c r="J436"/>
  <c r="K436"/>
  <c r="L436"/>
  <c r="U434"/>
  <c r="P436"/>
  <c r="D439"/>
  <c r="E439"/>
  <c r="F439"/>
  <c r="G439"/>
  <c r="H439"/>
  <c r="I439"/>
  <c r="J439"/>
  <c r="K439"/>
  <c r="L439"/>
  <c r="U437"/>
  <c r="D442"/>
  <c r="E442"/>
  <c r="F442"/>
  <c r="G442"/>
  <c r="H442"/>
  <c r="I442"/>
  <c r="J442"/>
  <c r="K442"/>
  <c r="L442"/>
  <c r="U440"/>
  <c r="P442"/>
  <c r="D445"/>
  <c r="E445"/>
  <c r="F445"/>
  <c r="G445"/>
  <c r="H445"/>
  <c r="I445"/>
  <c r="J445"/>
  <c r="K445"/>
  <c r="L445"/>
  <c r="U443"/>
  <c r="D448"/>
  <c r="E448"/>
  <c r="F448"/>
  <c r="G448"/>
  <c r="H448"/>
  <c r="I448"/>
  <c r="J448"/>
  <c r="K448"/>
  <c r="L448"/>
  <c r="U446"/>
  <c r="P448"/>
  <c r="D451"/>
  <c r="E451"/>
  <c r="F451"/>
  <c r="G451"/>
  <c r="H451"/>
  <c r="I451"/>
  <c r="J451"/>
  <c r="K451"/>
  <c r="L451"/>
  <c r="U449"/>
  <c r="D454"/>
  <c r="E454"/>
  <c r="F454"/>
  <c r="G454"/>
  <c r="H454"/>
  <c r="I454"/>
  <c r="J454"/>
  <c r="K454"/>
  <c r="L454"/>
  <c r="U452"/>
  <c r="P454"/>
  <c r="D457"/>
  <c r="E457"/>
  <c r="F457"/>
  <c r="G457"/>
  <c r="H457"/>
  <c r="I457"/>
  <c r="J457"/>
  <c r="K457"/>
  <c r="L457"/>
  <c r="U455"/>
  <c r="D460"/>
  <c r="E460"/>
  <c r="F460"/>
  <c r="G460"/>
  <c r="H460"/>
  <c r="I460"/>
  <c r="J460"/>
  <c r="K460"/>
  <c r="L460"/>
  <c r="U458"/>
  <c r="P460"/>
  <c r="D463"/>
  <c r="E463"/>
  <c r="F463"/>
  <c r="G463"/>
  <c r="H463"/>
  <c r="I463"/>
  <c r="J463"/>
  <c r="K463"/>
  <c r="L463"/>
  <c r="U461"/>
  <c r="D466"/>
  <c r="E466"/>
  <c r="F466"/>
  <c r="G466"/>
  <c r="H466"/>
  <c r="I466"/>
  <c r="J466"/>
  <c r="K466"/>
  <c r="L466"/>
  <c r="U464"/>
  <c r="P466"/>
  <c r="D469"/>
  <c r="E469"/>
  <c r="F469"/>
  <c r="G469"/>
  <c r="H469"/>
  <c r="I469"/>
  <c r="J469"/>
  <c r="K469"/>
  <c r="L469"/>
  <c r="U467"/>
  <c r="D472"/>
  <c r="E472"/>
  <c r="F472"/>
  <c r="G472"/>
  <c r="H472"/>
  <c r="I472"/>
  <c r="J472"/>
  <c r="K472"/>
  <c r="L472"/>
  <c r="U470"/>
  <c r="P472"/>
  <c r="D475"/>
  <c r="E475"/>
  <c r="F475"/>
  <c r="G475"/>
  <c r="H475"/>
  <c r="I475"/>
  <c r="J475"/>
  <c r="K475"/>
  <c r="L475"/>
  <c r="U473"/>
  <c r="D478"/>
  <c r="E478"/>
  <c r="F478"/>
  <c r="G478"/>
  <c r="H478"/>
  <c r="I478"/>
  <c r="J478"/>
  <c r="K478"/>
  <c r="L478"/>
  <c r="U476"/>
  <c r="P478"/>
  <c r="D481"/>
  <c r="E481"/>
  <c r="F481"/>
  <c r="G481"/>
  <c r="H481"/>
  <c r="I481"/>
  <c r="J481"/>
  <c r="K481"/>
  <c r="L481"/>
  <c r="U479"/>
  <c r="D484"/>
  <c r="E484"/>
  <c r="F484"/>
  <c r="G484"/>
  <c r="H484"/>
  <c r="I484"/>
  <c r="J484"/>
  <c r="K484"/>
  <c r="L484"/>
  <c r="U482"/>
  <c r="P484"/>
  <c r="D487"/>
  <c r="E487"/>
  <c r="F487"/>
  <c r="G487"/>
  <c r="H487"/>
  <c r="I487"/>
  <c r="J487"/>
  <c r="K487"/>
  <c r="L487"/>
  <c r="U485"/>
  <c r="D490"/>
  <c r="E490"/>
  <c r="F490"/>
  <c r="G490"/>
  <c r="H490"/>
  <c r="I490"/>
  <c r="J490"/>
  <c r="K490"/>
  <c r="L490"/>
  <c r="U488"/>
  <c r="P490"/>
  <c r="D493"/>
  <c r="E493"/>
  <c r="F493"/>
  <c r="G493"/>
  <c r="H493"/>
  <c r="I493"/>
  <c r="J493"/>
  <c r="K493"/>
  <c r="L493"/>
  <c r="U491"/>
  <c r="D496"/>
  <c r="E496"/>
  <c r="F496"/>
  <c r="G496"/>
  <c r="H496"/>
  <c r="I496"/>
  <c r="J496"/>
  <c r="K496"/>
  <c r="L496"/>
  <c r="U494"/>
  <c r="P496"/>
  <c r="D499"/>
  <c r="E499"/>
  <c r="F499"/>
  <c r="G499"/>
  <c r="H499"/>
  <c r="I499"/>
  <c r="J499"/>
  <c r="K499"/>
  <c r="L499"/>
  <c r="U497"/>
  <c r="D502"/>
  <c r="E502"/>
  <c r="F502"/>
  <c r="G502"/>
  <c r="H502"/>
  <c r="I502"/>
  <c r="J502"/>
  <c r="K502"/>
  <c r="L502"/>
  <c r="U500"/>
  <c r="P502"/>
  <c r="D505"/>
  <c r="E505"/>
  <c r="F505"/>
  <c r="G505"/>
  <c r="H505"/>
  <c r="I505"/>
  <c r="J505"/>
  <c r="K505"/>
  <c r="L505"/>
  <c r="U503"/>
  <c r="D508"/>
  <c r="E508"/>
  <c r="F508"/>
  <c r="G508"/>
  <c r="H508"/>
  <c r="I508"/>
  <c r="J508"/>
  <c r="K508"/>
  <c r="L508"/>
  <c r="U506"/>
  <c r="P508"/>
  <c r="D511"/>
  <c r="E511"/>
  <c r="F511"/>
  <c r="G511"/>
  <c r="H511"/>
  <c r="I511"/>
  <c r="J511"/>
  <c r="K511"/>
  <c r="L511"/>
  <c r="U509"/>
  <c r="D514"/>
  <c r="E514"/>
  <c r="F514"/>
  <c r="G514"/>
  <c r="H514"/>
  <c r="I514"/>
  <c r="J514"/>
  <c r="K514"/>
  <c r="L514"/>
  <c r="U512"/>
  <c r="P514"/>
  <c r="D517"/>
  <c r="E517"/>
  <c r="F517"/>
  <c r="G517"/>
  <c r="H517"/>
  <c r="I517"/>
  <c r="J517"/>
  <c r="K517"/>
  <c r="L517"/>
  <c r="U515"/>
  <c r="P517"/>
  <c r="D520"/>
  <c r="E520"/>
  <c r="F520"/>
  <c r="G520"/>
  <c r="H520"/>
  <c r="I520"/>
  <c r="J520"/>
  <c r="K520"/>
  <c r="L520"/>
  <c r="U518"/>
  <c r="P520"/>
  <c r="D523"/>
  <c r="E523"/>
  <c r="F523"/>
  <c r="G523"/>
  <c r="H523"/>
  <c r="I523"/>
  <c r="J523"/>
  <c r="K523"/>
  <c r="L523"/>
  <c r="U521"/>
  <c r="P523"/>
  <c r="D526"/>
  <c r="E526"/>
  <c r="F526"/>
  <c r="G526"/>
  <c r="H526"/>
  <c r="I526"/>
  <c r="J526"/>
  <c r="K526"/>
  <c r="L526"/>
  <c r="U524"/>
  <c r="P526"/>
  <c r="D529"/>
  <c r="E529"/>
  <c r="F529"/>
  <c r="G529"/>
  <c r="H529"/>
  <c r="I529"/>
  <c r="J529"/>
  <c r="K529"/>
  <c r="L529"/>
  <c r="U527"/>
  <c r="D532"/>
  <c r="E532"/>
  <c r="F532"/>
  <c r="G532"/>
  <c r="H532"/>
  <c r="I532"/>
  <c r="J532"/>
  <c r="K532"/>
  <c r="L532"/>
  <c r="U530"/>
  <c r="P532"/>
  <c r="D535"/>
  <c r="E535"/>
  <c r="F535"/>
  <c r="G535"/>
  <c r="H535"/>
  <c r="I535"/>
  <c r="J535"/>
  <c r="K535"/>
  <c r="L535"/>
  <c r="U533"/>
  <c r="D538"/>
  <c r="E538"/>
  <c r="F538"/>
  <c r="G538"/>
  <c r="H538"/>
  <c r="I538"/>
  <c r="J538"/>
  <c r="K538"/>
  <c r="L538"/>
  <c r="U536"/>
  <c r="P538"/>
  <c r="D541"/>
  <c r="E541"/>
  <c r="F541"/>
  <c r="G541"/>
  <c r="H541"/>
  <c r="I541"/>
  <c r="J541"/>
  <c r="K541"/>
  <c r="L541"/>
  <c r="U539"/>
  <c r="D544"/>
  <c r="E544"/>
  <c r="F544"/>
  <c r="G544"/>
  <c r="H544"/>
  <c r="I544"/>
  <c r="J544"/>
  <c r="K544"/>
  <c r="L544"/>
  <c r="U542"/>
  <c r="P544"/>
  <c r="D547"/>
  <c r="E547"/>
  <c r="F547"/>
  <c r="G547"/>
  <c r="H547"/>
  <c r="I547"/>
  <c r="J547"/>
  <c r="K547"/>
  <c r="L547"/>
  <c r="U545"/>
  <c r="P547"/>
  <c r="D550"/>
  <c r="E550"/>
  <c r="F550"/>
  <c r="G550"/>
  <c r="H550"/>
  <c r="I550"/>
  <c r="J550"/>
  <c r="K550"/>
  <c r="L550"/>
  <c r="U548"/>
  <c r="P550"/>
  <c r="D553"/>
  <c r="E553"/>
  <c r="F553"/>
  <c r="G553"/>
  <c r="H553"/>
  <c r="I553"/>
  <c r="J553"/>
  <c r="K553"/>
  <c r="L553"/>
  <c r="U551"/>
  <c r="P553"/>
  <c r="D556"/>
  <c r="E556"/>
  <c r="F556"/>
  <c r="G556"/>
  <c r="H556"/>
  <c r="I556"/>
  <c r="J556"/>
  <c r="K556"/>
  <c r="L556"/>
  <c r="U554"/>
  <c r="D559"/>
  <c r="E559"/>
  <c r="F559"/>
  <c r="G559"/>
  <c r="H559"/>
  <c r="I559"/>
  <c r="J559"/>
  <c r="K559"/>
  <c r="L559"/>
  <c r="U557"/>
  <c r="P559"/>
  <c r="D562"/>
  <c r="E562"/>
  <c r="F562"/>
  <c r="G562"/>
  <c r="H562"/>
  <c r="I562"/>
  <c r="J562"/>
  <c r="K562"/>
  <c r="L562"/>
  <c r="U560"/>
  <c r="D565"/>
  <c r="E565"/>
  <c r="F565"/>
  <c r="G565"/>
  <c r="H565"/>
  <c r="I565"/>
  <c r="J565"/>
  <c r="K565"/>
  <c r="L565"/>
  <c r="U563"/>
  <c r="P565"/>
  <c r="D568"/>
  <c r="E568"/>
  <c r="F568"/>
  <c r="G568"/>
  <c r="H568"/>
  <c r="I568"/>
  <c r="J568"/>
  <c r="K568"/>
  <c r="L568"/>
  <c r="U566"/>
  <c r="D571"/>
  <c r="E571"/>
  <c r="F571"/>
  <c r="G571"/>
  <c r="H571"/>
  <c r="I571"/>
  <c r="J571"/>
  <c r="K571"/>
  <c r="L571"/>
  <c r="U569"/>
  <c r="P571"/>
  <c r="D574"/>
  <c r="E574"/>
  <c r="F574"/>
  <c r="G574"/>
  <c r="H574"/>
  <c r="I574"/>
  <c r="J574"/>
  <c r="K574"/>
  <c r="L574"/>
  <c r="U572"/>
  <c r="D577"/>
  <c r="E577"/>
  <c r="F577"/>
  <c r="G577"/>
  <c r="H577"/>
  <c r="I577"/>
  <c r="J577"/>
  <c r="K577"/>
  <c r="L577"/>
  <c r="U575"/>
  <c r="P577"/>
  <c r="D580"/>
  <c r="E580"/>
  <c r="F580"/>
  <c r="G580"/>
  <c r="H580"/>
  <c r="I580"/>
  <c r="J580"/>
  <c r="K580"/>
  <c r="L580"/>
  <c r="U578"/>
  <c r="D583"/>
  <c r="E583"/>
  <c r="F583"/>
  <c r="G583"/>
  <c r="H583"/>
  <c r="I583"/>
  <c r="J583"/>
  <c r="K583"/>
  <c r="L583"/>
  <c r="U581"/>
  <c r="P583"/>
  <c r="D586"/>
  <c r="E586"/>
  <c r="F586"/>
  <c r="G586"/>
  <c r="H586"/>
  <c r="I586"/>
  <c r="J586"/>
  <c r="K586"/>
  <c r="L586"/>
  <c r="U584"/>
  <c r="D589"/>
  <c r="E589"/>
  <c r="F589"/>
  <c r="G589"/>
  <c r="H589"/>
  <c r="I589"/>
  <c r="J589"/>
  <c r="K589"/>
  <c r="L589"/>
  <c r="U587"/>
  <c r="P589"/>
  <c r="D592"/>
  <c r="E592"/>
  <c r="F592"/>
  <c r="G592"/>
  <c r="H592"/>
  <c r="I592"/>
  <c r="J592"/>
  <c r="K592"/>
  <c r="L592"/>
  <c r="U590"/>
  <c r="D595"/>
  <c r="E595"/>
  <c r="F595"/>
  <c r="G595"/>
  <c r="H595"/>
  <c r="I595"/>
  <c r="J595"/>
  <c r="K595"/>
  <c r="L595"/>
  <c r="U593"/>
  <c r="P595"/>
  <c r="D598"/>
  <c r="E598"/>
  <c r="F598"/>
  <c r="G598"/>
  <c r="H598"/>
  <c r="I598"/>
  <c r="J598"/>
  <c r="K598"/>
  <c r="L598"/>
  <c r="U596"/>
  <c r="D601"/>
  <c r="E601"/>
  <c r="F601"/>
  <c r="G601"/>
  <c r="H601"/>
  <c r="I601"/>
  <c r="J601"/>
  <c r="K601"/>
  <c r="L601"/>
  <c r="U599"/>
  <c r="P601"/>
  <c r="D604"/>
  <c r="E604"/>
  <c r="F604"/>
  <c r="G604"/>
  <c r="H604"/>
  <c r="I604"/>
  <c r="J604"/>
  <c r="K604"/>
  <c r="L604"/>
  <c r="U602"/>
  <c r="D607"/>
  <c r="E607"/>
  <c r="F607"/>
  <c r="G607"/>
  <c r="H607"/>
  <c r="I607"/>
  <c r="J607"/>
  <c r="K607"/>
  <c r="L607"/>
  <c r="U605"/>
  <c r="P607"/>
  <c r="D610"/>
  <c r="E610"/>
  <c r="F610"/>
  <c r="G610"/>
  <c r="H610"/>
  <c r="I610"/>
  <c r="J610"/>
  <c r="K610"/>
  <c r="L610"/>
  <c r="U608"/>
  <c r="D613"/>
  <c r="E613"/>
  <c r="F613"/>
  <c r="G613"/>
  <c r="H613"/>
  <c r="I613"/>
  <c r="J613"/>
  <c r="K613"/>
  <c r="L613"/>
  <c r="U611"/>
  <c r="P613"/>
  <c r="D616"/>
  <c r="E616"/>
  <c r="F616"/>
  <c r="G616"/>
  <c r="H616"/>
  <c r="I616"/>
  <c r="J616"/>
  <c r="K616"/>
  <c r="L616"/>
  <c r="U614"/>
  <c r="Q617"/>
  <c r="R617"/>
  <c r="L619"/>
  <c r="S617" s="1"/>
  <c r="T617"/>
  <c r="V617"/>
  <c r="D619"/>
  <c r="E619"/>
  <c r="F619"/>
  <c r="G619"/>
  <c r="H619"/>
  <c r="I619"/>
  <c r="J619"/>
  <c r="K619"/>
  <c r="Q620"/>
  <c r="R620"/>
  <c r="L622"/>
  <c r="S620" s="1"/>
  <c r="T620"/>
  <c r="V620"/>
  <c r="D622"/>
  <c r="E622"/>
  <c r="F622"/>
  <c r="G622"/>
  <c r="H622"/>
  <c r="I622"/>
  <c r="J622"/>
  <c r="K622"/>
  <c r="P622"/>
  <c r="D625"/>
  <c r="E625"/>
  <c r="F625"/>
  <c r="G625"/>
  <c r="H625"/>
  <c r="I625"/>
  <c r="J625"/>
  <c r="K625"/>
  <c r="L625"/>
  <c r="U623"/>
  <c r="P625"/>
  <c r="D628"/>
  <c r="E628"/>
  <c r="F628"/>
  <c r="G628"/>
  <c r="H628"/>
  <c r="I628"/>
  <c r="J628"/>
  <c r="K628"/>
  <c r="L628"/>
  <c r="U626"/>
  <c r="D631"/>
  <c r="E631"/>
  <c r="F631"/>
  <c r="G631"/>
  <c r="H631"/>
  <c r="I631"/>
  <c r="J631"/>
  <c r="K631"/>
  <c r="L631"/>
  <c r="U629"/>
  <c r="P631"/>
  <c r="D634"/>
  <c r="E634"/>
  <c r="F634"/>
  <c r="G634"/>
  <c r="H634"/>
  <c r="I634"/>
  <c r="J634"/>
  <c r="K634"/>
  <c r="L634"/>
  <c r="U632"/>
  <c r="D637"/>
  <c r="E637"/>
  <c r="F637"/>
  <c r="G637"/>
  <c r="H637"/>
  <c r="I637"/>
  <c r="J637"/>
  <c r="K637"/>
  <c r="L637"/>
  <c r="U635"/>
  <c r="P637"/>
  <c r="D640"/>
  <c r="E640"/>
  <c r="F640"/>
  <c r="G640"/>
  <c r="H640"/>
  <c r="I640"/>
  <c r="J640"/>
  <c r="K640"/>
  <c r="L640"/>
  <c r="U638"/>
  <c r="D643"/>
  <c r="E643"/>
  <c r="F643"/>
  <c r="G643"/>
  <c r="H643"/>
  <c r="I643"/>
  <c r="J643"/>
  <c r="K643"/>
  <c r="L643"/>
  <c r="U641"/>
  <c r="P643"/>
  <c r="D646"/>
  <c r="E646"/>
  <c r="F646"/>
  <c r="G646"/>
  <c r="H646"/>
  <c r="I646"/>
  <c r="J646"/>
  <c r="K646"/>
  <c r="L646"/>
  <c r="U644"/>
  <c r="D649"/>
  <c r="E649"/>
  <c r="F649"/>
  <c r="G649"/>
  <c r="H649"/>
  <c r="I649"/>
  <c r="J649"/>
  <c r="K649"/>
  <c r="L649"/>
  <c r="U647"/>
  <c r="P649"/>
  <c r="D652"/>
  <c r="E652"/>
  <c r="F652"/>
  <c r="G652"/>
  <c r="H652"/>
  <c r="I652"/>
  <c r="J652"/>
  <c r="K652"/>
  <c r="L652"/>
  <c r="U650"/>
  <c r="D655"/>
  <c r="E655"/>
  <c r="F655"/>
  <c r="G655"/>
  <c r="H655"/>
  <c r="I655"/>
  <c r="J655"/>
  <c r="K655"/>
  <c r="L655"/>
  <c r="U653"/>
  <c r="P655"/>
  <c r="D658"/>
  <c r="E658"/>
  <c r="F658"/>
  <c r="G658"/>
  <c r="H658"/>
  <c r="I658"/>
  <c r="J658"/>
  <c r="K658"/>
  <c r="L658"/>
  <c r="U656"/>
  <c r="D661"/>
  <c r="E661"/>
  <c r="F661"/>
  <c r="G661"/>
  <c r="H661"/>
  <c r="I661"/>
  <c r="J661"/>
  <c r="K661"/>
  <c r="L661"/>
  <c r="U659"/>
  <c r="P661"/>
  <c r="D664"/>
  <c r="E664"/>
  <c r="F664"/>
  <c r="G664"/>
  <c r="H664"/>
  <c r="I664"/>
  <c r="J664"/>
  <c r="K664"/>
  <c r="L664"/>
  <c r="U662"/>
  <c r="D667"/>
  <c r="E667"/>
  <c r="F667"/>
  <c r="G667"/>
  <c r="H667"/>
  <c r="I667"/>
  <c r="J667"/>
  <c r="K667"/>
  <c r="L667"/>
  <c r="U665"/>
  <c r="P667"/>
  <c r="D670"/>
  <c r="E670"/>
  <c r="F670"/>
  <c r="G670"/>
  <c r="H670"/>
  <c r="I670"/>
  <c r="J670"/>
  <c r="K670"/>
  <c r="L670"/>
  <c r="U668"/>
  <c r="D673"/>
  <c r="E673"/>
  <c r="F673"/>
  <c r="G673"/>
  <c r="H673"/>
  <c r="I673"/>
  <c r="J673"/>
  <c r="K673"/>
  <c r="L673"/>
  <c r="U671"/>
  <c r="P673"/>
  <c r="D676"/>
  <c r="E676"/>
  <c r="F676"/>
  <c r="G676"/>
  <c r="H676"/>
  <c r="I676"/>
  <c r="J676"/>
  <c r="K676"/>
  <c r="L676"/>
  <c r="U674"/>
  <c r="D679"/>
  <c r="E679"/>
  <c r="F679"/>
  <c r="G679"/>
  <c r="H679"/>
  <c r="I679"/>
  <c r="J679"/>
  <c r="K679"/>
  <c r="L679"/>
  <c r="U677"/>
  <c r="P679"/>
  <c r="D682"/>
  <c r="E682"/>
  <c r="F682"/>
  <c r="G682"/>
  <c r="H682"/>
  <c r="I682"/>
  <c r="J682"/>
  <c r="K682"/>
  <c r="L682"/>
  <c r="U680"/>
  <c r="D685"/>
  <c r="E685"/>
  <c r="F685"/>
  <c r="G685"/>
  <c r="H685"/>
  <c r="I685"/>
  <c r="J685"/>
  <c r="K685"/>
  <c r="L685"/>
  <c r="U683"/>
  <c r="P685"/>
  <c r="D688"/>
  <c r="E688"/>
  <c r="F688"/>
  <c r="G688"/>
  <c r="H688"/>
  <c r="I688"/>
  <c r="J688"/>
  <c r="K688"/>
  <c r="L688"/>
  <c r="U686"/>
  <c r="D691"/>
  <c r="E691"/>
  <c r="F691"/>
  <c r="G691"/>
  <c r="H691"/>
  <c r="I691"/>
  <c r="J691"/>
  <c r="K691"/>
  <c r="L691"/>
  <c r="U689"/>
  <c r="P691"/>
  <c r="D694"/>
  <c r="E694"/>
  <c r="F694"/>
  <c r="G694"/>
  <c r="H694"/>
  <c r="I694"/>
  <c r="J694"/>
  <c r="K694"/>
  <c r="L694"/>
  <c r="U692"/>
  <c r="D697"/>
  <c r="E697"/>
  <c r="F697"/>
  <c r="G697"/>
  <c r="H697"/>
  <c r="I697"/>
  <c r="J697"/>
  <c r="K697"/>
  <c r="L697"/>
  <c r="U695"/>
  <c r="P697"/>
  <c r="D700"/>
  <c r="E700"/>
  <c r="F700"/>
  <c r="G700"/>
  <c r="H700"/>
  <c r="I700"/>
  <c r="J700"/>
  <c r="K700"/>
  <c r="L700"/>
  <c r="U698"/>
  <c r="D703"/>
  <c r="E703"/>
  <c r="F703"/>
  <c r="G703"/>
  <c r="H703"/>
  <c r="I703"/>
  <c r="J703"/>
  <c r="K703"/>
  <c r="L703"/>
  <c r="U701"/>
  <c r="P703"/>
  <c r="D706"/>
  <c r="E706"/>
  <c r="F706"/>
  <c r="G706"/>
  <c r="H706"/>
  <c r="I706"/>
  <c r="J706"/>
  <c r="K706"/>
  <c r="L706"/>
  <c r="U704"/>
  <c r="D709"/>
  <c r="E709"/>
  <c r="F709"/>
  <c r="G709"/>
  <c r="H709"/>
  <c r="I709"/>
  <c r="J709"/>
  <c r="K709"/>
  <c r="L709"/>
  <c r="U707"/>
  <c r="P709"/>
  <c r="D712"/>
  <c r="E712"/>
  <c r="F712"/>
  <c r="G712"/>
  <c r="H712"/>
  <c r="I712"/>
  <c r="J712"/>
  <c r="K712"/>
  <c r="L712"/>
  <c r="U710"/>
  <c r="D715"/>
  <c r="E715"/>
  <c r="F715"/>
  <c r="G715"/>
  <c r="H715"/>
  <c r="I715"/>
  <c r="J715"/>
  <c r="K715"/>
  <c r="L715"/>
  <c r="U713"/>
  <c r="P715"/>
  <c r="D718"/>
  <c r="E718"/>
  <c r="F718"/>
  <c r="G718"/>
  <c r="H718"/>
  <c r="I718"/>
  <c r="J718"/>
  <c r="K718"/>
  <c r="L718"/>
  <c r="U716"/>
  <c r="D721"/>
  <c r="E721"/>
  <c r="F721"/>
  <c r="G721"/>
  <c r="H721"/>
  <c r="I721"/>
  <c r="J721"/>
  <c r="K721"/>
  <c r="L721"/>
  <c r="U719"/>
  <c r="P721"/>
  <c r="D724"/>
  <c r="E724"/>
  <c r="F724"/>
  <c r="G724"/>
  <c r="H724"/>
  <c r="I724"/>
  <c r="J724"/>
  <c r="K724"/>
  <c r="L724"/>
  <c r="U722"/>
  <c r="D727"/>
  <c r="E727"/>
  <c r="F727"/>
  <c r="G727"/>
  <c r="H727"/>
  <c r="I727"/>
  <c r="J727"/>
  <c r="K727"/>
  <c r="L727"/>
  <c r="U725"/>
  <c r="P727"/>
  <c r="D730"/>
  <c r="E730"/>
  <c r="F730"/>
  <c r="G730"/>
  <c r="H730"/>
  <c r="I730"/>
  <c r="J730"/>
  <c r="K730"/>
  <c r="L730"/>
  <c r="U728"/>
  <c r="D733"/>
  <c r="E733"/>
  <c r="F733"/>
  <c r="G733"/>
  <c r="H733"/>
  <c r="I733"/>
  <c r="J733"/>
  <c r="K733"/>
  <c r="L733"/>
  <c r="U731"/>
  <c r="P733"/>
  <c r="D736"/>
  <c r="E736"/>
  <c r="F736"/>
  <c r="G736"/>
  <c r="H736"/>
  <c r="I736"/>
  <c r="J736"/>
  <c r="K736"/>
  <c r="L736"/>
  <c r="U734"/>
  <c r="D739"/>
  <c r="E739"/>
  <c r="F739"/>
  <c r="G739"/>
  <c r="H739"/>
  <c r="I739"/>
  <c r="J739"/>
  <c r="K739"/>
  <c r="L739"/>
  <c r="U737"/>
  <c r="P739"/>
  <c r="D742"/>
  <c r="E742"/>
  <c r="F742"/>
  <c r="G742"/>
  <c r="H742"/>
  <c r="I742"/>
  <c r="J742"/>
  <c r="K742"/>
  <c r="L742"/>
  <c r="U740"/>
  <c r="D745"/>
  <c r="E745"/>
  <c r="F745"/>
  <c r="G745"/>
  <c r="H745"/>
  <c r="I745"/>
  <c r="J745"/>
  <c r="K745"/>
  <c r="L745"/>
  <c r="U743"/>
  <c r="P745"/>
  <c r="D748"/>
  <c r="E748"/>
  <c r="F748"/>
  <c r="G748"/>
  <c r="H748"/>
  <c r="I748"/>
  <c r="J748"/>
  <c r="K748"/>
  <c r="L748"/>
  <c r="U746"/>
  <c r="D751"/>
  <c r="E751"/>
  <c r="F751"/>
  <c r="G751"/>
  <c r="H751"/>
  <c r="I751"/>
  <c r="J751"/>
  <c r="K751"/>
  <c r="L751"/>
  <c r="U749"/>
  <c r="P751"/>
  <c r="D754"/>
  <c r="E754"/>
  <c r="F754"/>
  <c r="G754"/>
  <c r="H754"/>
  <c r="I754"/>
  <c r="J754"/>
  <c r="K754"/>
  <c r="L754"/>
  <c r="U752"/>
  <c r="D757"/>
  <c r="E757"/>
  <c r="F757"/>
  <c r="G757"/>
  <c r="H757"/>
  <c r="I757"/>
  <c r="J757"/>
  <c r="K757"/>
  <c r="L757"/>
  <c r="U755"/>
  <c r="P757"/>
  <c r="D760"/>
  <c r="E760"/>
  <c r="F760"/>
  <c r="G760"/>
  <c r="H760"/>
  <c r="I760"/>
  <c r="J760"/>
  <c r="K760"/>
  <c r="L760"/>
  <c r="U758"/>
  <c r="D763"/>
  <c r="E763"/>
  <c r="F763"/>
  <c r="G763"/>
  <c r="H763"/>
  <c r="I763"/>
  <c r="J763"/>
  <c r="K763"/>
  <c r="L763"/>
  <c r="U761"/>
  <c r="P763"/>
  <c r="D766"/>
  <c r="E766"/>
  <c r="F766"/>
  <c r="G766"/>
  <c r="H766"/>
  <c r="I766"/>
  <c r="J766"/>
  <c r="K766"/>
  <c r="L766"/>
  <c r="U764"/>
  <c r="D769"/>
  <c r="E769"/>
  <c r="F769"/>
  <c r="G769"/>
  <c r="H769"/>
  <c r="I769"/>
  <c r="J769"/>
  <c r="K769"/>
  <c r="L769"/>
  <c r="U767"/>
  <c r="P769"/>
  <c r="D772"/>
  <c r="E772"/>
  <c r="F772"/>
  <c r="G772"/>
  <c r="H772"/>
  <c r="I772"/>
  <c r="J772"/>
  <c r="K772"/>
  <c r="L772"/>
  <c r="U770"/>
  <c r="D775"/>
  <c r="E775"/>
  <c r="F775"/>
  <c r="G775"/>
  <c r="H775"/>
  <c r="I775"/>
  <c r="J775"/>
  <c r="K775"/>
  <c r="L775"/>
  <c r="U773"/>
  <c r="P775"/>
  <c r="D778"/>
  <c r="E778"/>
  <c r="F778"/>
  <c r="G778"/>
  <c r="H778"/>
  <c r="I778"/>
  <c r="J778"/>
  <c r="K778"/>
  <c r="L778"/>
  <c r="U776"/>
  <c r="D781"/>
  <c r="E781"/>
  <c r="F781"/>
  <c r="G781"/>
  <c r="H781"/>
  <c r="I781"/>
  <c r="J781"/>
  <c r="K781"/>
  <c r="L781"/>
  <c r="U779"/>
  <c r="P781"/>
  <c r="D784"/>
  <c r="E784"/>
  <c r="F784"/>
  <c r="G784"/>
  <c r="H784"/>
  <c r="I784"/>
  <c r="J784"/>
  <c r="K784"/>
  <c r="L784"/>
  <c r="U782"/>
  <c r="E357" i="3"/>
  <c r="N357" s="1"/>
  <c r="E356"/>
  <c r="N356" s="1"/>
  <c r="E353"/>
  <c r="N353" s="1"/>
  <c r="E344"/>
  <c r="N344" s="1"/>
  <c r="E335"/>
  <c r="N335" s="1"/>
  <c r="E332"/>
  <c r="N332" s="1"/>
  <c r="E325"/>
  <c r="N325" s="1"/>
  <c r="E324"/>
  <c r="N324" s="1"/>
  <c r="E322"/>
  <c r="N322" s="1"/>
  <c r="E321"/>
  <c r="N321" s="1"/>
  <c r="E316"/>
  <c r="N316" s="1"/>
  <c r="E315"/>
  <c r="N315" s="1"/>
  <c r="E307"/>
  <c r="N307" s="1"/>
  <c r="E293"/>
  <c r="N293" s="1"/>
  <c r="E292"/>
  <c r="N292" s="1"/>
  <c r="E291"/>
  <c r="N291" s="1"/>
  <c r="E289"/>
  <c r="N289" s="1"/>
  <c r="E288"/>
  <c r="N288" s="1"/>
  <c r="E287"/>
  <c r="N287" s="1"/>
  <c r="E286"/>
  <c r="N286" s="1"/>
  <c r="E285"/>
  <c r="N285" s="1"/>
  <c r="E284"/>
  <c r="N284" s="1"/>
  <c r="E283"/>
  <c r="N283" s="1"/>
  <c r="E282"/>
  <c r="N282" s="1"/>
  <c r="E281"/>
  <c r="N281" s="1"/>
  <c r="E280"/>
  <c r="N280" s="1"/>
  <c r="E278"/>
  <c r="N278" s="1"/>
  <c r="E277"/>
  <c r="N277" s="1"/>
  <c r="E276"/>
  <c r="N276" s="1"/>
  <c r="E275"/>
  <c r="N275" s="1"/>
  <c r="E274"/>
  <c r="N274" s="1"/>
  <c r="E272"/>
  <c r="N272" s="1"/>
  <c r="E269"/>
  <c r="N269" s="1"/>
  <c r="E268"/>
  <c r="N268" s="1"/>
  <c r="E267"/>
  <c r="N267" s="1"/>
  <c r="E266"/>
  <c r="N266" s="1"/>
  <c r="E261"/>
  <c r="N261" s="1"/>
  <c r="E260"/>
  <c r="N260" s="1"/>
  <c r="E255"/>
  <c r="N255" s="1"/>
  <c r="E254"/>
  <c r="N254" s="1"/>
  <c r="E253"/>
  <c r="N253" s="1"/>
  <c r="E250"/>
  <c r="N250" s="1"/>
  <c r="E249"/>
  <c r="N249" s="1"/>
  <c r="E244"/>
  <c r="N244" s="1"/>
  <c r="E243"/>
  <c r="N243" s="1"/>
  <c r="E240"/>
  <c r="N240" s="1"/>
  <c r="E239"/>
  <c r="N239" s="1"/>
  <c r="E238"/>
  <c r="N238" s="1"/>
  <c r="E237"/>
  <c r="N237" s="1"/>
  <c r="E236"/>
  <c r="N236" s="1"/>
  <c r="E234"/>
  <c r="N234" s="1"/>
  <c r="E233"/>
  <c r="N233" s="1"/>
  <c r="E229"/>
  <c r="N229" s="1"/>
  <c r="E226"/>
  <c r="N226" s="1"/>
  <c r="E224"/>
  <c r="N224" s="1"/>
  <c r="E223"/>
  <c r="N223" s="1"/>
  <c r="E222"/>
  <c r="N222" s="1"/>
  <c r="E221"/>
  <c r="N221" s="1"/>
  <c r="E220"/>
  <c r="N220" s="1"/>
  <c r="E219"/>
  <c r="N219" s="1"/>
  <c r="E216"/>
  <c r="N216" s="1"/>
  <c r="E215"/>
  <c r="N215" s="1"/>
  <c r="E214"/>
  <c r="N214" s="1"/>
  <c r="E213"/>
  <c r="N213" s="1"/>
  <c r="E212"/>
  <c r="N212" s="1"/>
  <c r="E211"/>
  <c r="N211" s="1"/>
  <c r="E175"/>
  <c r="N175" s="1"/>
  <c r="E174"/>
  <c r="N174" s="1"/>
  <c r="E173"/>
  <c r="N173" s="1"/>
  <c r="E172"/>
  <c r="N172" s="1"/>
  <c r="E171"/>
  <c r="N171" s="1"/>
  <c r="E170"/>
  <c r="N170" s="1"/>
  <c r="E169"/>
  <c r="N169" s="1"/>
  <c r="E168"/>
  <c r="N168" s="1"/>
  <c r="E167"/>
  <c r="N167" s="1"/>
  <c r="E166"/>
  <c r="N166" s="1"/>
  <c r="E165"/>
  <c r="N165" s="1"/>
  <c r="E164"/>
  <c r="N164" s="1"/>
  <c r="E163"/>
  <c r="N163" s="1"/>
  <c r="E162"/>
  <c r="N162" s="1"/>
  <c r="E161"/>
  <c r="N161" s="1"/>
  <c r="E160"/>
  <c r="N160" s="1"/>
  <c r="E159"/>
  <c r="N159" s="1"/>
  <c r="E158"/>
  <c r="N158" s="1"/>
  <c r="E157"/>
  <c r="N157" s="1"/>
  <c r="E156"/>
  <c r="N156" s="1"/>
  <c r="E155"/>
  <c r="N155" s="1"/>
  <c r="E154"/>
  <c r="N154" s="1"/>
  <c r="E153"/>
  <c r="N153" s="1"/>
  <c r="E152"/>
  <c r="N152" s="1"/>
  <c r="E151"/>
  <c r="N151" s="1"/>
  <c r="E150"/>
  <c r="N150" s="1"/>
  <c r="E149"/>
  <c r="N149" s="1"/>
  <c r="E148"/>
  <c r="N148" s="1"/>
  <c r="E147"/>
  <c r="N147" s="1"/>
  <c r="E146"/>
  <c r="N146" s="1"/>
  <c r="E145"/>
  <c r="N145" s="1"/>
  <c r="E144"/>
  <c r="N144" s="1"/>
  <c r="E143"/>
  <c r="N143" s="1"/>
  <c r="E142"/>
  <c r="N142" s="1"/>
  <c r="E141"/>
  <c r="N141" s="1"/>
  <c r="E140"/>
  <c r="N140" s="1"/>
  <c r="E139"/>
  <c r="N139" s="1"/>
  <c r="E138"/>
  <c r="N138" s="1"/>
  <c r="E137"/>
  <c r="N137" s="1"/>
  <c r="E136"/>
  <c r="N136" s="1"/>
  <c r="E135"/>
  <c r="N135" s="1"/>
  <c r="E134"/>
  <c r="N134" s="1"/>
  <c r="E133"/>
  <c r="N133" s="1"/>
  <c r="E132"/>
  <c r="N132" s="1"/>
  <c r="E131"/>
  <c r="N131" s="1"/>
  <c r="E130"/>
  <c r="N130" s="1"/>
  <c r="E129"/>
  <c r="N129" s="1"/>
  <c r="E128"/>
  <c r="N128" s="1"/>
  <c r="E127"/>
  <c r="N127" s="1"/>
  <c r="E126"/>
  <c r="N126" s="1"/>
  <c r="E125"/>
  <c r="N125" s="1"/>
  <c r="E124"/>
  <c r="N124" s="1"/>
  <c r="E123"/>
  <c r="N123" s="1"/>
  <c r="E122"/>
  <c r="N122" s="1"/>
  <c r="E121"/>
  <c r="N121" s="1"/>
  <c r="E120"/>
  <c r="N120" s="1"/>
  <c r="E119"/>
  <c r="N119" s="1"/>
  <c r="E118"/>
  <c r="N118" s="1"/>
  <c r="E117"/>
  <c r="N117" s="1"/>
  <c r="E116"/>
  <c r="N116" s="1"/>
  <c r="E115"/>
  <c r="N115" s="1"/>
  <c r="E114"/>
  <c r="N114" s="1"/>
  <c r="E113"/>
  <c r="N113" s="1"/>
  <c r="E112"/>
  <c r="N112" s="1"/>
  <c r="E111"/>
  <c r="N111" s="1"/>
  <c r="E110"/>
  <c r="N110" s="1"/>
  <c r="E109"/>
  <c r="N109" s="1"/>
  <c r="E108"/>
  <c r="N108" s="1"/>
  <c r="E107"/>
  <c r="N107" s="1"/>
  <c r="E106"/>
  <c r="N106" s="1"/>
  <c r="E105"/>
  <c r="N105" s="1"/>
  <c r="E104"/>
  <c r="N104" s="1"/>
  <c r="E103"/>
  <c r="N103" s="1"/>
  <c r="E102"/>
  <c r="N102" s="1"/>
  <c r="E101"/>
  <c r="N101" s="1"/>
  <c r="E100"/>
  <c r="N100" s="1"/>
  <c r="E99"/>
  <c r="N99" s="1"/>
  <c r="E98"/>
  <c r="N98" s="1"/>
  <c r="E97"/>
  <c r="N97" s="1"/>
  <c r="E96"/>
  <c r="N96" s="1"/>
  <c r="E95"/>
  <c r="N95" s="1"/>
  <c r="E94"/>
  <c r="N94" s="1"/>
  <c r="E93"/>
  <c r="N93" s="1"/>
  <c r="E92"/>
  <c r="N92" s="1"/>
  <c r="E91"/>
  <c r="N91" s="1"/>
  <c r="E90"/>
  <c r="N90" s="1"/>
  <c r="E89"/>
  <c r="N89" s="1"/>
  <c r="E88"/>
  <c r="N88" s="1"/>
  <c r="E87"/>
  <c r="N87" s="1"/>
  <c r="E86"/>
  <c r="N86" s="1"/>
  <c r="E85"/>
  <c r="N85" s="1"/>
  <c r="E84"/>
  <c r="N84" s="1"/>
  <c r="E83"/>
  <c r="N83" s="1"/>
  <c r="E82"/>
  <c r="N82" s="1"/>
  <c r="E81"/>
  <c r="N81" s="1"/>
  <c r="E80"/>
  <c r="N80" s="1"/>
  <c r="E79"/>
  <c r="N79" s="1"/>
  <c r="E78"/>
  <c r="N78" s="1"/>
  <c r="E77"/>
  <c r="N77" s="1"/>
  <c r="E76"/>
  <c r="N76" s="1"/>
  <c r="E75"/>
  <c r="N75" s="1"/>
  <c r="E74"/>
  <c r="N74" s="1"/>
  <c r="E73"/>
  <c r="N73" s="1"/>
  <c r="E72"/>
  <c r="N72" s="1"/>
  <c r="E71"/>
  <c r="N71" s="1"/>
  <c r="E70"/>
  <c r="N70" s="1"/>
  <c r="E69"/>
  <c r="N69" s="1"/>
  <c r="E68"/>
  <c r="N68" s="1"/>
  <c r="E67"/>
  <c r="N67" s="1"/>
  <c r="E66"/>
  <c r="N66" s="1"/>
  <c r="E65"/>
  <c r="N65" s="1"/>
  <c r="E64"/>
  <c r="N64" s="1"/>
  <c r="E63"/>
  <c r="N63" s="1"/>
  <c r="E62"/>
  <c r="N62" s="1"/>
  <c r="E61"/>
  <c r="N61" s="1"/>
  <c r="E60"/>
  <c r="N60" s="1"/>
  <c r="E59"/>
  <c r="N59" s="1"/>
  <c r="E58"/>
  <c r="N58" s="1"/>
  <c r="E57"/>
  <c r="N57" s="1"/>
  <c r="E56"/>
  <c r="N56" s="1"/>
  <c r="E55"/>
  <c r="N55" s="1"/>
  <c r="E54"/>
  <c r="N54" s="1"/>
  <c r="E53"/>
  <c r="N53" s="1"/>
  <c r="E52"/>
  <c r="N52" s="1"/>
  <c r="E51"/>
  <c r="N51" s="1"/>
  <c r="E50"/>
  <c r="N50" s="1"/>
  <c r="E49"/>
  <c r="N49" s="1"/>
  <c r="E48"/>
  <c r="N48" s="1"/>
  <c r="E47"/>
  <c r="N47" s="1"/>
  <c r="E46"/>
  <c r="N46" s="1"/>
  <c r="E45"/>
  <c r="N45" s="1"/>
  <c r="E44"/>
  <c r="N44" s="1"/>
  <c r="E43"/>
  <c r="N43" s="1"/>
  <c r="E42"/>
  <c r="N42" s="1"/>
  <c r="E41"/>
  <c r="N41" s="1"/>
  <c r="E40"/>
  <c r="N40" s="1"/>
  <c r="E39"/>
  <c r="N39" s="1"/>
  <c r="E38"/>
  <c r="N38" s="1"/>
  <c r="E37"/>
  <c r="N37" s="1"/>
  <c r="E36"/>
  <c r="N36" s="1"/>
  <c r="E35"/>
  <c r="N35" s="1"/>
  <c r="E34"/>
  <c r="N34" s="1"/>
  <c r="E33"/>
  <c r="N33" s="1"/>
  <c r="E32"/>
  <c r="N32" s="1"/>
  <c r="E31"/>
  <c r="N31" s="1"/>
  <c r="E30"/>
  <c r="N30" s="1"/>
  <c r="E29"/>
  <c r="N29" s="1"/>
  <c r="E28"/>
  <c r="N28" s="1"/>
  <c r="E27"/>
  <c r="N27" s="1"/>
  <c r="E26"/>
  <c r="N26" s="1"/>
  <c r="E25"/>
  <c r="N25" s="1"/>
  <c r="E24"/>
  <c r="N24" s="1"/>
  <c r="E23"/>
  <c r="N23" s="1"/>
  <c r="E22"/>
  <c r="N22" s="1"/>
  <c r="E21"/>
  <c r="N21" s="1"/>
  <c r="E20"/>
  <c r="N20" s="1"/>
  <c r="E19"/>
  <c r="N19" s="1"/>
  <c r="E18"/>
  <c r="N18" s="1"/>
  <c r="E17"/>
  <c r="N17" s="1"/>
  <c r="E16"/>
  <c r="N16" s="1"/>
  <c r="E15"/>
  <c r="N15" s="1"/>
  <c r="E14"/>
  <c r="N14" s="1"/>
  <c r="E13"/>
  <c r="N13" s="1"/>
  <c r="E12"/>
  <c r="N12" s="1"/>
  <c r="E11"/>
  <c r="N11" s="1"/>
  <c r="T1070" i="4" l="1"/>
  <c r="V1070" s="1"/>
  <c r="T1079"/>
  <c r="T1049"/>
  <c r="T1076"/>
  <c r="T1124"/>
  <c r="V1124" s="1"/>
  <c r="T1158"/>
  <c r="V1076"/>
  <c r="T1164"/>
  <c r="T1046"/>
  <c r="V1046" s="1"/>
  <c r="T1067"/>
  <c r="V1067" s="1"/>
  <c r="T1161"/>
  <c r="T1149"/>
  <c r="T1109"/>
  <c r="V1109" s="1"/>
  <c r="T1052"/>
  <c r="T1043"/>
  <c r="V1049"/>
  <c r="V1064"/>
  <c r="T1103"/>
  <c r="V1103" s="1"/>
  <c r="T1082"/>
  <c r="T1106"/>
  <c r="V1118"/>
  <c r="T1170"/>
  <c r="T1037"/>
  <c r="V1037" s="1"/>
  <c r="T1058"/>
  <c r="T1121"/>
  <c r="V1121" s="1"/>
  <c r="V1164"/>
  <c r="T1019"/>
  <c r="V1019" s="1"/>
  <c r="T1040"/>
  <c r="V1040" s="1"/>
  <c r="T1091"/>
  <c r="V1091" s="1"/>
  <c r="T1143"/>
  <c r="V1143" s="1"/>
  <c r="T1176"/>
  <c r="V1176" s="1"/>
  <c r="T1085"/>
  <c r="V1085" s="1"/>
  <c r="T1022"/>
  <c r="V1022" s="1"/>
  <c r="T1094"/>
  <c r="V1094" s="1"/>
  <c r="V1082"/>
  <c r="T1055"/>
  <c r="V1055" s="1"/>
  <c r="T1152"/>
  <c r="V1152" s="1"/>
  <c r="T1130"/>
  <c r="V1130" s="1"/>
  <c r="V1158"/>
  <c r="T932"/>
  <c r="V932" s="1"/>
  <c r="V1115"/>
  <c r="D102" i="5"/>
  <c r="D101"/>
  <c r="T1031" i="4"/>
  <c r="V1031" s="1"/>
  <c r="V1106"/>
  <c r="V1133"/>
  <c r="V1182"/>
  <c r="G102" i="5"/>
  <c r="V1058" i="4"/>
  <c r="T1073"/>
  <c r="V1073" s="1"/>
  <c r="T1097"/>
  <c r="V1097" s="1"/>
  <c r="T1137"/>
  <c r="V1137" s="1"/>
  <c r="V1146"/>
  <c r="T1179"/>
  <c r="V1179" s="1"/>
  <c r="T1028"/>
  <c r="V1028" s="1"/>
  <c r="V1052"/>
  <c r="T1140"/>
  <c r="V1140" s="1"/>
  <c r="V1170"/>
  <c r="T1185"/>
  <c r="V1185" s="1"/>
  <c r="T1061"/>
  <c r="V1061" s="1"/>
  <c r="T1088"/>
  <c r="V1088" s="1"/>
  <c r="T1173"/>
  <c r="V1173" s="1"/>
  <c r="V1167"/>
  <c r="V1161"/>
  <c r="T1155"/>
  <c r="V1155" s="1"/>
  <c r="V1149"/>
  <c r="T1100"/>
  <c r="V1100" s="1"/>
  <c r="V1079"/>
  <c r="S998"/>
  <c r="T1025"/>
  <c r="V1025" s="1"/>
  <c r="C101" i="5"/>
  <c r="H102"/>
  <c r="V1043" i="4"/>
  <c r="T1034"/>
  <c r="V1034" s="1"/>
  <c r="Q992"/>
  <c r="Q1001"/>
  <c r="R1010"/>
  <c r="T911"/>
  <c r="V911" s="1"/>
  <c r="T833"/>
  <c r="V833" s="1"/>
  <c r="T1016"/>
  <c r="V1016" s="1"/>
  <c r="T788"/>
  <c r="V788" s="1"/>
  <c r="T794"/>
  <c r="V794" s="1"/>
  <c r="T881"/>
  <c r="V881" s="1"/>
  <c r="R971"/>
  <c r="S974"/>
  <c r="Q977"/>
  <c r="Q1010"/>
  <c r="T785"/>
  <c r="V785" s="1"/>
  <c r="Q980"/>
  <c r="T944"/>
  <c r="V944" s="1"/>
  <c r="Q989"/>
  <c r="Q971"/>
  <c r="T971" s="1"/>
  <c r="R974"/>
  <c r="Q983"/>
  <c r="R986"/>
  <c r="R764"/>
  <c r="S257"/>
  <c r="S239"/>
  <c r="S215"/>
  <c r="Q179"/>
  <c r="R965"/>
  <c r="R968"/>
  <c r="Q974"/>
  <c r="R977"/>
  <c r="R980"/>
  <c r="Q986"/>
  <c r="S989"/>
  <c r="R992"/>
  <c r="Q995"/>
  <c r="Q998"/>
  <c r="S1010"/>
  <c r="T908"/>
  <c r="V908" s="1"/>
  <c r="T959"/>
  <c r="V959" s="1"/>
  <c r="T929"/>
  <c r="V929" s="1"/>
  <c r="S971"/>
  <c r="R989"/>
  <c r="Q1007"/>
  <c r="V1013"/>
  <c r="R1007"/>
  <c r="S1007"/>
  <c r="R1001"/>
  <c r="S1001"/>
  <c r="S1004"/>
  <c r="R1004"/>
  <c r="Q1004"/>
  <c r="R998"/>
  <c r="R995"/>
  <c r="S995"/>
  <c r="S992"/>
  <c r="S986"/>
  <c r="R983"/>
  <c r="S983"/>
  <c r="T980"/>
  <c r="S980"/>
  <c r="S977"/>
  <c r="S968"/>
  <c r="Q968"/>
  <c r="S965"/>
  <c r="Q965"/>
  <c r="Q200"/>
  <c r="Q686"/>
  <c r="R644"/>
  <c r="S479"/>
  <c r="S287"/>
  <c r="Q467"/>
  <c r="Q371"/>
  <c r="S284"/>
  <c r="Q80"/>
  <c r="Q257"/>
  <c r="R761"/>
  <c r="R641"/>
  <c r="S623"/>
  <c r="Q602"/>
  <c r="S596"/>
  <c r="S590"/>
  <c r="Q368"/>
  <c r="S191"/>
  <c r="S167"/>
  <c r="Q101"/>
  <c r="Q77"/>
  <c r="S62"/>
  <c r="Q62"/>
  <c r="T800"/>
  <c r="V800" s="1"/>
  <c r="T791"/>
  <c r="V791" s="1"/>
  <c r="T857"/>
  <c r="V857" s="1"/>
  <c r="T914"/>
  <c r="V914" s="1"/>
  <c r="T845"/>
  <c r="V845" s="1"/>
  <c r="Q584"/>
  <c r="Q491"/>
  <c r="R476"/>
  <c r="R470"/>
  <c r="S449"/>
  <c r="S431"/>
  <c r="S407"/>
  <c r="Q395"/>
  <c r="S359"/>
  <c r="S260"/>
  <c r="S188"/>
  <c r="S164"/>
  <c r="Q155"/>
  <c r="Q131"/>
  <c r="S92"/>
  <c r="Q74"/>
  <c r="Q50"/>
  <c r="S35"/>
  <c r="S23"/>
  <c r="T941"/>
  <c r="V941" s="1"/>
  <c r="S758"/>
  <c r="Q758"/>
  <c r="Q737"/>
  <c r="S734"/>
  <c r="S710"/>
  <c r="Q689"/>
  <c r="R686"/>
  <c r="S683"/>
  <c r="R665"/>
  <c r="R581"/>
  <c r="R566"/>
  <c r="S539"/>
  <c r="Q521"/>
  <c r="S503"/>
  <c r="Q488"/>
  <c r="S380"/>
  <c r="S356"/>
  <c r="S332"/>
  <c r="S308"/>
  <c r="Q296"/>
  <c r="R284"/>
  <c r="Q203"/>
  <c r="S89"/>
  <c r="S65"/>
  <c r="T896"/>
  <c r="V896" s="1"/>
  <c r="T848"/>
  <c r="V848" s="1"/>
  <c r="T902"/>
  <c r="V902" s="1"/>
  <c r="T854"/>
  <c r="V854" s="1"/>
  <c r="T806"/>
  <c r="V806" s="1"/>
  <c r="T884"/>
  <c r="V884" s="1"/>
  <c r="T866"/>
  <c r="V866" s="1"/>
  <c r="Q710"/>
  <c r="Q659"/>
  <c r="R623"/>
  <c r="R350"/>
  <c r="R302"/>
  <c r="R278"/>
  <c r="S113"/>
  <c r="Q782"/>
  <c r="S767"/>
  <c r="S755"/>
  <c r="Q755"/>
  <c r="R740"/>
  <c r="S731"/>
  <c r="Q731"/>
  <c r="R716"/>
  <c r="S707"/>
  <c r="Q707"/>
  <c r="S698"/>
  <c r="R692"/>
  <c r="S674"/>
  <c r="S650"/>
  <c r="S638"/>
  <c r="Q638"/>
  <c r="R563"/>
  <c r="S536"/>
  <c r="Q518"/>
  <c r="S500"/>
  <c r="R494"/>
  <c r="Q464"/>
  <c r="R446"/>
  <c r="S428"/>
  <c r="S404"/>
  <c r="R398"/>
  <c r="Q392"/>
  <c r="Q347"/>
  <c r="Q323"/>
  <c r="Q275"/>
  <c r="R254"/>
  <c r="S236"/>
  <c r="S212"/>
  <c r="R206"/>
  <c r="Q176"/>
  <c r="R167"/>
  <c r="Q152"/>
  <c r="S146"/>
  <c r="Q128"/>
  <c r="R59"/>
  <c r="R53"/>
  <c r="S32"/>
  <c r="Q32"/>
  <c r="S20"/>
  <c r="R20"/>
  <c r="T920"/>
  <c r="V920" s="1"/>
  <c r="T872"/>
  <c r="V872" s="1"/>
  <c r="T830"/>
  <c r="V830" s="1"/>
  <c r="T797"/>
  <c r="V797" s="1"/>
  <c r="V956"/>
  <c r="T860"/>
  <c r="V860" s="1"/>
  <c r="T863"/>
  <c r="V863" s="1"/>
  <c r="T815"/>
  <c r="V815" s="1"/>
  <c r="T938"/>
  <c r="Q449"/>
  <c r="R23"/>
  <c r="Q779"/>
  <c r="S773"/>
  <c r="S746"/>
  <c r="R746"/>
  <c r="S743"/>
  <c r="R737"/>
  <c r="S722"/>
  <c r="R722"/>
  <c r="S719"/>
  <c r="S695"/>
  <c r="R689"/>
  <c r="S671"/>
  <c r="S656"/>
  <c r="S647"/>
  <c r="S635"/>
  <c r="Q635"/>
  <c r="S608"/>
  <c r="Q608"/>
  <c r="R590"/>
  <c r="Q527"/>
  <c r="Q515"/>
  <c r="R455"/>
  <c r="Q443"/>
  <c r="Q419"/>
  <c r="R383"/>
  <c r="R380"/>
  <c r="R374"/>
  <c r="R359"/>
  <c r="R356"/>
  <c r="Q344"/>
  <c r="S338"/>
  <c r="Q320"/>
  <c r="S314"/>
  <c r="Q272"/>
  <c r="Q251"/>
  <c r="Q227"/>
  <c r="S161"/>
  <c r="Q161"/>
  <c r="S143"/>
  <c r="Q125"/>
  <c r="S119"/>
  <c r="Q47"/>
  <c r="R29"/>
  <c r="R17"/>
  <c r="T818"/>
  <c r="V818" s="1"/>
  <c r="V938"/>
  <c r="T836"/>
  <c r="V836" s="1"/>
  <c r="T935"/>
  <c r="V935" s="1"/>
  <c r="R107"/>
  <c r="Q692"/>
  <c r="R668"/>
  <c r="Q662"/>
  <c r="S626"/>
  <c r="R605"/>
  <c r="Q578"/>
  <c r="S569"/>
  <c r="S542"/>
  <c r="Q524"/>
  <c r="Q512"/>
  <c r="S506"/>
  <c r="R479"/>
  <c r="S452"/>
  <c r="Q440"/>
  <c r="S434"/>
  <c r="Q416"/>
  <c r="S410"/>
  <c r="S353"/>
  <c r="R353"/>
  <c r="S335"/>
  <c r="S311"/>
  <c r="Q299"/>
  <c r="R263"/>
  <c r="Q248"/>
  <c r="S242"/>
  <c r="Q224"/>
  <c r="S218"/>
  <c r="R191"/>
  <c r="R188"/>
  <c r="R182"/>
  <c r="R158"/>
  <c r="S140"/>
  <c r="S116"/>
  <c r="Q104"/>
  <c r="R92"/>
  <c r="R89"/>
  <c r="R83"/>
  <c r="S38"/>
  <c r="R38"/>
  <c r="Q14"/>
  <c r="T950"/>
  <c r="V950" s="1"/>
  <c r="T803"/>
  <c r="V803" s="1"/>
  <c r="T890"/>
  <c r="V890" s="1"/>
  <c r="Q716"/>
  <c r="R674"/>
  <c r="R656"/>
  <c r="R626"/>
  <c r="R587"/>
  <c r="S554"/>
  <c r="S476"/>
  <c r="R260"/>
  <c r="S782"/>
  <c r="S779"/>
  <c r="S770"/>
  <c r="Q764"/>
  <c r="Q761"/>
  <c r="R758"/>
  <c r="R755"/>
  <c r="R743"/>
  <c r="Q734"/>
  <c r="R734"/>
  <c r="R731"/>
  <c r="R719"/>
  <c r="R713"/>
  <c r="Q713"/>
  <c r="R710"/>
  <c r="R707"/>
  <c r="R698"/>
  <c r="R695"/>
  <c r="Q683"/>
  <c r="R683"/>
  <c r="S653"/>
  <c r="R653"/>
  <c r="Q644"/>
  <c r="Q641"/>
  <c r="R638"/>
  <c r="R635"/>
  <c r="S614"/>
  <c r="Q611"/>
  <c r="R608"/>
  <c r="S593"/>
  <c r="S587"/>
  <c r="Q581"/>
  <c r="S575"/>
  <c r="S566"/>
  <c r="Q566"/>
  <c r="S551"/>
  <c r="R533"/>
  <c r="S485"/>
  <c r="S461"/>
  <c r="R449"/>
  <c r="R443"/>
  <c r="R440"/>
  <c r="R425"/>
  <c r="S389"/>
  <c r="S365"/>
  <c r="R347"/>
  <c r="R344"/>
  <c r="R329"/>
  <c r="S293"/>
  <c r="S269"/>
  <c r="R257"/>
  <c r="R251"/>
  <c r="R248"/>
  <c r="R233"/>
  <c r="S197"/>
  <c r="S173"/>
  <c r="R161"/>
  <c r="R155"/>
  <c r="R152"/>
  <c r="R137"/>
  <c r="S98"/>
  <c r="S71"/>
  <c r="R62"/>
  <c r="S44"/>
  <c r="R32"/>
  <c r="R14"/>
  <c r="T821"/>
  <c r="V821" s="1"/>
  <c r="T953"/>
  <c r="V953" s="1"/>
  <c r="V962"/>
  <c r="T905"/>
  <c r="V905" s="1"/>
  <c r="T887"/>
  <c r="V887" s="1"/>
  <c r="T824"/>
  <c r="V824" s="1"/>
  <c r="S455"/>
  <c r="S383"/>
  <c r="Q353"/>
  <c r="S263"/>
  <c r="R164"/>
  <c r="R782"/>
  <c r="R779"/>
  <c r="R770"/>
  <c r="R767"/>
  <c r="S752"/>
  <c r="R752"/>
  <c r="S728"/>
  <c r="R728"/>
  <c r="S704"/>
  <c r="R704"/>
  <c r="S680"/>
  <c r="R680"/>
  <c r="S662"/>
  <c r="S659"/>
  <c r="R650"/>
  <c r="R647"/>
  <c r="S632"/>
  <c r="R632"/>
  <c r="R614"/>
  <c r="S611"/>
  <c r="R611"/>
  <c r="Q605"/>
  <c r="S599"/>
  <c r="R560"/>
  <c r="R557"/>
  <c r="S548"/>
  <c r="R539"/>
  <c r="R536"/>
  <c r="R530"/>
  <c r="R503"/>
  <c r="R500"/>
  <c r="S497"/>
  <c r="Q497"/>
  <c r="S482"/>
  <c r="S458"/>
  <c r="R428"/>
  <c r="R422"/>
  <c r="R407"/>
  <c r="R404"/>
  <c r="S401"/>
  <c r="Q401"/>
  <c r="S386"/>
  <c r="S362"/>
  <c r="R335"/>
  <c r="R332"/>
  <c r="R326"/>
  <c r="R311"/>
  <c r="R308"/>
  <c r="S305"/>
  <c r="Q305"/>
  <c r="S290"/>
  <c r="S266"/>
  <c r="R239"/>
  <c r="R236"/>
  <c r="R230"/>
  <c r="R215"/>
  <c r="R212"/>
  <c r="S209"/>
  <c r="Q209"/>
  <c r="S194"/>
  <c r="S170"/>
  <c r="R143"/>
  <c r="R140"/>
  <c r="R134"/>
  <c r="R116"/>
  <c r="R113"/>
  <c r="S110"/>
  <c r="Q110"/>
  <c r="S95"/>
  <c r="S68"/>
  <c r="S53"/>
  <c r="Q53"/>
  <c r="S41"/>
  <c r="T842"/>
  <c r="V842" s="1"/>
  <c r="T809"/>
  <c r="V809" s="1"/>
  <c r="R773"/>
  <c r="Q740"/>
  <c r="R671"/>
  <c r="R452"/>
  <c r="R287"/>
  <c r="R65"/>
  <c r="R35"/>
  <c r="Q23"/>
  <c r="Q20"/>
  <c r="S776"/>
  <c r="R776"/>
  <c r="S749"/>
  <c r="R749"/>
  <c r="S725"/>
  <c r="R725"/>
  <c r="S701"/>
  <c r="R701"/>
  <c r="S686"/>
  <c r="S677"/>
  <c r="R677"/>
  <c r="Q668"/>
  <c r="Q665"/>
  <c r="R662"/>
  <c r="R659"/>
  <c r="S629"/>
  <c r="R629"/>
  <c r="S572"/>
  <c r="Q560"/>
  <c r="Q557"/>
  <c r="S545"/>
  <c r="S509"/>
  <c r="R497"/>
  <c r="R491"/>
  <c r="R488"/>
  <c r="R473"/>
  <c r="S437"/>
  <c r="S413"/>
  <c r="R401"/>
  <c r="R395"/>
  <c r="R392"/>
  <c r="R377"/>
  <c r="S341"/>
  <c r="S317"/>
  <c r="R305"/>
  <c r="R299"/>
  <c r="R296"/>
  <c r="R281"/>
  <c r="S245"/>
  <c r="S221"/>
  <c r="R209"/>
  <c r="R203"/>
  <c r="R200"/>
  <c r="R185"/>
  <c r="S149"/>
  <c r="S122"/>
  <c r="R110"/>
  <c r="R104"/>
  <c r="R101"/>
  <c r="R86"/>
  <c r="R56"/>
  <c r="R26"/>
  <c r="T947"/>
  <c r="V947" s="1"/>
  <c r="T893"/>
  <c r="V893" s="1"/>
  <c r="T839"/>
  <c r="V839" s="1"/>
  <c r="T812"/>
  <c r="V812" s="1"/>
  <c r="R596"/>
  <c r="Q596"/>
  <c r="R572"/>
  <c r="Q572"/>
  <c r="R554"/>
  <c r="Q554"/>
  <c r="R551"/>
  <c r="Q551"/>
  <c r="R548"/>
  <c r="Q548"/>
  <c r="R545"/>
  <c r="Q545"/>
  <c r="R542"/>
  <c r="Q542"/>
  <c r="R485"/>
  <c r="Q485"/>
  <c r="R482"/>
  <c r="Q482"/>
  <c r="R437"/>
  <c r="Q437"/>
  <c r="R434"/>
  <c r="Q434"/>
  <c r="R389"/>
  <c r="Q389"/>
  <c r="R386"/>
  <c r="Q386"/>
  <c r="R341"/>
  <c r="Q341"/>
  <c r="R338"/>
  <c r="Q338"/>
  <c r="R293"/>
  <c r="Q293"/>
  <c r="R290"/>
  <c r="Q290"/>
  <c r="R245"/>
  <c r="Q245"/>
  <c r="R242"/>
  <c r="Q242"/>
  <c r="R197"/>
  <c r="Q197"/>
  <c r="R194"/>
  <c r="Q194"/>
  <c r="R149"/>
  <c r="Q149"/>
  <c r="R146"/>
  <c r="Q146"/>
  <c r="R98"/>
  <c r="Q98"/>
  <c r="R95"/>
  <c r="Q95"/>
  <c r="Q776"/>
  <c r="Q773"/>
  <c r="S764"/>
  <c r="S761"/>
  <c r="Q752"/>
  <c r="Q749"/>
  <c r="S740"/>
  <c r="S737"/>
  <c r="Q728"/>
  <c r="Q725"/>
  <c r="S716"/>
  <c r="S713"/>
  <c r="Q704"/>
  <c r="Q701"/>
  <c r="S692"/>
  <c r="S689"/>
  <c r="Q680"/>
  <c r="Q677"/>
  <c r="S668"/>
  <c r="S665"/>
  <c r="Q656"/>
  <c r="Q653"/>
  <c r="S644"/>
  <c r="S641"/>
  <c r="Q632"/>
  <c r="Q629"/>
  <c r="R599"/>
  <c r="Q587"/>
  <c r="S584"/>
  <c r="R575"/>
  <c r="R569"/>
  <c r="S560"/>
  <c r="S557"/>
  <c r="Q539"/>
  <c r="Q536"/>
  <c r="S530"/>
  <c r="Q530"/>
  <c r="S491"/>
  <c r="S488"/>
  <c r="Q479"/>
  <c r="Q476"/>
  <c r="S470"/>
  <c r="Q470"/>
  <c r="S443"/>
  <c r="S440"/>
  <c r="Q431"/>
  <c r="Q428"/>
  <c r="S422"/>
  <c r="Q422"/>
  <c r="S395"/>
  <c r="S392"/>
  <c r="Q383"/>
  <c r="Q380"/>
  <c r="S374"/>
  <c r="Q374"/>
  <c r="S347"/>
  <c r="S344"/>
  <c r="Q335"/>
  <c r="Q332"/>
  <c r="S326"/>
  <c r="Q326"/>
  <c r="S299"/>
  <c r="S296"/>
  <c r="Q287"/>
  <c r="Q284"/>
  <c r="S278"/>
  <c r="Q278"/>
  <c r="S251"/>
  <c r="S248"/>
  <c r="Q239"/>
  <c r="Q236"/>
  <c r="S230"/>
  <c r="Q230"/>
  <c r="S203"/>
  <c r="S200"/>
  <c r="Q191"/>
  <c r="Q188"/>
  <c r="S182"/>
  <c r="Q182"/>
  <c r="S155"/>
  <c r="S152"/>
  <c r="Q143"/>
  <c r="Q140"/>
  <c r="S134"/>
  <c r="Q134"/>
  <c r="S104"/>
  <c r="S101"/>
  <c r="Q92"/>
  <c r="Q89"/>
  <c r="S83"/>
  <c r="Q83"/>
  <c r="S14"/>
  <c r="T926"/>
  <c r="V926" s="1"/>
  <c r="T878"/>
  <c r="V878" s="1"/>
  <c r="Q770"/>
  <c r="Q767"/>
  <c r="Q746"/>
  <c r="Q743"/>
  <c r="Q722"/>
  <c r="Q719"/>
  <c r="Q698"/>
  <c r="Q695"/>
  <c r="Q674"/>
  <c r="Q671"/>
  <c r="Q650"/>
  <c r="Q647"/>
  <c r="Q626"/>
  <c r="Q623"/>
  <c r="Q614"/>
  <c r="S605"/>
  <c r="S602"/>
  <c r="R602"/>
  <c r="Q599"/>
  <c r="R584"/>
  <c r="S578"/>
  <c r="R578"/>
  <c r="Q575"/>
  <c r="S533"/>
  <c r="Q533"/>
  <c r="R527"/>
  <c r="R524"/>
  <c r="R521"/>
  <c r="R518"/>
  <c r="R515"/>
  <c r="R512"/>
  <c r="S473"/>
  <c r="Q473"/>
  <c r="R467"/>
  <c r="R464"/>
  <c r="S425"/>
  <c r="Q425"/>
  <c r="R419"/>
  <c r="R416"/>
  <c r="S377"/>
  <c r="Q377"/>
  <c r="R371"/>
  <c r="R368"/>
  <c r="S329"/>
  <c r="Q329"/>
  <c r="R323"/>
  <c r="R320"/>
  <c r="S281"/>
  <c r="Q281"/>
  <c r="R275"/>
  <c r="R272"/>
  <c r="S233"/>
  <c r="Q233"/>
  <c r="R227"/>
  <c r="R224"/>
  <c r="S185"/>
  <c r="Q185"/>
  <c r="R179"/>
  <c r="T179" s="1"/>
  <c r="R176"/>
  <c r="S137"/>
  <c r="Q137"/>
  <c r="R131"/>
  <c r="R128"/>
  <c r="R125"/>
  <c r="S86"/>
  <c r="Q86"/>
  <c r="R80"/>
  <c r="R77"/>
  <c r="R74"/>
  <c r="S56"/>
  <c r="Q56"/>
  <c r="R50"/>
  <c r="R47"/>
  <c r="S26"/>
  <c r="Q26"/>
  <c r="R593"/>
  <c r="Q593"/>
  <c r="R509"/>
  <c r="Q509"/>
  <c r="R506"/>
  <c r="Q506"/>
  <c r="R461"/>
  <c r="Q461"/>
  <c r="R458"/>
  <c r="Q458"/>
  <c r="R413"/>
  <c r="Q413"/>
  <c r="R410"/>
  <c r="Q410"/>
  <c r="R365"/>
  <c r="Q365"/>
  <c r="R362"/>
  <c r="Q362"/>
  <c r="R317"/>
  <c r="Q317"/>
  <c r="R314"/>
  <c r="Q314"/>
  <c r="R269"/>
  <c r="Q269"/>
  <c r="R266"/>
  <c r="Q266"/>
  <c r="R221"/>
  <c r="Q221"/>
  <c r="R218"/>
  <c r="Q218"/>
  <c r="R173"/>
  <c r="Q173"/>
  <c r="R170"/>
  <c r="Q170"/>
  <c r="R122"/>
  <c r="Q122"/>
  <c r="R119"/>
  <c r="Q119"/>
  <c r="R71"/>
  <c r="Q71"/>
  <c r="R68"/>
  <c r="Q68"/>
  <c r="R44"/>
  <c r="Q44"/>
  <c r="R41"/>
  <c r="Q41"/>
  <c r="Q590"/>
  <c r="S581"/>
  <c r="Q569"/>
  <c r="S563"/>
  <c r="Q563"/>
  <c r="S527"/>
  <c r="S524"/>
  <c r="S521"/>
  <c r="S518"/>
  <c r="S515"/>
  <c r="S512"/>
  <c r="Q503"/>
  <c r="Q500"/>
  <c r="S494"/>
  <c r="Q494"/>
  <c r="S467"/>
  <c r="S464"/>
  <c r="Q455"/>
  <c r="Q452"/>
  <c r="S446"/>
  <c r="Q446"/>
  <c r="R431"/>
  <c r="S419"/>
  <c r="S416"/>
  <c r="Q407"/>
  <c r="Q404"/>
  <c r="S398"/>
  <c r="Q398"/>
  <c r="S371"/>
  <c r="S368"/>
  <c r="Q359"/>
  <c r="Q356"/>
  <c r="S350"/>
  <c r="Q350"/>
  <c r="S323"/>
  <c r="S320"/>
  <c r="Q311"/>
  <c r="Q308"/>
  <c r="S302"/>
  <c r="Q302"/>
  <c r="S275"/>
  <c r="S272"/>
  <c r="Q263"/>
  <c r="Q260"/>
  <c r="S254"/>
  <c r="Q254"/>
  <c r="S227"/>
  <c r="S224"/>
  <c r="Q215"/>
  <c r="Q212"/>
  <c r="S206"/>
  <c r="Q206"/>
  <c r="S179"/>
  <c r="S176"/>
  <c r="Q167"/>
  <c r="Q164"/>
  <c r="S158"/>
  <c r="Q158"/>
  <c r="S131"/>
  <c r="S128"/>
  <c r="S125"/>
  <c r="Q116"/>
  <c r="Q113"/>
  <c r="S107"/>
  <c r="Q107"/>
  <c r="S80"/>
  <c r="S77"/>
  <c r="S74"/>
  <c r="Q65"/>
  <c r="S59"/>
  <c r="Q59"/>
  <c r="S50"/>
  <c r="S47"/>
  <c r="Q38"/>
  <c r="Q35"/>
  <c r="S29"/>
  <c r="Q29"/>
  <c r="S17"/>
  <c r="Q17"/>
  <c r="T899"/>
  <c r="V899" s="1"/>
  <c r="T851"/>
  <c r="V851" s="1"/>
  <c r="T917"/>
  <c r="V917" s="1"/>
  <c r="T869"/>
  <c r="V869" s="1"/>
  <c r="T923"/>
  <c r="V923" s="1"/>
  <c r="T875"/>
  <c r="V875" s="1"/>
  <c r="T827"/>
  <c r="V827" s="1"/>
  <c r="T152" l="1"/>
  <c r="V152" s="1"/>
  <c r="T38"/>
  <c r="T158"/>
  <c r="V158" s="1"/>
  <c r="T80"/>
  <c r="V80" s="1"/>
  <c r="T200"/>
  <c r="T968"/>
  <c r="V968" s="1"/>
  <c r="T770"/>
  <c r="V770" s="1"/>
  <c r="T488"/>
  <c r="V488" s="1"/>
  <c r="T47"/>
  <c r="V47" s="1"/>
  <c r="T581"/>
  <c r="V581" s="1"/>
  <c r="T188"/>
  <c r="V188" s="1"/>
  <c r="T656"/>
  <c r="V656" s="1"/>
  <c r="T254"/>
  <c r="V254" s="1"/>
  <c r="T416"/>
  <c r="T974"/>
  <c r="V974" s="1"/>
  <c r="T1010"/>
  <c r="V1010" s="1"/>
  <c r="T74"/>
  <c r="V74" s="1"/>
  <c r="T185"/>
  <c r="V185" s="1"/>
  <c r="T377"/>
  <c r="V377" s="1"/>
  <c r="T425"/>
  <c r="V425" s="1"/>
  <c r="T674"/>
  <c r="V674" s="1"/>
  <c r="T350"/>
  <c r="V350" s="1"/>
  <c r="T359"/>
  <c r="V359" s="1"/>
  <c r="T125"/>
  <c r="V125" s="1"/>
  <c r="T470"/>
  <c r="V470" s="1"/>
  <c r="T764"/>
  <c r="V764" s="1"/>
  <c r="T1001"/>
  <c r="V1001" s="1"/>
  <c r="T59"/>
  <c r="V59" s="1"/>
  <c r="T167"/>
  <c r="V167" s="1"/>
  <c r="T191"/>
  <c r="V191" s="1"/>
  <c r="T383"/>
  <c r="V383" s="1"/>
  <c r="T479"/>
  <c r="V479" s="1"/>
  <c r="T761"/>
  <c r="V761" s="1"/>
  <c r="T692"/>
  <c r="V692" s="1"/>
  <c r="T344"/>
  <c r="V344" s="1"/>
  <c r="T965"/>
  <c r="V965" s="1"/>
  <c r="T989"/>
  <c r="V989" s="1"/>
  <c r="T992"/>
  <c r="V992" s="1"/>
  <c r="T977"/>
  <c r="V977" s="1"/>
  <c r="T356"/>
  <c r="V356" s="1"/>
  <c r="T476"/>
  <c r="V476" s="1"/>
  <c r="T107"/>
  <c r="V107" s="1"/>
  <c r="T371"/>
  <c r="V371" s="1"/>
  <c r="T515"/>
  <c r="V515" s="1"/>
  <c r="T623"/>
  <c r="V623" s="1"/>
  <c r="T89"/>
  <c r="V89" s="1"/>
  <c r="T644"/>
  <c r="V644" s="1"/>
  <c r="T986"/>
  <c r="V986" s="1"/>
  <c r="T995"/>
  <c r="V995" s="1"/>
  <c r="T1007"/>
  <c r="V1007" s="1"/>
  <c r="V971"/>
  <c r="T320"/>
  <c r="V320" s="1"/>
  <c r="T392"/>
  <c r="V392" s="1"/>
  <c r="T257"/>
  <c r="V257" s="1"/>
  <c r="T17"/>
  <c r="V17" s="1"/>
  <c r="T518"/>
  <c r="V518" s="1"/>
  <c r="T722"/>
  <c r="V722" s="1"/>
  <c r="T92"/>
  <c r="V92" s="1"/>
  <c r="T725"/>
  <c r="V725" s="1"/>
  <c r="T491"/>
  <c r="V491" s="1"/>
  <c r="T611"/>
  <c r="V611" s="1"/>
  <c r="T782"/>
  <c r="V782" s="1"/>
  <c r="T32"/>
  <c r="V32" s="1"/>
  <c r="T161"/>
  <c r="V161" s="1"/>
  <c r="T608"/>
  <c r="V608" s="1"/>
  <c r="T686"/>
  <c r="V686" s="1"/>
  <c r="T983"/>
  <c r="V983" s="1"/>
  <c r="T227"/>
  <c r="V227" s="1"/>
  <c r="T419"/>
  <c r="V419" s="1"/>
  <c r="T527"/>
  <c r="V527" s="1"/>
  <c r="T602"/>
  <c r="V602" s="1"/>
  <c r="T446"/>
  <c r="V446" s="1"/>
  <c r="T131"/>
  <c r="V131" s="1"/>
  <c r="T128"/>
  <c r="V128" s="1"/>
  <c r="T176"/>
  <c r="V176" s="1"/>
  <c r="T203"/>
  <c r="V203" s="1"/>
  <c r="T662"/>
  <c r="V662" s="1"/>
  <c r="T998"/>
  <c r="V998" s="1"/>
  <c r="T1004"/>
  <c r="V1004" s="1"/>
  <c r="V980"/>
  <c r="T563"/>
  <c r="V563" s="1"/>
  <c r="T323"/>
  <c r="V323" s="1"/>
  <c r="T557"/>
  <c r="V557" s="1"/>
  <c r="T20"/>
  <c r="V20" s="1"/>
  <c r="T605"/>
  <c r="V605" s="1"/>
  <c r="T779"/>
  <c r="V779" s="1"/>
  <c r="T14"/>
  <c r="V14" s="1"/>
  <c r="T347"/>
  <c r="V347" s="1"/>
  <c r="T635"/>
  <c r="V635" s="1"/>
  <c r="T758"/>
  <c r="V758" s="1"/>
  <c r="T443"/>
  <c r="V443" s="1"/>
  <c r="T689"/>
  <c r="V689" s="1"/>
  <c r="T272"/>
  <c r="V272" s="1"/>
  <c r="T524"/>
  <c r="V524" s="1"/>
  <c r="T332"/>
  <c r="V332" s="1"/>
  <c r="T422"/>
  <c r="V422" s="1"/>
  <c r="T530"/>
  <c r="V530" s="1"/>
  <c r="T101"/>
  <c r="V101" s="1"/>
  <c r="T296"/>
  <c r="V296" s="1"/>
  <c r="T740"/>
  <c r="V740" s="1"/>
  <c r="T455"/>
  <c r="V455" s="1"/>
  <c r="T116"/>
  <c r="V116" s="1"/>
  <c r="T212"/>
  <c r="V212" s="1"/>
  <c r="T494"/>
  <c r="V494" s="1"/>
  <c r="T83"/>
  <c r="V83" s="1"/>
  <c r="T380"/>
  <c r="V380" s="1"/>
  <c r="T677"/>
  <c r="V677" s="1"/>
  <c r="T395"/>
  <c r="V395" s="1"/>
  <c r="T53"/>
  <c r="V53" s="1"/>
  <c r="T641"/>
  <c r="V641" s="1"/>
  <c r="T755"/>
  <c r="V755" s="1"/>
  <c r="T737"/>
  <c r="V737" s="1"/>
  <c r="T464"/>
  <c r="V464" s="1"/>
  <c r="T368"/>
  <c r="V368" s="1"/>
  <c r="T647"/>
  <c r="V647" s="1"/>
  <c r="T743"/>
  <c r="V743" s="1"/>
  <c r="T428"/>
  <c r="V428" s="1"/>
  <c r="T536"/>
  <c r="V536" s="1"/>
  <c r="T560"/>
  <c r="V560" s="1"/>
  <c r="T638"/>
  <c r="V638" s="1"/>
  <c r="T449"/>
  <c r="V449" s="1"/>
  <c r="T164"/>
  <c r="V164" s="1"/>
  <c r="T260"/>
  <c r="V260" s="1"/>
  <c r="T137"/>
  <c r="V137" s="1"/>
  <c r="T281"/>
  <c r="V281" s="1"/>
  <c r="T329"/>
  <c r="V329" s="1"/>
  <c r="T473"/>
  <c r="V473" s="1"/>
  <c r="T155"/>
  <c r="T62"/>
  <c r="V62" s="1"/>
  <c r="T224"/>
  <c r="V224" s="1"/>
  <c r="T512"/>
  <c r="V512" s="1"/>
  <c r="T35"/>
  <c r="V35" s="1"/>
  <c r="T215"/>
  <c r="V215" s="1"/>
  <c r="T308"/>
  <c r="V308" s="1"/>
  <c r="T467"/>
  <c r="V467" s="1"/>
  <c r="T719"/>
  <c r="V719" s="1"/>
  <c r="T767"/>
  <c r="V767" s="1"/>
  <c r="T134"/>
  <c r="V134" s="1"/>
  <c r="T665"/>
  <c r="V665" s="1"/>
  <c r="T566"/>
  <c r="V566" s="1"/>
  <c r="T716"/>
  <c r="V716" s="1"/>
  <c r="T311"/>
  <c r="V311" s="1"/>
  <c r="T500"/>
  <c r="V500" s="1"/>
  <c r="T26"/>
  <c r="V26" s="1"/>
  <c r="T284"/>
  <c r="V284" s="1"/>
  <c r="T50"/>
  <c r="V50" s="1"/>
  <c r="T77"/>
  <c r="V77" s="1"/>
  <c r="T521"/>
  <c r="V521" s="1"/>
  <c r="T584"/>
  <c r="V584" s="1"/>
  <c r="T695"/>
  <c r="V695" s="1"/>
  <c r="T701"/>
  <c r="V701" s="1"/>
  <c r="T749"/>
  <c r="V749" s="1"/>
  <c r="T773"/>
  <c r="V773" s="1"/>
  <c r="T305"/>
  <c r="V305" s="1"/>
  <c r="T248"/>
  <c r="V248" s="1"/>
  <c r="T440"/>
  <c r="V440" s="1"/>
  <c r="T713"/>
  <c r="V713" s="1"/>
  <c r="T206"/>
  <c r="V206" s="1"/>
  <c r="T398"/>
  <c r="V398" s="1"/>
  <c r="T29"/>
  <c r="V29" s="1"/>
  <c r="T590"/>
  <c r="V590" s="1"/>
  <c r="T86"/>
  <c r="V86" s="1"/>
  <c r="V179"/>
  <c r="T275"/>
  <c r="V275" s="1"/>
  <c r="T578"/>
  <c r="V578" s="1"/>
  <c r="T671"/>
  <c r="V671" s="1"/>
  <c r="T182"/>
  <c r="V182" s="1"/>
  <c r="T230"/>
  <c r="V230" s="1"/>
  <c r="T374"/>
  <c r="V374" s="1"/>
  <c r="T539"/>
  <c r="V539" s="1"/>
  <c r="T659"/>
  <c r="V659" s="1"/>
  <c r="T23"/>
  <c r="V23" s="1"/>
  <c r="T353"/>
  <c r="V353" s="1"/>
  <c r="T710"/>
  <c r="V710" s="1"/>
  <c r="T731"/>
  <c r="V731" s="1"/>
  <c r="T533"/>
  <c r="V533" s="1"/>
  <c r="T326"/>
  <c r="V326" s="1"/>
  <c r="T113"/>
  <c r="V113" s="1"/>
  <c r="V38"/>
  <c r="T263"/>
  <c r="V263" s="1"/>
  <c r="T302"/>
  <c r="V302" s="1"/>
  <c r="T404"/>
  <c r="V404" s="1"/>
  <c r="T452"/>
  <c r="V452" s="1"/>
  <c r="T503"/>
  <c r="V503" s="1"/>
  <c r="T614"/>
  <c r="V614" s="1"/>
  <c r="T650"/>
  <c r="V650" s="1"/>
  <c r="T698"/>
  <c r="V698" s="1"/>
  <c r="T746"/>
  <c r="V746" s="1"/>
  <c r="T140"/>
  <c r="V140" s="1"/>
  <c r="T278"/>
  <c r="V278" s="1"/>
  <c r="T587"/>
  <c r="V587" s="1"/>
  <c r="T776"/>
  <c r="V776" s="1"/>
  <c r="T104"/>
  <c r="V104" s="1"/>
  <c r="T299"/>
  <c r="V299" s="1"/>
  <c r="T668"/>
  <c r="V668" s="1"/>
  <c r="T251"/>
  <c r="V251" s="1"/>
  <c r="T707"/>
  <c r="V707" s="1"/>
  <c r="T407"/>
  <c r="V407" s="1"/>
  <c r="T56"/>
  <c r="V56" s="1"/>
  <c r="T575"/>
  <c r="V575" s="1"/>
  <c r="T599"/>
  <c r="V599" s="1"/>
  <c r="T143"/>
  <c r="V143" s="1"/>
  <c r="T239"/>
  <c r="V239" s="1"/>
  <c r="T287"/>
  <c r="V287" s="1"/>
  <c r="T335"/>
  <c r="V335" s="1"/>
  <c r="T632"/>
  <c r="V632" s="1"/>
  <c r="T680"/>
  <c r="V680" s="1"/>
  <c r="T704"/>
  <c r="V704" s="1"/>
  <c r="T728"/>
  <c r="V728" s="1"/>
  <c r="T752"/>
  <c r="V752" s="1"/>
  <c r="T209"/>
  <c r="V209" s="1"/>
  <c r="T683"/>
  <c r="V683" s="1"/>
  <c r="T236"/>
  <c r="V236" s="1"/>
  <c r="T629"/>
  <c r="V629" s="1"/>
  <c r="T653"/>
  <c r="V653" s="1"/>
  <c r="T110"/>
  <c r="V110" s="1"/>
  <c r="T65"/>
  <c r="V65" s="1"/>
  <c r="V416"/>
  <c r="T233"/>
  <c r="V233" s="1"/>
  <c r="T626"/>
  <c r="V626" s="1"/>
  <c r="T401"/>
  <c r="V401" s="1"/>
  <c r="T497"/>
  <c r="V497" s="1"/>
  <c r="T734"/>
  <c r="V734" s="1"/>
  <c r="T44"/>
  <c r="V44" s="1"/>
  <c r="T71"/>
  <c r="V71" s="1"/>
  <c r="T122"/>
  <c r="V122" s="1"/>
  <c r="T173"/>
  <c r="V173" s="1"/>
  <c r="T221"/>
  <c r="V221" s="1"/>
  <c r="T269"/>
  <c r="V269" s="1"/>
  <c r="T317"/>
  <c r="V317" s="1"/>
  <c r="T365"/>
  <c r="V365" s="1"/>
  <c r="T413"/>
  <c r="V413" s="1"/>
  <c r="T461"/>
  <c r="V461" s="1"/>
  <c r="T509"/>
  <c r="V509" s="1"/>
  <c r="V155"/>
  <c r="T431"/>
  <c r="V431" s="1"/>
  <c r="T98"/>
  <c r="V98" s="1"/>
  <c r="T149"/>
  <c r="V149" s="1"/>
  <c r="T197"/>
  <c r="V197" s="1"/>
  <c r="T245"/>
  <c r="V245" s="1"/>
  <c r="T293"/>
  <c r="V293" s="1"/>
  <c r="T341"/>
  <c r="V341" s="1"/>
  <c r="T389"/>
  <c r="V389" s="1"/>
  <c r="T437"/>
  <c r="V437" s="1"/>
  <c r="T485"/>
  <c r="V485" s="1"/>
  <c r="T545"/>
  <c r="V545" s="1"/>
  <c r="T551"/>
  <c r="V551" s="1"/>
  <c r="T572"/>
  <c r="V572" s="1"/>
  <c r="T569"/>
  <c r="V569" s="1"/>
  <c r="T41"/>
  <c r="V41" s="1"/>
  <c r="T68"/>
  <c r="V68" s="1"/>
  <c r="T119"/>
  <c r="V119" s="1"/>
  <c r="T170"/>
  <c r="V170" s="1"/>
  <c r="T218"/>
  <c r="V218" s="1"/>
  <c r="T266"/>
  <c r="V266" s="1"/>
  <c r="T314"/>
  <c r="V314" s="1"/>
  <c r="T362"/>
  <c r="V362" s="1"/>
  <c r="T410"/>
  <c r="V410" s="1"/>
  <c r="T458"/>
  <c r="V458" s="1"/>
  <c r="T506"/>
  <c r="V506" s="1"/>
  <c r="T593"/>
  <c r="V593" s="1"/>
  <c r="V200"/>
  <c r="T95"/>
  <c r="V95" s="1"/>
  <c r="T146"/>
  <c r="V146" s="1"/>
  <c r="T194"/>
  <c r="V194" s="1"/>
  <c r="T242"/>
  <c r="V242" s="1"/>
  <c r="T290"/>
  <c r="V290" s="1"/>
  <c r="T338"/>
  <c r="V338" s="1"/>
  <c r="T386"/>
  <c r="V386" s="1"/>
  <c r="T434"/>
  <c r="V434" s="1"/>
  <c r="T482"/>
  <c r="V482" s="1"/>
  <c r="T542"/>
  <c r="V542" s="1"/>
  <c r="T548"/>
  <c r="V548" s="1"/>
  <c r="T554"/>
  <c r="V554" s="1"/>
  <c r="T596"/>
  <c r="V596" s="1"/>
</calcChain>
</file>

<file path=xl/sharedStrings.xml><?xml version="1.0" encoding="utf-8"?>
<sst xmlns="http://schemas.openxmlformats.org/spreadsheetml/2006/main" count="3122" uniqueCount="573">
  <si>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</si>
  <si>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</si>
  <si>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</si>
  <si>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</si>
  <si>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</si>
  <si>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</si>
  <si>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</si>
  <si>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</si>
  <si>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</si>
  <si>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</si>
  <si>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</si>
  <si>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</si>
  <si>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</si>
  <si>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REOX1C</t>
    </r>
  </si>
  <si>
    <r>
      <t>QC Name</t>
    </r>
    <r>
      <rPr>
        <b/>
        <sz val="9"/>
        <rFont val="Arial"/>
        <family val="2"/>
      </rPr>
      <t>: CP Test</t>
    </r>
  </si>
  <si>
    <t xml:space="preserve">Frequency: 72hrs  </t>
  </si>
  <si>
    <r>
      <t xml:space="preserve">Recipe: </t>
    </r>
    <r>
      <rPr>
        <b/>
        <sz val="9"/>
        <rFont val="Arial"/>
        <family val="2"/>
      </rPr>
      <t>CS PARTICLES CHECK</t>
    </r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</si>
  <si>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WET_PreSilicon_COPs, WET_PostSilicon_COPs</t>
    </r>
  </si>
  <si>
    <r>
      <t>Wafer Type</t>
    </r>
    <r>
      <rPr>
        <b/>
        <sz val="9"/>
        <rFont val="Arial"/>
        <family val="2"/>
      </rPr>
      <t>: REGRIND NON METAL (&lt;50 Particle of size &gt;0.16 µ)</t>
    </r>
  </si>
  <si>
    <r>
      <t>Pass Criteria</t>
    </r>
    <r>
      <rPr>
        <b/>
        <sz val="9"/>
        <rFont val="Arial"/>
        <family val="2"/>
      </rPr>
      <t>:  LSL = 0, USL = 30</t>
    </r>
  </si>
  <si>
    <t>CP count</t>
  </si>
  <si>
    <t>USL</t>
  </si>
  <si>
    <t>Employee 
Code</t>
  </si>
  <si>
    <t>LPDN values</t>
  </si>
  <si>
    <t>Remarks</t>
  </si>
  <si>
    <t>Pre CP</t>
  </si>
  <si>
    <t>Post CP</t>
  </si>
  <si>
    <t>YEDR1</t>
  </si>
  <si>
    <t>YEDR1, Chamber C PM done</t>
  </si>
  <si>
    <t>YEDR1(CPX) LPDN Pre21,Post83)</t>
  </si>
  <si>
    <t>YEDR1(CPX) LPDN Pre14,Post62)</t>
  </si>
  <si>
    <t>YEDR1(CPX) LPDN Pre13,Post62)</t>
  </si>
  <si>
    <t>YEDR1(CPX) LPDN Pre50,Post182)</t>
  </si>
  <si>
    <t>YEDR1(CPX) LPDN Pre174,Post326)</t>
  </si>
  <si>
    <t>YEDR1(CPX) LPDN Pre328,Post620)</t>
  </si>
  <si>
    <t>YEDR1(CPX) LPDN Pre0,Post5)</t>
  </si>
  <si>
    <t>YEDR1(CPX) LPDN Pre0,Post2)</t>
  </si>
  <si>
    <t>YEDR1(CPX) LPDN Pre3,Post7)</t>
  </si>
  <si>
    <t>c</t>
  </si>
  <si>
    <t>YEDR1(CPX)LPDN Pre 134, post 215)</t>
  </si>
  <si>
    <t>YEDR1(CPX)lPDN Pre 154, post625)</t>
  </si>
  <si>
    <t>YEDR1(CPX) LPDN Pre637,Post1236)</t>
  </si>
  <si>
    <t>YEDR1(CPX) LPDN Pre03,Post06)</t>
  </si>
  <si>
    <t>YEDR1(CPX) LPDN Pre91,Post233)</t>
  </si>
  <si>
    <t>YEDR1(CPX) LPDN Pre60,Post173)</t>
  </si>
  <si>
    <t>YEDR1(CPX) LPDN Pre194,Post449)</t>
  </si>
  <si>
    <t>YEDR1(CPX) LPDN Pre84,Post252)</t>
  </si>
  <si>
    <t>YEDR1(CPX) LPDN Pre230,Post561)</t>
  </si>
  <si>
    <t>YEDR1(CPX) LPDN Pre0,Post4)</t>
  </si>
  <si>
    <t>YEDR1(CPX) LPDN pre133,post244)</t>
  </si>
  <si>
    <t>YEDR1(CPX) LPDN pre23,post244)</t>
  </si>
  <si>
    <t>YEDR1(CPX) LPDN pre22,post86)</t>
  </si>
  <si>
    <t>YEDR1(CPX) LPDN pre148,post419)</t>
  </si>
  <si>
    <t>YEDR1(CPX) LPDN pre148,post389)</t>
  </si>
  <si>
    <t>YEDR1(CPX) LPDN Pre134,Post395)</t>
  </si>
  <si>
    <t>YEDR1(CPX) LPDN Pre5,Post22)</t>
  </si>
  <si>
    <t>YEDR1(CPX) LPDN Pre119,Post380)</t>
  </si>
  <si>
    <t>YEDR1(CPX) LPDN Pre105,Post282)</t>
  </si>
  <si>
    <t>YEDR1(CPX) LPDN Pre15,Post102)</t>
  </si>
  <si>
    <t>YEDR1(CPX) LPDN Pre298,Post567)</t>
  </si>
  <si>
    <t>YEDR1(CPX) LPDN Pre156,Post469)</t>
  </si>
  <si>
    <t>YEDR1(CPX is down)</t>
  </si>
  <si>
    <t xml:space="preserve">YEDR1(CPX) </t>
  </si>
  <si>
    <t>YEDR1(CPX) LPDN Pre285,Post643)</t>
  </si>
  <si>
    <t>YEDR1(CPX) LPDN Pre01,Post06</t>
  </si>
  <si>
    <t>YEDI (CPX Down)</t>
  </si>
  <si>
    <t>YEDR1(CPX) LPDN Pre58,Post288)</t>
  </si>
  <si>
    <t>DIA</t>
  </si>
  <si>
    <t>YEDR1(CPX) LPDN Pre63,Post196)</t>
  </si>
  <si>
    <t>YEDR1(CPX) LPDN Pre104,Post303)</t>
  </si>
  <si>
    <t>YEDR1(CPX) LPDN Pre53,Post157)</t>
  </si>
  <si>
    <t>YEDR1(CPX) LPDN Pre107,Post356)</t>
  </si>
  <si>
    <t>YEDR1(CPX) LPDN Pre0,Post1590)</t>
  </si>
  <si>
    <t>YEDR1(CPX) LPDN Pre1,Post3)</t>
  </si>
  <si>
    <t>YEDR1(CPX) LPDN Pre158,Post383)</t>
  </si>
  <si>
    <t>YEDR1(CPX) LPDN Pre 183,Post 426)</t>
  </si>
  <si>
    <t>YEDR1(CPX) LPDN Pre 165,Post 452)</t>
  </si>
  <si>
    <t>YEDR1(CPX) LPDN Pre 342,Post 783)</t>
  </si>
  <si>
    <t>YEDR1(CPX) LPDN Pre 5,Post 16)</t>
  </si>
  <si>
    <t>YEDR1(CPX) LPDN Pre 118,Post 298)</t>
  </si>
  <si>
    <t>YEDR1(CPX) LPDN Pre ,Post )</t>
  </si>
  <si>
    <t>YEDR1(CPX) LPDN Pre 98,Post 307)</t>
  </si>
  <si>
    <t>YEDR1(CPX) LPDN Pre 72, Post 216)</t>
  </si>
  <si>
    <t>YEDR1(CPX) LPDN Pre 163, Post 364)</t>
  </si>
  <si>
    <t>YEDR1(CPX) LPDN Pre 0, Post 20)</t>
  </si>
  <si>
    <t>YEDR1(CPX) LPDN Pre 1, Post 4)</t>
  </si>
  <si>
    <t>YEDR1(CPX) LPDN Pre 1, Post 13)</t>
  </si>
  <si>
    <t>YEDR1(CPX) LPDN Pre 0, Post 17)</t>
  </si>
  <si>
    <t>YEDR1(CPX) LPDN Pre 02, Post 25)</t>
  </si>
  <si>
    <t>YEDR1(CPX) LPDN Pre 01, Post 56)</t>
  </si>
  <si>
    <t>YEDR1(CPX) LPDN Pre 01, Post 39)</t>
  </si>
  <si>
    <t>YEDR1(CPX) LPDN Pre 76, Post 219)</t>
  </si>
  <si>
    <t>YEDR1(CPX) LPDN Pre 3, Post 5</t>
  </si>
  <si>
    <t>YEDR1(CPX) LPDN Pre 0, Post 2</t>
  </si>
  <si>
    <t>YEDR1(CPX) LPDN Pre 2, Post 3</t>
  </si>
  <si>
    <t>YEDR1(CPX) LPDN Pre 105, Post 364</t>
  </si>
  <si>
    <t>YEDR1(CPX) LPDN Pre 140, Post 381</t>
  </si>
  <si>
    <t>YEDR1(CPX) LPDN Pre 83, Post 262</t>
  </si>
  <si>
    <t>YEDR1(CPX) LPDN Pre 0, Post 11)</t>
  </si>
  <si>
    <t>YEDR1(CPX) LPDN Pre 01, Post 06)</t>
  </si>
  <si>
    <t>YEDR1(CPX) LPDN Pre 0, Post 08)</t>
  </si>
  <si>
    <t>YEDR1(CPX) LPDN Pre 1, Post 04)</t>
  </si>
  <si>
    <t>AFTER 5 WF SEAS</t>
  </si>
  <si>
    <t>YEDR1(CPX) LPDN Pre 1, Post 09)</t>
  </si>
  <si>
    <t>AFTER 10 WF SEAS</t>
  </si>
  <si>
    <t>YEDR1(CPX) LPDN Pre 131, Post 411)</t>
  </si>
  <si>
    <t>YEDR1(CPX) LPDN Pre 117, Post 346)</t>
  </si>
  <si>
    <t>YEDR1(CPX) LPDN Pre 87, Post 303)</t>
  </si>
  <si>
    <t>YEDR1(CPX) LPDN Pre 89, Post 312)</t>
  </si>
  <si>
    <t>No seasoning wf</t>
  </si>
  <si>
    <t>YEDR1(CPX) LPDN Pre 79, Post 289)</t>
  </si>
  <si>
    <t>YEDR1(CPX) LPDN Pre 64, Post 298)</t>
  </si>
  <si>
    <t>YEDR1(CPX) LPDN Pre 90, Post 340)</t>
  </si>
  <si>
    <t>YEDR1(CPX) LPDN Pre390, Post 692)</t>
  </si>
  <si>
    <t>AFTER SEA.</t>
  </si>
  <si>
    <t>YEDR1(CPX) LPDN Pre 88, Post 91)</t>
  </si>
  <si>
    <t>YEDR1(CPX) LPDN Pre 472, Post 1039)</t>
  </si>
  <si>
    <t>YEDR1(CPX) LPDN Pre 0, Post 3)</t>
  </si>
  <si>
    <t>YEDR1(CPX) LPDN Pre 18, Post 131)</t>
  </si>
  <si>
    <t>YEDR1(CPX) LPDN Pre 1, Post 6)</t>
  </si>
  <si>
    <t>YEDR1(CPX) LPDN Pre 1, Post 1)</t>
  </si>
  <si>
    <t>AFTER 5 Fresh WF SEAS</t>
  </si>
  <si>
    <t>YEDR1(CPX) LPDN Pre 58, Post 235)</t>
  </si>
  <si>
    <t>YEDR1(CPX) LPDN Pre 67, Post 265)</t>
  </si>
  <si>
    <t>YEDR1(CPX) LPDN Pre 180, Post 499)</t>
  </si>
  <si>
    <t>YEDR1(CPX) LPDN Pre 19, Post 85)</t>
  </si>
  <si>
    <t>1159/121</t>
  </si>
  <si>
    <t>YEDR1(CPX) LPDN Pre 45, Post 67)</t>
  </si>
  <si>
    <t>YEDR1(CPX) LPDN Pre 05, Post 15)</t>
  </si>
  <si>
    <t>YEDR1(CPX) LPDN Pre 32, Post 39)</t>
  </si>
  <si>
    <t>YEDR1(CPX) LPDN Pre 11, Post 20)</t>
  </si>
  <si>
    <t>NESTEC wfs</t>
  </si>
  <si>
    <t>YEDR1(CPX) LPDN Pre 16, Post 23)</t>
  </si>
  <si>
    <t>YEDR1(CPX) LPDN Pre 9, Post 14)</t>
  </si>
  <si>
    <t>YEDR1(CPX) LPDN Pre 16, Post 16)</t>
  </si>
  <si>
    <t>YEDR1(CPX) LPDN Pre 4, Post 10)</t>
  </si>
  <si>
    <t>YEDR1(CPX) LPDN Pre 67, Post 190)</t>
  </si>
  <si>
    <t>YEDR1(CPX) LPDN Pre 21, Post 121)</t>
  </si>
  <si>
    <t>YEDR1(CPX) LPDN Pre 83, Post 330)</t>
  </si>
  <si>
    <t>YEDR1(CPX) LPDN Pre 23, Post 140)</t>
  </si>
  <si>
    <t>YEDR1(CPX) LPDN Pre 40, Post 82)</t>
  </si>
  <si>
    <t>ATS chiller issue. Tool down</t>
  </si>
  <si>
    <t>YEDR1(CPX) LPDN Pre 40, Post14 )</t>
  </si>
  <si>
    <t>YEDR1(CPX) LPDN Pre 02, Post07 )</t>
  </si>
  <si>
    <t>YEDR1(CPX) LPDN Pre 17, Post69 )</t>
  </si>
  <si>
    <t>PM DONE</t>
  </si>
  <si>
    <t>YEDR1(CPX) LPDN Pre 122, Post 420)</t>
  </si>
  <si>
    <t>YEDR1(CPX) LPDN Pre 15, Post 42 )</t>
  </si>
  <si>
    <t>YEDR1(CPX) LPDN Pre 45, Post 126 )</t>
  </si>
  <si>
    <t>YEDR1(CPX) LPDN Pre 76, Post 271)</t>
  </si>
  <si>
    <t>YEDR1(CPX) LPDN Pre 24, Post 126)</t>
  </si>
  <si>
    <t>YEDR1(CPX) LPDN Pre 74, Post 264)</t>
  </si>
  <si>
    <t>YEDR1(CPX) LPDN Pre 4, Post 3)</t>
  </si>
  <si>
    <t>YEDR1(CPX) LPDN Pre 27, Post 64)</t>
  </si>
  <si>
    <t xml:space="preserve">∆ /Time=ERÅ/Min
</t>
  </si>
  <si>
    <t>Post</t>
  </si>
  <si>
    <t>Pre</t>
  </si>
  <si>
    <t>TEOS</t>
  </si>
  <si>
    <t>ARC</t>
  </si>
  <si>
    <t>Q18510003.F1</t>
  </si>
  <si>
    <t>ONLY ER (CPX  DOWN)</t>
  </si>
  <si>
    <t>Q18430127.F1</t>
  </si>
  <si>
    <t>Q18430066.F1</t>
  </si>
  <si>
    <t>Q18420096.F1</t>
  </si>
  <si>
    <t>Q18420052.F1</t>
  </si>
  <si>
    <t>Q18400086.F1</t>
  </si>
  <si>
    <t>Q18380051.F1</t>
  </si>
  <si>
    <t>Q18340076.F1</t>
  </si>
  <si>
    <t>Q18330057.F1</t>
  </si>
  <si>
    <t>Q18270052.F1</t>
  </si>
  <si>
    <t>Q18260027.F1</t>
  </si>
  <si>
    <t>Q18230059.F1</t>
  </si>
  <si>
    <t>Data not entered</t>
  </si>
  <si>
    <t>Q18260029.F1</t>
  </si>
  <si>
    <t>Q18260032.F1</t>
  </si>
  <si>
    <t>Q18100069.F1</t>
  </si>
  <si>
    <t xml:space="preserve">                                         </t>
  </si>
  <si>
    <t>UNI FAIL</t>
  </si>
  <si>
    <t>unif FAIL</t>
  </si>
  <si>
    <t>ARC coating done on 10 Jan 2018</t>
  </si>
  <si>
    <t>ARC wf issue. Maintanance done of coater side</t>
  </si>
  <si>
    <t>Q17440028.F1</t>
  </si>
  <si>
    <t>1335/102</t>
  </si>
  <si>
    <t>Q17410030.F1</t>
  </si>
  <si>
    <t>Q17390069.F1</t>
  </si>
  <si>
    <t>Q17390031.F1</t>
  </si>
  <si>
    <t>Q17310078.F1</t>
  </si>
  <si>
    <t>Q17290066.F1</t>
  </si>
  <si>
    <t>cp fail</t>
  </si>
  <si>
    <t>Q17250038.F1</t>
  </si>
  <si>
    <t>Q17230028.F1</t>
  </si>
  <si>
    <t>Q17200025.F1</t>
  </si>
  <si>
    <t>Q17160094.F1</t>
  </si>
  <si>
    <t>Q17160030.F1</t>
  </si>
  <si>
    <t>Q17130021.F1</t>
  </si>
  <si>
    <t>Q17110026.F1</t>
  </si>
  <si>
    <t>Q17100025.F1</t>
  </si>
  <si>
    <t>Q17080034.F1</t>
  </si>
  <si>
    <t>Q17070056.F1</t>
  </si>
  <si>
    <t>Q17060022.F1</t>
  </si>
  <si>
    <t>Q17020001.F1</t>
  </si>
  <si>
    <t>Q16520031.F1</t>
  </si>
  <si>
    <t>Q16510069.F1</t>
  </si>
  <si>
    <t>Q16510031.F1</t>
  </si>
  <si>
    <t>Q16500026.F1</t>
  </si>
  <si>
    <t>Q16460049.F1</t>
  </si>
  <si>
    <t>Q16460028.F1</t>
  </si>
  <si>
    <t>Q16450007.F1</t>
  </si>
  <si>
    <t>Q16450015.F1</t>
  </si>
  <si>
    <t>Q16430080.F1</t>
  </si>
  <si>
    <t>Q16400042.F1</t>
  </si>
  <si>
    <t>Patterened TEOS wf</t>
  </si>
  <si>
    <t>Q16390034.F1</t>
  </si>
  <si>
    <t>Unpatterened TEOS wf</t>
  </si>
  <si>
    <t>Q16320083.F1</t>
  </si>
  <si>
    <t>Site</t>
  </si>
  <si>
    <t>% Uni</t>
  </si>
  <si>
    <t>UCL</t>
  </si>
  <si>
    <t>LCL</t>
  </si>
  <si>
    <t>LSL</t>
  </si>
  <si>
    <t>STDEV</t>
  </si>
  <si>
    <t>Tech EC</t>
  </si>
  <si>
    <t>Result</t>
  </si>
  <si>
    <t>Min Etch Rate</t>
  </si>
  <si>
    <t>Max Etch Rate</t>
  </si>
  <si>
    <t>TEOS ER Uniformity%</t>
  </si>
  <si>
    <t>TEOS ER Å/min</t>
  </si>
  <si>
    <t>ARC ER uniformity%</t>
  </si>
  <si>
    <t>ARC Etch Rate Å/min</t>
  </si>
  <si>
    <t>Parameter</t>
  </si>
  <si>
    <r>
      <t>Measurment Tool Recipe:</t>
    </r>
    <r>
      <rPr>
        <b/>
        <sz val="9"/>
        <rFont val="Arial"/>
        <family val="2"/>
      </rPr>
      <t>ETCH/LAM/ARC1800A, ETCH/LAM/TAAARC13orAATEOS13</t>
    </r>
  </si>
  <si>
    <r>
      <t xml:space="preserve">Recipe; </t>
    </r>
    <r>
      <rPr>
        <b/>
        <sz val="9"/>
        <rFont val="Arial"/>
        <family val="2"/>
      </rPr>
      <t>RAA-BARC-ER &amp; RAA-ER</t>
    </r>
  </si>
  <si>
    <r>
      <t>Wafer Type</t>
    </r>
    <r>
      <rPr>
        <b/>
        <sz val="9"/>
        <rFont val="Arial"/>
        <family val="2"/>
      </rPr>
      <t>: ARC1800 &amp; ATZP91</t>
    </r>
  </si>
  <si>
    <r>
      <t>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</si>
  <si>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ARC Etch Rate &amp;TEOS Etch rate</t>
    </r>
  </si>
  <si>
    <t>ARC ER</t>
  </si>
  <si>
    <t xml:space="preserve"> Uni</t>
  </si>
  <si>
    <t>ER STDEV</t>
  </si>
  <si>
    <t>TEOS ER</t>
  </si>
  <si>
    <t>TEOS UNI</t>
  </si>
  <si>
    <t>AVG</t>
  </si>
  <si>
    <t>Sigma</t>
  </si>
  <si>
    <t>3Sigma</t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</si>
  <si>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</si>
  <si>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</si>
  <si>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</si>
  <si>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r>
      <t>Recipe:</t>
    </r>
    <r>
      <rPr>
        <b/>
        <sz val="9"/>
        <rFont val="Arial"/>
        <family val="2"/>
      </rPr>
      <t xml:space="preserve"> </t>
    </r>
  </si>
  <si>
    <t>Measurment Tool Recipe: {B2,MP2_8_50}</t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</si>
  <si>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</si>
  <si>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</si>
  <si>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</si>
  <si>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</si>
  <si>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</si>
  <si>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</si>
  <si>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</si>
  <si>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</si>
  <si>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</si>
  <si>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</si>
  <si>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</si>
  <si>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Employee Code</t>
  </si>
  <si>
    <t>WSA-Al</t>
  </si>
  <si>
    <t>E13 Atoms/cm2</t>
  </si>
  <si>
    <t>WSA-Cu</t>
  </si>
  <si>
    <t>WSA-Fe</t>
  </si>
  <si>
    <t>WSA-Na</t>
  </si>
  <si>
    <t>WSA-Ni</t>
  </si>
  <si>
    <t>Date (MM/DD/YYYY)</t>
  </si>
  <si>
    <t>Thickness  (Å)</t>
  </si>
  <si>
    <t>Layer</t>
  </si>
  <si>
    <t>Etch Rate (A/Min)</t>
  </si>
  <si>
    <t>Lot ID</t>
  </si>
  <si>
    <t>% Uni USL</t>
  </si>
  <si>
    <t xml:space="preserve"> Q16360086.F1</t>
  </si>
  <si>
    <t>patterened wafer</t>
  </si>
  <si>
    <t>Q16320046.F1</t>
  </si>
  <si>
    <t>Unpatterened wafer</t>
  </si>
  <si>
    <t xml:space="preserve"> Q16380005.F1</t>
  </si>
  <si>
    <t>After Fab Up</t>
  </si>
  <si>
    <t>Q17040035.F1</t>
  </si>
  <si>
    <t>ARC coating done on 11 Jan 2018, Based on FICD,RSiN And X-SEM results lot is proceeded for RAA ETCH</t>
  </si>
  <si>
    <t>after 25 wfs seasoning</t>
  </si>
  <si>
    <t>YEDR1(CPX) LPDN Pre 0, Post 26)</t>
  </si>
  <si>
    <t>after 50 wfs seasoning</t>
  </si>
  <si>
    <t>YEDR1(CPX) LPDN Pre 1, Post 9)</t>
  </si>
  <si>
    <t>Q19020028.F1</t>
  </si>
  <si>
    <t>Q19040064.F1</t>
  </si>
  <si>
    <t>Q19050058.F1</t>
  </si>
  <si>
    <t>Q19050103.F1</t>
  </si>
  <si>
    <t>Q19060108.F1</t>
  </si>
  <si>
    <t>121/1340</t>
  </si>
  <si>
    <t>Q19080123.F1</t>
  </si>
  <si>
    <t>Q19090043.F1</t>
  </si>
  <si>
    <t>Q19090088.F1</t>
  </si>
  <si>
    <t>1159/74</t>
  </si>
  <si>
    <t>Q19100019.F1</t>
  </si>
  <si>
    <t>Q19100067.F1</t>
  </si>
  <si>
    <t>Q19110107.F1</t>
  </si>
  <si>
    <t>Q19120032.F1</t>
  </si>
  <si>
    <t>Q19130074.F1</t>
  </si>
  <si>
    <t>Q19140014.F1</t>
  </si>
  <si>
    <t>Q19140112.F1</t>
  </si>
  <si>
    <t>Q19170037.F1</t>
  </si>
  <si>
    <t>Q19170133.F1</t>
  </si>
  <si>
    <t>Q19180058.F1</t>
  </si>
  <si>
    <t>Q19180136.F1</t>
  </si>
  <si>
    <t>1340/1159</t>
  </si>
  <si>
    <t>Q19190079.F1</t>
  </si>
  <si>
    <t>Q19200001.F1</t>
  </si>
  <si>
    <t>Q19210037.F1</t>
  </si>
  <si>
    <t>Area count is high</t>
  </si>
  <si>
    <t>YEDR1(CPX) LPDN Pre 10, Post 71)</t>
  </si>
  <si>
    <t>YEDR1( LPDN Pre 3, Post 8)</t>
  </si>
  <si>
    <t>121/1335</t>
  </si>
  <si>
    <t>YEDR1( LPDN Pre 7, Post 13)</t>
  </si>
  <si>
    <t>YEDR1( LPDN Pre 02, Post 17)</t>
  </si>
  <si>
    <t>YEDR1( LPDN Pre 17, Post 20)</t>
  </si>
  <si>
    <t>YEDR1( LPDN Pre 10, Post 23)</t>
  </si>
  <si>
    <t>YEDR1( LPDN Pre 3, Post 11)</t>
  </si>
  <si>
    <t>YEDR1( LPDN Pre 7, Post 34)</t>
  </si>
  <si>
    <t>YEDR1( LPDN Pre 7, Post 04)</t>
  </si>
  <si>
    <t>YEDR1( LPDN Pre 5, Post 19)</t>
  </si>
  <si>
    <t>YEDR1( LPDN Pre 45, Post 61</t>
  </si>
  <si>
    <t>Q19220091.F1</t>
  </si>
  <si>
    <t>YEDR1( LPDN Pre 41, Post 79</t>
  </si>
  <si>
    <t>Q19230103.F1</t>
  </si>
  <si>
    <t>Q19240111.F1</t>
  </si>
  <si>
    <t>YEDR1( LPDN Pre 141, Post 389)</t>
  </si>
  <si>
    <t>Q19250033.F1</t>
  </si>
  <si>
    <t>YEDR1( LPDN Pre 103, Post 12</t>
  </si>
  <si>
    <t>Q19250105.F1</t>
  </si>
  <si>
    <t>YEDR1 (LPDN Pre 29, Post 18)</t>
  </si>
  <si>
    <t>Q19260015.F1</t>
  </si>
  <si>
    <t>YEDR1 (LPDN Pre 23, Post 28)</t>
  </si>
  <si>
    <t>Q19270064.F1</t>
  </si>
  <si>
    <t>YEDR1 (LPDN Pre 14, Post 13)</t>
  </si>
  <si>
    <t>Q19270116.F1</t>
  </si>
  <si>
    <t>Q19280033.F1</t>
  </si>
  <si>
    <t>Q19280087.F1</t>
  </si>
  <si>
    <t>YEDR1 (LPDN Pre 6, Post 10)</t>
  </si>
  <si>
    <t>Q19290002.F1</t>
  </si>
  <si>
    <t>YEDR1 (LPDN Pre 12, Post 9)</t>
  </si>
  <si>
    <t>Q19290104.F1</t>
  </si>
  <si>
    <t>YEDR1 (LPDN Pre 17, Post 18)</t>
  </si>
  <si>
    <t>Q19310078.F1</t>
  </si>
  <si>
    <t>YEDR1 (LPDN Pre 82, Post 292)</t>
  </si>
  <si>
    <t>Q19330051.F1</t>
  </si>
  <si>
    <t>YEDR1 (LPDN Pre 121, Post 120)</t>
  </si>
  <si>
    <t>Q19340071.F1</t>
  </si>
  <si>
    <t>YEDR1 (LPDN Pre 111, Post 366)</t>
  </si>
  <si>
    <t>Q19350025.F1</t>
  </si>
  <si>
    <t>YEDR1 (LPDN Pre 12, Post 18)</t>
  </si>
  <si>
    <t>Q19350095.F1</t>
  </si>
  <si>
    <t>Q19360006.F1</t>
  </si>
  <si>
    <t>YEDR1 (LPDN Pre 16, Post 26)</t>
  </si>
  <si>
    <t>YEDR1 (LPDN Pre 09, Post 09)</t>
  </si>
  <si>
    <t>YEDR1 (LPDN Pre 21, Post 194)</t>
  </si>
  <si>
    <t>Q19370040.F1</t>
  </si>
  <si>
    <t>YEDR1 (LPDN Pre 42, Post 36)</t>
  </si>
  <si>
    <t>Q19370087.F1</t>
  </si>
  <si>
    <t>Q19380045.F1</t>
  </si>
  <si>
    <t>Q19380114.F1</t>
  </si>
  <si>
    <t>YEDR1 (LPDN Pre 79, Post 99)</t>
  </si>
  <si>
    <t>Q19390077.F1</t>
  </si>
  <si>
    <t>Q19400027.F1</t>
  </si>
  <si>
    <t>YEDR1 (LPDN Pre 103, Post 161)</t>
  </si>
  <si>
    <t>YEDR1 (LPDN Pre 12, Post 14)</t>
  </si>
  <si>
    <t>Q19420066.F1</t>
  </si>
  <si>
    <t>YEDR1 (LPDN Pre 02, Post 14)</t>
  </si>
  <si>
    <t>Q19430097.F1</t>
  </si>
  <si>
    <t>YEDR1 (LPDN Pre 65, Post 12)</t>
  </si>
  <si>
    <t>F19440053.F1</t>
  </si>
  <si>
    <t>YEDR1 (LPDN Pre 16, Post 11)</t>
  </si>
  <si>
    <t>Q19450029.F1</t>
  </si>
  <si>
    <t>YEDR1 (LPDN Pre 79, Post 248)</t>
  </si>
  <si>
    <t>YEDR1 (LPDN Pre 17, Post 115)</t>
  </si>
  <si>
    <t>Q19470110.F1</t>
  </si>
  <si>
    <t>YEDR1 (LPDN Pre 35, Post 115)</t>
  </si>
  <si>
    <t>YEDR1 (LPDN Pre 162, Post 554)</t>
  </si>
  <si>
    <t>Q19480048.F1</t>
  </si>
  <si>
    <t>YEDR1 (LPDN Pre 08, Post 39)</t>
  </si>
  <si>
    <t>Q19490052.F1</t>
  </si>
  <si>
    <t>Delta</t>
  </si>
  <si>
    <t>Now onwards New GRITEK Wf are being used</t>
  </si>
  <si>
    <t>YEDR1 (LPDN Pre 02, Post 06)</t>
  </si>
  <si>
    <t>Q19490136.F1</t>
  </si>
  <si>
    <t>YEDR1 (LPDN Pre 03, Post 12)</t>
  </si>
  <si>
    <t>Q19500048.F1</t>
  </si>
  <si>
    <t>x</t>
  </si>
  <si>
    <t>y</t>
  </si>
  <si>
    <t>% Uni UCL</t>
  </si>
  <si>
    <t>YEDR1 (LPDN Pre 02, Post 17)</t>
  </si>
  <si>
    <t>Q19510058.F1</t>
  </si>
  <si>
    <t>YEDR1 (LPDN Pre 26, Post 63)</t>
  </si>
  <si>
    <t>Q19520061.F1</t>
  </si>
  <si>
    <t>Q20010067.F1</t>
  </si>
  <si>
    <t>Q20020047.F1</t>
  </si>
  <si>
    <t>QC After PM</t>
  </si>
  <si>
    <t xml:space="preserve">   QC After CH PM</t>
  </si>
  <si>
    <t>YEDR1 (LPDN Pre 06, Post  23)</t>
  </si>
  <si>
    <t>Q20020141.F1</t>
  </si>
  <si>
    <t xml:space="preserve">  Q20030070.F1</t>
  </si>
  <si>
    <t xml:space="preserve">  Q20050061.F1</t>
  </si>
  <si>
    <t>Q20060053.F1</t>
  </si>
  <si>
    <t>Q20060133.F1</t>
  </si>
  <si>
    <t>Q20070051.F1</t>
  </si>
  <si>
    <t>Q20070135.F1</t>
  </si>
  <si>
    <t>Q20080111.F1</t>
  </si>
  <si>
    <t xml:space="preserve">YEDR1 (LPDN Pre 3, Post  7) </t>
  </si>
  <si>
    <t>Q20090048.F1</t>
  </si>
  <si>
    <t>Q20090107.F1</t>
  </si>
  <si>
    <t xml:space="preserve">YEDR1 (LPDN Pre 104, Post  362) </t>
  </si>
  <si>
    <t>Q20100025.F1</t>
  </si>
  <si>
    <t xml:space="preserve">YEDR1 (LPDN Pre 00, Post  67) </t>
  </si>
  <si>
    <t>Q20100109.F1</t>
  </si>
  <si>
    <t xml:space="preserve">YEDR1 (LPDN Pre 02, Post  06) </t>
  </si>
  <si>
    <t>Q20110008.F1</t>
  </si>
  <si>
    <t xml:space="preserve">YEDR1 (LPDN Pre 08, Post  06) </t>
  </si>
  <si>
    <t>Q20110089.F1</t>
  </si>
  <si>
    <t xml:space="preserve">YEDR1 (LPDN Pre 05, Post  06) </t>
  </si>
  <si>
    <t>Q20120039.F1</t>
  </si>
  <si>
    <t>Q20180050.F1</t>
  </si>
  <si>
    <t>YEDR1 (LPDN Pre 3 Post 6), 0.5u Pre-0 Post-14, AC Pre-0 Post-12</t>
  </si>
  <si>
    <t>YEDR1 (LPDN Pre 9 Post 13), 0.5u Pre-14 Post-15, AC Pre-12 Post-13</t>
  </si>
  <si>
    <t>Q20180053.F1</t>
  </si>
  <si>
    <t>YEDR1 (LPDN Pre 13 Post 618), 0.5u Pre-15 Post-16, AC Pre-13 Post-13</t>
  </si>
  <si>
    <t>Q20180057.F1</t>
  </si>
  <si>
    <t xml:space="preserve">YEDR1 (LPDN Pre 0, Post  06) </t>
  </si>
  <si>
    <t>Q20190069.F1</t>
  </si>
  <si>
    <t>Q20200059.F1</t>
  </si>
  <si>
    <t>Q20200062.F1</t>
  </si>
  <si>
    <t>121/1159</t>
  </si>
  <si>
    <t>YEDR1 (LPDN Pre 3 Post 6), 0.5u Pre-6 Post-9, AC Pre-0 Post-2</t>
  </si>
  <si>
    <t>Q20210037.F1</t>
  </si>
  <si>
    <t>YEDR1 (LPDN Pre 1Post 4), 0.5u Pre-1Post-10, AC Pre-0 Post-2</t>
  </si>
  <si>
    <t>YEDR1 (LPDN Pre 5 Post 11), 0.5u Pre-6 Post-7, AC Pre-3 Post-5</t>
  </si>
  <si>
    <t>Q20220128.F1</t>
  </si>
  <si>
    <t>1335/121</t>
  </si>
  <si>
    <t>Q20220129.F1</t>
  </si>
  <si>
    <t>Q20220130.F1</t>
  </si>
  <si>
    <t>1428/121</t>
  </si>
  <si>
    <t xml:space="preserve">YEDR1 (LPDN Pre 6 Post 8), 0.5u Pre-0Post-2, </t>
  </si>
  <si>
    <t>Q20230052.F1</t>
  </si>
  <si>
    <t xml:space="preserve">YEDR1 (LPDN Pre 0 Post 13), 0.5u Pre-0Post-2, </t>
  </si>
  <si>
    <t xml:space="preserve">YEDR1 (LPDN Pre 0 Post 8), 0.5u Pre-01Post-23 </t>
  </si>
  <si>
    <t xml:space="preserve">YEDR1 (LPDN Pre 01 Post 12), 0.5u Pre-0Post-4 </t>
  </si>
  <si>
    <t>YEDR1 (LPDN Pre 03 Post 08), 0.5u Pre-02Post-8</t>
  </si>
  <si>
    <t>YEDR1 (LPDN Pre 08 Post 05), 0.5u Pre-08Post-13</t>
  </si>
  <si>
    <t>YEDR1 (LPDN Pre 05 Post 45), 0.5u Pre-13Post-22</t>
  </si>
  <si>
    <t>Q20240060F1</t>
  </si>
  <si>
    <t>YEDR1 (LPDN Pre 01 Post 9), 0.5u Pre-0Post-3</t>
  </si>
  <si>
    <t>Q20240107F1</t>
  </si>
  <si>
    <t>YEDR1 (LPDN Pre 13 Post 4), 0.5u Pre-1Post-6</t>
  </si>
  <si>
    <t>Q20250021.F1</t>
  </si>
  <si>
    <t>YEDR1 (LPDN Pre 0 Post 9), 0.5u Pre-1Post-6</t>
  </si>
  <si>
    <t>Q20260116.F1</t>
  </si>
  <si>
    <t>YEDR1 (LPDN Pre 3Post 9), 0.5u Pre-0Post-2</t>
  </si>
  <si>
    <t>Q20270052.F1</t>
  </si>
  <si>
    <t>YEDR1 (LPDN Pre 2Post 2), 0.5u Pre-0Post-6</t>
  </si>
  <si>
    <t>Q20270126.F1</t>
  </si>
  <si>
    <t>YEDR1 (LPDN Pre 0Post 2), 0.5u Pre-0Post-6</t>
  </si>
  <si>
    <t>YEDR1 (LPDN Pre 2Post 31), 0.5u Pre-0Post-6</t>
  </si>
  <si>
    <t>YEDR1(LPDN Pre-1 Post-2)(0.5u Pre-0 Post-3)(AC Pre-0 Post-3)</t>
  </si>
  <si>
    <t>YEDR1(LPDN Pre-4 Post-5)(0.5u Pre-3 Post-3)(AC Pre-3 Post-3)</t>
  </si>
  <si>
    <t>Q20280101.F1</t>
  </si>
  <si>
    <t>Q20280102.F1</t>
  </si>
  <si>
    <t>YEDR1(LPDN Pre-4 Post-5)(0.5u Pre-3 Post-3)(AC Pre-2 Post-14)</t>
  </si>
  <si>
    <t>Q20290017.F1</t>
  </si>
  <si>
    <t>YEDR1 (LPDN Pre 08 Post 20), 0.5u-0,28/ac-0,25</t>
  </si>
  <si>
    <t>Q20290097.F1</t>
  </si>
  <si>
    <t>YEDR1 (LPDN Pre 07 Post 16), 0.5u-0-2</t>
  </si>
  <si>
    <t>YEDR1 (LPDN Pre 302Post 755), 0.5u-2-2</t>
  </si>
  <si>
    <t>YEDR1 (LPDN Pre 316 Post 755), 0.5u-0-10</t>
  </si>
  <si>
    <t>YEDR1 (LPDN Pre 218Post 715), 0.5u-2-2</t>
  </si>
  <si>
    <t>Q20300103.F1</t>
  </si>
  <si>
    <t>YEDR1(LPDN Pre-27 Post-71)(0.5u Pre-1 Post-2)(AC Pre-1 Post-1)</t>
  </si>
  <si>
    <t>Q20310116.F1</t>
  </si>
  <si>
    <t>YEDR1(LPDN Pre-5 Post-30)(0.5u Pre-0 Post-2)(AC Pre-0 Post-2)</t>
  </si>
  <si>
    <t>Q20320049.F1</t>
  </si>
  <si>
    <t>YEDR1(LPDN Pre-3 Post-20)(0.5u Pre-3 Post-20)(AC Pre-3 Post-18)</t>
  </si>
  <si>
    <t>YEDR1(LPDN Pre-01 Post-12)(0.5u Pre-1 Post-11)(AC Pre-0 Post-9)</t>
  </si>
  <si>
    <t>YEDR1(LPDN Pre-02 Post-12)(0.5u Pre-0 Post-8)(AC Pre-0 Post-4)</t>
  </si>
  <si>
    <t>YEDR1(LPDN Pre-12 Post-24)(0.5u Pre-11 Post-13)(AC Pre-9 Post-10)</t>
  </si>
  <si>
    <t>YEDR1(LPDN Pre-24 Post-43)(0.5u Pre-8 Post-17)(AC Pre-4 Post-13)</t>
  </si>
  <si>
    <t>2 times used wafer</t>
  </si>
  <si>
    <t>Q20350026.F1</t>
  </si>
  <si>
    <t>1 time used wafer, Q20350026.F1</t>
  </si>
  <si>
    <t>YEDR1(LPDN Pre-0 Post-18)(0.5u Pre-0 Post-4)(AC Pre-0 Post-2)</t>
  </si>
  <si>
    <t>Fresh wafer</t>
  </si>
  <si>
    <t>YEDR1(LPDN Pre-2 Post-24)(0.5u Pre-1 Post-3)(AC Pre-1 Post-1)</t>
  </si>
  <si>
    <t>Q20350049.F1</t>
  </si>
  <si>
    <t>YEDR1(LPDN Pre-1 Post-2)(0.5u Pre-2 Post-6)(AC Pre-2 Post-3)</t>
  </si>
  <si>
    <t>Q20350072.F1</t>
  </si>
  <si>
    <t>AFTER RF PM (PM done after 56 rf hrs)</t>
  </si>
  <si>
    <t>YEDR1(LPDN Pre-119 Post-348)(0.5u Pre-1 Post-4)(AC Pre-1 Post-4)</t>
  </si>
  <si>
    <t>Q20360060.F1</t>
  </si>
  <si>
    <t>YEDR1(LPDN Pre-117 Post-327)(0.5u Pre-0 Post-3)</t>
  </si>
  <si>
    <t>YEDR1(LPDN Pre-102 Post-336)(0.5u Pre-01 Post-19)</t>
  </si>
  <si>
    <t>YEDR1(LPDN Pre-117 Post-390)(0.5u Pre-01 Post-01)</t>
  </si>
  <si>
    <t>YEDR1(LPDN Pre-104 Post-350)(0.5u Pre-01 Post-01)</t>
  </si>
  <si>
    <t>Q20370107.F1</t>
  </si>
  <si>
    <t>LOAD
LOCK</t>
  </si>
  <si>
    <t>LLB</t>
  </si>
  <si>
    <t>YEDR1(LPDN Pre-3,Post-6)(0.5u Pre-1 Post-2)(AC Pre-0 Post-2)</t>
  </si>
  <si>
    <t>YEDR1(LPDN Pre-1,Post-5)(0.5u Pre-0 Post-0)(AC Pre-0 Post-0)</t>
  </si>
  <si>
    <t>LLA</t>
  </si>
  <si>
    <t>Q20390042.F1</t>
  </si>
  <si>
    <t>YEDR1(LPDN Pre-0,Post-0)(0.5u Pre-0 Post-3)(AC Pre-0 Post-2)</t>
  </si>
  <si>
    <t>YEDR1(LPDN Pre-0,Post-2)(0.5u Pre-3 Post-5)(AC Pre-2 Post-4)</t>
  </si>
  <si>
    <t>Q20400066.F1</t>
  </si>
  <si>
    <t>YEDR1(LPDN Pre-12,Post-49)(0.5u Pre-0 Post-3)(AC Pre-0 Post-2)</t>
  </si>
  <si>
    <t>YEDR1(LPDN Pre-12,Post-9)(0.5u Pre-0 Post-3)(AC Pre-0 Post-2)</t>
  </si>
  <si>
    <t>Q20450032.F1</t>
  </si>
  <si>
    <t>&gt;0.16u</t>
  </si>
  <si>
    <t>AC</t>
  </si>
  <si>
    <t>&gt;0.5u</t>
  </si>
  <si>
    <t>YEDR1 (LPDN Pre 64, Post 361</t>
  </si>
  <si>
    <t>YEDR1 (LPDN Pre 0, Post 10 )</t>
  </si>
  <si>
    <t>YEDR1 (LPDN Pre 04, Post 69 )</t>
  </si>
  <si>
    <t>YEDR1 (LPDN Pre 02, Post  28)</t>
  </si>
  <si>
    <t>YEDR1 (LPDN Pre 01, Post  23)</t>
  </si>
  <si>
    <t>YEDR1 (LPDN Pre 04, Post  18)</t>
  </si>
  <si>
    <t>YEDR1 (LPDN Pre 03, Post  13)</t>
  </si>
  <si>
    <t>YEDR1 (LPDN Pre 13, Post  46)</t>
  </si>
  <si>
    <t>YEDR1 (LPDN Pre 6, Post  21)</t>
  </si>
  <si>
    <t>YEDR1 (LPDN Pre 02, Post 4)</t>
  </si>
  <si>
    <t>YEDR1 (LPDN Pre 08, Post 29)</t>
  </si>
  <si>
    <t>YEDR1 (LPDN Pre 41, Post 193)</t>
  </si>
  <si>
    <t>YEDR1 (LPDN Pre 181, Post 522)</t>
  </si>
  <si>
    <t>YEDR1 (LPDN Pre 2, Post  3)</t>
  </si>
  <si>
    <t>YEDR1 (LPDN Pre 125, Post  450)</t>
  </si>
  <si>
    <t>YEDR1 (LPDN Pre 0, Post  0)</t>
  </si>
  <si>
    <t>YEDR1 (LPDN Pre 02, Post 5)</t>
  </si>
  <si>
    <t>Q20460032.F1</t>
  </si>
  <si>
    <t>YEDR1(LPDN Pre-29,Post 63)</t>
  </si>
  <si>
    <t>Q20460071.F1</t>
  </si>
  <si>
    <t>YEDR1(LPDN Pre-63,Post 178) Wafer was reused</t>
  </si>
  <si>
    <t>YEDR1(LPDN Pre-8,Post 27)</t>
  </si>
  <si>
    <t>Q20470037.F1</t>
  </si>
  <si>
    <t>Q20480028.F1</t>
  </si>
  <si>
    <t>YEDR1(LPDN Pre-38,Post 77)</t>
  </si>
  <si>
    <t>YEDR1(LPDN Pre-05,Post 10)</t>
  </si>
  <si>
    <t>Q20480092.F1</t>
  </si>
  <si>
    <t>YEDR1(LPDN Pre-05,Post 11)</t>
  </si>
  <si>
    <t>Q20490021.F1</t>
  </si>
  <si>
    <t>YEDR1(LPDN Pre-04,Post 15)</t>
  </si>
  <si>
    <t>YEDR1(LPDN Pre-07,Post 05)</t>
  </si>
  <si>
    <t>Q20520021.F1</t>
  </si>
  <si>
    <t>YEDR1(LPDN Pre-01,Post 01)</t>
  </si>
  <si>
    <t>Q21010018.F1</t>
  </si>
  <si>
    <t>YEDR1(LPDN Pre-01,Post 05)</t>
  </si>
  <si>
    <t>Q21020053.F1</t>
  </si>
  <si>
    <t>Q21020101.F1</t>
  </si>
  <si>
    <t>YEDR1(LPDN Pre-01,Post 02)</t>
  </si>
  <si>
    <t>YEDR1(LPDN Pre-05,Post 05)</t>
  </si>
  <si>
    <t>Q21040045.F1</t>
  </si>
  <si>
    <t>Q21050028.F1</t>
  </si>
  <si>
    <t>Q21060005.F1</t>
  </si>
  <si>
    <t>YEDR1(LPDN Pre-14,Post 39)</t>
  </si>
  <si>
    <t>YEDR1(LPDN Pre-36,Post 80)</t>
  </si>
  <si>
    <t>Q21060063.F1</t>
  </si>
  <si>
    <t>1 TIme used wafer</t>
  </si>
  <si>
    <t>2 TIme used wafer</t>
  </si>
  <si>
    <t>YEDR1(LPDN Pre-81,Post-146)</t>
  </si>
  <si>
    <t>Q21070002.F1</t>
  </si>
  <si>
    <t>Delta CP 0.16u</t>
  </si>
  <si>
    <t>Delta CP 0.5u</t>
  </si>
  <si>
    <t>Delta CP AC</t>
  </si>
  <si>
    <t>YEDR1(LPDN Pre-3,Post-3)</t>
  </si>
  <si>
    <t>Q21090015.F1</t>
  </si>
  <si>
    <t>YEDR1(LPDN Pre-9,Post-30)</t>
  </si>
  <si>
    <t>Q21090120.F1</t>
  </si>
  <si>
    <t>YEDR1(LPDN Pre-5,Post-12)</t>
  </si>
  <si>
    <t>Q21100017.F1</t>
  </si>
</sst>
</file>

<file path=xl/styles.xml><?xml version="1.0" encoding="utf-8"?>
<styleSheet xmlns="http://schemas.openxmlformats.org/spreadsheetml/2006/main">
  <numFmts count="3">
    <numFmt numFmtId="164" formatCode="mm\/dd\/yyyy"/>
    <numFmt numFmtId="165" formatCode="0.00_);\(0.00\)"/>
    <numFmt numFmtId="166" formatCode="m/d/yyyy;@"/>
  </numFmts>
  <fonts count="25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sz val="10"/>
      <color rgb="FFFF000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B050"/>
      <name val="Arial"/>
      <family val="2"/>
    </font>
    <font>
      <sz val="10"/>
      <color theme="1"/>
      <name val="Arial"/>
      <family val="2"/>
    </font>
    <font>
      <sz val="28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0000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4" fillId="0" borderId="0"/>
    <xf numFmtId="0" fontId="1" fillId="0" borderId="0"/>
  </cellStyleXfs>
  <cellXfs count="319">
    <xf numFmtId="0" fontId="0" fillId="0" borderId="0" xfId="0"/>
    <xf numFmtId="0" fontId="2" fillId="0" borderId="0" xfId="0" applyFont="1"/>
    <xf numFmtId="0" fontId="6" fillId="2" borderId="0" xfId="1" applyFont="1" applyFill="1" applyAlignment="1"/>
    <xf numFmtId="0" fontId="8" fillId="0" borderId="0" xfId="1" applyFont="1" applyBorder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0" fontId="8" fillId="0" borderId="0" xfId="1" applyFont="1" applyBorder="1"/>
    <xf numFmtId="0" fontId="5" fillId="2" borderId="5" xfId="1" applyFont="1" applyFill="1" applyBorder="1" applyAlignment="1">
      <alignment horizontal="right"/>
    </xf>
    <xf numFmtId="0" fontId="4" fillId="0" borderId="0" xfId="1"/>
    <xf numFmtId="164" fontId="5" fillId="2" borderId="4" xfId="1" applyNumberFormat="1" applyFont="1" applyFill="1" applyBorder="1" applyAlignment="1">
      <alignment horizontal="left"/>
    </xf>
    <xf numFmtId="0" fontId="8" fillId="2" borderId="0" xfId="1" applyFont="1" applyFill="1" applyBorder="1" applyAlignment="1">
      <alignment horizontal="center"/>
    </xf>
    <xf numFmtId="0" fontId="7" fillId="2" borderId="0" xfId="1" applyFont="1" applyFill="1" applyBorder="1" applyAlignment="1"/>
    <xf numFmtId="0" fontId="7" fillId="2" borderId="5" xfId="1" applyFont="1" applyFill="1" applyBorder="1" applyAlignment="1"/>
    <xf numFmtId="0" fontId="8" fillId="2" borderId="7" xfId="1" applyFont="1" applyFill="1" applyBorder="1" applyAlignment="1">
      <alignment horizontal="center"/>
    </xf>
    <xf numFmtId="0" fontId="7" fillId="2" borderId="7" xfId="1" applyFont="1" applyFill="1" applyBorder="1" applyAlignment="1">
      <alignment horizontal="center"/>
    </xf>
    <xf numFmtId="0" fontId="7" fillId="2" borderId="7" xfId="1" applyFont="1" applyFill="1" applyBorder="1" applyAlignment="1"/>
    <xf numFmtId="0" fontId="7" fillId="2" borderId="8" xfId="1" applyFont="1" applyFill="1" applyBorder="1" applyAlignment="1"/>
    <xf numFmtId="0" fontId="4" fillId="0" borderId="13" xfId="1" applyBorder="1" applyAlignment="1">
      <alignment horizontal="center"/>
    </xf>
    <xf numFmtId="0" fontId="9" fillId="0" borderId="13" xfId="1" applyFont="1" applyBorder="1" applyAlignment="1" applyProtection="1">
      <alignment horizontal="center" wrapText="1"/>
    </xf>
    <xf numFmtId="0" fontId="10" fillId="0" borderId="13" xfId="1" applyFont="1" applyBorder="1" applyAlignment="1">
      <alignment horizontal="center" wrapText="1"/>
    </xf>
    <xf numFmtId="0" fontId="9" fillId="0" borderId="13" xfId="1" applyFont="1" applyFill="1" applyBorder="1" applyAlignment="1">
      <alignment horizontal="center"/>
    </xf>
    <xf numFmtId="0" fontId="4" fillId="0" borderId="10" xfId="1" applyFill="1" applyBorder="1"/>
    <xf numFmtId="0" fontId="4" fillId="0" borderId="13" xfId="1" applyBorder="1"/>
    <xf numFmtId="0" fontId="9" fillId="0" borderId="13" xfId="1" applyFont="1" applyFill="1" applyBorder="1" applyAlignment="1">
      <alignment horizontal="center" wrapText="1"/>
    </xf>
    <xf numFmtId="0" fontId="9" fillId="0" borderId="13" xfId="1" applyFont="1" applyBorder="1" applyAlignment="1">
      <alignment horizontal="center" wrapText="1"/>
    </xf>
    <xf numFmtId="0" fontId="9" fillId="0" borderId="10" xfId="1" applyFont="1" applyBorder="1" applyAlignment="1"/>
    <xf numFmtId="0" fontId="4" fillId="0" borderId="0" xfId="1" applyAlignment="1">
      <alignment horizontal="center"/>
    </xf>
    <xf numFmtId="0" fontId="10" fillId="0" borderId="9" xfId="1" applyFont="1" applyBorder="1" applyAlignment="1">
      <alignment horizontal="center" wrapText="1"/>
    </xf>
    <xf numFmtId="0" fontId="9" fillId="0" borderId="4" xfId="1" applyFont="1" applyFill="1" applyBorder="1" applyAlignment="1">
      <alignment horizontal="center"/>
    </xf>
    <xf numFmtId="0" fontId="9" fillId="0" borderId="1" xfId="1" applyFont="1" applyBorder="1" applyAlignment="1"/>
    <xf numFmtId="0" fontId="4" fillId="0" borderId="10" xfId="1" applyBorder="1"/>
    <xf numFmtId="0" fontId="9" fillId="0" borderId="10" xfId="1" applyFont="1" applyBorder="1"/>
    <xf numFmtId="0" fontId="4" fillId="0" borderId="9" xfId="1" applyBorder="1" applyAlignment="1">
      <alignment horizontal="center"/>
    </xf>
    <xf numFmtId="0" fontId="9" fillId="0" borderId="1" xfId="1" applyFont="1" applyBorder="1"/>
    <xf numFmtId="0" fontId="4" fillId="0" borderId="10" xfId="1" applyBorder="1" applyAlignment="1">
      <alignment horizontal="center"/>
    </xf>
    <xf numFmtId="0" fontId="4" fillId="0" borderId="13" xfId="1" applyFill="1" applyBorder="1"/>
    <xf numFmtId="0" fontId="9" fillId="0" borderId="13" xfId="1" applyFont="1" applyBorder="1"/>
    <xf numFmtId="0" fontId="11" fillId="0" borderId="0" xfId="1" applyFont="1" applyAlignment="1">
      <alignment horizontal="center"/>
    </xf>
    <xf numFmtId="164" fontId="4" fillId="0" borderId="0" xfId="1" applyNumberFormat="1" applyAlignment="1">
      <alignment horizontal="center"/>
    </xf>
    <xf numFmtId="0" fontId="11" fillId="0" borderId="0" xfId="1" applyFont="1" applyFill="1" applyBorder="1" applyAlignment="1">
      <alignment horizontal="center"/>
    </xf>
    <xf numFmtId="0" fontId="8" fillId="0" borderId="15" xfId="1" applyFont="1" applyBorder="1" applyAlignment="1">
      <alignment vertical="top" wrapText="1"/>
    </xf>
    <xf numFmtId="0" fontId="8" fillId="0" borderId="16" xfId="1" applyFont="1" applyBorder="1" applyAlignment="1">
      <alignment vertical="top"/>
    </xf>
    <xf numFmtId="0" fontId="8" fillId="0" borderId="16" xfId="1" applyFont="1" applyBorder="1" applyAlignment="1">
      <alignment vertical="top" wrapText="1"/>
    </xf>
    <xf numFmtId="0" fontId="8" fillId="0" borderId="16" xfId="1" applyFont="1" applyFill="1" applyBorder="1" applyAlignment="1">
      <alignment vertical="top" wrapText="1"/>
    </xf>
    <xf numFmtId="0" fontId="9" fillId="0" borderId="17" xfId="1" applyFont="1" applyBorder="1" applyAlignment="1">
      <alignment horizontal="center" wrapText="1"/>
    </xf>
    <xf numFmtId="0" fontId="8" fillId="0" borderId="17" xfId="1" applyFont="1" applyBorder="1" applyAlignment="1">
      <alignment vertical="top" wrapText="1"/>
    </xf>
    <xf numFmtId="0" fontId="8" fillId="0" borderId="18" xfId="1" applyFont="1" applyBorder="1" applyAlignment="1">
      <alignment vertical="top" wrapText="1"/>
    </xf>
    <xf numFmtId="0" fontId="8" fillId="0" borderId="14" xfId="1" applyFont="1" applyBorder="1" applyAlignment="1">
      <alignment vertical="top"/>
    </xf>
    <xf numFmtId="0" fontId="8" fillId="0" borderId="14" xfId="1" applyFont="1" applyBorder="1" applyAlignment="1">
      <alignment vertical="top" wrapText="1"/>
    </xf>
    <xf numFmtId="0" fontId="8" fillId="0" borderId="14" xfId="1" applyFont="1" applyFill="1" applyBorder="1" applyAlignment="1">
      <alignment vertical="top" wrapText="1"/>
    </xf>
    <xf numFmtId="0" fontId="4" fillId="3" borderId="0" xfId="1" applyFill="1" applyBorder="1"/>
    <xf numFmtId="0" fontId="8" fillId="0" borderId="13" xfId="1" applyFont="1" applyBorder="1" applyAlignment="1">
      <alignment vertical="top" wrapText="1"/>
    </xf>
    <xf numFmtId="0" fontId="11" fillId="0" borderId="0" xfId="1" applyFont="1" applyFill="1" applyBorder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8" fillId="0" borderId="19" xfId="1" applyFont="1" applyBorder="1" applyAlignment="1">
      <alignment vertical="top" wrapText="1"/>
    </xf>
    <xf numFmtId="0" fontId="8" fillId="0" borderId="20" xfId="1" applyFont="1" applyBorder="1" applyAlignment="1">
      <alignment vertical="top"/>
    </xf>
    <xf numFmtId="0" fontId="8" fillId="0" borderId="21" xfId="1" applyFont="1" applyBorder="1" applyAlignment="1">
      <alignment vertical="top" wrapText="1"/>
    </xf>
    <xf numFmtId="0" fontId="8" fillId="0" borderId="9" xfId="1" applyFont="1" applyBorder="1" applyAlignment="1">
      <alignment vertical="top" wrapText="1"/>
    </xf>
    <xf numFmtId="0" fontId="8" fillId="0" borderId="9" xfId="1" applyFont="1" applyFill="1" applyBorder="1" applyAlignment="1">
      <alignment vertical="top" wrapText="1"/>
    </xf>
    <xf numFmtId="0" fontId="8" fillId="0" borderId="22" xfId="1" applyFont="1" applyBorder="1" applyAlignment="1">
      <alignment vertical="top" wrapText="1"/>
    </xf>
    <xf numFmtId="0" fontId="8" fillId="0" borderId="12" xfId="1" applyFont="1" applyBorder="1" applyAlignment="1">
      <alignment vertical="top"/>
    </xf>
    <xf numFmtId="0" fontId="8" fillId="0" borderId="12" xfId="1" applyFont="1" applyBorder="1" applyAlignment="1">
      <alignment vertical="top" wrapText="1"/>
    </xf>
    <xf numFmtId="0" fontId="4" fillId="3" borderId="23" xfId="1" applyFill="1" applyBorder="1"/>
    <xf numFmtId="0" fontId="8" fillId="0" borderId="20" xfId="1" applyFont="1" applyBorder="1" applyAlignment="1">
      <alignment vertical="top" wrapText="1"/>
    </xf>
    <xf numFmtId="0" fontId="8" fillId="0" borderId="9" xfId="1" applyFont="1" applyBorder="1" applyAlignment="1">
      <alignment vertical="top"/>
    </xf>
    <xf numFmtId="0" fontId="4" fillId="0" borderId="0" xfId="1" applyFill="1" applyBorder="1"/>
    <xf numFmtId="0" fontId="9" fillId="0" borderId="0" xfId="1" applyFont="1"/>
    <xf numFmtId="0" fontId="8" fillId="0" borderId="24" xfId="1" applyFont="1" applyBorder="1" applyAlignment="1">
      <alignment vertical="top" wrapText="1"/>
    </xf>
    <xf numFmtId="0" fontId="4" fillId="0" borderId="0" xfId="1" applyBorder="1"/>
    <xf numFmtId="0" fontId="4" fillId="0" borderId="23" xfId="1" applyBorder="1"/>
    <xf numFmtId="0" fontId="4" fillId="0" borderId="27" xfId="1" applyBorder="1" applyAlignment="1">
      <alignment vertical="center"/>
    </xf>
    <xf numFmtId="0" fontId="9" fillId="0" borderId="9" xfId="1" applyFont="1" applyBorder="1" applyAlignment="1">
      <alignment horizontal="center" wrapText="1"/>
    </xf>
    <xf numFmtId="0" fontId="4" fillId="3" borderId="2" xfId="1" applyFill="1" applyBorder="1"/>
    <xf numFmtId="0" fontId="4" fillId="0" borderId="2" xfId="1" applyBorder="1"/>
    <xf numFmtId="0" fontId="1" fillId="0" borderId="0" xfId="2"/>
    <xf numFmtId="0" fontId="12" fillId="0" borderId="0" xfId="1" applyFont="1"/>
    <xf numFmtId="0" fontId="7" fillId="0" borderId="15" xfId="1" applyFont="1" applyBorder="1" applyAlignment="1">
      <alignment vertical="center"/>
    </xf>
    <xf numFmtId="0" fontId="7" fillId="0" borderId="18" xfId="1" applyFont="1" applyBorder="1" applyAlignment="1">
      <alignment vertical="center"/>
    </xf>
    <xf numFmtId="0" fontId="7" fillId="0" borderId="15" xfId="1" applyFont="1" applyBorder="1" applyAlignment="1">
      <alignment vertical="top"/>
    </xf>
    <xf numFmtId="0" fontId="7" fillId="0" borderId="18" xfId="1" applyFont="1" applyBorder="1" applyAlignment="1">
      <alignment vertical="top"/>
    </xf>
    <xf numFmtId="0" fontId="4" fillId="3" borderId="0" xfId="1" applyFill="1"/>
    <xf numFmtId="0" fontId="7" fillId="0" borderId="24" xfId="1" applyFont="1" applyBorder="1" applyAlignment="1">
      <alignment vertical="top"/>
    </xf>
    <xf numFmtId="0" fontId="12" fillId="0" borderId="29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8" fillId="0" borderId="6" xfId="1" applyFont="1" applyBorder="1" applyAlignment="1">
      <alignment vertical="top" wrapText="1"/>
    </xf>
    <xf numFmtId="0" fontId="8" fillId="0" borderId="4" xfId="1" applyFont="1" applyBorder="1" applyAlignment="1">
      <alignment vertical="top" wrapText="1"/>
    </xf>
    <xf numFmtId="0" fontId="8" fillId="0" borderId="30" xfId="1" applyFont="1" applyBorder="1" applyAlignment="1">
      <alignment vertical="top" wrapText="1"/>
    </xf>
    <xf numFmtId="0" fontId="7" fillId="0" borderId="32" xfId="1" applyFont="1" applyBorder="1" applyAlignment="1">
      <alignment vertical="top"/>
    </xf>
    <xf numFmtId="0" fontId="7" fillId="0" borderId="33" xfId="1" applyFont="1" applyBorder="1" applyAlignment="1">
      <alignment vertical="top"/>
    </xf>
    <xf numFmtId="0" fontId="8" fillId="0" borderId="12" xfId="1" applyFont="1" applyFill="1" applyBorder="1" applyAlignment="1">
      <alignment vertical="center" wrapText="1"/>
    </xf>
    <xf numFmtId="0" fontId="8" fillId="0" borderId="14" xfId="1" applyFont="1" applyFill="1" applyBorder="1" applyAlignment="1">
      <alignment vertical="center" wrapText="1"/>
    </xf>
    <xf numFmtId="0" fontId="8" fillId="0" borderId="20" xfId="1" applyFont="1" applyFill="1" applyBorder="1" applyAlignment="1">
      <alignment vertical="center" wrapText="1"/>
    </xf>
    <xf numFmtId="0" fontId="8" fillId="0" borderId="16" xfId="1" applyFont="1" applyFill="1" applyBorder="1" applyAlignment="1">
      <alignment vertical="center" wrapText="1"/>
    </xf>
    <xf numFmtId="0" fontId="4" fillId="3" borderId="13" xfId="1" applyFill="1" applyBorder="1"/>
    <xf numFmtId="0" fontId="4" fillId="0" borderId="16" xfId="1" applyBorder="1" applyAlignment="1">
      <alignment vertical="top"/>
    </xf>
    <xf numFmtId="0" fontId="8" fillId="0" borderId="13" xfId="1" applyFont="1" applyFill="1" applyBorder="1" applyAlignment="1">
      <alignment vertical="top" wrapText="1"/>
    </xf>
    <xf numFmtId="0" fontId="4" fillId="0" borderId="14" xfId="1" applyBorder="1" applyAlignment="1">
      <alignment vertical="top"/>
    </xf>
    <xf numFmtId="0" fontId="4" fillId="0" borderId="9" xfId="1" applyBorder="1" applyAlignment="1">
      <alignment vertical="top"/>
    </xf>
    <xf numFmtId="0" fontId="8" fillId="0" borderId="21" xfId="1" applyFont="1" applyFill="1" applyBorder="1" applyAlignment="1">
      <alignment vertical="top" wrapText="1"/>
    </xf>
    <xf numFmtId="0" fontId="4" fillId="3" borderId="21" xfId="1" applyFill="1" applyBorder="1"/>
    <xf numFmtId="0" fontId="4" fillId="0" borderId="12" xfId="1" applyBorder="1" applyAlignment="1">
      <alignment vertical="top"/>
    </xf>
    <xf numFmtId="0" fontId="4" fillId="0" borderId="22" xfId="1" applyBorder="1" applyAlignment="1">
      <alignment vertical="top"/>
    </xf>
    <xf numFmtId="0" fontId="4" fillId="0" borderId="18" xfId="1" applyBorder="1" applyAlignment="1">
      <alignment vertical="top"/>
    </xf>
    <xf numFmtId="0" fontId="9" fillId="0" borderId="24" xfId="1" applyFont="1" applyBorder="1" applyAlignment="1">
      <alignment vertical="top"/>
    </xf>
    <xf numFmtId="0" fontId="4" fillId="0" borderId="15" xfId="1" applyBorder="1" applyAlignment="1">
      <alignment vertical="top"/>
    </xf>
    <xf numFmtId="0" fontId="8" fillId="0" borderId="9" xfId="1" applyFont="1" applyFill="1" applyBorder="1" applyAlignment="1">
      <alignment vertical="center" wrapText="1"/>
    </xf>
    <xf numFmtId="0" fontId="4" fillId="0" borderId="9" xfId="1" applyBorder="1"/>
    <xf numFmtId="0" fontId="8" fillId="2" borderId="0" xfId="1" applyFont="1" applyFill="1" applyBorder="1"/>
    <xf numFmtId="0" fontId="8" fillId="2" borderId="0" xfId="1" applyFont="1" applyFill="1" applyBorder="1" applyAlignment="1"/>
    <xf numFmtId="0" fontId="8" fillId="2" borderId="13" xfId="1" applyFont="1" applyFill="1" applyBorder="1" applyAlignment="1"/>
    <xf numFmtId="0" fontId="8" fillId="2" borderId="11" xfId="1" applyFont="1" applyFill="1" applyBorder="1" applyAlignment="1"/>
    <xf numFmtId="0" fontId="8" fillId="2" borderId="10" xfId="1" applyFont="1" applyFill="1" applyBorder="1" applyAlignment="1"/>
    <xf numFmtId="0" fontId="5" fillId="2" borderId="0" xfId="1" applyFont="1" applyFill="1" applyBorder="1" applyAlignment="1"/>
    <xf numFmtId="0" fontId="7" fillId="2" borderId="13" xfId="1" applyFont="1" applyFill="1" applyBorder="1" applyAlignment="1"/>
    <xf numFmtId="0" fontId="7" fillId="2" borderId="11" xfId="1" applyFont="1" applyFill="1" applyBorder="1" applyAlignment="1"/>
    <xf numFmtId="0" fontId="7" fillId="2" borderId="10" xfId="1" applyFont="1" applyFill="1" applyBorder="1" applyAlignment="1"/>
    <xf numFmtId="0" fontId="7" fillId="2" borderId="0" xfId="1" applyFont="1" applyFill="1" applyBorder="1"/>
    <xf numFmtId="0" fontId="5" fillId="2" borderId="0" xfId="1" applyFont="1" applyFill="1" applyBorder="1" applyAlignment="1">
      <alignment horizontal="left"/>
    </xf>
    <xf numFmtId="0" fontId="5" fillId="2" borderId="5" xfId="1" applyFont="1" applyFill="1" applyBorder="1" applyAlignment="1"/>
    <xf numFmtId="0" fontId="6" fillId="2" borderId="0" xfId="1" applyFont="1" applyFill="1" applyAlignment="1">
      <alignment horizontal="center"/>
    </xf>
    <xf numFmtId="0" fontId="14" fillId="2" borderId="0" xfId="1" applyFont="1" applyFill="1" applyAlignment="1">
      <alignment horizontal="center"/>
    </xf>
    <xf numFmtId="0" fontId="5" fillId="2" borderId="2" xfId="1" applyFont="1" applyFill="1" applyBorder="1" applyAlignment="1"/>
    <xf numFmtId="165" fontId="12" fillId="0" borderId="0" xfId="1" applyNumberFormat="1" applyFont="1" applyAlignment="1">
      <alignment horizontal="center"/>
    </xf>
    <xf numFmtId="165" fontId="12" fillId="0" borderId="13" xfId="1" applyNumberFormat="1" applyFont="1" applyBorder="1" applyAlignment="1">
      <alignment horizontal="center"/>
    </xf>
    <xf numFmtId="165" fontId="4" fillId="0" borderId="0" xfId="1" applyNumberFormat="1" applyAlignment="1">
      <alignment horizontal="center"/>
    </xf>
    <xf numFmtId="165" fontId="8" fillId="0" borderId="13" xfId="1" applyNumberFormat="1" applyFont="1" applyBorder="1" applyAlignment="1">
      <alignment horizontal="center" vertical="top" wrapText="1"/>
    </xf>
    <xf numFmtId="165" fontId="4" fillId="0" borderId="13" xfId="1" applyNumberFormat="1" applyBorder="1" applyAlignment="1">
      <alignment horizontal="center"/>
    </xf>
    <xf numFmtId="165" fontId="8" fillId="4" borderId="13" xfId="1" applyNumberFormat="1" applyFont="1" applyFill="1" applyBorder="1" applyAlignment="1">
      <alignment horizontal="center" vertical="top" wrapText="1"/>
    </xf>
    <xf numFmtId="165" fontId="9" fillId="0" borderId="13" xfId="1" applyNumberFormat="1" applyFont="1" applyBorder="1" applyAlignment="1">
      <alignment horizontal="center"/>
    </xf>
    <xf numFmtId="165" fontId="8" fillId="5" borderId="13" xfId="1" applyNumberFormat="1" applyFont="1" applyFill="1" applyBorder="1" applyAlignment="1">
      <alignment horizontal="center" vertical="top" wrapText="1"/>
    </xf>
    <xf numFmtId="165" fontId="8" fillId="0" borderId="13" xfId="1" applyNumberFormat="1" applyFont="1" applyFill="1" applyBorder="1" applyAlignment="1">
      <alignment horizontal="center" vertical="top" wrapText="1"/>
    </xf>
    <xf numFmtId="165" fontId="4" fillId="6" borderId="0" xfId="1" applyNumberFormat="1" applyFill="1" applyAlignment="1">
      <alignment horizontal="center"/>
    </xf>
    <xf numFmtId="0" fontId="4" fillId="6" borderId="0" xfId="1" applyFill="1"/>
    <xf numFmtId="165" fontId="15" fillId="0" borderId="0" xfId="1" applyNumberFormat="1" applyFont="1" applyAlignment="1">
      <alignment horizontal="center"/>
    </xf>
    <xf numFmtId="0" fontId="5" fillId="2" borderId="4" xfId="1" applyFont="1" applyFill="1" applyBorder="1" applyAlignment="1"/>
    <xf numFmtId="0" fontId="9" fillId="2" borderId="0" xfId="1" applyFont="1" applyFill="1" applyAlignment="1"/>
    <xf numFmtId="0" fontId="12" fillId="2" borderId="0" xfId="1" applyFont="1" applyFill="1" applyAlignment="1"/>
    <xf numFmtId="0" fontId="5" fillId="2" borderId="4" xfId="1" applyFont="1" applyFill="1" applyBorder="1" applyAlignment="1">
      <alignment horizontal="left"/>
    </xf>
    <xf numFmtId="0" fontId="12" fillId="0" borderId="0" xfId="1" applyFont="1" applyBorder="1" applyAlignment="1"/>
    <xf numFmtId="0" fontId="16" fillId="0" borderId="0" xfId="1" applyFont="1" applyBorder="1" applyAlignment="1">
      <alignment wrapText="1"/>
    </xf>
    <xf numFmtId="0" fontId="7" fillId="2" borderId="4" xfId="1" applyFont="1" applyFill="1" applyBorder="1" applyAlignment="1"/>
    <xf numFmtId="0" fontId="7" fillId="2" borderId="0" xfId="1" applyFont="1" applyFill="1" applyBorder="1" applyAlignment="1">
      <alignment horizontal="left"/>
    </xf>
    <xf numFmtId="0" fontId="7" fillId="2" borderId="6" xfId="1" applyFont="1" applyFill="1" applyBorder="1" applyAlignment="1"/>
    <xf numFmtId="0" fontId="7" fillId="2" borderId="7" xfId="1" applyFont="1" applyFill="1" applyBorder="1" applyAlignment="1">
      <alignment horizontal="left"/>
    </xf>
    <xf numFmtId="0" fontId="17" fillId="0" borderId="13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/>
    </xf>
    <xf numFmtId="0" fontId="12" fillId="0" borderId="0" xfId="1" applyFont="1" applyBorder="1"/>
    <xf numFmtId="0" fontId="8" fillId="0" borderId="13" xfId="1" applyFont="1" applyBorder="1" applyAlignment="1">
      <alignment horizontal="center"/>
    </xf>
    <xf numFmtId="0" fontId="8" fillId="0" borderId="13" xfId="1" applyFont="1" applyBorder="1" applyAlignment="1">
      <alignment horizontal="center" wrapText="1"/>
    </xf>
    <xf numFmtId="0" fontId="10" fillId="0" borderId="13" xfId="1" applyFont="1" applyBorder="1" applyAlignment="1"/>
    <xf numFmtId="0" fontId="9" fillId="0" borderId="13" xfId="1" applyFont="1" applyBorder="1" applyAlignment="1"/>
    <xf numFmtId="0" fontId="9" fillId="0" borderId="0" xfId="1" applyFont="1" applyBorder="1" applyAlignment="1"/>
    <xf numFmtId="0" fontId="9" fillId="0" borderId="0" xfId="1" applyFont="1" applyBorder="1"/>
    <xf numFmtId="0" fontId="19" fillId="0" borderId="0" xfId="0" applyFont="1" applyAlignment="1">
      <alignment horizontal="center" vertical="top"/>
    </xf>
    <xf numFmtId="0" fontId="4" fillId="0" borderId="12" xfId="1" applyBorder="1"/>
    <xf numFmtId="164" fontId="18" fillId="0" borderId="9" xfId="0" applyNumberFormat="1" applyFont="1" applyBorder="1" applyAlignment="1">
      <alignment horizontal="center" vertical="top" wrapText="1"/>
    </xf>
    <xf numFmtId="0" fontId="18" fillId="0" borderId="9" xfId="0" applyFont="1" applyBorder="1" applyAlignment="1">
      <alignment vertical="top"/>
    </xf>
    <xf numFmtId="0" fontId="19" fillId="0" borderId="9" xfId="0" applyFont="1" applyBorder="1" applyAlignment="1">
      <alignment horizontal="center" vertical="top"/>
    </xf>
    <xf numFmtId="0" fontId="4" fillId="0" borderId="12" xfId="1" applyBorder="1" applyAlignment="1">
      <alignment horizontal="center"/>
    </xf>
    <xf numFmtId="0" fontId="9" fillId="0" borderId="12" xfId="1" applyFont="1" applyBorder="1" applyAlignment="1" applyProtection="1">
      <alignment horizontal="center" wrapText="1"/>
    </xf>
    <xf numFmtId="0" fontId="10" fillId="0" borderId="12" xfId="1" applyFont="1" applyBorder="1" applyAlignment="1">
      <alignment horizontal="center" wrapText="1"/>
    </xf>
    <xf numFmtId="0" fontId="9" fillId="0" borderId="12" xfId="1" applyFont="1" applyFill="1" applyBorder="1" applyAlignment="1">
      <alignment horizontal="center"/>
    </xf>
    <xf numFmtId="0" fontId="4" fillId="0" borderId="6" xfId="1" applyFill="1" applyBorder="1"/>
    <xf numFmtId="164" fontId="18" fillId="0" borderId="34" xfId="0" applyNumberFormat="1" applyFont="1" applyBorder="1" applyAlignment="1">
      <alignment horizontal="center" vertical="top" wrapText="1"/>
    </xf>
    <xf numFmtId="0" fontId="19" fillId="0" borderId="35" xfId="0" applyFont="1" applyBorder="1" applyAlignment="1">
      <alignment horizontal="center" vertical="top"/>
    </xf>
    <xf numFmtId="0" fontId="18" fillId="0" borderId="35" xfId="0" applyFont="1" applyBorder="1" applyAlignment="1">
      <alignment horizontal="center" vertical="top" wrapText="1"/>
    </xf>
    <xf numFmtId="0" fontId="18" fillId="0" borderId="35" xfId="0" applyFont="1" applyBorder="1" applyAlignment="1">
      <alignment horizontal="center" vertical="top"/>
    </xf>
    <xf numFmtId="0" fontId="19" fillId="0" borderId="35" xfId="0" applyFont="1" applyBorder="1" applyAlignment="1">
      <alignment horizontal="center" vertical="top" wrapText="1"/>
    </xf>
    <xf numFmtId="0" fontId="19" fillId="0" borderId="36" xfId="0" applyFont="1" applyBorder="1" applyAlignment="1">
      <alignment horizontal="center" vertical="top"/>
    </xf>
    <xf numFmtId="14" fontId="20" fillId="0" borderId="9" xfId="0" applyNumberFormat="1" applyFont="1" applyBorder="1" applyAlignment="1">
      <alignment horizontal="center" vertical="top" wrapText="1"/>
    </xf>
    <xf numFmtId="0" fontId="20" fillId="0" borderId="1" xfId="0" applyFont="1" applyBorder="1" applyAlignment="1">
      <alignment horizontal="center" vertical="top" wrapText="1"/>
    </xf>
    <xf numFmtId="0" fontId="20" fillId="0" borderId="2" xfId="0" applyFont="1" applyBorder="1" applyAlignment="1">
      <alignment vertical="top" wrapText="1"/>
    </xf>
    <xf numFmtId="0" fontId="20" fillId="0" borderId="3" xfId="0" applyFont="1" applyBorder="1" applyAlignment="1">
      <alignment vertical="top" wrapText="1"/>
    </xf>
    <xf numFmtId="0" fontId="1" fillId="0" borderId="0" xfId="0" applyFont="1" applyBorder="1"/>
    <xf numFmtId="0" fontId="1" fillId="0" borderId="0" xfId="0" applyFont="1" applyBorder="1" applyAlignment="1">
      <alignment horizontal="center"/>
    </xf>
    <xf numFmtId="0" fontId="1" fillId="0" borderId="2" xfId="0" applyFont="1" applyBorder="1"/>
    <xf numFmtId="0" fontId="1" fillId="0" borderId="0" xfId="0" applyFont="1" applyBorder="1" applyAlignment="1">
      <alignment horizontal="center" vertical="top"/>
    </xf>
    <xf numFmtId="0" fontId="1" fillId="0" borderId="0" xfId="0" applyFont="1"/>
    <xf numFmtId="166" fontId="21" fillId="0" borderId="34" xfId="0" applyNumberFormat="1" applyFont="1" applyBorder="1" applyAlignment="1">
      <alignment horizontal="center" vertical="top" wrapText="1"/>
    </xf>
    <xf numFmtId="165" fontId="7" fillId="0" borderId="35" xfId="1" applyNumberFormat="1" applyFont="1" applyBorder="1" applyAlignment="1">
      <alignment horizontal="center" vertical="center" wrapText="1"/>
    </xf>
    <xf numFmtId="0" fontId="7" fillId="0" borderId="35" xfId="1" applyFont="1" applyBorder="1" applyAlignment="1">
      <alignment horizontal="center" vertical="top"/>
    </xf>
    <xf numFmtId="0" fontId="7" fillId="0" borderId="35" xfId="1" applyFont="1" applyBorder="1" applyAlignment="1">
      <alignment horizontal="center" vertical="top" wrapText="1"/>
    </xf>
    <xf numFmtId="0" fontId="22" fillId="0" borderId="35" xfId="1" applyFont="1" applyBorder="1" applyAlignment="1">
      <alignment horizontal="center" vertical="center"/>
    </xf>
    <xf numFmtId="0" fontId="22" fillId="0" borderId="35" xfId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top"/>
    </xf>
    <xf numFmtId="0" fontId="18" fillId="0" borderId="9" xfId="0" applyFont="1" applyBorder="1" applyAlignment="1">
      <alignment horizontal="center" vertical="top"/>
    </xf>
    <xf numFmtId="0" fontId="4" fillId="0" borderId="14" xfId="1" applyFill="1" applyBorder="1" applyAlignment="1">
      <alignment horizontal="center"/>
    </xf>
    <xf numFmtId="0" fontId="4" fillId="0" borderId="13" xfId="1" applyFill="1" applyBorder="1" applyAlignment="1">
      <alignment horizontal="center"/>
    </xf>
    <xf numFmtId="0" fontId="4" fillId="0" borderId="1" xfId="1" applyBorder="1"/>
    <xf numFmtId="0" fontId="9" fillId="0" borderId="13" xfId="1" applyFont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164" fontId="4" fillId="0" borderId="12" xfId="1" applyNumberFormat="1" applyBorder="1" applyAlignment="1">
      <alignment horizontal="center"/>
    </xf>
    <xf numFmtId="164" fontId="4" fillId="0" borderId="13" xfId="1" applyNumberFormat="1" applyBorder="1" applyAlignment="1">
      <alignment horizontal="center"/>
    </xf>
    <xf numFmtId="164" fontId="4" fillId="0" borderId="9" xfId="1" applyNumberFormat="1" applyBorder="1" applyAlignment="1">
      <alignment horizontal="center"/>
    </xf>
    <xf numFmtId="164" fontId="7" fillId="2" borderId="6" xfId="1" applyNumberFormat="1" applyFont="1" applyFill="1" applyBorder="1" applyAlignment="1">
      <alignment horizontal="left"/>
    </xf>
    <xf numFmtId="164" fontId="8" fillId="0" borderId="28" xfId="1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164" fontId="8" fillId="0" borderId="3" xfId="1" applyNumberFormat="1" applyFont="1" applyFill="1" applyBorder="1" applyAlignment="1">
      <alignment horizontal="center" vertical="center" wrapText="1"/>
    </xf>
    <xf numFmtId="164" fontId="8" fillId="0" borderId="26" xfId="1" applyNumberFormat="1" applyFont="1" applyFill="1" applyBorder="1" applyAlignment="1">
      <alignment horizontal="center" vertical="center" wrapText="1"/>
    </xf>
    <xf numFmtId="164" fontId="8" fillId="0" borderId="25" xfId="1" applyNumberFormat="1" applyFont="1" applyFill="1" applyBorder="1" applyAlignment="1">
      <alignment horizontal="center" vertical="center" wrapText="1"/>
    </xf>
    <xf numFmtId="164" fontId="5" fillId="2" borderId="0" xfId="1" applyNumberFormat="1" applyFont="1" applyFill="1" applyBorder="1" applyAlignment="1">
      <alignment horizontal="left"/>
    </xf>
    <xf numFmtId="0" fontId="8" fillId="0" borderId="20" xfId="0" applyFont="1" applyBorder="1" applyAlignment="1">
      <alignment vertical="top" wrapText="1"/>
    </xf>
    <xf numFmtId="0" fontId="8" fillId="0" borderId="21" xfId="0" applyFont="1" applyBorder="1" applyAlignment="1">
      <alignment vertical="top" wrapText="1"/>
    </xf>
    <xf numFmtId="0" fontId="0" fillId="3" borderId="23" xfId="0" applyFill="1" applyBorder="1"/>
    <xf numFmtId="0" fontId="8" fillId="0" borderId="13" xfId="0" applyFont="1" applyBorder="1" applyAlignment="1">
      <alignment vertical="top" wrapText="1"/>
    </xf>
    <xf numFmtId="0" fontId="8" fillId="0" borderId="13" xfId="0" applyFont="1" applyFill="1" applyBorder="1" applyAlignment="1">
      <alignment vertical="top" wrapText="1"/>
    </xf>
    <xf numFmtId="0" fontId="8" fillId="0" borderId="13" xfId="0" applyFont="1" applyBorder="1" applyAlignment="1">
      <alignment vertical="top"/>
    </xf>
    <xf numFmtId="0" fontId="11" fillId="0" borderId="0" xfId="0" applyFont="1" applyAlignment="1">
      <alignment horizontal="center"/>
    </xf>
    <xf numFmtId="0" fontId="11" fillId="0" borderId="0" xfId="0" applyFont="1" applyFill="1" applyBorder="1" applyAlignment="1">
      <alignment horizontal="center"/>
    </xf>
    <xf numFmtId="0" fontId="8" fillId="0" borderId="14" xfId="0" applyFont="1" applyBorder="1" applyAlignment="1">
      <alignment vertical="top" wrapText="1"/>
    </xf>
    <xf numFmtId="0" fontId="0" fillId="3" borderId="0" xfId="0" applyFill="1" applyBorder="1"/>
    <xf numFmtId="0" fontId="8" fillId="0" borderId="12" xfId="0" applyFont="1" applyBorder="1" applyAlignment="1">
      <alignment vertical="top" wrapText="1"/>
    </xf>
    <xf numFmtId="0" fontId="9" fillId="0" borderId="13" xfId="0" applyFont="1" applyBorder="1" applyAlignment="1">
      <alignment horizontal="center" wrapText="1"/>
    </xf>
    <xf numFmtId="0" fontId="8" fillId="0" borderId="9" xfId="0" applyFont="1" applyBorder="1" applyAlignment="1">
      <alignment vertical="top" wrapText="1"/>
    </xf>
    <xf numFmtId="0" fontId="0" fillId="0" borderId="13" xfId="0" applyBorder="1"/>
    <xf numFmtId="0" fontId="11" fillId="0" borderId="0" xfId="0" applyFont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8" fillId="0" borderId="16" xfId="0" applyFont="1" applyBorder="1" applyAlignment="1">
      <alignment vertical="top" wrapText="1"/>
    </xf>
    <xf numFmtId="0" fontId="8" fillId="0" borderId="17" xfId="0" applyFont="1" applyBorder="1" applyAlignment="1">
      <alignment vertical="top" wrapText="1"/>
    </xf>
    <xf numFmtId="0" fontId="9" fillId="0" borderId="17" xfId="0" applyFont="1" applyBorder="1" applyAlignment="1">
      <alignment horizontal="center" wrapText="1"/>
    </xf>
    <xf numFmtId="0" fontId="9" fillId="0" borderId="40" xfId="0" applyFont="1" applyBorder="1" applyAlignment="1">
      <alignment horizontal="center" wrapText="1"/>
    </xf>
    <xf numFmtId="0" fontId="9" fillId="0" borderId="11" xfId="0" applyFont="1" applyBorder="1" applyAlignment="1">
      <alignment horizontal="center" wrapText="1"/>
    </xf>
    <xf numFmtId="164" fontId="0" fillId="0" borderId="28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0" fillId="0" borderId="41" xfId="0" applyNumberFormat="1" applyBorder="1" applyAlignment="1">
      <alignment horizontal="center" vertical="center"/>
    </xf>
    <xf numFmtId="0" fontId="9" fillId="0" borderId="0" xfId="0" applyFont="1"/>
    <xf numFmtId="0" fontId="9" fillId="0" borderId="0" xfId="0" applyFont="1" applyFill="1" applyBorder="1"/>
    <xf numFmtId="0" fontId="9" fillId="0" borderId="0" xfId="0" applyFont="1" applyFill="1" applyBorder="1" applyAlignment="1">
      <alignment horizontal="center" wrapText="1"/>
    </xf>
    <xf numFmtId="0" fontId="0" fillId="0" borderId="0" xfId="0" applyFill="1" applyBorder="1"/>
    <xf numFmtId="0" fontId="5" fillId="2" borderId="5" xfId="1" applyFont="1" applyFill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9" fillId="0" borderId="24" xfId="1" applyFont="1" applyBorder="1" applyAlignment="1">
      <alignment horizontal="center" vertical="top"/>
    </xf>
    <xf numFmtId="0" fontId="4" fillId="0" borderId="18" xfId="1" applyBorder="1" applyAlignment="1">
      <alignment horizontal="center" vertical="top"/>
    </xf>
    <xf numFmtId="0" fontId="4" fillId="0" borderId="24" xfId="1" applyBorder="1" applyAlignment="1">
      <alignment horizontal="center" vertical="top"/>
    </xf>
    <xf numFmtId="0" fontId="9" fillId="0" borderId="9" xfId="1" applyFont="1" applyBorder="1" applyAlignment="1">
      <alignment horizontal="center" vertical="top"/>
    </xf>
    <xf numFmtId="0" fontId="7" fillId="0" borderId="18" xfId="1" applyFont="1" applyBorder="1" applyAlignment="1">
      <alignment horizontal="center" vertical="top"/>
    </xf>
    <xf numFmtId="0" fontId="7" fillId="0" borderId="24" xfId="1" applyFont="1" applyBorder="1" applyAlignment="1">
      <alignment horizontal="center" vertical="top"/>
    </xf>
    <xf numFmtId="0" fontId="7" fillId="0" borderId="31" xfId="1" applyFont="1" applyBorder="1" applyAlignment="1">
      <alignment horizontal="center" vertical="top"/>
    </xf>
    <xf numFmtId="0" fontId="12" fillId="0" borderId="30" xfId="1" applyFont="1" applyBorder="1" applyAlignment="1">
      <alignment horizontal="center" vertical="center"/>
    </xf>
    <xf numFmtId="0" fontId="7" fillId="0" borderId="24" xfId="1" applyFont="1" applyBorder="1" applyAlignment="1">
      <alignment horizontal="center" vertical="center"/>
    </xf>
    <xf numFmtId="0" fontId="7" fillId="0" borderId="24" xfId="1" applyFont="1" applyBorder="1" applyAlignment="1">
      <alignment horizontal="center" vertical="center" wrapText="1"/>
    </xf>
    <xf numFmtId="0" fontId="7" fillId="0" borderId="18" xfId="1" applyFont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12" fillId="0" borderId="0" xfId="1" applyFont="1" applyAlignment="1">
      <alignment horizontal="center"/>
    </xf>
    <xf numFmtId="0" fontId="4" fillId="0" borderId="27" xfId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9" fillId="0" borderId="4" xfId="0" applyFont="1" applyBorder="1" applyAlignment="1">
      <alignment vertical="center"/>
    </xf>
    <xf numFmtId="164" fontId="0" fillId="0" borderId="13" xfId="0" applyNumberFormat="1" applyBorder="1" applyAlignment="1">
      <alignment horizontal="center"/>
    </xf>
    <xf numFmtId="0" fontId="0" fillId="0" borderId="37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10" fillId="0" borderId="13" xfId="0" applyFont="1" applyBorder="1" applyAlignment="1">
      <alignment horizontal="center" wrapText="1"/>
    </xf>
    <xf numFmtId="0" fontId="9" fillId="0" borderId="10" xfId="0" applyFont="1" applyBorder="1"/>
    <xf numFmtId="0" fontId="9" fillId="0" borderId="13" xfId="0" applyFont="1" applyBorder="1"/>
    <xf numFmtId="0" fontId="9" fillId="0" borderId="13" xfId="0" applyFont="1" applyFill="1" applyBorder="1" applyAlignment="1">
      <alignment horizontal="center" vertical="center"/>
    </xf>
    <xf numFmtId="0" fontId="23" fillId="0" borderId="13" xfId="0" applyFont="1" applyBorder="1" applyAlignment="1">
      <alignment horizontal="center"/>
    </xf>
    <xf numFmtId="0" fontId="23" fillId="0" borderId="13" xfId="0" applyFont="1" applyBorder="1"/>
    <xf numFmtId="164" fontId="23" fillId="0" borderId="13" xfId="0" applyNumberFormat="1" applyFont="1" applyBorder="1" applyAlignment="1">
      <alignment horizontal="center"/>
    </xf>
    <xf numFmtId="0" fontId="23" fillId="0" borderId="13" xfId="0" applyFont="1" applyFill="1" applyBorder="1" applyAlignment="1">
      <alignment horizontal="center"/>
    </xf>
    <xf numFmtId="0" fontId="4" fillId="0" borderId="10" xfId="0" applyFont="1" applyBorder="1"/>
    <xf numFmtId="0" fontId="0" fillId="0" borderId="0" xfId="0" applyProtection="1">
      <protection locked="0"/>
    </xf>
    <xf numFmtId="0" fontId="7" fillId="2" borderId="0" xfId="1" applyFont="1" applyFill="1" applyBorder="1" applyAlignment="1">
      <alignment horizontal="center"/>
    </xf>
    <xf numFmtId="14" fontId="20" fillId="0" borderId="5" xfId="0" applyNumberFormat="1" applyFont="1" applyBorder="1" applyAlignment="1">
      <alignment horizontal="center" vertical="top" wrapText="1"/>
    </xf>
    <xf numFmtId="0" fontId="20" fillId="0" borderId="0" xfId="0" applyFont="1" applyBorder="1" applyAlignment="1">
      <alignment vertical="top" wrapText="1"/>
    </xf>
    <xf numFmtId="0" fontId="20" fillId="0" borderId="5" xfId="0" applyFont="1" applyBorder="1" applyAlignment="1">
      <alignment vertical="top" wrapText="1"/>
    </xf>
    <xf numFmtId="0" fontId="3" fillId="0" borderId="16" xfId="0" applyFont="1" applyBorder="1" applyAlignment="1">
      <alignment horizontal="center" vertical="top"/>
    </xf>
    <xf numFmtId="0" fontId="21" fillId="0" borderId="16" xfId="0" applyFont="1" applyBorder="1" applyAlignment="1">
      <alignment horizontal="center" vertical="top" wrapText="1"/>
    </xf>
    <xf numFmtId="14" fontId="20" fillId="0" borderId="13" xfId="0" applyNumberFormat="1" applyFont="1" applyBorder="1" applyAlignment="1">
      <alignment horizontal="center" vertical="top" wrapText="1"/>
    </xf>
    <xf numFmtId="14" fontId="20" fillId="0" borderId="17" xfId="0" applyNumberFormat="1" applyFont="1" applyBorder="1" applyAlignment="1">
      <alignment horizontal="center" vertical="top" wrapText="1"/>
    </xf>
    <xf numFmtId="0" fontId="8" fillId="0" borderId="20" xfId="1" applyFont="1" applyFill="1" applyBorder="1" applyAlignment="1">
      <alignment vertical="top" wrapText="1"/>
    </xf>
    <xf numFmtId="0" fontId="9" fillId="0" borderId="14" xfId="1" applyFont="1" applyBorder="1" applyAlignment="1">
      <alignment horizontal="center" wrapText="1"/>
    </xf>
    <xf numFmtId="0" fontId="9" fillId="0" borderId="16" xfId="1" applyFont="1" applyBorder="1" applyAlignment="1">
      <alignment horizontal="center" wrapText="1"/>
    </xf>
    <xf numFmtId="0" fontId="4" fillId="0" borderId="0" xfId="1" applyAlignment="1">
      <alignment horizontal="left"/>
    </xf>
    <xf numFmtId="0" fontId="0" fillId="0" borderId="0" xfId="0" applyFont="1"/>
    <xf numFmtId="0" fontId="4" fillId="0" borderId="13" xfId="1" applyFont="1" applyBorder="1" applyAlignment="1">
      <alignment horizontal="center" wrapText="1"/>
    </xf>
    <xf numFmtId="0" fontId="4" fillId="0" borderId="17" xfId="1" applyFont="1" applyBorder="1" applyAlignment="1">
      <alignment horizontal="center" wrapText="1"/>
    </xf>
    <xf numFmtId="0" fontId="7" fillId="2" borderId="0" xfId="1" applyFont="1" applyFill="1" applyBorder="1" applyAlignment="1">
      <alignment horizontal="center"/>
    </xf>
    <xf numFmtId="164" fontId="18" fillId="0" borderId="5" xfId="0" applyNumberFormat="1" applyFont="1" applyBorder="1" applyAlignment="1">
      <alignment horizontal="center" vertical="top" wrapText="1"/>
    </xf>
    <xf numFmtId="0" fontId="18" fillId="0" borderId="14" xfId="0" applyFont="1" applyBorder="1" applyAlignment="1">
      <alignment vertical="top"/>
    </xf>
    <xf numFmtId="0" fontId="18" fillId="0" borderId="14" xfId="0" applyFont="1" applyBorder="1" applyAlignment="1">
      <alignment horizontal="center" vertical="top"/>
    </xf>
    <xf numFmtId="0" fontId="19" fillId="0" borderId="14" xfId="0" applyFont="1" applyBorder="1" applyAlignment="1">
      <alignment horizontal="center" vertical="top"/>
    </xf>
    <xf numFmtId="0" fontId="10" fillId="2" borderId="9" xfId="1" applyFont="1" applyFill="1" applyBorder="1" applyAlignment="1">
      <alignment horizontal="center" vertical="top"/>
    </xf>
    <xf numFmtId="0" fontId="10" fillId="2" borderId="14" xfId="1" applyFont="1" applyFill="1" applyBorder="1" applyAlignment="1">
      <alignment horizontal="center" vertical="top"/>
    </xf>
    <xf numFmtId="0" fontId="10" fillId="2" borderId="12" xfId="1" applyFont="1" applyFill="1" applyBorder="1" applyAlignment="1">
      <alignment horizontal="center" vertical="top"/>
    </xf>
    <xf numFmtId="0" fontId="9" fillId="0" borderId="13" xfId="1" applyFont="1" applyBorder="1" applyAlignment="1">
      <alignment horizontal="center"/>
    </xf>
    <xf numFmtId="0" fontId="5" fillId="2" borderId="1" xfId="1" applyFont="1" applyFill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0" fontId="5" fillId="2" borderId="3" xfId="1" applyFont="1" applyFill="1" applyBorder="1" applyAlignment="1">
      <alignment horizontal="center"/>
    </xf>
    <xf numFmtId="0" fontId="7" fillId="2" borderId="0" xfId="1" applyFont="1" applyFill="1" applyBorder="1" applyAlignment="1">
      <alignment horizontal="right"/>
    </xf>
    <xf numFmtId="0" fontId="7" fillId="2" borderId="5" xfId="1" applyFont="1" applyFill="1" applyBorder="1" applyAlignment="1">
      <alignment horizontal="right"/>
    </xf>
    <xf numFmtId="0" fontId="7" fillId="2" borderId="0" xfId="1" applyFont="1" applyFill="1" applyBorder="1" applyAlignment="1">
      <alignment horizontal="center"/>
    </xf>
    <xf numFmtId="0" fontId="7" fillId="2" borderId="5" xfId="1" applyFont="1" applyFill="1" applyBorder="1" applyAlignment="1">
      <alignment horizontal="center"/>
    </xf>
    <xf numFmtId="0" fontId="18" fillId="0" borderId="1" xfId="0" applyFont="1" applyBorder="1" applyAlignment="1">
      <alignment horizontal="center" vertical="top" wrapText="1"/>
    </xf>
    <xf numFmtId="0" fontId="18" fillId="0" borderId="3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vertical="top" wrapText="1"/>
    </xf>
    <xf numFmtId="0" fontId="18" fillId="0" borderId="9" xfId="0" applyFont="1" applyBorder="1" applyAlignment="1">
      <alignment horizontal="center" vertical="top"/>
    </xf>
    <xf numFmtId="0" fontId="18" fillId="0" borderId="1" xfId="0" applyFont="1" applyBorder="1" applyAlignment="1">
      <alignment horizontal="center" vertical="top"/>
    </xf>
    <xf numFmtId="0" fontId="18" fillId="0" borderId="2" xfId="0" applyFont="1" applyBorder="1" applyAlignment="1">
      <alignment horizontal="center" vertical="top"/>
    </xf>
    <xf numFmtId="0" fontId="18" fillId="0" borderId="3" xfId="0" applyFont="1" applyBorder="1" applyAlignment="1">
      <alignment horizontal="center" vertical="top"/>
    </xf>
    <xf numFmtId="0" fontId="9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14" fontId="20" fillId="0" borderId="26" xfId="0" applyNumberFormat="1" applyFont="1" applyBorder="1" applyAlignment="1">
      <alignment horizontal="center" vertical="top" wrapText="1"/>
    </xf>
    <xf numFmtId="14" fontId="20" fillId="0" borderId="20" xfId="0" applyNumberFormat="1" applyFont="1" applyBorder="1" applyAlignment="1">
      <alignment horizontal="center" vertical="top" wrapText="1"/>
    </xf>
    <xf numFmtId="14" fontId="20" fillId="0" borderId="24" xfId="0" applyNumberFormat="1" applyFont="1" applyBorder="1" applyAlignment="1">
      <alignment horizontal="center" vertical="top" wrapText="1"/>
    </xf>
    <xf numFmtId="164" fontId="0" fillId="0" borderId="28" xfId="0" applyNumberFormat="1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0" fillId="0" borderId="4" xfId="0" applyBorder="1" applyAlignment="1">
      <alignment vertical="center"/>
    </xf>
    <xf numFmtId="164" fontId="0" fillId="0" borderId="3" xfId="0" applyNumberFormat="1" applyBorder="1" applyAlignment="1">
      <alignment horizontal="center" vertical="center"/>
    </xf>
    <xf numFmtId="164" fontId="0" fillId="0" borderId="41" xfId="0" applyNumberForma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 wrapText="1"/>
    </xf>
    <xf numFmtId="0" fontId="20" fillId="0" borderId="17" xfId="0" applyFont="1" applyBorder="1" applyAlignment="1">
      <alignment horizontal="center" vertical="center" wrapText="1"/>
    </xf>
  </cellXfs>
  <cellStyles count="3">
    <cellStyle name="Normal" xfId="0" builtinId="0"/>
    <cellStyle name="Normal 17" xfId="2"/>
    <cellStyle name="Normal 2" xfId="1"/>
  </cellStyles>
  <dxfs count="929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topLeftCell="A19" workbookViewId="0">
      <selection activeCell="J13" sqref="J13"/>
    </sheetView>
  </sheetViews>
  <sheetFormatPr defaultRowHeight="12.75" customHeight="1"/>
  <cols>
    <col min="1" max="1" width="9.75" style="8" customWidth="1"/>
    <col min="2" max="2" width="10.625" style="8" customWidth="1"/>
    <col min="3" max="3" width="6.75" style="8" customWidth="1"/>
    <col min="4" max="4" width="13" style="8" customWidth="1"/>
    <col min="5" max="5" width="6.25" style="8" customWidth="1"/>
    <col min="6" max="6" width="9.625" style="8" customWidth="1"/>
    <col min="7" max="7" width="27.875" style="8" customWidth="1"/>
    <col min="8" max="256" width="8.75" style="8"/>
    <col min="257" max="257" width="9.75" style="8" customWidth="1"/>
    <col min="258" max="258" width="10.625" style="8" customWidth="1"/>
    <col min="259" max="259" width="6.75" style="8" customWidth="1"/>
    <col min="260" max="260" width="13" style="8" customWidth="1"/>
    <col min="261" max="261" width="6.25" style="8" customWidth="1"/>
    <col min="262" max="262" width="9.625" style="8" customWidth="1"/>
    <col min="263" max="263" width="27.875" style="8" customWidth="1"/>
    <col min="264" max="512" width="8.75" style="8"/>
    <col min="513" max="513" width="9.75" style="8" customWidth="1"/>
    <col min="514" max="514" width="10.625" style="8" customWidth="1"/>
    <col min="515" max="515" width="6.75" style="8" customWidth="1"/>
    <col min="516" max="516" width="13" style="8" customWidth="1"/>
    <col min="517" max="517" width="6.25" style="8" customWidth="1"/>
    <col min="518" max="518" width="9.625" style="8" customWidth="1"/>
    <col min="519" max="519" width="27.875" style="8" customWidth="1"/>
    <col min="520" max="768" width="8.75" style="8"/>
    <col min="769" max="769" width="9.75" style="8" customWidth="1"/>
    <col min="770" max="770" width="10.625" style="8" customWidth="1"/>
    <col min="771" max="771" width="6.75" style="8" customWidth="1"/>
    <col min="772" max="772" width="13" style="8" customWidth="1"/>
    <col min="773" max="773" width="6.25" style="8" customWidth="1"/>
    <col min="774" max="774" width="9.625" style="8" customWidth="1"/>
    <col min="775" max="775" width="27.875" style="8" customWidth="1"/>
    <col min="776" max="1024" width="8.75" style="8"/>
    <col min="1025" max="1025" width="9.75" style="8" customWidth="1"/>
    <col min="1026" max="1026" width="10.625" style="8" customWidth="1"/>
    <col min="1027" max="1027" width="6.75" style="8" customWidth="1"/>
    <col min="1028" max="1028" width="13" style="8" customWidth="1"/>
    <col min="1029" max="1029" width="6.25" style="8" customWidth="1"/>
    <col min="1030" max="1030" width="9.625" style="8" customWidth="1"/>
    <col min="1031" max="1031" width="27.875" style="8" customWidth="1"/>
    <col min="1032" max="1280" width="8.75" style="8"/>
    <col min="1281" max="1281" width="9.75" style="8" customWidth="1"/>
    <col min="1282" max="1282" width="10.625" style="8" customWidth="1"/>
    <col min="1283" max="1283" width="6.75" style="8" customWidth="1"/>
    <col min="1284" max="1284" width="13" style="8" customWidth="1"/>
    <col min="1285" max="1285" width="6.25" style="8" customWidth="1"/>
    <col min="1286" max="1286" width="9.625" style="8" customWidth="1"/>
    <col min="1287" max="1287" width="27.875" style="8" customWidth="1"/>
    <col min="1288" max="1536" width="8.75" style="8"/>
    <col min="1537" max="1537" width="9.75" style="8" customWidth="1"/>
    <col min="1538" max="1538" width="10.625" style="8" customWidth="1"/>
    <col min="1539" max="1539" width="6.75" style="8" customWidth="1"/>
    <col min="1540" max="1540" width="13" style="8" customWidth="1"/>
    <col min="1541" max="1541" width="6.25" style="8" customWidth="1"/>
    <col min="1542" max="1542" width="9.625" style="8" customWidth="1"/>
    <col min="1543" max="1543" width="27.875" style="8" customWidth="1"/>
    <col min="1544" max="1792" width="8.75" style="8"/>
    <col min="1793" max="1793" width="9.75" style="8" customWidth="1"/>
    <col min="1794" max="1794" width="10.625" style="8" customWidth="1"/>
    <col min="1795" max="1795" width="6.75" style="8" customWidth="1"/>
    <col min="1796" max="1796" width="13" style="8" customWidth="1"/>
    <col min="1797" max="1797" width="6.25" style="8" customWidth="1"/>
    <col min="1798" max="1798" width="9.625" style="8" customWidth="1"/>
    <col min="1799" max="1799" width="27.875" style="8" customWidth="1"/>
    <col min="1800" max="2048" width="8.75" style="8"/>
    <col min="2049" max="2049" width="9.75" style="8" customWidth="1"/>
    <col min="2050" max="2050" width="10.625" style="8" customWidth="1"/>
    <col min="2051" max="2051" width="6.75" style="8" customWidth="1"/>
    <col min="2052" max="2052" width="13" style="8" customWidth="1"/>
    <col min="2053" max="2053" width="6.25" style="8" customWidth="1"/>
    <col min="2054" max="2054" width="9.625" style="8" customWidth="1"/>
    <col min="2055" max="2055" width="27.875" style="8" customWidth="1"/>
    <col min="2056" max="2304" width="8.75" style="8"/>
    <col min="2305" max="2305" width="9.75" style="8" customWidth="1"/>
    <col min="2306" max="2306" width="10.625" style="8" customWidth="1"/>
    <col min="2307" max="2307" width="6.75" style="8" customWidth="1"/>
    <col min="2308" max="2308" width="13" style="8" customWidth="1"/>
    <col min="2309" max="2309" width="6.25" style="8" customWidth="1"/>
    <col min="2310" max="2310" width="9.625" style="8" customWidth="1"/>
    <col min="2311" max="2311" width="27.875" style="8" customWidth="1"/>
    <col min="2312" max="2560" width="8.75" style="8"/>
    <col min="2561" max="2561" width="9.75" style="8" customWidth="1"/>
    <col min="2562" max="2562" width="10.625" style="8" customWidth="1"/>
    <col min="2563" max="2563" width="6.75" style="8" customWidth="1"/>
    <col min="2564" max="2564" width="13" style="8" customWidth="1"/>
    <col min="2565" max="2565" width="6.25" style="8" customWidth="1"/>
    <col min="2566" max="2566" width="9.625" style="8" customWidth="1"/>
    <col min="2567" max="2567" width="27.875" style="8" customWidth="1"/>
    <col min="2568" max="2816" width="8.75" style="8"/>
    <col min="2817" max="2817" width="9.75" style="8" customWidth="1"/>
    <col min="2818" max="2818" width="10.625" style="8" customWidth="1"/>
    <col min="2819" max="2819" width="6.75" style="8" customWidth="1"/>
    <col min="2820" max="2820" width="13" style="8" customWidth="1"/>
    <col min="2821" max="2821" width="6.25" style="8" customWidth="1"/>
    <col min="2822" max="2822" width="9.625" style="8" customWidth="1"/>
    <col min="2823" max="2823" width="27.875" style="8" customWidth="1"/>
    <col min="2824" max="3072" width="8.75" style="8"/>
    <col min="3073" max="3073" width="9.75" style="8" customWidth="1"/>
    <col min="3074" max="3074" width="10.625" style="8" customWidth="1"/>
    <col min="3075" max="3075" width="6.75" style="8" customWidth="1"/>
    <col min="3076" max="3076" width="13" style="8" customWidth="1"/>
    <col min="3077" max="3077" width="6.25" style="8" customWidth="1"/>
    <col min="3078" max="3078" width="9.625" style="8" customWidth="1"/>
    <col min="3079" max="3079" width="27.875" style="8" customWidth="1"/>
    <col min="3080" max="3328" width="8.75" style="8"/>
    <col min="3329" max="3329" width="9.75" style="8" customWidth="1"/>
    <col min="3330" max="3330" width="10.625" style="8" customWidth="1"/>
    <col min="3331" max="3331" width="6.75" style="8" customWidth="1"/>
    <col min="3332" max="3332" width="13" style="8" customWidth="1"/>
    <col min="3333" max="3333" width="6.25" style="8" customWidth="1"/>
    <col min="3334" max="3334" width="9.625" style="8" customWidth="1"/>
    <col min="3335" max="3335" width="27.875" style="8" customWidth="1"/>
    <col min="3336" max="3584" width="8.75" style="8"/>
    <col min="3585" max="3585" width="9.75" style="8" customWidth="1"/>
    <col min="3586" max="3586" width="10.625" style="8" customWidth="1"/>
    <col min="3587" max="3587" width="6.75" style="8" customWidth="1"/>
    <col min="3588" max="3588" width="13" style="8" customWidth="1"/>
    <col min="3589" max="3589" width="6.25" style="8" customWidth="1"/>
    <col min="3590" max="3590" width="9.625" style="8" customWidth="1"/>
    <col min="3591" max="3591" width="27.875" style="8" customWidth="1"/>
    <col min="3592" max="3840" width="8.75" style="8"/>
    <col min="3841" max="3841" width="9.75" style="8" customWidth="1"/>
    <col min="3842" max="3842" width="10.625" style="8" customWidth="1"/>
    <col min="3843" max="3843" width="6.75" style="8" customWidth="1"/>
    <col min="3844" max="3844" width="13" style="8" customWidth="1"/>
    <col min="3845" max="3845" width="6.25" style="8" customWidth="1"/>
    <col min="3846" max="3846" width="9.625" style="8" customWidth="1"/>
    <col min="3847" max="3847" width="27.875" style="8" customWidth="1"/>
    <col min="3848" max="4096" width="8.75" style="8"/>
    <col min="4097" max="4097" width="9.75" style="8" customWidth="1"/>
    <col min="4098" max="4098" width="10.625" style="8" customWidth="1"/>
    <col min="4099" max="4099" width="6.75" style="8" customWidth="1"/>
    <col min="4100" max="4100" width="13" style="8" customWidth="1"/>
    <col min="4101" max="4101" width="6.25" style="8" customWidth="1"/>
    <col min="4102" max="4102" width="9.625" style="8" customWidth="1"/>
    <col min="4103" max="4103" width="27.875" style="8" customWidth="1"/>
    <col min="4104" max="4352" width="8.75" style="8"/>
    <col min="4353" max="4353" width="9.75" style="8" customWidth="1"/>
    <col min="4354" max="4354" width="10.625" style="8" customWidth="1"/>
    <col min="4355" max="4355" width="6.75" style="8" customWidth="1"/>
    <col min="4356" max="4356" width="13" style="8" customWidth="1"/>
    <col min="4357" max="4357" width="6.25" style="8" customWidth="1"/>
    <col min="4358" max="4358" width="9.625" style="8" customWidth="1"/>
    <col min="4359" max="4359" width="27.875" style="8" customWidth="1"/>
    <col min="4360" max="4608" width="8.75" style="8"/>
    <col min="4609" max="4609" width="9.75" style="8" customWidth="1"/>
    <col min="4610" max="4610" width="10.625" style="8" customWidth="1"/>
    <col min="4611" max="4611" width="6.75" style="8" customWidth="1"/>
    <col min="4612" max="4612" width="13" style="8" customWidth="1"/>
    <col min="4613" max="4613" width="6.25" style="8" customWidth="1"/>
    <col min="4614" max="4614" width="9.625" style="8" customWidth="1"/>
    <col min="4615" max="4615" width="27.875" style="8" customWidth="1"/>
    <col min="4616" max="4864" width="8.75" style="8"/>
    <col min="4865" max="4865" width="9.75" style="8" customWidth="1"/>
    <col min="4866" max="4866" width="10.625" style="8" customWidth="1"/>
    <col min="4867" max="4867" width="6.75" style="8" customWidth="1"/>
    <col min="4868" max="4868" width="13" style="8" customWidth="1"/>
    <col min="4869" max="4869" width="6.25" style="8" customWidth="1"/>
    <col min="4870" max="4870" width="9.625" style="8" customWidth="1"/>
    <col min="4871" max="4871" width="27.875" style="8" customWidth="1"/>
    <col min="4872" max="5120" width="8.75" style="8"/>
    <col min="5121" max="5121" width="9.75" style="8" customWidth="1"/>
    <col min="5122" max="5122" width="10.625" style="8" customWidth="1"/>
    <col min="5123" max="5123" width="6.75" style="8" customWidth="1"/>
    <col min="5124" max="5124" width="13" style="8" customWidth="1"/>
    <col min="5125" max="5125" width="6.25" style="8" customWidth="1"/>
    <col min="5126" max="5126" width="9.625" style="8" customWidth="1"/>
    <col min="5127" max="5127" width="27.875" style="8" customWidth="1"/>
    <col min="5128" max="5376" width="8.75" style="8"/>
    <col min="5377" max="5377" width="9.75" style="8" customWidth="1"/>
    <col min="5378" max="5378" width="10.625" style="8" customWidth="1"/>
    <col min="5379" max="5379" width="6.75" style="8" customWidth="1"/>
    <col min="5380" max="5380" width="13" style="8" customWidth="1"/>
    <col min="5381" max="5381" width="6.25" style="8" customWidth="1"/>
    <col min="5382" max="5382" width="9.625" style="8" customWidth="1"/>
    <col min="5383" max="5383" width="27.875" style="8" customWidth="1"/>
    <col min="5384" max="5632" width="8.75" style="8"/>
    <col min="5633" max="5633" width="9.75" style="8" customWidth="1"/>
    <col min="5634" max="5634" width="10.625" style="8" customWidth="1"/>
    <col min="5635" max="5635" width="6.75" style="8" customWidth="1"/>
    <col min="5636" max="5636" width="13" style="8" customWidth="1"/>
    <col min="5637" max="5637" width="6.25" style="8" customWidth="1"/>
    <col min="5638" max="5638" width="9.625" style="8" customWidth="1"/>
    <col min="5639" max="5639" width="27.875" style="8" customWidth="1"/>
    <col min="5640" max="5888" width="8.75" style="8"/>
    <col min="5889" max="5889" width="9.75" style="8" customWidth="1"/>
    <col min="5890" max="5890" width="10.625" style="8" customWidth="1"/>
    <col min="5891" max="5891" width="6.75" style="8" customWidth="1"/>
    <col min="5892" max="5892" width="13" style="8" customWidth="1"/>
    <col min="5893" max="5893" width="6.25" style="8" customWidth="1"/>
    <col min="5894" max="5894" width="9.625" style="8" customWidth="1"/>
    <col min="5895" max="5895" width="27.875" style="8" customWidth="1"/>
    <col min="5896" max="6144" width="8.75" style="8"/>
    <col min="6145" max="6145" width="9.75" style="8" customWidth="1"/>
    <col min="6146" max="6146" width="10.625" style="8" customWidth="1"/>
    <col min="6147" max="6147" width="6.75" style="8" customWidth="1"/>
    <col min="6148" max="6148" width="13" style="8" customWidth="1"/>
    <col min="6149" max="6149" width="6.25" style="8" customWidth="1"/>
    <col min="6150" max="6150" width="9.625" style="8" customWidth="1"/>
    <col min="6151" max="6151" width="27.875" style="8" customWidth="1"/>
    <col min="6152" max="6400" width="8.75" style="8"/>
    <col min="6401" max="6401" width="9.75" style="8" customWidth="1"/>
    <col min="6402" max="6402" width="10.625" style="8" customWidth="1"/>
    <col min="6403" max="6403" width="6.75" style="8" customWidth="1"/>
    <col min="6404" max="6404" width="13" style="8" customWidth="1"/>
    <col min="6405" max="6405" width="6.25" style="8" customWidth="1"/>
    <col min="6406" max="6406" width="9.625" style="8" customWidth="1"/>
    <col min="6407" max="6407" width="27.875" style="8" customWidth="1"/>
    <col min="6408" max="6656" width="8.75" style="8"/>
    <col min="6657" max="6657" width="9.75" style="8" customWidth="1"/>
    <col min="6658" max="6658" width="10.625" style="8" customWidth="1"/>
    <col min="6659" max="6659" width="6.75" style="8" customWidth="1"/>
    <col min="6660" max="6660" width="13" style="8" customWidth="1"/>
    <col min="6661" max="6661" width="6.25" style="8" customWidth="1"/>
    <col min="6662" max="6662" width="9.625" style="8" customWidth="1"/>
    <col min="6663" max="6663" width="27.875" style="8" customWidth="1"/>
    <col min="6664" max="6912" width="8.75" style="8"/>
    <col min="6913" max="6913" width="9.75" style="8" customWidth="1"/>
    <col min="6914" max="6914" width="10.625" style="8" customWidth="1"/>
    <col min="6915" max="6915" width="6.75" style="8" customWidth="1"/>
    <col min="6916" max="6916" width="13" style="8" customWidth="1"/>
    <col min="6917" max="6917" width="6.25" style="8" customWidth="1"/>
    <col min="6918" max="6918" width="9.625" style="8" customWidth="1"/>
    <col min="6919" max="6919" width="27.875" style="8" customWidth="1"/>
    <col min="6920" max="7168" width="8.75" style="8"/>
    <col min="7169" max="7169" width="9.75" style="8" customWidth="1"/>
    <col min="7170" max="7170" width="10.625" style="8" customWidth="1"/>
    <col min="7171" max="7171" width="6.75" style="8" customWidth="1"/>
    <col min="7172" max="7172" width="13" style="8" customWidth="1"/>
    <col min="7173" max="7173" width="6.25" style="8" customWidth="1"/>
    <col min="7174" max="7174" width="9.625" style="8" customWidth="1"/>
    <col min="7175" max="7175" width="27.875" style="8" customWidth="1"/>
    <col min="7176" max="7424" width="8.75" style="8"/>
    <col min="7425" max="7425" width="9.75" style="8" customWidth="1"/>
    <col min="7426" max="7426" width="10.625" style="8" customWidth="1"/>
    <col min="7427" max="7427" width="6.75" style="8" customWidth="1"/>
    <col min="7428" max="7428" width="13" style="8" customWidth="1"/>
    <col min="7429" max="7429" width="6.25" style="8" customWidth="1"/>
    <col min="7430" max="7430" width="9.625" style="8" customWidth="1"/>
    <col min="7431" max="7431" width="27.875" style="8" customWidth="1"/>
    <col min="7432" max="7680" width="8.75" style="8"/>
    <col min="7681" max="7681" width="9.75" style="8" customWidth="1"/>
    <col min="7682" max="7682" width="10.625" style="8" customWidth="1"/>
    <col min="7683" max="7683" width="6.75" style="8" customWidth="1"/>
    <col min="7684" max="7684" width="13" style="8" customWidth="1"/>
    <col min="7685" max="7685" width="6.25" style="8" customWidth="1"/>
    <col min="7686" max="7686" width="9.625" style="8" customWidth="1"/>
    <col min="7687" max="7687" width="27.875" style="8" customWidth="1"/>
    <col min="7688" max="7936" width="8.75" style="8"/>
    <col min="7937" max="7937" width="9.75" style="8" customWidth="1"/>
    <col min="7938" max="7938" width="10.625" style="8" customWidth="1"/>
    <col min="7939" max="7939" width="6.75" style="8" customWidth="1"/>
    <col min="7940" max="7940" width="13" style="8" customWidth="1"/>
    <col min="7941" max="7941" width="6.25" style="8" customWidth="1"/>
    <col min="7942" max="7942" width="9.625" style="8" customWidth="1"/>
    <col min="7943" max="7943" width="27.875" style="8" customWidth="1"/>
    <col min="7944" max="8192" width="8.75" style="8"/>
    <col min="8193" max="8193" width="9.75" style="8" customWidth="1"/>
    <col min="8194" max="8194" width="10.625" style="8" customWidth="1"/>
    <col min="8195" max="8195" width="6.75" style="8" customWidth="1"/>
    <col min="8196" max="8196" width="13" style="8" customWidth="1"/>
    <col min="8197" max="8197" width="6.25" style="8" customWidth="1"/>
    <col min="8198" max="8198" width="9.625" style="8" customWidth="1"/>
    <col min="8199" max="8199" width="27.875" style="8" customWidth="1"/>
    <col min="8200" max="8448" width="8.75" style="8"/>
    <col min="8449" max="8449" width="9.75" style="8" customWidth="1"/>
    <col min="8450" max="8450" width="10.625" style="8" customWidth="1"/>
    <col min="8451" max="8451" width="6.75" style="8" customWidth="1"/>
    <col min="8452" max="8452" width="13" style="8" customWidth="1"/>
    <col min="8453" max="8453" width="6.25" style="8" customWidth="1"/>
    <col min="8454" max="8454" width="9.625" style="8" customWidth="1"/>
    <col min="8455" max="8455" width="27.875" style="8" customWidth="1"/>
    <col min="8456" max="8704" width="8.75" style="8"/>
    <col min="8705" max="8705" width="9.75" style="8" customWidth="1"/>
    <col min="8706" max="8706" width="10.625" style="8" customWidth="1"/>
    <col min="8707" max="8707" width="6.75" style="8" customWidth="1"/>
    <col min="8708" max="8708" width="13" style="8" customWidth="1"/>
    <col min="8709" max="8709" width="6.25" style="8" customWidth="1"/>
    <col min="8710" max="8710" width="9.625" style="8" customWidth="1"/>
    <col min="8711" max="8711" width="27.875" style="8" customWidth="1"/>
    <col min="8712" max="8960" width="8.75" style="8"/>
    <col min="8961" max="8961" width="9.75" style="8" customWidth="1"/>
    <col min="8962" max="8962" width="10.625" style="8" customWidth="1"/>
    <col min="8963" max="8963" width="6.75" style="8" customWidth="1"/>
    <col min="8964" max="8964" width="13" style="8" customWidth="1"/>
    <col min="8965" max="8965" width="6.25" style="8" customWidth="1"/>
    <col min="8966" max="8966" width="9.625" style="8" customWidth="1"/>
    <col min="8967" max="8967" width="27.875" style="8" customWidth="1"/>
    <col min="8968" max="9216" width="8.75" style="8"/>
    <col min="9217" max="9217" width="9.75" style="8" customWidth="1"/>
    <col min="9218" max="9218" width="10.625" style="8" customWidth="1"/>
    <col min="9219" max="9219" width="6.75" style="8" customWidth="1"/>
    <col min="9220" max="9220" width="13" style="8" customWidth="1"/>
    <col min="9221" max="9221" width="6.25" style="8" customWidth="1"/>
    <col min="9222" max="9222" width="9.625" style="8" customWidth="1"/>
    <col min="9223" max="9223" width="27.875" style="8" customWidth="1"/>
    <col min="9224" max="9472" width="8.75" style="8"/>
    <col min="9473" max="9473" width="9.75" style="8" customWidth="1"/>
    <col min="9474" max="9474" width="10.625" style="8" customWidth="1"/>
    <col min="9475" max="9475" width="6.75" style="8" customWidth="1"/>
    <col min="9476" max="9476" width="13" style="8" customWidth="1"/>
    <col min="9477" max="9477" width="6.25" style="8" customWidth="1"/>
    <col min="9478" max="9478" width="9.625" style="8" customWidth="1"/>
    <col min="9479" max="9479" width="27.875" style="8" customWidth="1"/>
    <col min="9480" max="9728" width="8.75" style="8"/>
    <col min="9729" max="9729" width="9.75" style="8" customWidth="1"/>
    <col min="9730" max="9730" width="10.625" style="8" customWidth="1"/>
    <col min="9731" max="9731" width="6.75" style="8" customWidth="1"/>
    <col min="9732" max="9732" width="13" style="8" customWidth="1"/>
    <col min="9733" max="9733" width="6.25" style="8" customWidth="1"/>
    <col min="9734" max="9734" width="9.625" style="8" customWidth="1"/>
    <col min="9735" max="9735" width="27.875" style="8" customWidth="1"/>
    <col min="9736" max="9984" width="8.75" style="8"/>
    <col min="9985" max="9985" width="9.75" style="8" customWidth="1"/>
    <col min="9986" max="9986" width="10.625" style="8" customWidth="1"/>
    <col min="9987" max="9987" width="6.75" style="8" customWidth="1"/>
    <col min="9988" max="9988" width="13" style="8" customWidth="1"/>
    <col min="9989" max="9989" width="6.25" style="8" customWidth="1"/>
    <col min="9990" max="9990" width="9.625" style="8" customWidth="1"/>
    <col min="9991" max="9991" width="27.875" style="8" customWidth="1"/>
    <col min="9992" max="10240" width="8.75" style="8"/>
    <col min="10241" max="10241" width="9.75" style="8" customWidth="1"/>
    <col min="10242" max="10242" width="10.625" style="8" customWidth="1"/>
    <col min="10243" max="10243" width="6.75" style="8" customWidth="1"/>
    <col min="10244" max="10244" width="13" style="8" customWidth="1"/>
    <col min="10245" max="10245" width="6.25" style="8" customWidth="1"/>
    <col min="10246" max="10246" width="9.625" style="8" customWidth="1"/>
    <col min="10247" max="10247" width="27.875" style="8" customWidth="1"/>
    <col min="10248" max="10496" width="8.75" style="8"/>
    <col min="10497" max="10497" width="9.75" style="8" customWidth="1"/>
    <col min="10498" max="10498" width="10.625" style="8" customWidth="1"/>
    <col min="10499" max="10499" width="6.75" style="8" customWidth="1"/>
    <col min="10500" max="10500" width="13" style="8" customWidth="1"/>
    <col min="10501" max="10501" width="6.25" style="8" customWidth="1"/>
    <col min="10502" max="10502" width="9.625" style="8" customWidth="1"/>
    <col min="10503" max="10503" width="27.875" style="8" customWidth="1"/>
    <col min="10504" max="10752" width="8.75" style="8"/>
    <col min="10753" max="10753" width="9.75" style="8" customWidth="1"/>
    <col min="10754" max="10754" width="10.625" style="8" customWidth="1"/>
    <col min="10755" max="10755" width="6.75" style="8" customWidth="1"/>
    <col min="10756" max="10756" width="13" style="8" customWidth="1"/>
    <col min="10757" max="10757" width="6.25" style="8" customWidth="1"/>
    <col min="10758" max="10758" width="9.625" style="8" customWidth="1"/>
    <col min="10759" max="10759" width="27.875" style="8" customWidth="1"/>
    <col min="10760" max="11008" width="8.75" style="8"/>
    <col min="11009" max="11009" width="9.75" style="8" customWidth="1"/>
    <col min="11010" max="11010" width="10.625" style="8" customWidth="1"/>
    <col min="11011" max="11011" width="6.75" style="8" customWidth="1"/>
    <col min="11012" max="11012" width="13" style="8" customWidth="1"/>
    <col min="11013" max="11013" width="6.25" style="8" customWidth="1"/>
    <col min="11014" max="11014" width="9.625" style="8" customWidth="1"/>
    <col min="11015" max="11015" width="27.875" style="8" customWidth="1"/>
    <col min="11016" max="11264" width="8.75" style="8"/>
    <col min="11265" max="11265" width="9.75" style="8" customWidth="1"/>
    <col min="11266" max="11266" width="10.625" style="8" customWidth="1"/>
    <col min="11267" max="11267" width="6.75" style="8" customWidth="1"/>
    <col min="11268" max="11268" width="13" style="8" customWidth="1"/>
    <col min="11269" max="11269" width="6.25" style="8" customWidth="1"/>
    <col min="11270" max="11270" width="9.625" style="8" customWidth="1"/>
    <col min="11271" max="11271" width="27.875" style="8" customWidth="1"/>
    <col min="11272" max="11520" width="8.75" style="8"/>
    <col min="11521" max="11521" width="9.75" style="8" customWidth="1"/>
    <col min="11522" max="11522" width="10.625" style="8" customWidth="1"/>
    <col min="11523" max="11523" width="6.75" style="8" customWidth="1"/>
    <col min="11524" max="11524" width="13" style="8" customWidth="1"/>
    <col min="11525" max="11525" width="6.25" style="8" customWidth="1"/>
    <col min="11526" max="11526" width="9.625" style="8" customWidth="1"/>
    <col min="11527" max="11527" width="27.875" style="8" customWidth="1"/>
    <col min="11528" max="11776" width="8.75" style="8"/>
    <col min="11777" max="11777" width="9.75" style="8" customWidth="1"/>
    <col min="11778" max="11778" width="10.625" style="8" customWidth="1"/>
    <col min="11779" max="11779" width="6.75" style="8" customWidth="1"/>
    <col min="11780" max="11780" width="13" style="8" customWidth="1"/>
    <col min="11781" max="11781" width="6.25" style="8" customWidth="1"/>
    <col min="11782" max="11782" width="9.625" style="8" customWidth="1"/>
    <col min="11783" max="11783" width="27.875" style="8" customWidth="1"/>
    <col min="11784" max="12032" width="8.75" style="8"/>
    <col min="12033" max="12033" width="9.75" style="8" customWidth="1"/>
    <col min="12034" max="12034" width="10.625" style="8" customWidth="1"/>
    <col min="12035" max="12035" width="6.75" style="8" customWidth="1"/>
    <col min="12036" max="12036" width="13" style="8" customWidth="1"/>
    <col min="12037" max="12037" width="6.25" style="8" customWidth="1"/>
    <col min="12038" max="12038" width="9.625" style="8" customWidth="1"/>
    <col min="12039" max="12039" width="27.875" style="8" customWidth="1"/>
    <col min="12040" max="12288" width="8.75" style="8"/>
    <col min="12289" max="12289" width="9.75" style="8" customWidth="1"/>
    <col min="12290" max="12290" width="10.625" style="8" customWidth="1"/>
    <col min="12291" max="12291" width="6.75" style="8" customWidth="1"/>
    <col min="12292" max="12292" width="13" style="8" customWidth="1"/>
    <col min="12293" max="12293" width="6.25" style="8" customWidth="1"/>
    <col min="12294" max="12294" width="9.625" style="8" customWidth="1"/>
    <col min="12295" max="12295" width="27.875" style="8" customWidth="1"/>
    <col min="12296" max="12544" width="8.75" style="8"/>
    <col min="12545" max="12545" width="9.75" style="8" customWidth="1"/>
    <col min="12546" max="12546" width="10.625" style="8" customWidth="1"/>
    <col min="12547" max="12547" width="6.75" style="8" customWidth="1"/>
    <col min="12548" max="12548" width="13" style="8" customWidth="1"/>
    <col min="12549" max="12549" width="6.25" style="8" customWidth="1"/>
    <col min="12550" max="12550" width="9.625" style="8" customWidth="1"/>
    <col min="12551" max="12551" width="27.875" style="8" customWidth="1"/>
    <col min="12552" max="12800" width="8.75" style="8"/>
    <col min="12801" max="12801" width="9.75" style="8" customWidth="1"/>
    <col min="12802" max="12802" width="10.625" style="8" customWidth="1"/>
    <col min="12803" max="12803" width="6.75" style="8" customWidth="1"/>
    <col min="12804" max="12804" width="13" style="8" customWidth="1"/>
    <col min="12805" max="12805" width="6.25" style="8" customWidth="1"/>
    <col min="12806" max="12806" width="9.625" style="8" customWidth="1"/>
    <col min="12807" max="12807" width="27.875" style="8" customWidth="1"/>
    <col min="12808" max="13056" width="8.75" style="8"/>
    <col min="13057" max="13057" width="9.75" style="8" customWidth="1"/>
    <col min="13058" max="13058" width="10.625" style="8" customWidth="1"/>
    <col min="13059" max="13059" width="6.75" style="8" customWidth="1"/>
    <col min="13060" max="13060" width="13" style="8" customWidth="1"/>
    <col min="13061" max="13061" width="6.25" style="8" customWidth="1"/>
    <col min="13062" max="13062" width="9.625" style="8" customWidth="1"/>
    <col min="13063" max="13063" width="27.875" style="8" customWidth="1"/>
    <col min="13064" max="13312" width="8.75" style="8"/>
    <col min="13313" max="13313" width="9.75" style="8" customWidth="1"/>
    <col min="13314" max="13314" width="10.625" style="8" customWidth="1"/>
    <col min="13315" max="13315" width="6.75" style="8" customWidth="1"/>
    <col min="13316" max="13316" width="13" style="8" customWidth="1"/>
    <col min="13317" max="13317" width="6.25" style="8" customWidth="1"/>
    <col min="13318" max="13318" width="9.625" style="8" customWidth="1"/>
    <col min="13319" max="13319" width="27.875" style="8" customWidth="1"/>
    <col min="13320" max="13568" width="8.75" style="8"/>
    <col min="13569" max="13569" width="9.75" style="8" customWidth="1"/>
    <col min="13570" max="13570" width="10.625" style="8" customWidth="1"/>
    <col min="13571" max="13571" width="6.75" style="8" customWidth="1"/>
    <col min="13572" max="13572" width="13" style="8" customWidth="1"/>
    <col min="13573" max="13573" width="6.25" style="8" customWidth="1"/>
    <col min="13574" max="13574" width="9.625" style="8" customWidth="1"/>
    <col min="13575" max="13575" width="27.875" style="8" customWidth="1"/>
    <col min="13576" max="13824" width="8.75" style="8"/>
    <col min="13825" max="13825" width="9.75" style="8" customWidth="1"/>
    <col min="13826" max="13826" width="10.625" style="8" customWidth="1"/>
    <col min="13827" max="13827" width="6.75" style="8" customWidth="1"/>
    <col min="13828" max="13828" width="13" style="8" customWidth="1"/>
    <col min="13829" max="13829" width="6.25" style="8" customWidth="1"/>
    <col min="13830" max="13830" width="9.625" style="8" customWidth="1"/>
    <col min="13831" max="13831" width="27.875" style="8" customWidth="1"/>
    <col min="13832" max="14080" width="8.75" style="8"/>
    <col min="14081" max="14081" width="9.75" style="8" customWidth="1"/>
    <col min="14082" max="14082" width="10.625" style="8" customWidth="1"/>
    <col min="14083" max="14083" width="6.75" style="8" customWidth="1"/>
    <col min="14084" max="14084" width="13" style="8" customWidth="1"/>
    <col min="14085" max="14085" width="6.25" style="8" customWidth="1"/>
    <col min="14086" max="14086" width="9.625" style="8" customWidth="1"/>
    <col min="14087" max="14087" width="27.875" style="8" customWidth="1"/>
    <col min="14088" max="14336" width="8.75" style="8"/>
    <col min="14337" max="14337" width="9.75" style="8" customWidth="1"/>
    <col min="14338" max="14338" width="10.625" style="8" customWidth="1"/>
    <col min="14339" max="14339" width="6.75" style="8" customWidth="1"/>
    <col min="14340" max="14340" width="13" style="8" customWidth="1"/>
    <col min="14341" max="14341" width="6.25" style="8" customWidth="1"/>
    <col min="14342" max="14342" width="9.625" style="8" customWidth="1"/>
    <col min="14343" max="14343" width="27.875" style="8" customWidth="1"/>
    <col min="14344" max="14592" width="8.75" style="8"/>
    <col min="14593" max="14593" width="9.75" style="8" customWidth="1"/>
    <col min="14594" max="14594" width="10.625" style="8" customWidth="1"/>
    <col min="14595" max="14595" width="6.75" style="8" customWidth="1"/>
    <col min="14596" max="14596" width="13" style="8" customWidth="1"/>
    <col min="14597" max="14597" width="6.25" style="8" customWidth="1"/>
    <col min="14598" max="14598" width="9.625" style="8" customWidth="1"/>
    <col min="14599" max="14599" width="27.875" style="8" customWidth="1"/>
    <col min="14600" max="14848" width="8.75" style="8"/>
    <col min="14849" max="14849" width="9.75" style="8" customWidth="1"/>
    <col min="14850" max="14850" width="10.625" style="8" customWidth="1"/>
    <col min="14851" max="14851" width="6.75" style="8" customWidth="1"/>
    <col min="14852" max="14852" width="13" style="8" customWidth="1"/>
    <col min="14853" max="14853" width="6.25" style="8" customWidth="1"/>
    <col min="14854" max="14854" width="9.625" style="8" customWidth="1"/>
    <col min="14855" max="14855" width="27.875" style="8" customWidth="1"/>
    <col min="14856" max="15104" width="8.75" style="8"/>
    <col min="15105" max="15105" width="9.75" style="8" customWidth="1"/>
    <col min="15106" max="15106" width="10.625" style="8" customWidth="1"/>
    <col min="15107" max="15107" width="6.75" style="8" customWidth="1"/>
    <col min="15108" max="15108" width="13" style="8" customWidth="1"/>
    <col min="15109" max="15109" width="6.25" style="8" customWidth="1"/>
    <col min="15110" max="15110" width="9.625" style="8" customWidth="1"/>
    <col min="15111" max="15111" width="27.875" style="8" customWidth="1"/>
    <col min="15112" max="15360" width="8.75" style="8"/>
    <col min="15361" max="15361" width="9.75" style="8" customWidth="1"/>
    <col min="15362" max="15362" width="10.625" style="8" customWidth="1"/>
    <col min="15363" max="15363" width="6.75" style="8" customWidth="1"/>
    <col min="15364" max="15364" width="13" style="8" customWidth="1"/>
    <col min="15365" max="15365" width="6.25" style="8" customWidth="1"/>
    <col min="15366" max="15366" width="9.625" style="8" customWidth="1"/>
    <col min="15367" max="15367" width="27.875" style="8" customWidth="1"/>
    <col min="15368" max="15616" width="8.75" style="8"/>
    <col min="15617" max="15617" width="9.75" style="8" customWidth="1"/>
    <col min="15618" max="15618" width="10.625" style="8" customWidth="1"/>
    <col min="15619" max="15619" width="6.75" style="8" customWidth="1"/>
    <col min="15620" max="15620" width="13" style="8" customWidth="1"/>
    <col min="15621" max="15621" width="6.25" style="8" customWidth="1"/>
    <col min="15622" max="15622" width="9.625" style="8" customWidth="1"/>
    <col min="15623" max="15623" width="27.875" style="8" customWidth="1"/>
    <col min="15624" max="15872" width="8.75" style="8"/>
    <col min="15873" max="15873" width="9.75" style="8" customWidth="1"/>
    <col min="15874" max="15874" width="10.625" style="8" customWidth="1"/>
    <col min="15875" max="15875" width="6.75" style="8" customWidth="1"/>
    <col min="15876" max="15876" width="13" style="8" customWidth="1"/>
    <col min="15877" max="15877" width="6.25" style="8" customWidth="1"/>
    <col min="15878" max="15878" width="9.625" style="8" customWidth="1"/>
    <col min="15879" max="15879" width="27.875" style="8" customWidth="1"/>
    <col min="15880" max="16128" width="8.75" style="8"/>
    <col min="16129" max="16129" width="9.75" style="8" customWidth="1"/>
    <col min="16130" max="16130" width="10.625" style="8" customWidth="1"/>
    <col min="16131" max="16131" width="6.75" style="8" customWidth="1"/>
    <col min="16132" max="16132" width="13" style="8" customWidth="1"/>
    <col min="16133" max="16133" width="6.25" style="8" customWidth="1"/>
    <col min="16134" max="16134" width="9.625" style="8" customWidth="1"/>
    <col min="16135" max="16135" width="27.875" style="8" customWidth="1"/>
    <col min="16136" max="16384" width="8.75" style="8"/>
  </cols>
  <sheetData>
    <row r="1" spans="1:20" s="2" customFormat="1" ht="12.75" customHeight="1">
      <c r="A1" s="291" t="s">
        <v>11</v>
      </c>
      <c r="B1" s="292"/>
      <c r="C1" s="292"/>
      <c r="D1" s="292"/>
      <c r="E1" s="292"/>
      <c r="F1" s="292"/>
      <c r="G1" s="293"/>
    </row>
    <row r="2" spans="1:20" ht="12.75" customHeight="1">
      <c r="A2" s="134" t="s">
        <v>12</v>
      </c>
      <c r="B2" s="6"/>
      <c r="C2" s="112"/>
      <c r="D2" s="11"/>
      <c r="E2" s="11"/>
      <c r="F2" s="6"/>
      <c r="G2" s="7" t="s">
        <v>243</v>
      </c>
      <c r="H2" s="135"/>
      <c r="I2" s="135"/>
      <c r="J2" s="135"/>
      <c r="K2" s="136"/>
      <c r="L2" s="136"/>
      <c r="M2" s="136"/>
      <c r="N2" s="135"/>
      <c r="O2" s="135"/>
      <c r="P2" s="135"/>
      <c r="Q2" s="135"/>
      <c r="R2" s="135"/>
      <c r="S2" s="135"/>
      <c r="T2" s="135"/>
    </row>
    <row r="3" spans="1:20" ht="12.75" customHeight="1">
      <c r="A3" s="137" t="s">
        <v>244</v>
      </c>
      <c r="B3" s="107"/>
      <c r="C3" s="11"/>
      <c r="D3" s="11"/>
      <c r="E3" s="11"/>
      <c r="F3" s="294" t="s">
        <v>245</v>
      </c>
      <c r="G3" s="295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9"/>
    </row>
    <row r="4" spans="1:20" ht="12.75" customHeight="1">
      <c r="A4" s="137" t="s">
        <v>246</v>
      </c>
      <c r="B4" s="107"/>
      <c r="C4" s="11"/>
      <c r="D4" s="11"/>
      <c r="E4" s="296" t="s">
        <v>247</v>
      </c>
      <c r="F4" s="296"/>
      <c r="G4" s="297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9"/>
    </row>
    <row r="5" spans="1:20" ht="12" customHeight="1">
      <c r="A5" s="134" t="s">
        <v>248</v>
      </c>
      <c r="B5" s="107"/>
      <c r="C5" s="11"/>
      <c r="D5" s="11"/>
      <c r="E5" s="11"/>
      <c r="F5" s="11"/>
      <c r="G5" s="12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9"/>
    </row>
    <row r="6" spans="1:20" ht="12.75" customHeight="1">
      <c r="A6" s="134" t="s">
        <v>249</v>
      </c>
      <c r="B6" s="107"/>
      <c r="C6" s="11"/>
      <c r="D6" s="11"/>
      <c r="E6" s="11"/>
      <c r="F6" s="11"/>
      <c r="G6" s="12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9"/>
    </row>
    <row r="7" spans="1:20" ht="12.75" customHeight="1">
      <c r="A7" s="140"/>
      <c r="B7" s="141" t="s">
        <v>250</v>
      </c>
      <c r="C7" s="11"/>
      <c r="D7" s="11"/>
      <c r="E7" s="11"/>
      <c r="F7" s="11"/>
      <c r="G7" s="12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9"/>
    </row>
    <row r="8" spans="1:20" ht="12.75" customHeight="1">
      <c r="A8" s="140"/>
      <c r="B8" s="141" t="s">
        <v>251</v>
      </c>
      <c r="C8" s="11"/>
      <c r="D8" s="11"/>
      <c r="E8" s="11"/>
      <c r="F8" s="11"/>
      <c r="G8" s="12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9"/>
    </row>
    <row r="9" spans="1:20" ht="12.75" customHeight="1">
      <c r="A9" s="140"/>
      <c r="B9" s="141" t="s">
        <v>252</v>
      </c>
      <c r="C9" s="11"/>
      <c r="D9" s="11"/>
      <c r="E9" s="11"/>
      <c r="F9" s="11"/>
      <c r="G9" s="12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9"/>
    </row>
    <row r="10" spans="1:20" ht="12.75" customHeight="1">
      <c r="A10" s="140"/>
      <c r="B10" s="141" t="s">
        <v>253</v>
      </c>
      <c r="C10" s="11"/>
      <c r="D10" s="11"/>
      <c r="E10" s="11"/>
      <c r="F10" s="11"/>
      <c r="G10" s="12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9"/>
    </row>
    <row r="11" spans="1:20" ht="15.75">
      <c r="A11" s="142"/>
      <c r="B11" s="143" t="s">
        <v>254</v>
      </c>
      <c r="C11" s="15"/>
      <c r="D11" s="15"/>
      <c r="E11" s="15"/>
      <c r="F11" s="15"/>
      <c r="G11" s="16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9"/>
    </row>
    <row r="12" spans="1:20" ht="24">
      <c r="A12" s="144" t="s">
        <v>255</v>
      </c>
      <c r="B12" s="145" t="s">
        <v>256</v>
      </c>
      <c r="C12" s="146" t="s">
        <v>257</v>
      </c>
      <c r="D12" s="146" t="s">
        <v>258</v>
      </c>
      <c r="E12" s="146" t="s">
        <v>222</v>
      </c>
      <c r="F12" s="145" t="s">
        <v>259</v>
      </c>
      <c r="G12" s="146" t="s">
        <v>24</v>
      </c>
      <c r="H12" s="138"/>
      <c r="I12" s="147"/>
      <c r="K12" s="138"/>
      <c r="L12" s="138"/>
      <c r="M12" s="138"/>
      <c r="N12" s="138"/>
      <c r="O12" s="138"/>
      <c r="Q12" s="138"/>
      <c r="R12" s="138"/>
      <c r="S12" s="138"/>
      <c r="T12" s="139"/>
    </row>
    <row r="13" spans="1:20" ht="15" customHeight="1">
      <c r="A13" s="287"/>
      <c r="B13" s="148" t="s">
        <v>260</v>
      </c>
      <c r="C13" s="149"/>
      <c r="D13" s="148" t="s">
        <v>261</v>
      </c>
      <c r="E13" s="150"/>
      <c r="F13" s="290"/>
      <c r="G13" s="151"/>
      <c r="H13" s="152"/>
      <c r="I13" s="153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39"/>
    </row>
    <row r="14" spans="1:20" ht="15" customHeight="1">
      <c r="A14" s="288"/>
      <c r="B14" s="148" t="s">
        <v>262</v>
      </c>
      <c r="C14" s="149"/>
      <c r="D14" s="148" t="s">
        <v>261</v>
      </c>
      <c r="E14" s="150"/>
      <c r="F14" s="290"/>
      <c r="G14" s="151"/>
      <c r="H14" s="152"/>
      <c r="I14" s="153"/>
      <c r="J14" s="152"/>
      <c r="K14" s="152"/>
      <c r="L14" s="152"/>
      <c r="M14" s="152"/>
      <c r="N14" s="152"/>
      <c r="O14" s="152"/>
      <c r="P14" s="152"/>
      <c r="Q14" s="152"/>
      <c r="R14" s="152"/>
      <c r="S14" s="152"/>
      <c r="T14" s="139"/>
    </row>
    <row r="15" spans="1:20" ht="15" customHeight="1">
      <c r="A15" s="288"/>
      <c r="B15" s="148" t="s">
        <v>263</v>
      </c>
      <c r="C15" s="149"/>
      <c r="D15" s="148" t="s">
        <v>261</v>
      </c>
      <c r="E15" s="150"/>
      <c r="F15" s="290"/>
      <c r="G15" s="151"/>
      <c r="H15" s="152"/>
      <c r="I15" s="153"/>
      <c r="J15" s="152"/>
      <c r="K15" s="152"/>
      <c r="L15" s="152"/>
      <c r="M15" s="152"/>
      <c r="N15" s="152"/>
      <c r="O15" s="152"/>
      <c r="P15" s="152"/>
      <c r="Q15" s="152"/>
      <c r="R15" s="152"/>
      <c r="S15" s="152"/>
      <c r="T15" s="139"/>
    </row>
    <row r="16" spans="1:20" ht="15" customHeight="1">
      <c r="A16" s="288"/>
      <c r="B16" s="148" t="s">
        <v>264</v>
      </c>
      <c r="C16" s="149"/>
      <c r="D16" s="148" t="s">
        <v>261</v>
      </c>
      <c r="E16" s="150"/>
      <c r="F16" s="290"/>
      <c r="G16" s="151"/>
      <c r="H16" s="152"/>
      <c r="I16" s="153"/>
      <c r="J16" s="152"/>
      <c r="K16" s="152"/>
      <c r="L16" s="152"/>
      <c r="M16" s="152"/>
      <c r="N16" s="152"/>
      <c r="O16" s="152"/>
      <c r="P16" s="152"/>
      <c r="Q16" s="152"/>
      <c r="R16" s="152"/>
      <c r="S16" s="152"/>
      <c r="T16" s="139"/>
    </row>
    <row r="17" spans="1:20" ht="14.25" customHeight="1">
      <c r="A17" s="289"/>
      <c r="B17" s="148" t="s">
        <v>265</v>
      </c>
      <c r="C17" s="149"/>
      <c r="D17" s="148" t="s">
        <v>261</v>
      </c>
      <c r="E17" s="150"/>
      <c r="F17" s="290"/>
      <c r="G17" s="151"/>
      <c r="H17" s="152"/>
      <c r="I17" s="153"/>
      <c r="J17" s="152"/>
      <c r="K17" s="152"/>
      <c r="L17" s="152"/>
      <c r="M17" s="152"/>
      <c r="N17" s="152"/>
      <c r="O17" s="152"/>
      <c r="P17" s="152"/>
      <c r="Q17" s="152"/>
      <c r="R17" s="152"/>
      <c r="S17" s="152"/>
      <c r="T17" s="139"/>
    </row>
    <row r="18" spans="1:20" ht="12.75" customHeight="1">
      <c r="A18" s="287"/>
      <c r="B18" s="148" t="s">
        <v>260</v>
      </c>
      <c r="C18" s="149"/>
      <c r="D18" s="148" t="s">
        <v>261</v>
      </c>
      <c r="E18" s="150"/>
      <c r="F18" s="290"/>
      <c r="G18" s="151"/>
    </row>
    <row r="19" spans="1:20" ht="12.75" customHeight="1">
      <c r="A19" s="288"/>
      <c r="B19" s="148" t="s">
        <v>262</v>
      </c>
      <c r="C19" s="149"/>
      <c r="D19" s="148" t="s">
        <v>261</v>
      </c>
      <c r="E19" s="150"/>
      <c r="F19" s="290"/>
      <c r="G19" s="151"/>
    </row>
    <row r="20" spans="1:20" ht="12.75" customHeight="1">
      <c r="A20" s="288"/>
      <c r="B20" s="148" t="s">
        <v>263</v>
      </c>
      <c r="C20" s="149"/>
      <c r="D20" s="148" t="s">
        <v>261</v>
      </c>
      <c r="E20" s="150"/>
      <c r="F20" s="290"/>
      <c r="G20" s="151"/>
    </row>
    <row r="21" spans="1:20" ht="12.75" customHeight="1">
      <c r="A21" s="288"/>
      <c r="B21" s="148" t="s">
        <v>264</v>
      </c>
      <c r="C21" s="149"/>
      <c r="D21" s="148" t="s">
        <v>261</v>
      </c>
      <c r="E21" s="150"/>
      <c r="F21" s="290"/>
      <c r="G21" s="151"/>
    </row>
    <row r="22" spans="1:20" ht="12.75" customHeight="1">
      <c r="A22" s="289"/>
      <c r="B22" s="148" t="s">
        <v>265</v>
      </c>
      <c r="C22" s="149"/>
      <c r="D22" s="148" t="s">
        <v>261</v>
      </c>
      <c r="E22" s="150"/>
      <c r="F22" s="290"/>
      <c r="G22" s="151"/>
    </row>
    <row r="23" spans="1:20" ht="12.75" customHeight="1">
      <c r="A23" s="287"/>
      <c r="B23" s="148" t="s">
        <v>260</v>
      </c>
      <c r="C23" s="149"/>
      <c r="D23" s="148" t="s">
        <v>261</v>
      </c>
      <c r="E23" s="150"/>
      <c r="F23" s="290"/>
      <c r="G23" s="151"/>
    </row>
    <row r="24" spans="1:20" ht="12.75" customHeight="1">
      <c r="A24" s="288"/>
      <c r="B24" s="148" t="s">
        <v>262</v>
      </c>
      <c r="C24" s="149"/>
      <c r="D24" s="148" t="s">
        <v>261</v>
      </c>
      <c r="E24" s="150"/>
      <c r="F24" s="290"/>
      <c r="G24" s="151"/>
    </row>
    <row r="25" spans="1:20" ht="12.75" customHeight="1">
      <c r="A25" s="288"/>
      <c r="B25" s="148" t="s">
        <v>263</v>
      </c>
      <c r="C25" s="149"/>
      <c r="D25" s="148" t="s">
        <v>261</v>
      </c>
      <c r="E25" s="150"/>
      <c r="F25" s="290"/>
      <c r="G25" s="151"/>
    </row>
    <row r="26" spans="1:20" ht="12.75" customHeight="1">
      <c r="A26" s="288"/>
      <c r="B26" s="148" t="s">
        <v>264</v>
      </c>
      <c r="C26" s="149"/>
      <c r="D26" s="148" t="s">
        <v>261</v>
      </c>
      <c r="E26" s="150"/>
      <c r="F26" s="290"/>
      <c r="G26" s="151"/>
    </row>
    <row r="27" spans="1:20" ht="12.75" customHeight="1">
      <c r="A27" s="289"/>
      <c r="B27" s="148" t="s">
        <v>265</v>
      </c>
      <c r="C27" s="149"/>
      <c r="D27" s="148" t="s">
        <v>261</v>
      </c>
      <c r="E27" s="150"/>
      <c r="F27" s="290"/>
      <c r="G27" s="151"/>
    </row>
    <row r="28" spans="1:20" ht="12.75" customHeight="1">
      <c r="A28" s="287"/>
      <c r="B28" s="148" t="s">
        <v>260</v>
      </c>
      <c r="C28" s="149"/>
      <c r="D28" s="148" t="s">
        <v>261</v>
      </c>
      <c r="E28" s="150"/>
      <c r="F28" s="290"/>
      <c r="G28" s="151"/>
    </row>
    <row r="29" spans="1:20" ht="12.75" customHeight="1">
      <c r="A29" s="288"/>
      <c r="B29" s="148" t="s">
        <v>262</v>
      </c>
      <c r="C29" s="149"/>
      <c r="D29" s="148" t="s">
        <v>261</v>
      </c>
      <c r="E29" s="150"/>
      <c r="F29" s="290"/>
      <c r="G29" s="151"/>
    </row>
    <row r="30" spans="1:20" ht="12.75" customHeight="1">
      <c r="A30" s="288"/>
      <c r="B30" s="148" t="s">
        <v>263</v>
      </c>
      <c r="C30" s="149"/>
      <c r="D30" s="148" t="s">
        <v>261</v>
      </c>
      <c r="E30" s="150"/>
      <c r="F30" s="290"/>
      <c r="G30" s="151"/>
    </row>
    <row r="31" spans="1:20" ht="12.75" customHeight="1">
      <c r="A31" s="288"/>
      <c r="B31" s="148" t="s">
        <v>264</v>
      </c>
      <c r="C31" s="149"/>
      <c r="D31" s="148" t="s">
        <v>261</v>
      </c>
      <c r="E31" s="150"/>
      <c r="F31" s="290"/>
      <c r="G31" s="151"/>
    </row>
    <row r="32" spans="1:20" ht="12.75" customHeight="1">
      <c r="A32" s="289"/>
      <c r="B32" s="148" t="s">
        <v>265</v>
      </c>
      <c r="C32" s="149"/>
      <c r="D32" s="148" t="s">
        <v>261</v>
      </c>
      <c r="E32" s="150"/>
      <c r="F32" s="290"/>
      <c r="G32" s="151"/>
    </row>
    <row r="33" spans="1:7" ht="12.75" customHeight="1">
      <c r="A33" s="287"/>
      <c r="B33" s="148" t="s">
        <v>260</v>
      </c>
      <c r="C33" s="149"/>
      <c r="D33" s="148" t="s">
        <v>261</v>
      </c>
      <c r="E33" s="150"/>
      <c r="F33" s="290"/>
      <c r="G33" s="151"/>
    </row>
    <row r="34" spans="1:7" ht="12.75" customHeight="1">
      <c r="A34" s="288"/>
      <c r="B34" s="148" t="s">
        <v>262</v>
      </c>
      <c r="C34" s="149"/>
      <c r="D34" s="148" t="s">
        <v>261</v>
      </c>
      <c r="E34" s="150"/>
      <c r="F34" s="290"/>
      <c r="G34" s="151"/>
    </row>
    <row r="35" spans="1:7" ht="12.75" customHeight="1">
      <c r="A35" s="288"/>
      <c r="B35" s="148" t="s">
        <v>263</v>
      </c>
      <c r="C35" s="149"/>
      <c r="D35" s="148" t="s">
        <v>261</v>
      </c>
      <c r="E35" s="150"/>
      <c r="F35" s="290"/>
      <c r="G35" s="151"/>
    </row>
    <row r="36" spans="1:7" ht="12.75" customHeight="1">
      <c r="A36" s="288"/>
      <c r="B36" s="148" t="s">
        <v>264</v>
      </c>
      <c r="C36" s="149"/>
      <c r="D36" s="148" t="s">
        <v>261</v>
      </c>
      <c r="E36" s="150"/>
      <c r="F36" s="290"/>
      <c r="G36" s="151"/>
    </row>
    <row r="37" spans="1:7" ht="12.75" customHeight="1">
      <c r="A37" s="289"/>
      <c r="B37" s="148" t="s">
        <v>265</v>
      </c>
      <c r="C37" s="149"/>
      <c r="D37" s="148" t="s">
        <v>261</v>
      </c>
      <c r="E37" s="150"/>
      <c r="F37" s="290"/>
      <c r="G37" s="151"/>
    </row>
    <row r="38" spans="1:7" ht="12.75" customHeight="1">
      <c r="A38" s="287"/>
      <c r="B38" s="148" t="s">
        <v>260</v>
      </c>
      <c r="C38" s="149"/>
      <c r="D38" s="148" t="s">
        <v>261</v>
      </c>
      <c r="E38" s="150"/>
      <c r="F38" s="290"/>
      <c r="G38" s="151"/>
    </row>
    <row r="39" spans="1:7" ht="12.75" customHeight="1">
      <c r="A39" s="288"/>
      <c r="B39" s="148" t="s">
        <v>262</v>
      </c>
      <c r="C39" s="149"/>
      <c r="D39" s="148" t="s">
        <v>261</v>
      </c>
      <c r="E39" s="150"/>
      <c r="F39" s="290"/>
      <c r="G39" s="151"/>
    </row>
    <row r="40" spans="1:7" ht="12.75" customHeight="1">
      <c r="A40" s="288"/>
      <c r="B40" s="148" t="s">
        <v>263</v>
      </c>
      <c r="C40" s="149"/>
      <c r="D40" s="148" t="s">
        <v>261</v>
      </c>
      <c r="E40" s="150"/>
      <c r="F40" s="290"/>
      <c r="G40" s="151"/>
    </row>
    <row r="41" spans="1:7" ht="12.75" customHeight="1">
      <c r="A41" s="288"/>
      <c r="B41" s="148" t="s">
        <v>264</v>
      </c>
      <c r="C41" s="149"/>
      <c r="D41" s="148" t="s">
        <v>261</v>
      </c>
      <c r="E41" s="150"/>
      <c r="F41" s="290"/>
      <c r="G41" s="151"/>
    </row>
    <row r="42" spans="1:7" ht="12.75" customHeight="1">
      <c r="A42" s="289"/>
      <c r="B42" s="148" t="s">
        <v>265</v>
      </c>
      <c r="C42" s="149"/>
      <c r="D42" s="148" t="s">
        <v>261</v>
      </c>
      <c r="E42" s="150"/>
      <c r="F42" s="290"/>
      <c r="G42" s="151"/>
    </row>
    <row r="43" spans="1:7" ht="12.75" customHeight="1">
      <c r="A43" s="287"/>
      <c r="B43" s="148" t="s">
        <v>260</v>
      </c>
      <c r="C43" s="149"/>
      <c r="D43" s="148" t="s">
        <v>261</v>
      </c>
      <c r="E43" s="150"/>
      <c r="F43" s="290"/>
      <c r="G43" s="151"/>
    </row>
    <row r="44" spans="1:7" ht="12.75" customHeight="1">
      <c r="A44" s="288"/>
      <c r="B44" s="148" t="s">
        <v>262</v>
      </c>
      <c r="C44" s="149"/>
      <c r="D44" s="148" t="s">
        <v>261</v>
      </c>
      <c r="E44" s="150"/>
      <c r="F44" s="290"/>
      <c r="G44" s="151"/>
    </row>
    <row r="45" spans="1:7" ht="12.75" customHeight="1">
      <c r="A45" s="288"/>
      <c r="B45" s="148" t="s">
        <v>263</v>
      </c>
      <c r="C45" s="149"/>
      <c r="D45" s="148" t="s">
        <v>261</v>
      </c>
      <c r="E45" s="150"/>
      <c r="F45" s="290"/>
      <c r="G45" s="151"/>
    </row>
    <row r="46" spans="1:7" ht="12.75" customHeight="1">
      <c r="A46" s="288"/>
      <c r="B46" s="148" t="s">
        <v>264</v>
      </c>
      <c r="C46" s="149"/>
      <c r="D46" s="148" t="s">
        <v>261</v>
      </c>
      <c r="E46" s="150"/>
      <c r="F46" s="290"/>
      <c r="G46" s="151"/>
    </row>
    <row r="47" spans="1:7" ht="12.75" customHeight="1">
      <c r="A47" s="289"/>
      <c r="B47" s="148" t="s">
        <v>265</v>
      </c>
      <c r="C47" s="149"/>
      <c r="D47" s="148" t="s">
        <v>261</v>
      </c>
      <c r="E47" s="150"/>
      <c r="F47" s="290"/>
      <c r="G47" s="151"/>
    </row>
    <row r="48" spans="1:7" ht="12.75" customHeight="1">
      <c r="A48" s="287"/>
      <c r="B48" s="148" t="s">
        <v>260</v>
      </c>
      <c r="C48" s="149"/>
      <c r="D48" s="148" t="s">
        <v>261</v>
      </c>
      <c r="E48" s="150"/>
      <c r="F48" s="290"/>
      <c r="G48" s="151"/>
    </row>
    <row r="49" spans="1:7" ht="12.75" customHeight="1">
      <c r="A49" s="288"/>
      <c r="B49" s="148" t="s">
        <v>262</v>
      </c>
      <c r="C49" s="149"/>
      <c r="D49" s="148" t="s">
        <v>261</v>
      </c>
      <c r="E49" s="150"/>
      <c r="F49" s="290"/>
      <c r="G49" s="151"/>
    </row>
    <row r="50" spans="1:7" ht="12.75" customHeight="1">
      <c r="A50" s="288"/>
      <c r="B50" s="148" t="s">
        <v>263</v>
      </c>
      <c r="C50" s="149"/>
      <c r="D50" s="148" t="s">
        <v>261</v>
      </c>
      <c r="E50" s="150"/>
      <c r="F50" s="290"/>
      <c r="G50" s="151"/>
    </row>
    <row r="51" spans="1:7" ht="12.75" customHeight="1">
      <c r="A51" s="288"/>
      <c r="B51" s="148" t="s">
        <v>264</v>
      </c>
      <c r="C51" s="149"/>
      <c r="D51" s="148" t="s">
        <v>261</v>
      </c>
      <c r="E51" s="150"/>
      <c r="F51" s="290"/>
      <c r="G51" s="151"/>
    </row>
    <row r="52" spans="1:7" ht="12.75" customHeight="1">
      <c r="A52" s="289"/>
      <c r="B52" s="148" t="s">
        <v>265</v>
      </c>
      <c r="C52" s="149"/>
      <c r="D52" s="148" t="s">
        <v>261</v>
      </c>
      <c r="E52" s="150"/>
      <c r="F52" s="290"/>
      <c r="G52" s="151"/>
    </row>
  </sheetData>
  <mergeCells count="18">
    <mergeCell ref="A18:A22"/>
    <mergeCell ref="F18:F23"/>
    <mergeCell ref="A23:A27"/>
    <mergeCell ref="F24:F29"/>
    <mergeCell ref="A28:A32"/>
    <mergeCell ref="A1:G1"/>
    <mergeCell ref="F3:G3"/>
    <mergeCell ref="E4:G4"/>
    <mergeCell ref="A13:A17"/>
    <mergeCell ref="F13:F17"/>
    <mergeCell ref="A48:A52"/>
    <mergeCell ref="F48:F52"/>
    <mergeCell ref="F30:F35"/>
    <mergeCell ref="A33:A37"/>
    <mergeCell ref="F36:F41"/>
    <mergeCell ref="A38:A42"/>
    <mergeCell ref="F42:F47"/>
    <mergeCell ref="A43:A47"/>
  </mergeCells>
  <pageMargins left="0.74869791666666663" right="0.7" top="0.99826388888888884" bottom="0.71614583333333337" header="0.3" footer="0.3"/>
  <pageSetup scale="92" orientation="portrait" horizontalDpi="300" verticalDpi="300" r:id="rId1"/>
  <headerFooter>
    <oddFooter>&amp;LSCL/VFD/WETECH/________</oddFooter>
  </headerFooter>
  <colBreaks count="1" manualBreakCount="1">
    <brk id="7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Q361"/>
  <sheetViews>
    <sheetView zoomScale="85" zoomScaleNormal="85" zoomScaleSheetLayoutView="100" workbookViewId="0">
      <pane ySplit="10" topLeftCell="A339" activePane="bottomLeft" state="frozen"/>
      <selection pane="bottomLeft" activeCell="A355" sqref="A355"/>
    </sheetView>
  </sheetViews>
  <sheetFormatPr defaultRowHeight="12.75" customHeight="1"/>
  <cols>
    <col min="1" max="1" width="11.75" style="38" customWidth="1"/>
    <col min="2" max="2" width="8.5" style="26" customWidth="1"/>
    <col min="3" max="4" width="6" style="26" customWidth="1"/>
    <col min="5" max="5" width="6.75" style="26" customWidth="1"/>
    <col min="6" max="6" width="5.375" style="26" customWidth="1"/>
    <col min="7" max="7" width="6.125" style="26" customWidth="1"/>
    <col min="8" max="8" width="7.25" style="26" customWidth="1"/>
    <col min="9" max="10" width="6" style="26" customWidth="1"/>
    <col min="11" max="11" width="6.75" style="26" customWidth="1"/>
    <col min="12" max="13" width="5.5" style="26" customWidth="1"/>
    <col min="14" max="14" width="9.75" style="26" customWidth="1"/>
    <col min="15" max="15" width="9.125" style="26" bestFit="1" customWidth="1"/>
    <col min="16" max="16" width="51.375" style="8" customWidth="1"/>
    <col min="17" max="17" width="40.125" style="8" bestFit="1" customWidth="1"/>
    <col min="18" max="263" width="8.75" style="8"/>
    <col min="264" max="264" width="11.75" style="8" customWidth="1"/>
    <col min="265" max="265" width="8.5" style="8" customWidth="1"/>
    <col min="266" max="266" width="7.125" style="8" customWidth="1"/>
    <col min="267" max="267" width="7.375" style="8" customWidth="1"/>
    <col min="268" max="269" width="5.5" style="8" customWidth="1"/>
    <col min="270" max="270" width="9.75" style="8" customWidth="1"/>
    <col min="271" max="271" width="9.125" style="8" bestFit="1" customWidth="1"/>
    <col min="272" max="272" width="46.75" style="8" bestFit="1" customWidth="1"/>
    <col min="273" max="273" width="17.625" style="8" customWidth="1"/>
    <col min="274" max="519" width="8.75" style="8"/>
    <col min="520" max="520" width="11.75" style="8" customWidth="1"/>
    <col min="521" max="521" width="8.5" style="8" customWidth="1"/>
    <col min="522" max="522" width="7.125" style="8" customWidth="1"/>
    <col min="523" max="523" width="7.375" style="8" customWidth="1"/>
    <col min="524" max="525" width="5.5" style="8" customWidth="1"/>
    <col min="526" max="526" width="9.75" style="8" customWidth="1"/>
    <col min="527" max="527" width="9.125" style="8" bestFit="1" customWidth="1"/>
    <col min="528" max="528" width="46.75" style="8" bestFit="1" customWidth="1"/>
    <col min="529" max="529" width="17.625" style="8" customWidth="1"/>
    <col min="530" max="775" width="8.75" style="8"/>
    <col min="776" max="776" width="11.75" style="8" customWidth="1"/>
    <col min="777" max="777" width="8.5" style="8" customWidth="1"/>
    <col min="778" max="778" width="7.125" style="8" customWidth="1"/>
    <col min="779" max="779" width="7.375" style="8" customWidth="1"/>
    <col min="780" max="781" width="5.5" style="8" customWidth="1"/>
    <col min="782" max="782" width="9.75" style="8" customWidth="1"/>
    <col min="783" max="783" width="9.125" style="8" bestFit="1" customWidth="1"/>
    <col min="784" max="784" width="46.75" style="8" bestFit="1" customWidth="1"/>
    <col min="785" max="785" width="17.625" style="8" customWidth="1"/>
    <col min="786" max="1031" width="8.75" style="8"/>
    <col min="1032" max="1032" width="11.75" style="8" customWidth="1"/>
    <col min="1033" max="1033" width="8.5" style="8" customWidth="1"/>
    <col min="1034" max="1034" width="7.125" style="8" customWidth="1"/>
    <col min="1035" max="1035" width="7.375" style="8" customWidth="1"/>
    <col min="1036" max="1037" width="5.5" style="8" customWidth="1"/>
    <col min="1038" max="1038" width="9.75" style="8" customWidth="1"/>
    <col min="1039" max="1039" width="9.125" style="8" bestFit="1" customWidth="1"/>
    <col min="1040" max="1040" width="46.75" style="8" bestFit="1" customWidth="1"/>
    <col min="1041" max="1041" width="17.625" style="8" customWidth="1"/>
    <col min="1042" max="1287" width="8.75" style="8"/>
    <col min="1288" max="1288" width="11.75" style="8" customWidth="1"/>
    <col min="1289" max="1289" width="8.5" style="8" customWidth="1"/>
    <col min="1290" max="1290" width="7.125" style="8" customWidth="1"/>
    <col min="1291" max="1291" width="7.375" style="8" customWidth="1"/>
    <col min="1292" max="1293" width="5.5" style="8" customWidth="1"/>
    <col min="1294" max="1294" width="9.75" style="8" customWidth="1"/>
    <col min="1295" max="1295" width="9.125" style="8" bestFit="1" customWidth="1"/>
    <col min="1296" max="1296" width="46.75" style="8" bestFit="1" customWidth="1"/>
    <col min="1297" max="1297" width="17.625" style="8" customWidth="1"/>
    <col min="1298" max="1543" width="8.75" style="8"/>
    <col min="1544" max="1544" width="11.75" style="8" customWidth="1"/>
    <col min="1545" max="1545" width="8.5" style="8" customWidth="1"/>
    <col min="1546" max="1546" width="7.125" style="8" customWidth="1"/>
    <col min="1547" max="1547" width="7.375" style="8" customWidth="1"/>
    <col min="1548" max="1549" width="5.5" style="8" customWidth="1"/>
    <col min="1550" max="1550" width="9.75" style="8" customWidth="1"/>
    <col min="1551" max="1551" width="9.125" style="8" bestFit="1" customWidth="1"/>
    <col min="1552" max="1552" width="46.75" style="8" bestFit="1" customWidth="1"/>
    <col min="1553" max="1553" width="17.625" style="8" customWidth="1"/>
    <col min="1554" max="1799" width="8.75" style="8"/>
    <col min="1800" max="1800" width="11.75" style="8" customWidth="1"/>
    <col min="1801" max="1801" width="8.5" style="8" customWidth="1"/>
    <col min="1802" max="1802" width="7.125" style="8" customWidth="1"/>
    <col min="1803" max="1803" width="7.375" style="8" customWidth="1"/>
    <col min="1804" max="1805" width="5.5" style="8" customWidth="1"/>
    <col min="1806" max="1806" width="9.75" style="8" customWidth="1"/>
    <col min="1807" max="1807" width="9.125" style="8" bestFit="1" customWidth="1"/>
    <col min="1808" max="1808" width="46.75" style="8" bestFit="1" customWidth="1"/>
    <col min="1809" max="1809" width="17.625" style="8" customWidth="1"/>
    <col min="1810" max="2055" width="8.75" style="8"/>
    <col min="2056" max="2056" width="11.75" style="8" customWidth="1"/>
    <col min="2057" max="2057" width="8.5" style="8" customWidth="1"/>
    <col min="2058" max="2058" width="7.125" style="8" customWidth="1"/>
    <col min="2059" max="2059" width="7.375" style="8" customWidth="1"/>
    <col min="2060" max="2061" width="5.5" style="8" customWidth="1"/>
    <col min="2062" max="2062" width="9.75" style="8" customWidth="1"/>
    <col min="2063" max="2063" width="9.125" style="8" bestFit="1" customWidth="1"/>
    <col min="2064" max="2064" width="46.75" style="8" bestFit="1" customWidth="1"/>
    <col min="2065" max="2065" width="17.625" style="8" customWidth="1"/>
    <col min="2066" max="2311" width="8.75" style="8"/>
    <col min="2312" max="2312" width="11.75" style="8" customWidth="1"/>
    <col min="2313" max="2313" width="8.5" style="8" customWidth="1"/>
    <col min="2314" max="2314" width="7.125" style="8" customWidth="1"/>
    <col min="2315" max="2315" width="7.375" style="8" customWidth="1"/>
    <col min="2316" max="2317" width="5.5" style="8" customWidth="1"/>
    <col min="2318" max="2318" width="9.75" style="8" customWidth="1"/>
    <col min="2319" max="2319" width="9.125" style="8" bestFit="1" customWidth="1"/>
    <col min="2320" max="2320" width="46.75" style="8" bestFit="1" customWidth="1"/>
    <col min="2321" max="2321" width="17.625" style="8" customWidth="1"/>
    <col min="2322" max="2567" width="8.75" style="8"/>
    <col min="2568" max="2568" width="11.75" style="8" customWidth="1"/>
    <col min="2569" max="2569" width="8.5" style="8" customWidth="1"/>
    <col min="2570" max="2570" width="7.125" style="8" customWidth="1"/>
    <col min="2571" max="2571" width="7.375" style="8" customWidth="1"/>
    <col min="2572" max="2573" width="5.5" style="8" customWidth="1"/>
    <col min="2574" max="2574" width="9.75" style="8" customWidth="1"/>
    <col min="2575" max="2575" width="9.125" style="8" bestFit="1" customWidth="1"/>
    <col min="2576" max="2576" width="46.75" style="8" bestFit="1" customWidth="1"/>
    <col min="2577" max="2577" width="17.625" style="8" customWidth="1"/>
    <col min="2578" max="2823" width="8.75" style="8"/>
    <col min="2824" max="2824" width="11.75" style="8" customWidth="1"/>
    <col min="2825" max="2825" width="8.5" style="8" customWidth="1"/>
    <col min="2826" max="2826" width="7.125" style="8" customWidth="1"/>
    <col min="2827" max="2827" width="7.375" style="8" customWidth="1"/>
    <col min="2828" max="2829" width="5.5" style="8" customWidth="1"/>
    <col min="2830" max="2830" width="9.75" style="8" customWidth="1"/>
    <col min="2831" max="2831" width="9.125" style="8" bestFit="1" customWidth="1"/>
    <col min="2832" max="2832" width="46.75" style="8" bestFit="1" customWidth="1"/>
    <col min="2833" max="2833" width="17.625" style="8" customWidth="1"/>
    <col min="2834" max="3079" width="8.75" style="8"/>
    <col min="3080" max="3080" width="11.75" style="8" customWidth="1"/>
    <col min="3081" max="3081" width="8.5" style="8" customWidth="1"/>
    <col min="3082" max="3082" width="7.125" style="8" customWidth="1"/>
    <col min="3083" max="3083" width="7.375" style="8" customWidth="1"/>
    <col min="3084" max="3085" width="5.5" style="8" customWidth="1"/>
    <col min="3086" max="3086" width="9.75" style="8" customWidth="1"/>
    <col min="3087" max="3087" width="9.125" style="8" bestFit="1" customWidth="1"/>
    <col min="3088" max="3088" width="46.75" style="8" bestFit="1" customWidth="1"/>
    <col min="3089" max="3089" width="17.625" style="8" customWidth="1"/>
    <col min="3090" max="3335" width="8.75" style="8"/>
    <col min="3336" max="3336" width="11.75" style="8" customWidth="1"/>
    <col min="3337" max="3337" width="8.5" style="8" customWidth="1"/>
    <col min="3338" max="3338" width="7.125" style="8" customWidth="1"/>
    <col min="3339" max="3339" width="7.375" style="8" customWidth="1"/>
    <col min="3340" max="3341" width="5.5" style="8" customWidth="1"/>
    <col min="3342" max="3342" width="9.75" style="8" customWidth="1"/>
    <col min="3343" max="3343" width="9.125" style="8" bestFit="1" customWidth="1"/>
    <col min="3344" max="3344" width="46.75" style="8" bestFit="1" customWidth="1"/>
    <col min="3345" max="3345" width="17.625" style="8" customWidth="1"/>
    <col min="3346" max="3591" width="8.75" style="8"/>
    <col min="3592" max="3592" width="11.75" style="8" customWidth="1"/>
    <col min="3593" max="3593" width="8.5" style="8" customWidth="1"/>
    <col min="3594" max="3594" width="7.125" style="8" customWidth="1"/>
    <col min="3595" max="3595" width="7.375" style="8" customWidth="1"/>
    <col min="3596" max="3597" width="5.5" style="8" customWidth="1"/>
    <col min="3598" max="3598" width="9.75" style="8" customWidth="1"/>
    <col min="3599" max="3599" width="9.125" style="8" bestFit="1" customWidth="1"/>
    <col min="3600" max="3600" width="46.75" style="8" bestFit="1" customWidth="1"/>
    <col min="3601" max="3601" width="17.625" style="8" customWidth="1"/>
    <col min="3602" max="3847" width="8.75" style="8"/>
    <col min="3848" max="3848" width="11.75" style="8" customWidth="1"/>
    <col min="3849" max="3849" width="8.5" style="8" customWidth="1"/>
    <col min="3850" max="3850" width="7.125" style="8" customWidth="1"/>
    <col min="3851" max="3851" width="7.375" style="8" customWidth="1"/>
    <col min="3852" max="3853" width="5.5" style="8" customWidth="1"/>
    <col min="3854" max="3854" width="9.75" style="8" customWidth="1"/>
    <col min="3855" max="3855" width="9.125" style="8" bestFit="1" customWidth="1"/>
    <col min="3856" max="3856" width="46.75" style="8" bestFit="1" customWidth="1"/>
    <col min="3857" max="3857" width="17.625" style="8" customWidth="1"/>
    <col min="3858" max="4103" width="8.75" style="8"/>
    <col min="4104" max="4104" width="11.75" style="8" customWidth="1"/>
    <col min="4105" max="4105" width="8.5" style="8" customWidth="1"/>
    <col min="4106" max="4106" width="7.125" style="8" customWidth="1"/>
    <col min="4107" max="4107" width="7.375" style="8" customWidth="1"/>
    <col min="4108" max="4109" width="5.5" style="8" customWidth="1"/>
    <col min="4110" max="4110" width="9.75" style="8" customWidth="1"/>
    <col min="4111" max="4111" width="9.125" style="8" bestFit="1" customWidth="1"/>
    <col min="4112" max="4112" width="46.75" style="8" bestFit="1" customWidth="1"/>
    <col min="4113" max="4113" width="17.625" style="8" customWidth="1"/>
    <col min="4114" max="4359" width="8.75" style="8"/>
    <col min="4360" max="4360" width="11.75" style="8" customWidth="1"/>
    <col min="4361" max="4361" width="8.5" style="8" customWidth="1"/>
    <col min="4362" max="4362" width="7.125" style="8" customWidth="1"/>
    <col min="4363" max="4363" width="7.375" style="8" customWidth="1"/>
    <col min="4364" max="4365" width="5.5" style="8" customWidth="1"/>
    <col min="4366" max="4366" width="9.75" style="8" customWidth="1"/>
    <col min="4367" max="4367" width="9.125" style="8" bestFit="1" customWidth="1"/>
    <col min="4368" max="4368" width="46.75" style="8" bestFit="1" customWidth="1"/>
    <col min="4369" max="4369" width="17.625" style="8" customWidth="1"/>
    <col min="4370" max="4615" width="8.75" style="8"/>
    <col min="4616" max="4616" width="11.75" style="8" customWidth="1"/>
    <col min="4617" max="4617" width="8.5" style="8" customWidth="1"/>
    <col min="4618" max="4618" width="7.125" style="8" customWidth="1"/>
    <col min="4619" max="4619" width="7.375" style="8" customWidth="1"/>
    <col min="4620" max="4621" width="5.5" style="8" customWidth="1"/>
    <col min="4622" max="4622" width="9.75" style="8" customWidth="1"/>
    <col min="4623" max="4623" width="9.125" style="8" bestFit="1" customWidth="1"/>
    <col min="4624" max="4624" width="46.75" style="8" bestFit="1" customWidth="1"/>
    <col min="4625" max="4625" width="17.625" style="8" customWidth="1"/>
    <col min="4626" max="4871" width="8.75" style="8"/>
    <col min="4872" max="4872" width="11.75" style="8" customWidth="1"/>
    <col min="4873" max="4873" width="8.5" style="8" customWidth="1"/>
    <col min="4874" max="4874" width="7.125" style="8" customWidth="1"/>
    <col min="4875" max="4875" width="7.375" style="8" customWidth="1"/>
    <col min="4876" max="4877" width="5.5" style="8" customWidth="1"/>
    <col min="4878" max="4878" width="9.75" style="8" customWidth="1"/>
    <col min="4879" max="4879" width="9.125" style="8" bestFit="1" customWidth="1"/>
    <col min="4880" max="4880" width="46.75" style="8" bestFit="1" customWidth="1"/>
    <col min="4881" max="4881" width="17.625" style="8" customWidth="1"/>
    <col min="4882" max="5127" width="8.75" style="8"/>
    <col min="5128" max="5128" width="11.75" style="8" customWidth="1"/>
    <col min="5129" max="5129" width="8.5" style="8" customWidth="1"/>
    <col min="5130" max="5130" width="7.125" style="8" customWidth="1"/>
    <col min="5131" max="5131" width="7.375" style="8" customWidth="1"/>
    <col min="5132" max="5133" width="5.5" style="8" customWidth="1"/>
    <col min="5134" max="5134" width="9.75" style="8" customWidth="1"/>
    <col min="5135" max="5135" width="9.125" style="8" bestFit="1" customWidth="1"/>
    <col min="5136" max="5136" width="46.75" style="8" bestFit="1" customWidth="1"/>
    <col min="5137" max="5137" width="17.625" style="8" customWidth="1"/>
    <col min="5138" max="5383" width="8.75" style="8"/>
    <col min="5384" max="5384" width="11.75" style="8" customWidth="1"/>
    <col min="5385" max="5385" width="8.5" style="8" customWidth="1"/>
    <col min="5386" max="5386" width="7.125" style="8" customWidth="1"/>
    <col min="5387" max="5387" width="7.375" style="8" customWidth="1"/>
    <col min="5388" max="5389" width="5.5" style="8" customWidth="1"/>
    <col min="5390" max="5390" width="9.75" style="8" customWidth="1"/>
    <col min="5391" max="5391" width="9.125" style="8" bestFit="1" customWidth="1"/>
    <col min="5392" max="5392" width="46.75" style="8" bestFit="1" customWidth="1"/>
    <col min="5393" max="5393" width="17.625" style="8" customWidth="1"/>
    <col min="5394" max="5639" width="8.75" style="8"/>
    <col min="5640" max="5640" width="11.75" style="8" customWidth="1"/>
    <col min="5641" max="5641" width="8.5" style="8" customWidth="1"/>
    <col min="5642" max="5642" width="7.125" style="8" customWidth="1"/>
    <col min="5643" max="5643" width="7.375" style="8" customWidth="1"/>
    <col min="5644" max="5645" width="5.5" style="8" customWidth="1"/>
    <col min="5646" max="5646" width="9.75" style="8" customWidth="1"/>
    <col min="5647" max="5647" width="9.125" style="8" bestFit="1" customWidth="1"/>
    <col min="5648" max="5648" width="46.75" style="8" bestFit="1" customWidth="1"/>
    <col min="5649" max="5649" width="17.625" style="8" customWidth="1"/>
    <col min="5650" max="5895" width="8.75" style="8"/>
    <col min="5896" max="5896" width="11.75" style="8" customWidth="1"/>
    <col min="5897" max="5897" width="8.5" style="8" customWidth="1"/>
    <col min="5898" max="5898" width="7.125" style="8" customWidth="1"/>
    <col min="5899" max="5899" width="7.375" style="8" customWidth="1"/>
    <col min="5900" max="5901" width="5.5" style="8" customWidth="1"/>
    <col min="5902" max="5902" width="9.75" style="8" customWidth="1"/>
    <col min="5903" max="5903" width="9.125" style="8" bestFit="1" customWidth="1"/>
    <col min="5904" max="5904" width="46.75" style="8" bestFit="1" customWidth="1"/>
    <col min="5905" max="5905" width="17.625" style="8" customWidth="1"/>
    <col min="5906" max="6151" width="8.75" style="8"/>
    <col min="6152" max="6152" width="11.75" style="8" customWidth="1"/>
    <col min="6153" max="6153" width="8.5" style="8" customWidth="1"/>
    <col min="6154" max="6154" width="7.125" style="8" customWidth="1"/>
    <col min="6155" max="6155" width="7.375" style="8" customWidth="1"/>
    <col min="6156" max="6157" width="5.5" style="8" customWidth="1"/>
    <col min="6158" max="6158" width="9.75" style="8" customWidth="1"/>
    <col min="6159" max="6159" width="9.125" style="8" bestFit="1" customWidth="1"/>
    <col min="6160" max="6160" width="46.75" style="8" bestFit="1" customWidth="1"/>
    <col min="6161" max="6161" width="17.625" style="8" customWidth="1"/>
    <col min="6162" max="6407" width="8.75" style="8"/>
    <col min="6408" max="6408" width="11.75" style="8" customWidth="1"/>
    <col min="6409" max="6409" width="8.5" style="8" customWidth="1"/>
    <col min="6410" max="6410" width="7.125" style="8" customWidth="1"/>
    <col min="6411" max="6411" width="7.375" style="8" customWidth="1"/>
    <col min="6412" max="6413" width="5.5" style="8" customWidth="1"/>
    <col min="6414" max="6414" width="9.75" style="8" customWidth="1"/>
    <col min="6415" max="6415" width="9.125" style="8" bestFit="1" customWidth="1"/>
    <col min="6416" max="6416" width="46.75" style="8" bestFit="1" customWidth="1"/>
    <col min="6417" max="6417" width="17.625" style="8" customWidth="1"/>
    <col min="6418" max="6663" width="8.75" style="8"/>
    <col min="6664" max="6664" width="11.75" style="8" customWidth="1"/>
    <col min="6665" max="6665" width="8.5" style="8" customWidth="1"/>
    <col min="6666" max="6666" width="7.125" style="8" customWidth="1"/>
    <col min="6667" max="6667" width="7.375" style="8" customWidth="1"/>
    <col min="6668" max="6669" width="5.5" style="8" customWidth="1"/>
    <col min="6670" max="6670" width="9.75" style="8" customWidth="1"/>
    <col min="6671" max="6671" width="9.125" style="8" bestFit="1" customWidth="1"/>
    <col min="6672" max="6672" width="46.75" style="8" bestFit="1" customWidth="1"/>
    <col min="6673" max="6673" width="17.625" style="8" customWidth="1"/>
    <col min="6674" max="6919" width="8.75" style="8"/>
    <col min="6920" max="6920" width="11.75" style="8" customWidth="1"/>
    <col min="6921" max="6921" width="8.5" style="8" customWidth="1"/>
    <col min="6922" max="6922" width="7.125" style="8" customWidth="1"/>
    <col min="6923" max="6923" width="7.375" style="8" customWidth="1"/>
    <col min="6924" max="6925" width="5.5" style="8" customWidth="1"/>
    <col min="6926" max="6926" width="9.75" style="8" customWidth="1"/>
    <col min="6927" max="6927" width="9.125" style="8" bestFit="1" customWidth="1"/>
    <col min="6928" max="6928" width="46.75" style="8" bestFit="1" customWidth="1"/>
    <col min="6929" max="6929" width="17.625" style="8" customWidth="1"/>
    <col min="6930" max="7175" width="8.75" style="8"/>
    <col min="7176" max="7176" width="11.75" style="8" customWidth="1"/>
    <col min="7177" max="7177" width="8.5" style="8" customWidth="1"/>
    <col min="7178" max="7178" width="7.125" style="8" customWidth="1"/>
    <col min="7179" max="7179" width="7.375" style="8" customWidth="1"/>
    <col min="7180" max="7181" width="5.5" style="8" customWidth="1"/>
    <col min="7182" max="7182" width="9.75" style="8" customWidth="1"/>
    <col min="7183" max="7183" width="9.125" style="8" bestFit="1" customWidth="1"/>
    <col min="7184" max="7184" width="46.75" style="8" bestFit="1" customWidth="1"/>
    <col min="7185" max="7185" width="17.625" style="8" customWidth="1"/>
    <col min="7186" max="7431" width="8.75" style="8"/>
    <col min="7432" max="7432" width="11.75" style="8" customWidth="1"/>
    <col min="7433" max="7433" width="8.5" style="8" customWidth="1"/>
    <col min="7434" max="7434" width="7.125" style="8" customWidth="1"/>
    <col min="7435" max="7435" width="7.375" style="8" customWidth="1"/>
    <col min="7436" max="7437" width="5.5" style="8" customWidth="1"/>
    <col min="7438" max="7438" width="9.75" style="8" customWidth="1"/>
    <col min="7439" max="7439" width="9.125" style="8" bestFit="1" customWidth="1"/>
    <col min="7440" max="7440" width="46.75" style="8" bestFit="1" customWidth="1"/>
    <col min="7441" max="7441" width="17.625" style="8" customWidth="1"/>
    <col min="7442" max="7687" width="8.75" style="8"/>
    <col min="7688" max="7688" width="11.75" style="8" customWidth="1"/>
    <col min="7689" max="7689" width="8.5" style="8" customWidth="1"/>
    <col min="7690" max="7690" width="7.125" style="8" customWidth="1"/>
    <col min="7691" max="7691" width="7.375" style="8" customWidth="1"/>
    <col min="7692" max="7693" width="5.5" style="8" customWidth="1"/>
    <col min="7694" max="7694" width="9.75" style="8" customWidth="1"/>
    <col min="7695" max="7695" width="9.125" style="8" bestFit="1" customWidth="1"/>
    <col min="7696" max="7696" width="46.75" style="8" bestFit="1" customWidth="1"/>
    <col min="7697" max="7697" width="17.625" style="8" customWidth="1"/>
    <col min="7698" max="7943" width="8.75" style="8"/>
    <col min="7944" max="7944" width="11.75" style="8" customWidth="1"/>
    <col min="7945" max="7945" width="8.5" style="8" customWidth="1"/>
    <col min="7946" max="7946" width="7.125" style="8" customWidth="1"/>
    <col min="7947" max="7947" width="7.375" style="8" customWidth="1"/>
    <col min="7948" max="7949" width="5.5" style="8" customWidth="1"/>
    <col min="7950" max="7950" width="9.75" style="8" customWidth="1"/>
    <col min="7951" max="7951" width="9.125" style="8" bestFit="1" customWidth="1"/>
    <col min="7952" max="7952" width="46.75" style="8" bestFit="1" customWidth="1"/>
    <col min="7953" max="7953" width="17.625" style="8" customWidth="1"/>
    <col min="7954" max="8199" width="8.75" style="8"/>
    <col min="8200" max="8200" width="11.75" style="8" customWidth="1"/>
    <col min="8201" max="8201" width="8.5" style="8" customWidth="1"/>
    <col min="8202" max="8202" width="7.125" style="8" customWidth="1"/>
    <col min="8203" max="8203" width="7.375" style="8" customWidth="1"/>
    <col min="8204" max="8205" width="5.5" style="8" customWidth="1"/>
    <col min="8206" max="8206" width="9.75" style="8" customWidth="1"/>
    <col min="8207" max="8207" width="9.125" style="8" bestFit="1" customWidth="1"/>
    <col min="8208" max="8208" width="46.75" style="8" bestFit="1" customWidth="1"/>
    <col min="8209" max="8209" width="17.625" style="8" customWidth="1"/>
    <col min="8210" max="8455" width="8.75" style="8"/>
    <col min="8456" max="8456" width="11.75" style="8" customWidth="1"/>
    <col min="8457" max="8457" width="8.5" style="8" customWidth="1"/>
    <col min="8458" max="8458" width="7.125" style="8" customWidth="1"/>
    <col min="8459" max="8459" width="7.375" style="8" customWidth="1"/>
    <col min="8460" max="8461" width="5.5" style="8" customWidth="1"/>
    <col min="8462" max="8462" width="9.75" style="8" customWidth="1"/>
    <col min="8463" max="8463" width="9.125" style="8" bestFit="1" customWidth="1"/>
    <col min="8464" max="8464" width="46.75" style="8" bestFit="1" customWidth="1"/>
    <col min="8465" max="8465" width="17.625" style="8" customWidth="1"/>
    <col min="8466" max="8711" width="8.75" style="8"/>
    <col min="8712" max="8712" width="11.75" style="8" customWidth="1"/>
    <col min="8713" max="8713" width="8.5" style="8" customWidth="1"/>
    <col min="8714" max="8714" width="7.125" style="8" customWidth="1"/>
    <col min="8715" max="8715" width="7.375" style="8" customWidth="1"/>
    <col min="8716" max="8717" width="5.5" style="8" customWidth="1"/>
    <col min="8718" max="8718" width="9.75" style="8" customWidth="1"/>
    <col min="8719" max="8719" width="9.125" style="8" bestFit="1" customWidth="1"/>
    <col min="8720" max="8720" width="46.75" style="8" bestFit="1" customWidth="1"/>
    <col min="8721" max="8721" width="17.625" style="8" customWidth="1"/>
    <col min="8722" max="8967" width="8.75" style="8"/>
    <col min="8968" max="8968" width="11.75" style="8" customWidth="1"/>
    <col min="8969" max="8969" width="8.5" style="8" customWidth="1"/>
    <col min="8970" max="8970" width="7.125" style="8" customWidth="1"/>
    <col min="8971" max="8971" width="7.375" style="8" customWidth="1"/>
    <col min="8972" max="8973" width="5.5" style="8" customWidth="1"/>
    <col min="8974" max="8974" width="9.75" style="8" customWidth="1"/>
    <col min="8975" max="8975" width="9.125" style="8" bestFit="1" customWidth="1"/>
    <col min="8976" max="8976" width="46.75" style="8" bestFit="1" customWidth="1"/>
    <col min="8977" max="8977" width="17.625" style="8" customWidth="1"/>
    <col min="8978" max="9223" width="8.75" style="8"/>
    <col min="9224" max="9224" width="11.75" style="8" customWidth="1"/>
    <col min="9225" max="9225" width="8.5" style="8" customWidth="1"/>
    <col min="9226" max="9226" width="7.125" style="8" customWidth="1"/>
    <col min="9227" max="9227" width="7.375" style="8" customWidth="1"/>
    <col min="9228" max="9229" width="5.5" style="8" customWidth="1"/>
    <col min="9230" max="9230" width="9.75" style="8" customWidth="1"/>
    <col min="9231" max="9231" width="9.125" style="8" bestFit="1" customWidth="1"/>
    <col min="9232" max="9232" width="46.75" style="8" bestFit="1" customWidth="1"/>
    <col min="9233" max="9233" width="17.625" style="8" customWidth="1"/>
    <col min="9234" max="9479" width="8.75" style="8"/>
    <col min="9480" max="9480" width="11.75" style="8" customWidth="1"/>
    <col min="9481" max="9481" width="8.5" style="8" customWidth="1"/>
    <col min="9482" max="9482" width="7.125" style="8" customWidth="1"/>
    <col min="9483" max="9483" width="7.375" style="8" customWidth="1"/>
    <col min="9484" max="9485" width="5.5" style="8" customWidth="1"/>
    <col min="9486" max="9486" width="9.75" style="8" customWidth="1"/>
    <col min="9487" max="9487" width="9.125" style="8" bestFit="1" customWidth="1"/>
    <col min="9488" max="9488" width="46.75" style="8" bestFit="1" customWidth="1"/>
    <col min="9489" max="9489" width="17.625" style="8" customWidth="1"/>
    <col min="9490" max="9735" width="8.75" style="8"/>
    <col min="9736" max="9736" width="11.75" style="8" customWidth="1"/>
    <col min="9737" max="9737" width="8.5" style="8" customWidth="1"/>
    <col min="9738" max="9738" width="7.125" style="8" customWidth="1"/>
    <col min="9739" max="9739" width="7.375" style="8" customWidth="1"/>
    <col min="9740" max="9741" width="5.5" style="8" customWidth="1"/>
    <col min="9742" max="9742" width="9.75" style="8" customWidth="1"/>
    <col min="9743" max="9743" width="9.125" style="8" bestFit="1" customWidth="1"/>
    <col min="9744" max="9744" width="46.75" style="8" bestFit="1" customWidth="1"/>
    <col min="9745" max="9745" width="17.625" style="8" customWidth="1"/>
    <col min="9746" max="9991" width="8.75" style="8"/>
    <col min="9992" max="9992" width="11.75" style="8" customWidth="1"/>
    <col min="9993" max="9993" width="8.5" style="8" customWidth="1"/>
    <col min="9994" max="9994" width="7.125" style="8" customWidth="1"/>
    <col min="9995" max="9995" width="7.375" style="8" customWidth="1"/>
    <col min="9996" max="9997" width="5.5" style="8" customWidth="1"/>
    <col min="9998" max="9998" width="9.75" style="8" customWidth="1"/>
    <col min="9999" max="9999" width="9.125" style="8" bestFit="1" customWidth="1"/>
    <col min="10000" max="10000" width="46.75" style="8" bestFit="1" customWidth="1"/>
    <col min="10001" max="10001" width="17.625" style="8" customWidth="1"/>
    <col min="10002" max="10247" width="8.75" style="8"/>
    <col min="10248" max="10248" width="11.75" style="8" customWidth="1"/>
    <col min="10249" max="10249" width="8.5" style="8" customWidth="1"/>
    <col min="10250" max="10250" width="7.125" style="8" customWidth="1"/>
    <col min="10251" max="10251" width="7.375" style="8" customWidth="1"/>
    <col min="10252" max="10253" width="5.5" style="8" customWidth="1"/>
    <col min="10254" max="10254" width="9.75" style="8" customWidth="1"/>
    <col min="10255" max="10255" width="9.125" style="8" bestFit="1" customWidth="1"/>
    <col min="10256" max="10256" width="46.75" style="8" bestFit="1" customWidth="1"/>
    <col min="10257" max="10257" width="17.625" style="8" customWidth="1"/>
    <col min="10258" max="10503" width="8.75" style="8"/>
    <col min="10504" max="10504" width="11.75" style="8" customWidth="1"/>
    <col min="10505" max="10505" width="8.5" style="8" customWidth="1"/>
    <col min="10506" max="10506" width="7.125" style="8" customWidth="1"/>
    <col min="10507" max="10507" width="7.375" style="8" customWidth="1"/>
    <col min="10508" max="10509" width="5.5" style="8" customWidth="1"/>
    <col min="10510" max="10510" width="9.75" style="8" customWidth="1"/>
    <col min="10511" max="10511" width="9.125" style="8" bestFit="1" customWidth="1"/>
    <col min="10512" max="10512" width="46.75" style="8" bestFit="1" customWidth="1"/>
    <col min="10513" max="10513" width="17.625" style="8" customWidth="1"/>
    <col min="10514" max="10759" width="8.75" style="8"/>
    <col min="10760" max="10760" width="11.75" style="8" customWidth="1"/>
    <col min="10761" max="10761" width="8.5" style="8" customWidth="1"/>
    <col min="10762" max="10762" width="7.125" style="8" customWidth="1"/>
    <col min="10763" max="10763" width="7.375" style="8" customWidth="1"/>
    <col min="10764" max="10765" width="5.5" style="8" customWidth="1"/>
    <col min="10766" max="10766" width="9.75" style="8" customWidth="1"/>
    <col min="10767" max="10767" width="9.125" style="8" bestFit="1" customWidth="1"/>
    <col min="10768" max="10768" width="46.75" style="8" bestFit="1" customWidth="1"/>
    <col min="10769" max="10769" width="17.625" style="8" customWidth="1"/>
    <col min="10770" max="11015" width="8.75" style="8"/>
    <col min="11016" max="11016" width="11.75" style="8" customWidth="1"/>
    <col min="11017" max="11017" width="8.5" style="8" customWidth="1"/>
    <col min="11018" max="11018" width="7.125" style="8" customWidth="1"/>
    <col min="11019" max="11019" width="7.375" style="8" customWidth="1"/>
    <col min="11020" max="11021" width="5.5" style="8" customWidth="1"/>
    <col min="11022" max="11022" width="9.75" style="8" customWidth="1"/>
    <col min="11023" max="11023" width="9.125" style="8" bestFit="1" customWidth="1"/>
    <col min="11024" max="11024" width="46.75" style="8" bestFit="1" customWidth="1"/>
    <col min="11025" max="11025" width="17.625" style="8" customWidth="1"/>
    <col min="11026" max="11271" width="8.75" style="8"/>
    <col min="11272" max="11272" width="11.75" style="8" customWidth="1"/>
    <col min="11273" max="11273" width="8.5" style="8" customWidth="1"/>
    <col min="11274" max="11274" width="7.125" style="8" customWidth="1"/>
    <col min="11275" max="11275" width="7.375" style="8" customWidth="1"/>
    <col min="11276" max="11277" width="5.5" style="8" customWidth="1"/>
    <col min="11278" max="11278" width="9.75" style="8" customWidth="1"/>
    <col min="11279" max="11279" width="9.125" style="8" bestFit="1" customWidth="1"/>
    <col min="11280" max="11280" width="46.75" style="8" bestFit="1" customWidth="1"/>
    <col min="11281" max="11281" width="17.625" style="8" customWidth="1"/>
    <col min="11282" max="11527" width="8.75" style="8"/>
    <col min="11528" max="11528" width="11.75" style="8" customWidth="1"/>
    <col min="11529" max="11529" width="8.5" style="8" customWidth="1"/>
    <col min="11530" max="11530" width="7.125" style="8" customWidth="1"/>
    <col min="11531" max="11531" width="7.375" style="8" customWidth="1"/>
    <col min="11532" max="11533" width="5.5" style="8" customWidth="1"/>
    <col min="11534" max="11534" width="9.75" style="8" customWidth="1"/>
    <col min="11535" max="11535" width="9.125" style="8" bestFit="1" customWidth="1"/>
    <col min="11536" max="11536" width="46.75" style="8" bestFit="1" customWidth="1"/>
    <col min="11537" max="11537" width="17.625" style="8" customWidth="1"/>
    <col min="11538" max="11783" width="8.75" style="8"/>
    <col min="11784" max="11784" width="11.75" style="8" customWidth="1"/>
    <col min="11785" max="11785" width="8.5" style="8" customWidth="1"/>
    <col min="11786" max="11786" width="7.125" style="8" customWidth="1"/>
    <col min="11787" max="11787" width="7.375" style="8" customWidth="1"/>
    <col min="11788" max="11789" width="5.5" style="8" customWidth="1"/>
    <col min="11790" max="11790" width="9.75" style="8" customWidth="1"/>
    <col min="11791" max="11791" width="9.125" style="8" bestFit="1" customWidth="1"/>
    <col min="11792" max="11792" width="46.75" style="8" bestFit="1" customWidth="1"/>
    <col min="11793" max="11793" width="17.625" style="8" customWidth="1"/>
    <col min="11794" max="12039" width="8.75" style="8"/>
    <col min="12040" max="12040" width="11.75" style="8" customWidth="1"/>
    <col min="12041" max="12041" width="8.5" style="8" customWidth="1"/>
    <col min="12042" max="12042" width="7.125" style="8" customWidth="1"/>
    <col min="12043" max="12043" width="7.375" style="8" customWidth="1"/>
    <col min="12044" max="12045" width="5.5" style="8" customWidth="1"/>
    <col min="12046" max="12046" width="9.75" style="8" customWidth="1"/>
    <col min="12047" max="12047" width="9.125" style="8" bestFit="1" customWidth="1"/>
    <col min="12048" max="12048" width="46.75" style="8" bestFit="1" customWidth="1"/>
    <col min="12049" max="12049" width="17.625" style="8" customWidth="1"/>
    <col min="12050" max="12295" width="8.75" style="8"/>
    <col min="12296" max="12296" width="11.75" style="8" customWidth="1"/>
    <col min="12297" max="12297" width="8.5" style="8" customWidth="1"/>
    <col min="12298" max="12298" width="7.125" style="8" customWidth="1"/>
    <col min="12299" max="12299" width="7.375" style="8" customWidth="1"/>
    <col min="12300" max="12301" width="5.5" style="8" customWidth="1"/>
    <col min="12302" max="12302" width="9.75" style="8" customWidth="1"/>
    <col min="12303" max="12303" width="9.125" style="8" bestFit="1" customWidth="1"/>
    <col min="12304" max="12304" width="46.75" style="8" bestFit="1" customWidth="1"/>
    <col min="12305" max="12305" width="17.625" style="8" customWidth="1"/>
    <col min="12306" max="12551" width="8.75" style="8"/>
    <col min="12552" max="12552" width="11.75" style="8" customWidth="1"/>
    <col min="12553" max="12553" width="8.5" style="8" customWidth="1"/>
    <col min="12554" max="12554" width="7.125" style="8" customWidth="1"/>
    <col min="12555" max="12555" width="7.375" style="8" customWidth="1"/>
    <col min="12556" max="12557" width="5.5" style="8" customWidth="1"/>
    <col min="12558" max="12558" width="9.75" style="8" customWidth="1"/>
    <col min="12559" max="12559" width="9.125" style="8" bestFit="1" customWidth="1"/>
    <col min="12560" max="12560" width="46.75" style="8" bestFit="1" customWidth="1"/>
    <col min="12561" max="12561" width="17.625" style="8" customWidth="1"/>
    <col min="12562" max="12807" width="8.75" style="8"/>
    <col min="12808" max="12808" width="11.75" style="8" customWidth="1"/>
    <col min="12809" max="12809" width="8.5" style="8" customWidth="1"/>
    <col min="12810" max="12810" width="7.125" style="8" customWidth="1"/>
    <col min="12811" max="12811" width="7.375" style="8" customWidth="1"/>
    <col min="12812" max="12813" width="5.5" style="8" customWidth="1"/>
    <col min="12814" max="12814" width="9.75" style="8" customWidth="1"/>
    <col min="12815" max="12815" width="9.125" style="8" bestFit="1" customWidth="1"/>
    <col min="12816" max="12816" width="46.75" style="8" bestFit="1" customWidth="1"/>
    <col min="12817" max="12817" width="17.625" style="8" customWidth="1"/>
    <col min="12818" max="13063" width="8.75" style="8"/>
    <col min="13064" max="13064" width="11.75" style="8" customWidth="1"/>
    <col min="13065" max="13065" width="8.5" style="8" customWidth="1"/>
    <col min="13066" max="13066" width="7.125" style="8" customWidth="1"/>
    <col min="13067" max="13067" width="7.375" style="8" customWidth="1"/>
    <col min="13068" max="13069" width="5.5" style="8" customWidth="1"/>
    <col min="13070" max="13070" width="9.75" style="8" customWidth="1"/>
    <col min="13071" max="13071" width="9.125" style="8" bestFit="1" customWidth="1"/>
    <col min="13072" max="13072" width="46.75" style="8" bestFit="1" customWidth="1"/>
    <col min="13073" max="13073" width="17.625" style="8" customWidth="1"/>
    <col min="13074" max="13319" width="8.75" style="8"/>
    <col min="13320" max="13320" width="11.75" style="8" customWidth="1"/>
    <col min="13321" max="13321" width="8.5" style="8" customWidth="1"/>
    <col min="13322" max="13322" width="7.125" style="8" customWidth="1"/>
    <col min="13323" max="13323" width="7.375" style="8" customWidth="1"/>
    <col min="13324" max="13325" width="5.5" style="8" customWidth="1"/>
    <col min="13326" max="13326" width="9.75" style="8" customWidth="1"/>
    <col min="13327" max="13327" width="9.125" style="8" bestFit="1" customWidth="1"/>
    <col min="13328" max="13328" width="46.75" style="8" bestFit="1" customWidth="1"/>
    <col min="13329" max="13329" width="17.625" style="8" customWidth="1"/>
    <col min="13330" max="13575" width="8.75" style="8"/>
    <col min="13576" max="13576" width="11.75" style="8" customWidth="1"/>
    <col min="13577" max="13577" width="8.5" style="8" customWidth="1"/>
    <col min="13578" max="13578" width="7.125" style="8" customWidth="1"/>
    <col min="13579" max="13579" width="7.375" style="8" customWidth="1"/>
    <col min="13580" max="13581" width="5.5" style="8" customWidth="1"/>
    <col min="13582" max="13582" width="9.75" style="8" customWidth="1"/>
    <col min="13583" max="13583" width="9.125" style="8" bestFit="1" customWidth="1"/>
    <col min="13584" max="13584" width="46.75" style="8" bestFit="1" customWidth="1"/>
    <col min="13585" max="13585" width="17.625" style="8" customWidth="1"/>
    <col min="13586" max="13831" width="8.75" style="8"/>
    <col min="13832" max="13832" width="11.75" style="8" customWidth="1"/>
    <col min="13833" max="13833" width="8.5" style="8" customWidth="1"/>
    <col min="13834" max="13834" width="7.125" style="8" customWidth="1"/>
    <col min="13835" max="13835" width="7.375" style="8" customWidth="1"/>
    <col min="13836" max="13837" width="5.5" style="8" customWidth="1"/>
    <col min="13838" max="13838" width="9.75" style="8" customWidth="1"/>
    <col min="13839" max="13839" width="9.125" style="8" bestFit="1" customWidth="1"/>
    <col min="13840" max="13840" width="46.75" style="8" bestFit="1" customWidth="1"/>
    <col min="13841" max="13841" width="17.625" style="8" customWidth="1"/>
    <col min="13842" max="14087" width="8.75" style="8"/>
    <col min="14088" max="14088" width="11.75" style="8" customWidth="1"/>
    <col min="14089" max="14089" width="8.5" style="8" customWidth="1"/>
    <col min="14090" max="14090" width="7.125" style="8" customWidth="1"/>
    <col min="14091" max="14091" width="7.375" style="8" customWidth="1"/>
    <col min="14092" max="14093" width="5.5" style="8" customWidth="1"/>
    <col min="14094" max="14094" width="9.75" style="8" customWidth="1"/>
    <col min="14095" max="14095" width="9.125" style="8" bestFit="1" customWidth="1"/>
    <col min="14096" max="14096" width="46.75" style="8" bestFit="1" customWidth="1"/>
    <col min="14097" max="14097" width="17.625" style="8" customWidth="1"/>
    <col min="14098" max="14343" width="8.75" style="8"/>
    <col min="14344" max="14344" width="11.75" style="8" customWidth="1"/>
    <col min="14345" max="14345" width="8.5" style="8" customWidth="1"/>
    <col min="14346" max="14346" width="7.125" style="8" customWidth="1"/>
    <col min="14347" max="14347" width="7.375" style="8" customWidth="1"/>
    <col min="14348" max="14349" width="5.5" style="8" customWidth="1"/>
    <col min="14350" max="14350" width="9.75" style="8" customWidth="1"/>
    <col min="14351" max="14351" width="9.125" style="8" bestFit="1" customWidth="1"/>
    <col min="14352" max="14352" width="46.75" style="8" bestFit="1" customWidth="1"/>
    <col min="14353" max="14353" width="17.625" style="8" customWidth="1"/>
    <col min="14354" max="14599" width="8.75" style="8"/>
    <col min="14600" max="14600" width="11.75" style="8" customWidth="1"/>
    <col min="14601" max="14601" width="8.5" style="8" customWidth="1"/>
    <col min="14602" max="14602" width="7.125" style="8" customWidth="1"/>
    <col min="14603" max="14603" width="7.375" style="8" customWidth="1"/>
    <col min="14604" max="14605" width="5.5" style="8" customWidth="1"/>
    <col min="14606" max="14606" width="9.75" style="8" customWidth="1"/>
    <col min="14607" max="14607" width="9.125" style="8" bestFit="1" customWidth="1"/>
    <col min="14608" max="14608" width="46.75" style="8" bestFit="1" customWidth="1"/>
    <col min="14609" max="14609" width="17.625" style="8" customWidth="1"/>
    <col min="14610" max="14855" width="8.75" style="8"/>
    <col min="14856" max="14856" width="11.75" style="8" customWidth="1"/>
    <col min="14857" max="14857" width="8.5" style="8" customWidth="1"/>
    <col min="14858" max="14858" width="7.125" style="8" customWidth="1"/>
    <col min="14859" max="14859" width="7.375" style="8" customWidth="1"/>
    <col min="14860" max="14861" width="5.5" style="8" customWidth="1"/>
    <col min="14862" max="14862" width="9.75" style="8" customWidth="1"/>
    <col min="14863" max="14863" width="9.125" style="8" bestFit="1" customWidth="1"/>
    <col min="14864" max="14864" width="46.75" style="8" bestFit="1" customWidth="1"/>
    <col min="14865" max="14865" width="17.625" style="8" customWidth="1"/>
    <col min="14866" max="15111" width="8.75" style="8"/>
    <col min="15112" max="15112" width="11.75" style="8" customWidth="1"/>
    <col min="15113" max="15113" width="8.5" style="8" customWidth="1"/>
    <col min="15114" max="15114" width="7.125" style="8" customWidth="1"/>
    <col min="15115" max="15115" width="7.375" style="8" customWidth="1"/>
    <col min="15116" max="15117" width="5.5" style="8" customWidth="1"/>
    <col min="15118" max="15118" width="9.75" style="8" customWidth="1"/>
    <col min="15119" max="15119" width="9.125" style="8" bestFit="1" customWidth="1"/>
    <col min="15120" max="15120" width="46.75" style="8" bestFit="1" customWidth="1"/>
    <col min="15121" max="15121" width="17.625" style="8" customWidth="1"/>
    <col min="15122" max="15367" width="8.75" style="8"/>
    <col min="15368" max="15368" width="11.75" style="8" customWidth="1"/>
    <col min="15369" max="15369" width="8.5" style="8" customWidth="1"/>
    <col min="15370" max="15370" width="7.125" style="8" customWidth="1"/>
    <col min="15371" max="15371" width="7.375" style="8" customWidth="1"/>
    <col min="15372" max="15373" width="5.5" style="8" customWidth="1"/>
    <col min="15374" max="15374" width="9.75" style="8" customWidth="1"/>
    <col min="15375" max="15375" width="9.125" style="8" bestFit="1" customWidth="1"/>
    <col min="15376" max="15376" width="46.75" style="8" bestFit="1" customWidth="1"/>
    <col min="15377" max="15377" width="17.625" style="8" customWidth="1"/>
    <col min="15378" max="15623" width="8.75" style="8"/>
    <col min="15624" max="15624" width="11.75" style="8" customWidth="1"/>
    <col min="15625" max="15625" width="8.5" style="8" customWidth="1"/>
    <col min="15626" max="15626" width="7.125" style="8" customWidth="1"/>
    <col min="15627" max="15627" width="7.375" style="8" customWidth="1"/>
    <col min="15628" max="15629" width="5.5" style="8" customWidth="1"/>
    <col min="15630" max="15630" width="9.75" style="8" customWidth="1"/>
    <col min="15631" max="15631" width="9.125" style="8" bestFit="1" customWidth="1"/>
    <col min="15632" max="15632" width="46.75" style="8" bestFit="1" customWidth="1"/>
    <col min="15633" max="15633" width="17.625" style="8" customWidth="1"/>
    <col min="15634" max="15879" width="8.75" style="8"/>
    <col min="15880" max="15880" width="11.75" style="8" customWidth="1"/>
    <col min="15881" max="15881" width="8.5" style="8" customWidth="1"/>
    <col min="15882" max="15882" width="7.125" style="8" customWidth="1"/>
    <col min="15883" max="15883" width="7.375" style="8" customWidth="1"/>
    <col min="15884" max="15885" width="5.5" style="8" customWidth="1"/>
    <col min="15886" max="15886" width="9.75" style="8" customWidth="1"/>
    <col min="15887" max="15887" width="9.125" style="8" bestFit="1" customWidth="1"/>
    <col min="15888" max="15888" width="46.75" style="8" bestFit="1" customWidth="1"/>
    <col min="15889" max="15889" width="17.625" style="8" customWidth="1"/>
    <col min="15890" max="16135" width="8.75" style="8"/>
    <col min="16136" max="16136" width="11.75" style="8" customWidth="1"/>
    <col min="16137" max="16137" width="8.5" style="8" customWidth="1"/>
    <col min="16138" max="16138" width="7.125" style="8" customWidth="1"/>
    <col min="16139" max="16139" width="7.375" style="8" customWidth="1"/>
    <col min="16140" max="16141" width="5.5" style="8" customWidth="1"/>
    <col min="16142" max="16142" width="9.75" style="8" customWidth="1"/>
    <col min="16143" max="16143" width="9.125" style="8" bestFit="1" customWidth="1"/>
    <col min="16144" max="16144" width="46.75" style="8" bestFit="1" customWidth="1"/>
    <col min="16145" max="16145" width="17.625" style="8" customWidth="1"/>
    <col min="16146" max="16384" width="8.75" style="8"/>
  </cols>
  <sheetData>
    <row r="1" spans="1:17" s="2" customFormat="1" ht="12.75" customHeight="1">
      <c r="A1" s="291" t="s">
        <v>11</v>
      </c>
      <c r="B1" s="292"/>
      <c r="C1" s="292"/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2"/>
      <c r="P1" s="293"/>
    </row>
    <row r="2" spans="1:17" ht="12.75" customHeight="1">
      <c r="A2" s="9" t="s">
        <v>12</v>
      </c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5"/>
      <c r="O2" s="3"/>
      <c r="P2" s="7" t="s">
        <v>13</v>
      </c>
    </row>
    <row r="3" spans="1:17" ht="13.7" customHeight="1">
      <c r="A3" s="9" t="s">
        <v>14</v>
      </c>
      <c r="B3" s="5"/>
      <c r="C3" s="5"/>
      <c r="D3" s="5"/>
      <c r="E3" s="5"/>
      <c r="F3" s="282"/>
      <c r="G3" s="282"/>
      <c r="H3" s="282"/>
      <c r="I3" s="282"/>
      <c r="J3" s="282"/>
      <c r="K3" s="282"/>
      <c r="L3" s="267"/>
      <c r="M3" s="5"/>
      <c r="N3" s="294" t="s">
        <v>15</v>
      </c>
      <c r="O3" s="294"/>
      <c r="P3" s="295"/>
    </row>
    <row r="4" spans="1:17" ht="13.7" customHeight="1">
      <c r="A4" s="9" t="s">
        <v>16</v>
      </c>
      <c r="B4" s="5"/>
      <c r="C4" s="5"/>
      <c r="D4" s="5"/>
      <c r="E4" s="5"/>
      <c r="F4" s="282"/>
      <c r="G4" s="282"/>
      <c r="H4" s="282"/>
      <c r="I4" s="282"/>
      <c r="J4" s="282"/>
      <c r="K4" s="282"/>
      <c r="L4" s="267"/>
      <c r="M4" s="5"/>
      <c r="N4" s="296" t="s">
        <v>17</v>
      </c>
      <c r="O4" s="296"/>
      <c r="P4" s="297"/>
    </row>
    <row r="5" spans="1:17" ht="12.75" customHeight="1">
      <c r="A5" s="9" t="s">
        <v>18</v>
      </c>
      <c r="B5" s="10"/>
      <c r="C5" s="5"/>
      <c r="D5" s="5"/>
      <c r="E5" s="5"/>
      <c r="F5" s="282"/>
      <c r="G5" s="282"/>
      <c r="H5" s="282"/>
      <c r="I5" s="282"/>
      <c r="J5" s="282"/>
      <c r="K5" s="282"/>
      <c r="L5" s="267"/>
      <c r="M5" s="5"/>
      <c r="N5" s="5"/>
      <c r="O5" s="192"/>
      <c r="P5" s="12"/>
    </row>
    <row r="6" spans="1:17" ht="12.75" customHeight="1">
      <c r="A6" s="9" t="s">
        <v>19</v>
      </c>
      <c r="B6" s="10"/>
      <c r="C6" s="5"/>
      <c r="D6" s="5"/>
      <c r="E6" s="5"/>
      <c r="F6" s="282"/>
      <c r="G6" s="282"/>
      <c r="H6" s="282"/>
      <c r="I6" s="282"/>
      <c r="J6" s="282"/>
      <c r="K6" s="282"/>
      <c r="L6" s="267"/>
      <c r="M6" s="5"/>
      <c r="N6" s="5"/>
      <c r="O6" s="192"/>
      <c r="P6" s="12"/>
    </row>
    <row r="7" spans="1:17" ht="12.75" customHeight="1">
      <c r="A7" s="197"/>
      <c r="B7" s="13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6"/>
    </row>
    <row r="8" spans="1:17" s="154" customFormat="1" ht="17.45" customHeight="1">
      <c r="A8" s="156"/>
      <c r="C8" s="298" t="s">
        <v>20</v>
      </c>
      <c r="D8" s="299"/>
      <c r="E8" s="157"/>
      <c r="F8" s="157"/>
      <c r="G8" s="157"/>
      <c r="H8" s="157"/>
      <c r="I8" s="157"/>
      <c r="J8" s="157"/>
      <c r="K8" s="157"/>
      <c r="L8" s="157"/>
      <c r="M8" s="157"/>
      <c r="N8" s="157"/>
      <c r="O8" s="186"/>
      <c r="P8" s="158"/>
    </row>
    <row r="9" spans="1:17" s="154" customFormat="1" ht="17.45" customHeight="1" thickBot="1">
      <c r="A9" s="283"/>
      <c r="C9" s="300" t="s">
        <v>512</v>
      </c>
      <c r="D9" s="300"/>
      <c r="E9" s="300"/>
      <c r="F9" s="301" t="s">
        <v>514</v>
      </c>
      <c r="G9" s="301"/>
      <c r="H9" s="301"/>
      <c r="I9" s="302" t="s">
        <v>513</v>
      </c>
      <c r="J9" s="303"/>
      <c r="K9" s="304"/>
      <c r="L9" s="284"/>
      <c r="M9" s="284"/>
      <c r="N9" s="284"/>
      <c r="O9" s="285"/>
      <c r="P9" s="286"/>
    </row>
    <row r="10" spans="1:17" s="154" customFormat="1" ht="28.9" customHeight="1" thickBot="1">
      <c r="A10" s="164" t="s">
        <v>266</v>
      </c>
      <c r="B10" s="168" t="s">
        <v>500</v>
      </c>
      <c r="C10" s="166" t="s">
        <v>25</v>
      </c>
      <c r="D10" s="167" t="s">
        <v>26</v>
      </c>
      <c r="E10" s="166" t="s">
        <v>564</v>
      </c>
      <c r="F10" s="166" t="s">
        <v>25</v>
      </c>
      <c r="G10" s="167" t="s">
        <v>26</v>
      </c>
      <c r="H10" s="166" t="s">
        <v>565</v>
      </c>
      <c r="I10" s="166" t="s">
        <v>25</v>
      </c>
      <c r="J10" s="167" t="s">
        <v>26</v>
      </c>
      <c r="K10" s="166" t="s">
        <v>566</v>
      </c>
      <c r="L10" s="166" t="s">
        <v>21</v>
      </c>
      <c r="M10" s="166" t="s">
        <v>217</v>
      </c>
      <c r="N10" s="166" t="s">
        <v>222</v>
      </c>
      <c r="O10" s="168" t="s">
        <v>22</v>
      </c>
      <c r="P10" s="165" t="s">
        <v>23</v>
      </c>
      <c r="Q10" s="169" t="s">
        <v>24</v>
      </c>
    </row>
    <row r="11" spans="1:17" ht="12.75" customHeight="1">
      <c r="A11" s="194">
        <v>42417</v>
      </c>
      <c r="B11" s="159"/>
      <c r="C11" s="159">
        <v>1</v>
      </c>
      <c r="D11" s="159">
        <v>91</v>
      </c>
      <c r="E11" s="159">
        <f t="shared" ref="E11:E74" si="0">IF(((C11="")*AND(D11="")),"",D11-C11)</f>
        <v>90</v>
      </c>
      <c r="F11" s="159"/>
      <c r="G11" s="159"/>
      <c r="H11" s="159"/>
      <c r="I11" s="159"/>
      <c r="J11" s="159"/>
      <c r="K11" s="159"/>
      <c r="L11" s="160">
        <v>30</v>
      </c>
      <c r="M11" s="160">
        <v>30</v>
      </c>
      <c r="N11" s="161" t="str">
        <f t="shared" ref="N11:N74" si="1">IF(E11="","",IF(E11&lt;=30,"Pass","Fail"))</f>
        <v>Fail</v>
      </c>
      <c r="O11" s="162">
        <v>1159</v>
      </c>
      <c r="P11" s="163" t="s">
        <v>27</v>
      </c>
      <c r="Q11" s="155"/>
    </row>
    <row r="12" spans="1:17" ht="12.75" customHeight="1">
      <c r="A12" s="195">
        <v>42417</v>
      </c>
      <c r="B12" s="17"/>
      <c r="C12" s="17">
        <v>13</v>
      </c>
      <c r="D12" s="17">
        <v>82</v>
      </c>
      <c r="E12" s="17">
        <f t="shared" si="0"/>
        <v>69</v>
      </c>
      <c r="F12" s="17"/>
      <c r="G12" s="17"/>
      <c r="H12" s="17"/>
      <c r="I12" s="17"/>
      <c r="J12" s="17"/>
      <c r="K12" s="17"/>
      <c r="L12" s="18">
        <v>30</v>
      </c>
      <c r="M12" s="18">
        <v>30</v>
      </c>
      <c r="N12" s="19" t="str">
        <f t="shared" si="1"/>
        <v>Fail</v>
      </c>
      <c r="O12" s="20">
        <v>1159</v>
      </c>
      <c r="P12" s="21" t="s">
        <v>27</v>
      </c>
      <c r="Q12" s="22"/>
    </row>
    <row r="13" spans="1:17" ht="12.75" customHeight="1">
      <c r="A13" s="195">
        <v>42432</v>
      </c>
      <c r="B13" s="17"/>
      <c r="C13" s="17">
        <v>3</v>
      </c>
      <c r="D13" s="17">
        <v>23</v>
      </c>
      <c r="E13" s="17">
        <f t="shared" si="0"/>
        <v>20</v>
      </c>
      <c r="F13" s="17"/>
      <c r="G13" s="17"/>
      <c r="H13" s="17"/>
      <c r="I13" s="17"/>
      <c r="J13" s="17"/>
      <c r="K13" s="17"/>
      <c r="L13" s="18">
        <v>30</v>
      </c>
      <c r="M13" s="18">
        <v>30</v>
      </c>
      <c r="N13" s="19" t="str">
        <f t="shared" si="1"/>
        <v>Pass</v>
      </c>
      <c r="O13" s="20">
        <v>1335</v>
      </c>
      <c r="P13" s="21" t="s">
        <v>28</v>
      </c>
      <c r="Q13" s="22"/>
    </row>
    <row r="14" spans="1:17" ht="12.75" customHeight="1">
      <c r="A14" s="195">
        <v>42438</v>
      </c>
      <c r="B14" s="17"/>
      <c r="C14" s="17">
        <v>43</v>
      </c>
      <c r="D14" s="17">
        <v>69</v>
      </c>
      <c r="E14" s="17">
        <f t="shared" si="0"/>
        <v>26</v>
      </c>
      <c r="F14" s="17"/>
      <c r="G14" s="17"/>
      <c r="H14" s="17"/>
      <c r="I14" s="17"/>
      <c r="J14" s="17"/>
      <c r="K14" s="17"/>
      <c r="L14" s="18">
        <v>30</v>
      </c>
      <c r="M14" s="18">
        <v>30</v>
      </c>
      <c r="N14" s="19" t="str">
        <f t="shared" si="1"/>
        <v>Pass</v>
      </c>
      <c r="O14" s="20">
        <v>1428</v>
      </c>
      <c r="P14" s="21" t="s">
        <v>27</v>
      </c>
      <c r="Q14" s="22"/>
    </row>
    <row r="15" spans="1:17" ht="12.75" customHeight="1">
      <c r="A15" s="195">
        <v>42447</v>
      </c>
      <c r="B15" s="17"/>
      <c r="C15" s="17">
        <v>1</v>
      </c>
      <c r="D15" s="17">
        <v>19</v>
      </c>
      <c r="E15" s="17">
        <f t="shared" si="0"/>
        <v>18</v>
      </c>
      <c r="F15" s="17"/>
      <c r="G15" s="17"/>
      <c r="H15" s="17"/>
      <c r="I15" s="17"/>
      <c r="J15" s="17"/>
      <c r="K15" s="17"/>
      <c r="L15" s="18">
        <v>30</v>
      </c>
      <c r="M15" s="18">
        <v>30</v>
      </c>
      <c r="N15" s="19" t="str">
        <f t="shared" si="1"/>
        <v>Pass</v>
      </c>
      <c r="O15" s="20">
        <v>1335</v>
      </c>
      <c r="P15" s="21" t="s">
        <v>27</v>
      </c>
      <c r="Q15" s="22"/>
    </row>
    <row r="16" spans="1:17" ht="12.75" customHeight="1">
      <c r="A16" s="195">
        <v>42475</v>
      </c>
      <c r="B16" s="23"/>
      <c r="C16" s="24">
        <v>1</v>
      </c>
      <c r="D16" s="24">
        <v>28</v>
      </c>
      <c r="E16" s="24">
        <f t="shared" si="0"/>
        <v>27</v>
      </c>
      <c r="F16" s="24"/>
      <c r="G16" s="24"/>
      <c r="H16" s="24"/>
      <c r="I16" s="24"/>
      <c r="J16" s="24"/>
      <c r="K16" s="24"/>
      <c r="L16" s="18">
        <v>30</v>
      </c>
      <c r="M16" s="18">
        <v>30</v>
      </c>
      <c r="N16" s="19" t="str">
        <f t="shared" si="1"/>
        <v>Pass</v>
      </c>
      <c r="O16" s="190">
        <v>1159</v>
      </c>
      <c r="P16" s="25" t="s">
        <v>29</v>
      </c>
      <c r="Q16" s="22"/>
    </row>
    <row r="17" spans="1:17" ht="12.75" customHeight="1">
      <c r="A17" s="195">
        <v>42487</v>
      </c>
      <c r="C17" s="26">
        <v>6</v>
      </c>
      <c r="D17" s="26">
        <v>26</v>
      </c>
      <c r="E17" s="26">
        <f t="shared" si="0"/>
        <v>20</v>
      </c>
      <c r="L17" s="26">
        <v>30</v>
      </c>
      <c r="M17" s="26">
        <v>30</v>
      </c>
      <c r="N17" s="27" t="str">
        <f t="shared" si="1"/>
        <v>Pass</v>
      </c>
      <c r="O17" s="28">
        <v>1159</v>
      </c>
      <c r="P17" s="29" t="s">
        <v>30</v>
      </c>
      <c r="Q17" s="22"/>
    </row>
    <row r="18" spans="1:17" ht="12.75" customHeight="1">
      <c r="A18" s="195">
        <v>42522</v>
      </c>
      <c r="B18" s="17"/>
      <c r="C18" s="17">
        <v>37</v>
      </c>
      <c r="D18" s="17">
        <v>51</v>
      </c>
      <c r="E18" s="17">
        <f t="shared" si="0"/>
        <v>14</v>
      </c>
      <c r="F18" s="17"/>
      <c r="G18" s="17"/>
      <c r="H18" s="17"/>
      <c r="I18" s="17"/>
      <c r="J18" s="17"/>
      <c r="K18" s="17"/>
      <c r="L18" s="17">
        <v>30</v>
      </c>
      <c r="M18" s="17">
        <v>30</v>
      </c>
      <c r="N18" s="19" t="str">
        <f t="shared" si="1"/>
        <v>Pass</v>
      </c>
      <c r="O18" s="20">
        <v>1428</v>
      </c>
      <c r="P18" s="25" t="s">
        <v>30</v>
      </c>
      <c r="Q18" s="22"/>
    </row>
    <row r="19" spans="1:17" ht="12.75" customHeight="1">
      <c r="A19" s="195">
        <v>42536</v>
      </c>
      <c r="B19" s="17"/>
      <c r="C19" s="17">
        <v>3</v>
      </c>
      <c r="D19" s="17">
        <v>25</v>
      </c>
      <c r="E19" s="17">
        <f t="shared" si="0"/>
        <v>22</v>
      </c>
      <c r="F19" s="17"/>
      <c r="G19" s="17"/>
      <c r="H19" s="17"/>
      <c r="I19" s="17"/>
      <c r="J19" s="17"/>
      <c r="K19" s="17"/>
      <c r="L19" s="17">
        <v>30</v>
      </c>
      <c r="M19" s="17">
        <v>30</v>
      </c>
      <c r="N19" s="19" t="str">
        <f t="shared" si="1"/>
        <v>Pass</v>
      </c>
      <c r="O19" s="20">
        <v>1335</v>
      </c>
      <c r="P19" s="25" t="s">
        <v>30</v>
      </c>
      <c r="Q19" s="22"/>
    </row>
    <row r="20" spans="1:17" ht="12.75" customHeight="1">
      <c r="A20" s="195">
        <v>42542</v>
      </c>
      <c r="B20" s="17"/>
      <c r="C20" s="17">
        <v>8</v>
      </c>
      <c r="D20" s="17">
        <v>10</v>
      </c>
      <c r="E20" s="17">
        <f t="shared" si="0"/>
        <v>2</v>
      </c>
      <c r="F20" s="17"/>
      <c r="G20" s="17"/>
      <c r="H20" s="17"/>
      <c r="I20" s="17"/>
      <c r="J20" s="17"/>
      <c r="K20" s="17"/>
      <c r="L20" s="17">
        <v>30</v>
      </c>
      <c r="M20" s="17">
        <v>30</v>
      </c>
      <c r="N20" s="19" t="str">
        <f t="shared" si="1"/>
        <v>Pass</v>
      </c>
      <c r="O20" s="17">
        <v>1400</v>
      </c>
      <c r="P20" s="21" t="s">
        <v>27</v>
      </c>
      <c r="Q20" s="22"/>
    </row>
    <row r="21" spans="1:17" ht="12.75" customHeight="1">
      <c r="A21" s="195">
        <v>42555</v>
      </c>
      <c r="B21" s="17"/>
      <c r="C21" s="17">
        <v>1</v>
      </c>
      <c r="D21" s="17">
        <v>13</v>
      </c>
      <c r="E21" s="17">
        <f t="shared" si="0"/>
        <v>12</v>
      </c>
      <c r="F21" s="17"/>
      <c r="G21" s="17"/>
      <c r="H21" s="17"/>
      <c r="I21" s="17"/>
      <c r="J21" s="17"/>
      <c r="K21" s="17"/>
      <c r="L21" s="17">
        <v>30</v>
      </c>
      <c r="M21" s="17">
        <v>30</v>
      </c>
      <c r="N21" s="19" t="str">
        <f>IF(E21="","",IF(E21&lt;=30,"Pass","Fail"))</f>
        <v>Pass</v>
      </c>
      <c r="O21" s="17">
        <v>1400</v>
      </c>
      <c r="P21" s="25" t="s">
        <v>31</v>
      </c>
      <c r="Q21" s="22"/>
    </row>
    <row r="22" spans="1:17" ht="12.75" customHeight="1">
      <c r="A22" s="195">
        <v>42564</v>
      </c>
      <c r="B22" s="17"/>
      <c r="C22" s="17">
        <v>3</v>
      </c>
      <c r="D22" s="17">
        <v>20</v>
      </c>
      <c r="E22" s="17">
        <f t="shared" si="0"/>
        <v>17</v>
      </c>
      <c r="F22" s="17"/>
      <c r="G22" s="17"/>
      <c r="H22" s="17"/>
      <c r="I22" s="17"/>
      <c r="J22" s="17"/>
      <c r="K22" s="17"/>
      <c r="L22" s="17">
        <v>30</v>
      </c>
      <c r="M22" s="17">
        <v>30</v>
      </c>
      <c r="N22" s="19" t="str">
        <f t="shared" si="1"/>
        <v>Pass</v>
      </c>
      <c r="O22" s="17">
        <v>1159</v>
      </c>
      <c r="P22" s="21" t="s">
        <v>27</v>
      </c>
      <c r="Q22" s="22"/>
    </row>
    <row r="23" spans="1:17" ht="12.75" customHeight="1">
      <c r="A23" s="195">
        <v>42577</v>
      </c>
      <c r="B23" s="17"/>
      <c r="C23" s="17">
        <v>9</v>
      </c>
      <c r="D23" s="17">
        <v>83</v>
      </c>
      <c r="E23" s="17">
        <f t="shared" si="0"/>
        <v>74</v>
      </c>
      <c r="F23" s="17"/>
      <c r="G23" s="17"/>
      <c r="H23" s="17"/>
      <c r="I23" s="17"/>
      <c r="J23" s="17"/>
      <c r="K23" s="17"/>
      <c r="L23" s="17">
        <v>30</v>
      </c>
      <c r="M23" s="17">
        <v>30</v>
      </c>
      <c r="N23" s="19" t="str">
        <f t="shared" si="1"/>
        <v>Fail</v>
      </c>
      <c r="O23" s="17">
        <v>1335</v>
      </c>
      <c r="P23" s="21" t="s">
        <v>27</v>
      </c>
      <c r="Q23" s="22"/>
    </row>
    <row r="24" spans="1:17" ht="12.75" customHeight="1">
      <c r="A24" s="195">
        <v>42577</v>
      </c>
      <c r="B24" s="17"/>
      <c r="C24" s="17">
        <v>9</v>
      </c>
      <c r="D24" s="17">
        <v>49</v>
      </c>
      <c r="E24" s="17">
        <f t="shared" si="0"/>
        <v>40</v>
      </c>
      <c r="F24" s="17"/>
      <c r="G24" s="17"/>
      <c r="H24" s="17"/>
      <c r="I24" s="17"/>
      <c r="J24" s="17"/>
      <c r="K24" s="17"/>
      <c r="L24" s="17">
        <v>30</v>
      </c>
      <c r="M24" s="17">
        <v>30</v>
      </c>
      <c r="N24" s="19" t="str">
        <f t="shared" si="1"/>
        <v>Fail</v>
      </c>
      <c r="O24" s="17">
        <v>1335</v>
      </c>
      <c r="P24" s="21" t="s">
        <v>27</v>
      </c>
      <c r="Q24" s="22"/>
    </row>
    <row r="25" spans="1:17" ht="12.75" customHeight="1">
      <c r="A25" s="195">
        <v>42577</v>
      </c>
      <c r="B25" s="17"/>
      <c r="C25" s="17">
        <v>2</v>
      </c>
      <c r="D25" s="17">
        <v>19</v>
      </c>
      <c r="E25" s="17">
        <f t="shared" si="0"/>
        <v>17</v>
      </c>
      <c r="F25" s="17"/>
      <c r="G25" s="17"/>
      <c r="H25" s="17"/>
      <c r="I25" s="17"/>
      <c r="J25" s="17"/>
      <c r="K25" s="17"/>
      <c r="L25" s="17">
        <v>30</v>
      </c>
      <c r="M25" s="17">
        <v>30</v>
      </c>
      <c r="N25" s="19" t="str">
        <f t="shared" si="1"/>
        <v>Pass</v>
      </c>
      <c r="O25" s="17">
        <v>1335</v>
      </c>
      <c r="P25" s="21" t="s">
        <v>27</v>
      </c>
      <c r="Q25" s="22"/>
    </row>
    <row r="26" spans="1:17" ht="12.75" customHeight="1">
      <c r="A26" s="195">
        <v>42584</v>
      </c>
      <c r="B26" s="17"/>
      <c r="C26" s="17">
        <v>1</v>
      </c>
      <c r="D26" s="17">
        <v>6</v>
      </c>
      <c r="E26" s="17">
        <f t="shared" si="0"/>
        <v>5</v>
      </c>
      <c r="F26" s="17"/>
      <c r="G26" s="17"/>
      <c r="H26" s="17"/>
      <c r="I26" s="17"/>
      <c r="J26" s="17"/>
      <c r="K26" s="17"/>
      <c r="L26" s="17">
        <v>30</v>
      </c>
      <c r="M26" s="17">
        <v>30</v>
      </c>
      <c r="N26" s="19" t="str">
        <f t="shared" si="1"/>
        <v>Pass</v>
      </c>
      <c r="O26" s="17">
        <v>1159</v>
      </c>
      <c r="P26" s="25" t="s">
        <v>32</v>
      </c>
      <c r="Q26" s="22"/>
    </row>
    <row r="27" spans="1:17" ht="12.75" customHeight="1">
      <c r="A27" s="195">
        <v>42584</v>
      </c>
      <c r="B27" s="17"/>
      <c r="C27" s="17">
        <v>7</v>
      </c>
      <c r="D27" s="17">
        <v>13</v>
      </c>
      <c r="E27" s="17">
        <f t="shared" si="0"/>
        <v>6</v>
      </c>
      <c r="F27" s="17"/>
      <c r="G27" s="17"/>
      <c r="H27" s="17"/>
      <c r="I27" s="17"/>
      <c r="J27" s="17"/>
      <c r="K27" s="17"/>
      <c r="L27" s="17">
        <v>30</v>
      </c>
      <c r="M27" s="17">
        <v>30</v>
      </c>
      <c r="N27" s="19" t="str">
        <f t="shared" si="1"/>
        <v>Pass</v>
      </c>
      <c r="O27" s="17">
        <v>1159</v>
      </c>
      <c r="P27" s="25" t="s">
        <v>33</v>
      </c>
      <c r="Q27" s="22"/>
    </row>
    <row r="28" spans="1:17" ht="12.75" customHeight="1">
      <c r="A28" s="195">
        <v>42590</v>
      </c>
      <c r="B28" s="17"/>
      <c r="C28" s="17">
        <v>14</v>
      </c>
      <c r="D28" s="17">
        <v>62</v>
      </c>
      <c r="E28" s="17">
        <f t="shared" si="0"/>
        <v>48</v>
      </c>
      <c r="F28" s="17"/>
      <c r="G28" s="17"/>
      <c r="H28" s="17"/>
      <c r="I28" s="17"/>
      <c r="J28" s="17"/>
      <c r="K28" s="17"/>
      <c r="L28" s="17">
        <v>30</v>
      </c>
      <c r="M28" s="17">
        <v>30</v>
      </c>
      <c r="N28" s="19" t="str">
        <f t="shared" si="1"/>
        <v>Fail</v>
      </c>
      <c r="O28" s="17">
        <v>1159</v>
      </c>
      <c r="P28" s="25" t="s">
        <v>34</v>
      </c>
      <c r="Q28" s="22"/>
    </row>
    <row r="29" spans="1:17" ht="12.75" customHeight="1">
      <c r="A29" s="195">
        <v>42590</v>
      </c>
      <c r="B29" s="17"/>
      <c r="C29" s="17">
        <v>1</v>
      </c>
      <c r="D29" s="17">
        <v>4</v>
      </c>
      <c r="E29" s="17">
        <f t="shared" si="0"/>
        <v>3</v>
      </c>
      <c r="F29" s="17"/>
      <c r="G29" s="17"/>
      <c r="H29" s="17"/>
      <c r="I29" s="17"/>
      <c r="J29" s="17"/>
      <c r="K29" s="17"/>
      <c r="L29" s="17">
        <v>30</v>
      </c>
      <c r="M29" s="17">
        <v>30</v>
      </c>
      <c r="N29" s="19" t="str">
        <f t="shared" si="1"/>
        <v>Pass</v>
      </c>
      <c r="O29" s="17">
        <v>1159</v>
      </c>
      <c r="P29" s="25" t="s">
        <v>35</v>
      </c>
      <c r="Q29" s="22"/>
    </row>
    <row r="30" spans="1:17" ht="12.75" customHeight="1">
      <c r="A30" s="195">
        <v>42593</v>
      </c>
      <c r="B30" s="17"/>
      <c r="C30" s="17">
        <v>3</v>
      </c>
      <c r="D30" s="17">
        <v>23</v>
      </c>
      <c r="E30" s="17">
        <f t="shared" si="0"/>
        <v>20</v>
      </c>
      <c r="F30" s="17"/>
      <c r="G30" s="17"/>
      <c r="H30" s="17"/>
      <c r="I30" s="17"/>
      <c r="J30" s="17"/>
      <c r="K30" s="17"/>
      <c r="L30" s="17">
        <v>30</v>
      </c>
      <c r="M30" s="17">
        <v>30</v>
      </c>
      <c r="N30" s="19" t="str">
        <f t="shared" si="1"/>
        <v>Pass</v>
      </c>
      <c r="O30" s="17">
        <v>1159</v>
      </c>
      <c r="P30" s="25" t="s">
        <v>36</v>
      </c>
      <c r="Q30" s="22"/>
    </row>
    <row r="31" spans="1:17" ht="12.75" customHeight="1">
      <c r="A31" s="195">
        <v>42598</v>
      </c>
      <c r="B31" s="17"/>
      <c r="C31" s="17">
        <v>2</v>
      </c>
      <c r="D31" s="17">
        <v>26</v>
      </c>
      <c r="E31" s="17">
        <f t="shared" si="0"/>
        <v>24</v>
      </c>
      <c r="F31" s="17"/>
      <c r="G31" s="17"/>
      <c r="H31" s="17"/>
      <c r="I31" s="17"/>
      <c r="J31" s="17"/>
      <c r="K31" s="17"/>
      <c r="L31" s="17">
        <v>30</v>
      </c>
      <c r="M31" s="17">
        <v>30</v>
      </c>
      <c r="N31" s="19" t="str">
        <f t="shared" si="1"/>
        <v>Pass</v>
      </c>
      <c r="O31" s="17">
        <v>1428</v>
      </c>
      <c r="P31" s="30" t="s">
        <v>37</v>
      </c>
      <c r="Q31" s="22"/>
    </row>
    <row r="32" spans="1:17" ht="12.75" customHeight="1">
      <c r="A32" s="195">
        <v>42601</v>
      </c>
      <c r="B32" s="17"/>
      <c r="C32" s="17">
        <v>0</v>
      </c>
      <c r="D32" s="17">
        <v>10</v>
      </c>
      <c r="E32" s="17">
        <f t="shared" si="0"/>
        <v>10</v>
      </c>
      <c r="F32" s="17"/>
      <c r="G32" s="17"/>
      <c r="H32" s="17"/>
      <c r="I32" s="17"/>
      <c r="J32" s="17"/>
      <c r="K32" s="17"/>
      <c r="L32" s="17">
        <v>30</v>
      </c>
      <c r="M32" s="17">
        <v>30</v>
      </c>
      <c r="N32" s="19" t="str">
        <f t="shared" si="1"/>
        <v>Pass</v>
      </c>
      <c r="O32" s="17">
        <v>1335</v>
      </c>
      <c r="P32" s="30" t="s">
        <v>39</v>
      </c>
      <c r="Q32" s="22"/>
    </row>
    <row r="33" spans="1:17" ht="12.75" customHeight="1">
      <c r="A33" s="195">
        <v>42606</v>
      </c>
      <c r="B33" s="17"/>
      <c r="C33" s="17">
        <v>11</v>
      </c>
      <c r="D33" s="17">
        <v>18</v>
      </c>
      <c r="E33" s="17">
        <f t="shared" si="0"/>
        <v>7</v>
      </c>
      <c r="F33" s="17"/>
      <c r="G33" s="17"/>
      <c r="H33" s="17"/>
      <c r="I33" s="17"/>
      <c r="J33" s="17"/>
      <c r="K33" s="17"/>
      <c r="L33" s="17">
        <v>30</v>
      </c>
      <c r="M33" s="17">
        <v>30</v>
      </c>
      <c r="N33" s="19" t="str">
        <f t="shared" si="1"/>
        <v>Pass</v>
      </c>
      <c r="O33" s="17">
        <v>1335</v>
      </c>
      <c r="P33" s="30" t="s">
        <v>40</v>
      </c>
      <c r="Q33" s="22"/>
    </row>
    <row r="34" spans="1:17" ht="12.75" customHeight="1">
      <c r="A34" s="195">
        <v>42610</v>
      </c>
      <c r="B34" s="17"/>
      <c r="C34" s="17">
        <v>22</v>
      </c>
      <c r="D34" s="17">
        <v>41</v>
      </c>
      <c r="E34" s="17">
        <f t="shared" si="0"/>
        <v>19</v>
      </c>
      <c r="F34" s="17"/>
      <c r="G34" s="17"/>
      <c r="H34" s="17"/>
      <c r="I34" s="17"/>
      <c r="J34" s="17"/>
      <c r="K34" s="17"/>
      <c r="L34" s="17">
        <v>30</v>
      </c>
      <c r="M34" s="17">
        <v>30</v>
      </c>
      <c r="N34" s="19" t="str">
        <f t="shared" si="1"/>
        <v>Pass</v>
      </c>
      <c r="O34" s="17">
        <v>1400</v>
      </c>
      <c r="P34" s="30" t="s">
        <v>41</v>
      </c>
      <c r="Q34" s="22"/>
    </row>
    <row r="35" spans="1:17" ht="12.75" customHeight="1">
      <c r="A35" s="195">
        <v>42614</v>
      </c>
      <c r="B35" s="17"/>
      <c r="C35" s="17">
        <v>2</v>
      </c>
      <c r="D35" s="17">
        <v>29</v>
      </c>
      <c r="E35" s="17">
        <f t="shared" si="0"/>
        <v>27</v>
      </c>
      <c r="F35" s="17"/>
      <c r="G35" s="17"/>
      <c r="H35" s="17"/>
      <c r="I35" s="17"/>
      <c r="J35" s="17"/>
      <c r="K35" s="17"/>
      <c r="L35" s="17">
        <v>30</v>
      </c>
      <c r="M35" s="17">
        <v>30</v>
      </c>
      <c r="N35" s="19" t="str">
        <f t="shared" si="1"/>
        <v>Pass</v>
      </c>
      <c r="O35" s="17">
        <v>1159</v>
      </c>
      <c r="P35" s="30" t="s">
        <v>42</v>
      </c>
      <c r="Q35" s="22"/>
    </row>
    <row r="36" spans="1:17" ht="12.75" customHeight="1">
      <c r="A36" s="195">
        <v>42624</v>
      </c>
      <c r="B36" s="17"/>
      <c r="C36" s="17">
        <v>4</v>
      </c>
      <c r="D36" s="17">
        <v>15</v>
      </c>
      <c r="E36" s="17">
        <f t="shared" si="0"/>
        <v>11</v>
      </c>
      <c r="F36" s="17"/>
      <c r="G36" s="17"/>
      <c r="H36" s="17"/>
      <c r="I36" s="17"/>
      <c r="J36" s="17"/>
      <c r="K36" s="17"/>
      <c r="L36" s="17">
        <v>30</v>
      </c>
      <c r="M36" s="17">
        <v>30</v>
      </c>
      <c r="N36" s="19" t="str">
        <f t="shared" si="1"/>
        <v>Pass</v>
      </c>
      <c r="O36" s="17">
        <v>1159</v>
      </c>
      <c r="P36" s="30" t="s">
        <v>43</v>
      </c>
      <c r="Q36" s="22"/>
    </row>
    <row r="37" spans="1:17" ht="12.75" customHeight="1">
      <c r="A37" s="195">
        <v>42633</v>
      </c>
      <c r="B37" s="17"/>
      <c r="C37" s="17">
        <v>1</v>
      </c>
      <c r="D37" s="17">
        <v>20</v>
      </c>
      <c r="E37" s="17">
        <f t="shared" si="0"/>
        <v>19</v>
      </c>
      <c r="F37" s="17"/>
      <c r="G37" s="17"/>
      <c r="H37" s="17"/>
      <c r="I37" s="17"/>
      <c r="J37" s="17"/>
      <c r="K37" s="17"/>
      <c r="L37" s="17">
        <v>30</v>
      </c>
      <c r="M37" s="17">
        <v>30</v>
      </c>
      <c r="N37" s="19" t="str">
        <f t="shared" si="1"/>
        <v>Pass</v>
      </c>
      <c r="O37" s="17">
        <v>1159</v>
      </c>
      <c r="P37" s="30" t="s">
        <v>44</v>
      </c>
      <c r="Q37" s="22"/>
    </row>
    <row r="38" spans="1:17" ht="12.75" customHeight="1">
      <c r="A38" s="195">
        <v>42641</v>
      </c>
      <c r="B38" s="17"/>
      <c r="C38" s="17">
        <v>29</v>
      </c>
      <c r="D38" s="17">
        <v>38</v>
      </c>
      <c r="E38" s="17">
        <f t="shared" si="0"/>
        <v>9</v>
      </c>
      <c r="F38" s="17"/>
      <c r="G38" s="17"/>
      <c r="H38" s="17"/>
      <c r="I38" s="17"/>
      <c r="J38" s="17"/>
      <c r="K38" s="17"/>
      <c r="L38" s="17">
        <v>30</v>
      </c>
      <c r="M38" s="17">
        <v>30</v>
      </c>
      <c r="N38" s="19" t="str">
        <f t="shared" si="1"/>
        <v>Pass</v>
      </c>
      <c r="O38" s="17">
        <v>1400</v>
      </c>
      <c r="P38" s="30" t="s">
        <v>45</v>
      </c>
      <c r="Q38" s="22"/>
    </row>
    <row r="39" spans="1:17" ht="12.75" customHeight="1">
      <c r="A39" s="195">
        <v>42646</v>
      </c>
      <c r="B39" s="17"/>
      <c r="C39" s="17">
        <v>2</v>
      </c>
      <c r="D39" s="17">
        <v>9</v>
      </c>
      <c r="E39" s="17">
        <f t="shared" si="0"/>
        <v>7</v>
      </c>
      <c r="F39" s="17"/>
      <c r="G39" s="17"/>
      <c r="H39" s="17"/>
      <c r="I39" s="17"/>
      <c r="J39" s="17"/>
      <c r="K39" s="17"/>
      <c r="L39" s="17">
        <v>30</v>
      </c>
      <c r="M39" s="17">
        <v>30</v>
      </c>
      <c r="N39" s="19" t="str">
        <f t="shared" si="1"/>
        <v>Pass</v>
      </c>
      <c r="O39" s="17">
        <v>1400</v>
      </c>
      <c r="P39" s="30" t="s">
        <v>46</v>
      </c>
      <c r="Q39" s="22"/>
    </row>
    <row r="40" spans="1:17" ht="12.75" customHeight="1">
      <c r="A40" s="195">
        <v>42662</v>
      </c>
      <c r="B40" s="17"/>
      <c r="C40" s="17">
        <v>34</v>
      </c>
      <c r="D40" s="17">
        <v>44</v>
      </c>
      <c r="E40" s="17">
        <f t="shared" si="0"/>
        <v>10</v>
      </c>
      <c r="F40" s="17"/>
      <c r="G40" s="17"/>
      <c r="H40" s="17"/>
      <c r="I40" s="17"/>
      <c r="J40" s="17"/>
      <c r="K40" s="17"/>
      <c r="L40" s="17">
        <v>30</v>
      </c>
      <c r="M40" s="17">
        <v>30</v>
      </c>
      <c r="N40" s="19" t="str">
        <f t="shared" si="1"/>
        <v>Pass</v>
      </c>
      <c r="O40" s="17">
        <v>1400</v>
      </c>
      <c r="P40" s="30" t="s">
        <v>47</v>
      </c>
      <c r="Q40" s="22"/>
    </row>
    <row r="41" spans="1:17" ht="12.75" customHeight="1">
      <c r="A41" s="196">
        <v>42662</v>
      </c>
      <c r="B41" s="32"/>
      <c r="C41" s="26">
        <v>2</v>
      </c>
      <c r="D41" s="26">
        <v>10</v>
      </c>
      <c r="E41" s="26">
        <f t="shared" si="0"/>
        <v>8</v>
      </c>
      <c r="L41" s="32">
        <v>30</v>
      </c>
      <c r="M41" s="32">
        <v>30</v>
      </c>
      <c r="N41" s="27" t="str">
        <f t="shared" si="1"/>
        <v>Pass</v>
      </c>
      <c r="O41" s="32">
        <v>1335</v>
      </c>
      <c r="P41" s="189" t="s">
        <v>48</v>
      </c>
      <c r="Q41" s="106"/>
    </row>
    <row r="42" spans="1:17" ht="12.75" customHeight="1">
      <c r="A42" s="195">
        <v>42675</v>
      </c>
      <c r="B42" s="32"/>
      <c r="C42" s="17">
        <v>1</v>
      </c>
      <c r="D42" s="17">
        <v>13</v>
      </c>
      <c r="E42" s="17">
        <f t="shared" si="0"/>
        <v>12</v>
      </c>
      <c r="F42" s="17"/>
      <c r="G42" s="17"/>
      <c r="H42" s="17"/>
      <c r="I42" s="17"/>
      <c r="J42" s="17"/>
      <c r="K42" s="17"/>
      <c r="L42" s="17">
        <v>30</v>
      </c>
      <c r="M42" s="17">
        <v>30</v>
      </c>
      <c r="N42" s="19" t="str">
        <f t="shared" si="1"/>
        <v>Pass</v>
      </c>
      <c r="O42" s="188">
        <v>1335</v>
      </c>
      <c r="P42" s="22" t="s">
        <v>49</v>
      </c>
      <c r="Q42" s="22"/>
    </row>
    <row r="43" spans="1:17" ht="12.75" customHeight="1">
      <c r="A43" s="195">
        <v>42682</v>
      </c>
      <c r="B43" s="17"/>
      <c r="C43" s="17">
        <v>7</v>
      </c>
      <c r="D43" s="17">
        <v>25</v>
      </c>
      <c r="E43" s="17">
        <f t="shared" si="0"/>
        <v>18</v>
      </c>
      <c r="F43" s="17"/>
      <c r="G43" s="17"/>
      <c r="H43" s="17"/>
      <c r="I43" s="17"/>
      <c r="J43" s="17"/>
      <c r="K43" s="17"/>
      <c r="L43" s="17">
        <v>30</v>
      </c>
      <c r="M43" s="17">
        <v>30</v>
      </c>
      <c r="N43" s="19" t="str">
        <f t="shared" si="1"/>
        <v>Pass</v>
      </c>
      <c r="O43" s="188">
        <v>1428</v>
      </c>
      <c r="P43" s="22"/>
      <c r="Q43" s="22"/>
    </row>
    <row r="44" spans="1:17" ht="12.75" customHeight="1">
      <c r="A44" s="195">
        <v>42699</v>
      </c>
      <c r="B44" s="17"/>
      <c r="C44" s="17">
        <v>11</v>
      </c>
      <c r="D44" s="17">
        <v>17</v>
      </c>
      <c r="E44" s="17">
        <f t="shared" si="0"/>
        <v>6</v>
      </c>
      <c r="F44" s="17"/>
      <c r="G44" s="17"/>
      <c r="H44" s="17"/>
      <c r="I44" s="17"/>
      <c r="J44" s="17"/>
      <c r="K44" s="17"/>
      <c r="L44" s="17">
        <v>30</v>
      </c>
      <c r="M44" s="17">
        <v>30</v>
      </c>
      <c r="N44" s="19" t="str">
        <f t="shared" si="1"/>
        <v>Pass</v>
      </c>
      <c r="O44" s="188">
        <v>1335</v>
      </c>
      <c r="P44" s="22" t="s">
        <v>27</v>
      </c>
      <c r="Q44" s="22"/>
    </row>
    <row r="45" spans="1:17" ht="12.75" customHeight="1">
      <c r="A45" s="195">
        <v>42709</v>
      </c>
      <c r="B45" s="17"/>
      <c r="C45" s="17">
        <v>57</v>
      </c>
      <c r="D45" s="17">
        <v>173</v>
      </c>
      <c r="E45" s="17">
        <f t="shared" si="0"/>
        <v>116</v>
      </c>
      <c r="F45" s="17"/>
      <c r="G45" s="17"/>
      <c r="H45" s="17"/>
      <c r="I45" s="17"/>
      <c r="J45" s="17"/>
      <c r="K45" s="17"/>
      <c r="L45" s="17">
        <v>30</v>
      </c>
      <c r="M45" s="17">
        <v>30</v>
      </c>
      <c r="N45" s="19" t="str">
        <f t="shared" si="1"/>
        <v>Fail</v>
      </c>
      <c r="O45" s="188">
        <v>102</v>
      </c>
      <c r="P45" s="22" t="s">
        <v>27</v>
      </c>
      <c r="Q45" s="22"/>
    </row>
    <row r="46" spans="1:17" ht="12.75" customHeight="1">
      <c r="A46" s="195">
        <v>42709</v>
      </c>
      <c r="B46" s="17"/>
      <c r="C46" s="17">
        <v>1</v>
      </c>
      <c r="D46" s="17">
        <v>22</v>
      </c>
      <c r="E46" s="17">
        <f t="shared" si="0"/>
        <v>21</v>
      </c>
      <c r="F46" s="17"/>
      <c r="G46" s="17"/>
      <c r="H46" s="17"/>
      <c r="I46" s="17"/>
      <c r="J46" s="17"/>
      <c r="K46" s="17"/>
      <c r="L46" s="17">
        <v>30</v>
      </c>
      <c r="M46" s="17">
        <v>30</v>
      </c>
      <c r="N46" s="19" t="str">
        <f t="shared" si="1"/>
        <v>Pass</v>
      </c>
      <c r="O46" s="188">
        <v>102</v>
      </c>
      <c r="P46" s="22" t="s">
        <v>50</v>
      </c>
      <c r="Q46" s="22"/>
    </row>
    <row r="47" spans="1:17" ht="12.75" customHeight="1">
      <c r="A47" s="195">
        <v>42717</v>
      </c>
      <c r="B47" s="17"/>
      <c r="C47" s="17">
        <v>5</v>
      </c>
      <c r="D47" s="17">
        <v>35</v>
      </c>
      <c r="E47" s="17">
        <f t="shared" si="0"/>
        <v>30</v>
      </c>
      <c r="F47" s="17"/>
      <c r="G47" s="17"/>
      <c r="H47" s="17"/>
      <c r="I47" s="17"/>
      <c r="J47" s="17"/>
      <c r="K47" s="17"/>
      <c r="L47" s="17">
        <v>30</v>
      </c>
      <c r="M47" s="17">
        <v>30</v>
      </c>
      <c r="N47" s="19" t="str">
        <f t="shared" si="1"/>
        <v>Pass</v>
      </c>
      <c r="O47" s="188">
        <v>1159</v>
      </c>
      <c r="P47" s="22" t="s">
        <v>51</v>
      </c>
      <c r="Q47" s="22"/>
    </row>
    <row r="48" spans="1:17" ht="12.75" customHeight="1">
      <c r="A48" s="195">
        <v>42720</v>
      </c>
      <c r="B48" s="17"/>
      <c r="C48" s="17">
        <v>4</v>
      </c>
      <c r="D48" s="17">
        <v>16</v>
      </c>
      <c r="E48" s="17">
        <f t="shared" si="0"/>
        <v>12</v>
      </c>
      <c r="F48" s="17"/>
      <c r="G48" s="17"/>
      <c r="H48" s="17"/>
      <c r="I48" s="17"/>
      <c r="J48" s="17"/>
      <c r="K48" s="17"/>
      <c r="L48" s="17">
        <v>30</v>
      </c>
      <c r="M48" s="17">
        <v>30</v>
      </c>
      <c r="N48" s="19" t="str">
        <f t="shared" si="1"/>
        <v>Pass</v>
      </c>
      <c r="O48" s="188">
        <v>1400</v>
      </c>
      <c r="P48" s="22" t="s">
        <v>52</v>
      </c>
      <c r="Q48" s="22"/>
    </row>
    <row r="49" spans="1:17" ht="12.75" customHeight="1">
      <c r="A49" s="195">
        <v>42724</v>
      </c>
      <c r="B49" s="17"/>
      <c r="C49" s="17">
        <v>3</v>
      </c>
      <c r="D49" s="17">
        <v>20</v>
      </c>
      <c r="E49" s="17">
        <f t="shared" si="0"/>
        <v>17</v>
      </c>
      <c r="F49" s="17"/>
      <c r="G49" s="17"/>
      <c r="H49" s="17"/>
      <c r="I49" s="17"/>
      <c r="J49" s="17"/>
      <c r="K49" s="17"/>
      <c r="L49" s="17">
        <v>30</v>
      </c>
      <c r="M49" s="17">
        <v>30</v>
      </c>
      <c r="N49" s="19" t="str">
        <f t="shared" si="1"/>
        <v>Pass</v>
      </c>
      <c r="O49" s="188">
        <v>1159</v>
      </c>
      <c r="P49" s="22" t="s">
        <v>53</v>
      </c>
      <c r="Q49" s="22"/>
    </row>
    <row r="50" spans="1:17" ht="12.75" customHeight="1">
      <c r="A50" s="195">
        <v>42727</v>
      </c>
      <c r="B50" s="17"/>
      <c r="C50" s="17">
        <v>3</v>
      </c>
      <c r="D50" s="17">
        <v>11</v>
      </c>
      <c r="E50" s="17">
        <f t="shared" si="0"/>
        <v>8</v>
      </c>
      <c r="F50" s="17"/>
      <c r="G50" s="17"/>
      <c r="H50" s="17"/>
      <c r="I50" s="17"/>
      <c r="J50" s="17"/>
      <c r="K50" s="17"/>
      <c r="L50" s="17">
        <v>30</v>
      </c>
      <c r="M50" s="17">
        <v>30</v>
      </c>
      <c r="N50" s="19" t="str">
        <f t="shared" si="1"/>
        <v>Pass</v>
      </c>
      <c r="O50" s="188">
        <v>1428</v>
      </c>
      <c r="P50" s="35" t="s">
        <v>27</v>
      </c>
      <c r="Q50" s="22"/>
    </row>
    <row r="51" spans="1:17" ht="12.75" customHeight="1">
      <c r="A51" s="195">
        <v>42732</v>
      </c>
      <c r="B51" s="17"/>
      <c r="C51" s="17">
        <v>3</v>
      </c>
      <c r="D51" s="17">
        <v>13</v>
      </c>
      <c r="E51" s="17">
        <f t="shared" si="0"/>
        <v>10</v>
      </c>
      <c r="F51" s="17"/>
      <c r="G51" s="17"/>
      <c r="H51" s="17"/>
      <c r="I51" s="17"/>
      <c r="J51" s="17"/>
      <c r="K51" s="17"/>
      <c r="L51" s="17">
        <v>30</v>
      </c>
      <c r="M51" s="17">
        <v>30</v>
      </c>
      <c r="N51" s="19" t="str">
        <f t="shared" si="1"/>
        <v>Pass</v>
      </c>
      <c r="O51" s="188">
        <v>1335</v>
      </c>
      <c r="P51" s="35" t="s">
        <v>27</v>
      </c>
      <c r="Q51" s="22"/>
    </row>
    <row r="52" spans="1:17" ht="12.75" customHeight="1">
      <c r="A52" s="195">
        <v>42739</v>
      </c>
      <c r="B52" s="17"/>
      <c r="C52" s="17">
        <v>4</v>
      </c>
      <c r="D52" s="17">
        <v>16</v>
      </c>
      <c r="E52" s="17">
        <f t="shared" si="0"/>
        <v>12</v>
      </c>
      <c r="F52" s="17"/>
      <c r="G52" s="17"/>
      <c r="H52" s="17"/>
      <c r="I52" s="17"/>
      <c r="J52" s="17"/>
      <c r="K52" s="17"/>
      <c r="L52" s="17">
        <v>30</v>
      </c>
      <c r="M52" s="17">
        <v>30</v>
      </c>
      <c r="N52" s="19" t="str">
        <f t="shared" si="1"/>
        <v>Pass</v>
      </c>
      <c r="O52" s="188">
        <v>1335</v>
      </c>
      <c r="P52" s="35" t="s">
        <v>27</v>
      </c>
      <c r="Q52" s="22"/>
    </row>
    <row r="53" spans="1:17" ht="12.75" customHeight="1">
      <c r="A53" s="195">
        <v>42743</v>
      </c>
      <c r="B53" s="17"/>
      <c r="C53" s="17">
        <v>3</v>
      </c>
      <c r="D53" s="17">
        <v>10</v>
      </c>
      <c r="E53" s="17">
        <f t="shared" si="0"/>
        <v>7</v>
      </c>
      <c r="F53" s="17"/>
      <c r="G53" s="17"/>
      <c r="H53" s="17"/>
      <c r="I53" s="17"/>
      <c r="J53" s="17"/>
      <c r="K53" s="17"/>
      <c r="L53" s="17">
        <v>30</v>
      </c>
      <c r="M53" s="17">
        <v>30</v>
      </c>
      <c r="N53" s="19" t="str">
        <f t="shared" si="1"/>
        <v>Pass</v>
      </c>
      <c r="O53" s="17">
        <v>1400</v>
      </c>
      <c r="P53" s="30" t="s">
        <v>54</v>
      </c>
      <c r="Q53" s="22"/>
    </row>
    <row r="54" spans="1:17" ht="12.75" customHeight="1">
      <c r="A54" s="195">
        <v>42760</v>
      </c>
      <c r="B54" s="17"/>
      <c r="C54" s="17">
        <v>4</v>
      </c>
      <c r="D54" s="17">
        <v>30</v>
      </c>
      <c r="E54" s="17">
        <f t="shared" si="0"/>
        <v>26</v>
      </c>
      <c r="F54" s="17"/>
      <c r="G54" s="17"/>
      <c r="H54" s="17"/>
      <c r="I54" s="17"/>
      <c r="J54" s="17"/>
      <c r="K54" s="17"/>
      <c r="L54" s="17">
        <v>30</v>
      </c>
      <c r="M54" s="17">
        <v>30</v>
      </c>
      <c r="N54" s="19" t="str">
        <f t="shared" si="1"/>
        <v>Pass</v>
      </c>
      <c r="O54" s="17">
        <v>1400</v>
      </c>
      <c r="P54" s="30" t="s">
        <v>55</v>
      </c>
      <c r="Q54" s="22"/>
    </row>
    <row r="55" spans="1:17" ht="12.75" customHeight="1">
      <c r="A55" s="195">
        <v>42772</v>
      </c>
      <c r="B55" s="17"/>
      <c r="C55" s="17">
        <v>17</v>
      </c>
      <c r="D55" s="17">
        <v>39</v>
      </c>
      <c r="E55" s="17">
        <f t="shared" si="0"/>
        <v>22</v>
      </c>
      <c r="F55" s="17"/>
      <c r="G55" s="17"/>
      <c r="H55" s="17"/>
      <c r="I55" s="17"/>
      <c r="J55" s="17"/>
      <c r="K55" s="17"/>
      <c r="L55" s="17">
        <v>30</v>
      </c>
      <c r="M55" s="17">
        <v>30</v>
      </c>
      <c r="N55" s="19" t="str">
        <f t="shared" si="1"/>
        <v>Pass</v>
      </c>
      <c r="O55" s="17">
        <v>1400</v>
      </c>
      <c r="P55" s="30" t="s">
        <v>56</v>
      </c>
      <c r="Q55" s="22"/>
    </row>
    <row r="56" spans="1:17" ht="12.75" customHeight="1">
      <c r="A56" s="195">
        <v>42783</v>
      </c>
      <c r="B56" s="17"/>
      <c r="C56" s="17">
        <v>12</v>
      </c>
      <c r="D56" s="17">
        <v>12</v>
      </c>
      <c r="E56" s="17">
        <f t="shared" si="0"/>
        <v>0</v>
      </c>
      <c r="F56" s="17"/>
      <c r="G56" s="17"/>
      <c r="H56" s="17"/>
      <c r="I56" s="17"/>
      <c r="J56" s="17"/>
      <c r="K56" s="17"/>
      <c r="L56" s="17">
        <v>30</v>
      </c>
      <c r="M56" s="17">
        <v>30</v>
      </c>
      <c r="N56" s="19" t="str">
        <f t="shared" si="1"/>
        <v>Pass</v>
      </c>
      <c r="O56" s="17">
        <v>1400</v>
      </c>
      <c r="P56" s="30" t="s">
        <v>57</v>
      </c>
      <c r="Q56" s="22"/>
    </row>
    <row r="57" spans="1:17" ht="12.75" customHeight="1">
      <c r="A57" s="195">
        <v>42786</v>
      </c>
      <c r="B57" s="17"/>
      <c r="C57" s="17">
        <v>12</v>
      </c>
      <c r="D57" s="17">
        <v>15</v>
      </c>
      <c r="E57" s="17">
        <f t="shared" si="0"/>
        <v>3</v>
      </c>
      <c r="F57" s="17"/>
      <c r="G57" s="17"/>
      <c r="H57" s="17"/>
      <c r="I57" s="17"/>
      <c r="J57" s="17"/>
      <c r="K57" s="17"/>
      <c r="L57" s="17">
        <v>30</v>
      </c>
      <c r="M57" s="17">
        <v>30</v>
      </c>
      <c r="N57" s="19" t="str">
        <f t="shared" si="1"/>
        <v>Pass</v>
      </c>
      <c r="O57" s="17">
        <v>1400</v>
      </c>
      <c r="P57" s="30" t="s">
        <v>58</v>
      </c>
      <c r="Q57" s="22"/>
    </row>
    <row r="58" spans="1:17" ht="12.75" customHeight="1">
      <c r="A58" s="195">
        <v>42800</v>
      </c>
      <c r="B58" s="17"/>
      <c r="C58" s="17">
        <v>3</v>
      </c>
      <c r="D58" s="17">
        <v>5</v>
      </c>
      <c r="E58" s="17">
        <f t="shared" si="0"/>
        <v>2</v>
      </c>
      <c r="F58" s="17"/>
      <c r="G58" s="17"/>
      <c r="H58" s="17"/>
      <c r="I58" s="17"/>
      <c r="J58" s="17"/>
      <c r="K58" s="17"/>
      <c r="L58" s="17">
        <v>30</v>
      </c>
      <c r="M58" s="17">
        <v>30</v>
      </c>
      <c r="N58" s="19" t="str">
        <f t="shared" si="1"/>
        <v>Pass</v>
      </c>
      <c r="O58" s="17">
        <v>1335</v>
      </c>
      <c r="P58" s="30" t="s">
        <v>58</v>
      </c>
      <c r="Q58" s="22"/>
    </row>
    <row r="59" spans="1:17" ht="12.75" customHeight="1">
      <c r="A59" s="195">
        <v>42809</v>
      </c>
      <c r="B59" s="17"/>
      <c r="C59" s="17">
        <v>6</v>
      </c>
      <c r="D59" s="17">
        <v>17</v>
      </c>
      <c r="E59" s="17">
        <f t="shared" si="0"/>
        <v>11</v>
      </c>
      <c r="F59" s="17"/>
      <c r="G59" s="17"/>
      <c r="H59" s="17"/>
      <c r="I59" s="17"/>
      <c r="J59" s="17"/>
      <c r="K59" s="17"/>
      <c r="L59" s="17">
        <v>30</v>
      </c>
      <c r="M59" s="17">
        <v>30</v>
      </c>
      <c r="N59" s="19" t="str">
        <f t="shared" si="1"/>
        <v>Pass</v>
      </c>
      <c r="O59" s="17">
        <v>1400</v>
      </c>
      <c r="P59" s="30" t="s">
        <v>59</v>
      </c>
      <c r="Q59" s="22"/>
    </row>
    <row r="60" spans="1:17" ht="12.75" customHeight="1">
      <c r="A60" s="195">
        <v>42815</v>
      </c>
      <c r="B60" s="17"/>
      <c r="C60" s="17">
        <v>10</v>
      </c>
      <c r="D60" s="17">
        <v>13</v>
      </c>
      <c r="E60" s="17">
        <f t="shared" si="0"/>
        <v>3</v>
      </c>
      <c r="F60" s="17"/>
      <c r="G60" s="17"/>
      <c r="H60" s="17"/>
      <c r="I60" s="17"/>
      <c r="J60" s="17"/>
      <c r="K60" s="17"/>
      <c r="L60" s="17">
        <v>30</v>
      </c>
      <c r="M60" s="17">
        <v>30</v>
      </c>
      <c r="N60" s="19" t="str">
        <f t="shared" si="1"/>
        <v>Pass</v>
      </c>
      <c r="O60" s="17">
        <v>64</v>
      </c>
      <c r="P60" s="30" t="s">
        <v>59</v>
      </c>
      <c r="Q60" s="22"/>
    </row>
    <row r="61" spans="1:17" ht="12.75" customHeight="1">
      <c r="A61" s="195">
        <v>42822</v>
      </c>
      <c r="B61" s="17"/>
      <c r="C61" s="17">
        <v>7</v>
      </c>
      <c r="D61" s="17">
        <v>37</v>
      </c>
      <c r="E61" s="17">
        <f t="shared" si="0"/>
        <v>30</v>
      </c>
      <c r="F61" s="17"/>
      <c r="G61" s="17"/>
      <c r="H61" s="17"/>
      <c r="I61" s="17"/>
      <c r="J61" s="17"/>
      <c r="K61" s="17"/>
      <c r="L61" s="17">
        <v>30</v>
      </c>
      <c r="M61" s="17">
        <v>30</v>
      </c>
      <c r="N61" s="19" t="str">
        <f t="shared" si="1"/>
        <v>Pass</v>
      </c>
      <c r="O61" s="17">
        <v>1159</v>
      </c>
      <c r="P61" s="30" t="s">
        <v>60</v>
      </c>
      <c r="Q61" s="22"/>
    </row>
    <row r="62" spans="1:17" ht="12.75" customHeight="1">
      <c r="A62" s="195">
        <v>42836</v>
      </c>
      <c r="B62" s="17"/>
      <c r="C62" s="17">
        <v>15</v>
      </c>
      <c r="D62" s="17">
        <v>41</v>
      </c>
      <c r="E62" s="17">
        <f t="shared" si="0"/>
        <v>26</v>
      </c>
      <c r="F62" s="17"/>
      <c r="G62" s="17"/>
      <c r="H62" s="17"/>
      <c r="I62" s="17"/>
      <c r="J62" s="17"/>
      <c r="K62" s="17"/>
      <c r="L62" s="17">
        <v>30</v>
      </c>
      <c r="M62" s="17">
        <v>30</v>
      </c>
      <c r="N62" s="19" t="str">
        <f t="shared" si="1"/>
        <v>Pass</v>
      </c>
      <c r="O62" s="17">
        <v>1400</v>
      </c>
      <c r="P62" s="30" t="s">
        <v>61</v>
      </c>
      <c r="Q62" s="22"/>
    </row>
    <row r="63" spans="1:17" ht="12.75" customHeight="1">
      <c r="A63" s="195">
        <v>42843</v>
      </c>
      <c r="B63" s="17"/>
      <c r="C63" s="17">
        <v>7</v>
      </c>
      <c r="D63" s="17">
        <v>15</v>
      </c>
      <c r="E63" s="17">
        <f t="shared" si="0"/>
        <v>8</v>
      </c>
      <c r="F63" s="17"/>
      <c r="G63" s="17"/>
      <c r="H63" s="17"/>
      <c r="I63" s="17"/>
      <c r="J63" s="17"/>
      <c r="K63" s="17"/>
      <c r="L63" s="17">
        <v>30</v>
      </c>
      <c r="M63" s="17">
        <v>30</v>
      </c>
      <c r="N63" s="19" t="str">
        <f t="shared" si="1"/>
        <v>Pass</v>
      </c>
      <c r="O63" s="17">
        <v>1159</v>
      </c>
      <c r="P63" s="30" t="s">
        <v>62</v>
      </c>
      <c r="Q63" s="22"/>
    </row>
    <row r="64" spans="1:17" ht="12.75" customHeight="1">
      <c r="A64" s="195">
        <v>42846</v>
      </c>
      <c r="B64" s="17"/>
      <c r="C64" s="17">
        <v>8</v>
      </c>
      <c r="D64" s="17">
        <v>18</v>
      </c>
      <c r="E64" s="17">
        <f t="shared" si="0"/>
        <v>10</v>
      </c>
      <c r="F64" s="17"/>
      <c r="G64" s="17"/>
      <c r="H64" s="17"/>
      <c r="I64" s="17"/>
      <c r="J64" s="17"/>
      <c r="K64" s="17"/>
      <c r="L64" s="17">
        <v>30</v>
      </c>
      <c r="M64" s="17">
        <v>30</v>
      </c>
      <c r="N64" s="19" t="str">
        <f t="shared" si="1"/>
        <v>Pass</v>
      </c>
      <c r="O64" s="17">
        <v>1159</v>
      </c>
      <c r="P64" s="30" t="s">
        <v>42</v>
      </c>
      <c r="Q64" s="22"/>
    </row>
    <row r="65" spans="1:17" ht="12.75" customHeight="1">
      <c r="A65" s="195">
        <v>42850</v>
      </c>
      <c r="B65" s="17"/>
      <c r="C65" s="17">
        <v>11</v>
      </c>
      <c r="D65" s="17">
        <v>104</v>
      </c>
      <c r="E65" s="17">
        <f t="shared" si="0"/>
        <v>93</v>
      </c>
      <c r="F65" s="17"/>
      <c r="G65" s="17"/>
      <c r="H65" s="17"/>
      <c r="I65" s="17"/>
      <c r="J65" s="17"/>
      <c r="K65" s="17"/>
      <c r="L65" s="17">
        <v>30</v>
      </c>
      <c r="M65" s="17">
        <v>30</v>
      </c>
      <c r="N65" s="19" t="str">
        <f t="shared" si="1"/>
        <v>Fail</v>
      </c>
      <c r="O65" s="187">
        <v>1335</v>
      </c>
      <c r="P65" s="30" t="s">
        <v>63</v>
      </c>
      <c r="Q65" s="22"/>
    </row>
    <row r="66" spans="1:17" ht="12.75" customHeight="1">
      <c r="A66" s="195">
        <v>42850</v>
      </c>
      <c r="B66" s="17"/>
      <c r="C66" s="17">
        <v>4</v>
      </c>
      <c r="D66" s="17">
        <v>14</v>
      </c>
      <c r="E66" s="17">
        <f t="shared" si="0"/>
        <v>10</v>
      </c>
      <c r="F66" s="17"/>
      <c r="G66" s="17"/>
      <c r="H66" s="17"/>
      <c r="I66" s="17"/>
      <c r="J66" s="17"/>
      <c r="K66" s="17"/>
      <c r="L66" s="17">
        <v>30</v>
      </c>
      <c r="M66" s="17">
        <v>30</v>
      </c>
      <c r="N66" s="19" t="str">
        <f t="shared" si="1"/>
        <v>Pass</v>
      </c>
      <c r="O66" s="187">
        <v>1335</v>
      </c>
      <c r="P66" s="30" t="s">
        <v>64</v>
      </c>
      <c r="Q66" s="22"/>
    </row>
    <row r="67" spans="1:17" ht="12.75" customHeight="1">
      <c r="A67" s="195">
        <v>42859</v>
      </c>
      <c r="B67" s="17"/>
      <c r="C67" s="17">
        <v>4</v>
      </c>
      <c r="D67" s="17">
        <v>74</v>
      </c>
      <c r="E67" s="17">
        <f t="shared" si="0"/>
        <v>70</v>
      </c>
      <c r="F67" s="17"/>
      <c r="G67" s="17"/>
      <c r="H67" s="17"/>
      <c r="I67" s="17"/>
      <c r="J67" s="17"/>
      <c r="K67" s="17"/>
      <c r="L67" s="17">
        <v>30</v>
      </c>
      <c r="M67" s="17">
        <v>30</v>
      </c>
      <c r="N67" s="19" t="str">
        <f t="shared" si="1"/>
        <v>Fail</v>
      </c>
      <c r="O67" s="187">
        <v>1335</v>
      </c>
      <c r="P67" s="30"/>
      <c r="Q67" s="22"/>
    </row>
    <row r="68" spans="1:17" ht="12.75" customHeight="1">
      <c r="A68" s="195">
        <v>42862</v>
      </c>
      <c r="B68" s="17"/>
      <c r="C68" s="17">
        <v>3</v>
      </c>
      <c r="D68" s="17">
        <v>26</v>
      </c>
      <c r="E68" s="17">
        <f t="shared" si="0"/>
        <v>23</v>
      </c>
      <c r="F68" s="17"/>
      <c r="G68" s="17"/>
      <c r="H68" s="17"/>
      <c r="I68" s="17"/>
      <c r="J68" s="17"/>
      <c r="K68" s="17"/>
      <c r="L68" s="17">
        <v>30</v>
      </c>
      <c r="M68" s="17">
        <v>30</v>
      </c>
      <c r="N68" s="19" t="str">
        <f t="shared" si="1"/>
        <v>Pass</v>
      </c>
      <c r="O68" s="187">
        <v>1428</v>
      </c>
      <c r="P68" s="30" t="s">
        <v>65</v>
      </c>
      <c r="Q68" s="22"/>
    </row>
    <row r="69" spans="1:17" ht="12.75" customHeight="1">
      <c r="A69" s="195">
        <v>42870</v>
      </c>
      <c r="B69" s="17"/>
      <c r="C69" s="17">
        <v>3</v>
      </c>
      <c r="D69" s="17">
        <v>13</v>
      </c>
      <c r="E69" s="17">
        <f t="shared" si="0"/>
        <v>10</v>
      </c>
      <c r="F69" s="17"/>
      <c r="G69" s="17"/>
      <c r="H69" s="17"/>
      <c r="I69" s="17"/>
      <c r="J69" s="17"/>
      <c r="K69" s="17"/>
      <c r="L69" s="17">
        <v>30</v>
      </c>
      <c r="M69" s="17">
        <v>30</v>
      </c>
      <c r="N69" s="19" t="str">
        <f t="shared" si="1"/>
        <v>Pass</v>
      </c>
      <c r="O69" s="17">
        <v>1159</v>
      </c>
      <c r="P69" s="30" t="s">
        <v>66</v>
      </c>
      <c r="Q69" s="22"/>
    </row>
    <row r="70" spans="1:17" ht="12.75" customHeight="1">
      <c r="A70" s="195">
        <v>42879</v>
      </c>
      <c r="B70" s="17"/>
      <c r="C70" s="17">
        <v>5</v>
      </c>
      <c r="D70" s="17">
        <v>9</v>
      </c>
      <c r="E70" s="17">
        <f t="shared" si="0"/>
        <v>4</v>
      </c>
      <c r="F70" s="17"/>
      <c r="G70" s="17"/>
      <c r="H70" s="17"/>
      <c r="I70" s="17"/>
      <c r="J70" s="17"/>
      <c r="K70" s="17"/>
      <c r="L70" s="17">
        <v>30</v>
      </c>
      <c r="M70" s="17">
        <v>30</v>
      </c>
      <c r="N70" s="19" t="str">
        <f t="shared" si="1"/>
        <v>Pass</v>
      </c>
      <c r="O70" s="17">
        <v>121</v>
      </c>
      <c r="P70" s="30" t="s">
        <v>67</v>
      </c>
      <c r="Q70" s="22"/>
    </row>
    <row r="71" spans="1:17" ht="12.75" customHeight="1">
      <c r="A71" s="195">
        <v>42892</v>
      </c>
      <c r="B71" s="17"/>
      <c r="C71" s="17">
        <v>8</v>
      </c>
      <c r="D71" s="17">
        <v>12</v>
      </c>
      <c r="E71" s="17">
        <f t="shared" si="0"/>
        <v>4</v>
      </c>
      <c r="F71" s="17"/>
      <c r="G71" s="17"/>
      <c r="H71" s="17"/>
      <c r="I71" s="17"/>
      <c r="J71" s="17"/>
      <c r="K71" s="17"/>
      <c r="L71" s="17">
        <v>30</v>
      </c>
      <c r="M71" s="17">
        <v>30</v>
      </c>
      <c r="N71" s="19" t="str">
        <f t="shared" si="1"/>
        <v>Pass</v>
      </c>
      <c r="O71" s="17">
        <v>1159</v>
      </c>
      <c r="P71" s="31" t="s">
        <v>68</v>
      </c>
      <c r="Q71" s="22"/>
    </row>
    <row r="72" spans="1:17" ht="12.75" customHeight="1">
      <c r="A72" s="195">
        <v>42905</v>
      </c>
      <c r="B72" s="17"/>
      <c r="C72" s="17">
        <v>9</v>
      </c>
      <c r="D72" s="17">
        <v>99</v>
      </c>
      <c r="E72" s="17">
        <f t="shared" si="0"/>
        <v>90</v>
      </c>
      <c r="F72" s="17"/>
      <c r="G72" s="17"/>
      <c r="H72" s="17"/>
      <c r="I72" s="17"/>
      <c r="J72" s="17"/>
      <c r="K72" s="17"/>
      <c r="L72" s="17">
        <v>30</v>
      </c>
      <c r="M72" s="17">
        <v>30</v>
      </c>
      <c r="N72" s="19" t="str">
        <f t="shared" si="1"/>
        <v>Fail</v>
      </c>
      <c r="O72" s="17">
        <v>1159</v>
      </c>
      <c r="P72" s="31" t="s">
        <v>69</v>
      </c>
      <c r="Q72" s="22"/>
    </row>
    <row r="73" spans="1:17" ht="12.75" customHeight="1">
      <c r="A73" s="195">
        <v>42905</v>
      </c>
      <c r="B73" s="17"/>
      <c r="C73" s="17">
        <v>26</v>
      </c>
      <c r="D73" s="17">
        <v>49</v>
      </c>
      <c r="E73" s="17">
        <f t="shared" si="0"/>
        <v>23</v>
      </c>
      <c r="F73" s="17"/>
      <c r="G73" s="17"/>
      <c r="H73" s="17"/>
      <c r="I73" s="17"/>
      <c r="J73" s="17"/>
      <c r="K73" s="17"/>
      <c r="L73" s="17">
        <v>30</v>
      </c>
      <c r="M73" s="17">
        <v>30</v>
      </c>
      <c r="N73" s="19" t="str">
        <f t="shared" si="1"/>
        <v>Pass</v>
      </c>
      <c r="O73" s="17">
        <v>1159</v>
      </c>
      <c r="P73" s="31" t="s">
        <v>70</v>
      </c>
      <c r="Q73" s="22"/>
    </row>
    <row r="74" spans="1:17" ht="12.75" customHeight="1">
      <c r="A74" s="195">
        <v>42912</v>
      </c>
      <c r="B74" s="17"/>
      <c r="C74" s="17">
        <v>4</v>
      </c>
      <c r="D74" s="17">
        <v>137</v>
      </c>
      <c r="E74" s="17">
        <f t="shared" si="0"/>
        <v>133</v>
      </c>
      <c r="F74" s="17"/>
      <c r="G74" s="17"/>
      <c r="H74" s="17"/>
      <c r="I74" s="17"/>
      <c r="J74" s="17"/>
      <c r="K74" s="17"/>
      <c r="L74" s="17">
        <v>30</v>
      </c>
      <c r="M74" s="17">
        <v>30</v>
      </c>
      <c r="N74" s="19" t="str">
        <f t="shared" si="1"/>
        <v>Fail</v>
      </c>
      <c r="O74" s="187">
        <v>1159</v>
      </c>
      <c r="P74" s="31" t="s">
        <v>71</v>
      </c>
      <c r="Q74" s="22"/>
    </row>
    <row r="75" spans="1:17" ht="12.75" customHeight="1">
      <c r="A75" s="195">
        <v>42927</v>
      </c>
      <c r="B75" s="17"/>
      <c r="C75" s="17">
        <v>3</v>
      </c>
      <c r="D75" s="17">
        <v>8</v>
      </c>
      <c r="E75" s="17">
        <f t="shared" ref="E75:E91" si="2">IF(((C75="")*AND(D75="")),"",D75-C75)</f>
        <v>5</v>
      </c>
      <c r="F75" s="17"/>
      <c r="G75" s="17"/>
      <c r="H75" s="17"/>
      <c r="I75" s="17"/>
      <c r="J75" s="17"/>
      <c r="K75" s="17"/>
      <c r="L75" s="17">
        <v>30</v>
      </c>
      <c r="M75" s="17">
        <v>30</v>
      </c>
      <c r="N75" s="19" t="str">
        <f t="shared" ref="N75:N91" si="3">IF(E75="","",IF(E75&lt;=30,"Pass","Fail"))</f>
        <v>Pass</v>
      </c>
      <c r="O75" s="187">
        <v>121</v>
      </c>
      <c r="P75" s="31" t="s">
        <v>72</v>
      </c>
      <c r="Q75" s="22"/>
    </row>
    <row r="76" spans="1:17" ht="12.75" customHeight="1">
      <c r="A76" s="195">
        <v>42936</v>
      </c>
      <c r="B76" s="17"/>
      <c r="C76" s="17">
        <v>5</v>
      </c>
      <c r="D76" s="17">
        <v>10</v>
      </c>
      <c r="E76" s="17">
        <f t="shared" si="2"/>
        <v>5</v>
      </c>
      <c r="F76" s="17"/>
      <c r="G76" s="17"/>
      <c r="H76" s="17"/>
      <c r="I76" s="17"/>
      <c r="J76" s="17"/>
      <c r="K76" s="17"/>
      <c r="L76" s="17">
        <v>30</v>
      </c>
      <c r="M76" s="17">
        <v>30</v>
      </c>
      <c r="N76" s="19" t="str">
        <f t="shared" si="3"/>
        <v>Pass</v>
      </c>
      <c r="O76" s="187">
        <v>1428</v>
      </c>
      <c r="P76" s="31" t="s">
        <v>73</v>
      </c>
      <c r="Q76" s="22"/>
    </row>
    <row r="77" spans="1:17" ht="12.75" customHeight="1">
      <c r="A77" s="195">
        <v>42941</v>
      </c>
      <c r="B77" s="17"/>
      <c r="C77" s="17">
        <v>8</v>
      </c>
      <c r="D77" s="17">
        <v>13</v>
      </c>
      <c r="E77" s="32">
        <f t="shared" si="2"/>
        <v>5</v>
      </c>
      <c r="F77" s="32"/>
      <c r="G77" s="32"/>
      <c r="H77" s="32"/>
      <c r="I77" s="32"/>
      <c r="J77" s="32"/>
      <c r="K77" s="32"/>
      <c r="L77" s="32">
        <v>30</v>
      </c>
      <c r="M77" s="32">
        <v>30</v>
      </c>
      <c r="N77" s="27" t="str">
        <f t="shared" si="3"/>
        <v>Pass</v>
      </c>
      <c r="O77" s="187">
        <v>1159</v>
      </c>
      <c r="P77" s="33" t="s">
        <v>74</v>
      </c>
      <c r="Q77" s="22"/>
    </row>
    <row r="78" spans="1:17" ht="12.75" customHeight="1">
      <c r="A78" s="195">
        <v>42949</v>
      </c>
      <c r="B78" s="17"/>
      <c r="C78" s="17">
        <v>7</v>
      </c>
      <c r="D78" s="34">
        <v>58</v>
      </c>
      <c r="E78" s="17">
        <f t="shared" si="2"/>
        <v>51</v>
      </c>
      <c r="F78" s="17"/>
      <c r="G78" s="17"/>
      <c r="H78" s="17"/>
      <c r="I78" s="17"/>
      <c r="J78" s="17"/>
      <c r="K78" s="17"/>
      <c r="L78" s="17">
        <v>30</v>
      </c>
      <c r="M78" s="17">
        <v>30</v>
      </c>
      <c r="N78" s="19" t="str">
        <f t="shared" si="3"/>
        <v>Fail</v>
      </c>
      <c r="O78" s="188">
        <v>121</v>
      </c>
      <c r="P78" s="31" t="s">
        <v>75</v>
      </c>
      <c r="Q78" s="22"/>
    </row>
    <row r="79" spans="1:17" ht="12.75" customHeight="1">
      <c r="A79" s="195">
        <v>42949</v>
      </c>
      <c r="B79" s="17"/>
      <c r="C79" s="17">
        <v>6</v>
      </c>
      <c r="D79" s="34">
        <v>32</v>
      </c>
      <c r="E79" s="17">
        <f t="shared" si="2"/>
        <v>26</v>
      </c>
      <c r="F79" s="17"/>
      <c r="G79" s="17"/>
      <c r="H79" s="17"/>
      <c r="I79" s="17"/>
      <c r="J79" s="17"/>
      <c r="K79" s="17"/>
      <c r="L79" s="17">
        <v>30</v>
      </c>
      <c r="M79" s="17">
        <v>30</v>
      </c>
      <c r="N79" s="19" t="str">
        <f t="shared" si="3"/>
        <v>Pass</v>
      </c>
      <c r="O79" s="188">
        <v>121</v>
      </c>
      <c r="P79" s="31" t="s">
        <v>76</v>
      </c>
      <c r="Q79" s="22"/>
    </row>
    <row r="80" spans="1:17" ht="12.75" customHeight="1">
      <c r="A80" s="38">
        <v>42955</v>
      </c>
      <c r="C80" s="26">
        <v>45</v>
      </c>
      <c r="D80" s="26">
        <v>71</v>
      </c>
      <c r="E80" s="17">
        <f t="shared" si="2"/>
        <v>26</v>
      </c>
      <c r="F80" s="17"/>
      <c r="G80" s="17"/>
      <c r="H80" s="17"/>
      <c r="I80" s="17"/>
      <c r="J80" s="17"/>
      <c r="K80" s="17"/>
      <c r="L80" s="17">
        <v>30</v>
      </c>
      <c r="M80" s="17">
        <v>30</v>
      </c>
      <c r="N80" s="19" t="str">
        <f t="shared" si="3"/>
        <v>Pass</v>
      </c>
      <c r="O80" s="188">
        <v>1428</v>
      </c>
      <c r="P80" s="30"/>
      <c r="Q80" s="22"/>
    </row>
    <row r="81" spans="1:17" ht="12.75" customHeight="1">
      <c r="A81" s="38">
        <v>42968</v>
      </c>
      <c r="B81" s="17"/>
      <c r="C81" s="17">
        <v>12</v>
      </c>
      <c r="D81" s="17">
        <v>42</v>
      </c>
      <c r="E81" s="17">
        <f t="shared" si="2"/>
        <v>30</v>
      </c>
      <c r="F81" s="17"/>
      <c r="G81" s="17"/>
      <c r="H81" s="17"/>
      <c r="I81" s="17"/>
      <c r="J81" s="17"/>
      <c r="K81" s="17"/>
      <c r="L81" s="17">
        <v>30</v>
      </c>
      <c r="M81" s="17">
        <v>30</v>
      </c>
      <c r="N81" s="19" t="str">
        <f t="shared" si="3"/>
        <v>Pass</v>
      </c>
      <c r="O81" s="17">
        <v>1159</v>
      </c>
      <c r="P81" s="31" t="s">
        <v>77</v>
      </c>
      <c r="Q81" s="22"/>
    </row>
    <row r="82" spans="1:17" ht="12.75" customHeight="1">
      <c r="A82" s="195">
        <v>42976</v>
      </c>
      <c r="B82" s="17"/>
      <c r="C82" s="17">
        <v>32</v>
      </c>
      <c r="D82" s="17">
        <v>48</v>
      </c>
      <c r="E82" s="17">
        <f t="shared" si="2"/>
        <v>16</v>
      </c>
      <c r="F82" s="17"/>
      <c r="G82" s="17"/>
      <c r="H82" s="17"/>
      <c r="I82" s="17"/>
      <c r="J82" s="17"/>
      <c r="K82" s="17"/>
      <c r="L82" s="17">
        <v>30</v>
      </c>
      <c r="M82" s="17">
        <v>30</v>
      </c>
      <c r="N82" s="19" t="str">
        <f t="shared" si="3"/>
        <v>Pass</v>
      </c>
      <c r="O82" s="17">
        <v>1428</v>
      </c>
      <c r="P82" s="30"/>
      <c r="Q82" s="22"/>
    </row>
    <row r="83" spans="1:17" ht="12.75" customHeight="1">
      <c r="A83" s="195">
        <v>42990</v>
      </c>
      <c r="B83" s="17"/>
      <c r="C83" s="17">
        <v>9</v>
      </c>
      <c r="D83" s="17">
        <v>38</v>
      </c>
      <c r="E83" s="17">
        <f t="shared" si="2"/>
        <v>29</v>
      </c>
      <c r="F83" s="17"/>
      <c r="G83" s="17"/>
      <c r="H83" s="17"/>
      <c r="I83" s="17"/>
      <c r="J83" s="17"/>
      <c r="K83" s="17"/>
      <c r="L83" s="17">
        <v>30</v>
      </c>
      <c r="M83" s="17">
        <v>30</v>
      </c>
      <c r="N83" s="19" t="str">
        <f t="shared" si="3"/>
        <v>Pass</v>
      </c>
      <c r="O83" s="17">
        <v>121</v>
      </c>
      <c r="P83" s="31" t="s">
        <v>78</v>
      </c>
      <c r="Q83" s="22"/>
    </row>
    <row r="84" spans="1:17" ht="12.75" customHeight="1">
      <c r="A84" s="195">
        <v>42995</v>
      </c>
      <c r="B84" s="17"/>
      <c r="C84" s="17">
        <v>24</v>
      </c>
      <c r="D84" s="17">
        <v>52</v>
      </c>
      <c r="E84" s="17">
        <f t="shared" si="2"/>
        <v>28</v>
      </c>
      <c r="F84" s="17"/>
      <c r="G84" s="17"/>
      <c r="H84" s="17"/>
      <c r="I84" s="17"/>
      <c r="J84" s="17"/>
      <c r="K84" s="17"/>
      <c r="L84" s="17">
        <v>30</v>
      </c>
      <c r="M84" s="17">
        <v>30</v>
      </c>
      <c r="N84" s="19" t="str">
        <f t="shared" si="3"/>
        <v>Pass</v>
      </c>
      <c r="O84" s="17">
        <v>64</v>
      </c>
      <c r="P84" s="30"/>
      <c r="Q84" s="22"/>
    </row>
    <row r="85" spans="1:17" ht="12.75" customHeight="1">
      <c r="A85" s="195">
        <v>43000</v>
      </c>
      <c r="B85" s="17"/>
      <c r="C85" s="17">
        <v>7</v>
      </c>
      <c r="D85" s="17">
        <v>24</v>
      </c>
      <c r="E85" s="17">
        <f t="shared" si="2"/>
        <v>17</v>
      </c>
      <c r="F85" s="17"/>
      <c r="G85" s="17"/>
      <c r="H85" s="17"/>
      <c r="I85" s="17"/>
      <c r="J85" s="17"/>
      <c r="K85" s="17"/>
      <c r="L85" s="17">
        <v>30</v>
      </c>
      <c r="M85" s="17">
        <v>30</v>
      </c>
      <c r="N85" s="19" t="str">
        <f t="shared" si="3"/>
        <v>Pass</v>
      </c>
      <c r="O85" s="188">
        <v>1335</v>
      </c>
      <c r="P85" s="31" t="s">
        <v>79</v>
      </c>
      <c r="Q85" s="22"/>
    </row>
    <row r="86" spans="1:17" ht="12.75" customHeight="1">
      <c r="A86" s="195">
        <v>43003</v>
      </c>
      <c r="B86" s="17"/>
      <c r="C86" s="17">
        <v>4</v>
      </c>
      <c r="D86" s="17">
        <v>24</v>
      </c>
      <c r="E86" s="17">
        <f t="shared" si="2"/>
        <v>20</v>
      </c>
      <c r="F86" s="17"/>
      <c r="G86" s="17"/>
      <c r="H86" s="17"/>
      <c r="I86" s="17"/>
      <c r="J86" s="17"/>
      <c r="K86" s="17"/>
      <c r="L86" s="17">
        <v>30</v>
      </c>
      <c r="M86" s="17">
        <v>30</v>
      </c>
      <c r="N86" s="19" t="str">
        <f t="shared" si="3"/>
        <v>Pass</v>
      </c>
      <c r="O86" s="188">
        <v>1335</v>
      </c>
      <c r="P86" s="31" t="s">
        <v>79</v>
      </c>
      <c r="Q86" s="22"/>
    </row>
    <row r="87" spans="1:17" ht="12.75" customHeight="1">
      <c r="A87" s="195">
        <v>43011</v>
      </c>
      <c r="B87" s="17"/>
      <c r="C87" s="17">
        <v>2</v>
      </c>
      <c r="D87" s="17">
        <v>26</v>
      </c>
      <c r="E87" s="17">
        <f t="shared" si="2"/>
        <v>24</v>
      </c>
      <c r="F87" s="17"/>
      <c r="G87" s="17"/>
      <c r="H87" s="17"/>
      <c r="I87" s="17"/>
      <c r="J87" s="17"/>
      <c r="K87" s="17"/>
      <c r="L87" s="17">
        <v>30</v>
      </c>
      <c r="M87" s="17">
        <v>30</v>
      </c>
      <c r="N87" s="19" t="str">
        <f t="shared" si="3"/>
        <v>Pass</v>
      </c>
      <c r="O87" s="188">
        <v>1428</v>
      </c>
      <c r="P87" s="30"/>
      <c r="Q87" s="22"/>
    </row>
    <row r="88" spans="1:17" ht="12.75" customHeight="1">
      <c r="A88" s="195">
        <v>43018</v>
      </c>
      <c r="B88" s="17"/>
      <c r="C88" s="17">
        <v>12</v>
      </c>
      <c r="D88" s="17">
        <v>32</v>
      </c>
      <c r="E88" s="17">
        <f t="shared" si="2"/>
        <v>20</v>
      </c>
      <c r="F88" s="17"/>
      <c r="G88" s="17"/>
      <c r="H88" s="17"/>
      <c r="I88" s="17"/>
      <c r="J88" s="17"/>
      <c r="K88" s="17"/>
      <c r="L88" s="17">
        <v>30</v>
      </c>
      <c r="M88" s="17">
        <v>30</v>
      </c>
      <c r="N88" s="19" t="str">
        <f t="shared" si="3"/>
        <v>Pass</v>
      </c>
      <c r="O88" s="188">
        <v>1428</v>
      </c>
      <c r="P88" s="30"/>
      <c r="Q88" s="22"/>
    </row>
    <row r="89" spans="1:17" ht="12.75" customHeight="1">
      <c r="A89" s="195">
        <v>43025</v>
      </c>
      <c r="B89" s="17"/>
      <c r="C89" s="17">
        <v>45</v>
      </c>
      <c r="D89" s="17">
        <v>41</v>
      </c>
      <c r="E89" s="17">
        <f t="shared" si="2"/>
        <v>-4</v>
      </c>
      <c r="F89" s="17"/>
      <c r="G89" s="17"/>
      <c r="H89" s="17"/>
      <c r="I89" s="17"/>
      <c r="J89" s="17"/>
      <c r="K89" s="17"/>
      <c r="L89" s="17">
        <v>30</v>
      </c>
      <c r="M89" s="17">
        <v>30</v>
      </c>
      <c r="N89" s="19" t="str">
        <f t="shared" si="3"/>
        <v>Pass</v>
      </c>
      <c r="O89" s="188">
        <v>102</v>
      </c>
      <c r="P89" s="31" t="s">
        <v>80</v>
      </c>
      <c r="Q89" s="22"/>
    </row>
    <row r="90" spans="1:17" ht="12.75" customHeight="1">
      <c r="A90" s="195">
        <v>43031</v>
      </c>
      <c r="B90" s="17"/>
      <c r="C90" s="17">
        <v>10</v>
      </c>
      <c r="D90" s="17">
        <v>77</v>
      </c>
      <c r="E90" s="17">
        <f t="shared" si="2"/>
        <v>67</v>
      </c>
      <c r="F90" s="17"/>
      <c r="G90" s="17"/>
      <c r="H90" s="17"/>
      <c r="I90" s="17"/>
      <c r="J90" s="17"/>
      <c r="K90" s="17"/>
      <c r="L90" s="17">
        <v>30</v>
      </c>
      <c r="M90" s="17">
        <v>30</v>
      </c>
      <c r="N90" s="19" t="str">
        <f t="shared" si="3"/>
        <v>Fail</v>
      </c>
      <c r="O90" s="188">
        <v>1159</v>
      </c>
      <c r="P90" s="31" t="s">
        <v>81</v>
      </c>
      <c r="Q90" s="22"/>
    </row>
    <row r="91" spans="1:17" ht="12.75" customHeight="1">
      <c r="A91" s="195">
        <v>43031</v>
      </c>
      <c r="B91" s="17"/>
      <c r="C91" s="17">
        <v>3</v>
      </c>
      <c r="D91" s="17">
        <v>273</v>
      </c>
      <c r="E91" s="17">
        <f t="shared" si="2"/>
        <v>270</v>
      </c>
      <c r="F91" s="17"/>
      <c r="G91" s="17"/>
      <c r="H91" s="17"/>
      <c r="I91" s="17"/>
      <c r="J91" s="17"/>
      <c r="K91" s="17"/>
      <c r="L91" s="17">
        <v>30</v>
      </c>
      <c r="M91" s="17">
        <v>30</v>
      </c>
      <c r="N91" s="19" t="str">
        <f t="shared" si="3"/>
        <v>Fail</v>
      </c>
      <c r="O91" s="188">
        <v>1159</v>
      </c>
      <c r="P91" s="31" t="s">
        <v>82</v>
      </c>
      <c r="Q91" s="22"/>
    </row>
    <row r="92" spans="1:17" ht="12.75" customHeight="1">
      <c r="A92" s="195">
        <v>43031</v>
      </c>
      <c r="B92" s="17"/>
      <c r="C92" s="17">
        <v>8</v>
      </c>
      <c r="D92" s="17">
        <v>58</v>
      </c>
      <c r="E92" s="17">
        <f>IF(((C92="")*AND(D92="")),"",D92-C92)</f>
        <v>50</v>
      </c>
      <c r="F92" s="17"/>
      <c r="G92" s="17"/>
      <c r="H92" s="17"/>
      <c r="I92" s="17"/>
      <c r="J92" s="17"/>
      <c r="K92" s="17"/>
      <c r="L92" s="17">
        <v>30</v>
      </c>
      <c r="M92" s="17">
        <v>30</v>
      </c>
      <c r="N92" s="19" t="str">
        <f>IF(E92="","",IF(E92&lt;=30,"Pass","Fail"))</f>
        <v>Fail</v>
      </c>
      <c r="O92" s="188">
        <v>1534</v>
      </c>
      <c r="P92" s="31" t="s">
        <v>82</v>
      </c>
      <c r="Q92" s="22"/>
    </row>
    <row r="93" spans="1:17" ht="12.75" customHeight="1">
      <c r="A93" s="195">
        <v>43031</v>
      </c>
      <c r="B93" s="17"/>
      <c r="C93" s="17">
        <v>1</v>
      </c>
      <c r="D93" s="17">
        <v>23</v>
      </c>
      <c r="E93" s="17">
        <f>IF(((C93="")*AND(D93="")),"",D93-C93)</f>
        <v>22</v>
      </c>
      <c r="F93" s="17"/>
      <c r="G93" s="17"/>
      <c r="H93" s="17"/>
      <c r="I93" s="17"/>
      <c r="J93" s="17"/>
      <c r="K93" s="17"/>
      <c r="L93" s="17">
        <v>30</v>
      </c>
      <c r="M93" s="17">
        <v>30</v>
      </c>
      <c r="N93" s="19" t="str">
        <f>IF(E93="","",IF(E93&lt;=30,"Pass","Fail"))</f>
        <v>Pass</v>
      </c>
      <c r="O93" s="188">
        <v>121</v>
      </c>
      <c r="P93" s="31" t="s">
        <v>83</v>
      </c>
      <c r="Q93" s="22"/>
    </row>
    <row r="94" spans="1:17" ht="12.75" customHeight="1">
      <c r="A94" s="195">
        <v>43039</v>
      </c>
      <c r="B94" s="17"/>
      <c r="C94" s="17">
        <v>7</v>
      </c>
      <c r="D94" s="17">
        <v>68</v>
      </c>
      <c r="E94" s="17">
        <f>IF(((C94="")*AND(D94="")),"",D94-C94)</f>
        <v>61</v>
      </c>
      <c r="F94" s="17"/>
      <c r="G94" s="17"/>
      <c r="H94" s="17"/>
      <c r="I94" s="17"/>
      <c r="J94" s="17"/>
      <c r="K94" s="17"/>
      <c r="L94" s="17">
        <v>30</v>
      </c>
      <c r="M94" s="17">
        <v>30</v>
      </c>
      <c r="N94" s="19" t="str">
        <f>IF(E94="","",IF(E94&lt;=30,"Pass","Fail"))</f>
        <v>Fail</v>
      </c>
      <c r="O94" s="188">
        <v>1335</v>
      </c>
      <c r="P94" s="31" t="s">
        <v>84</v>
      </c>
      <c r="Q94" s="22"/>
    </row>
    <row r="95" spans="1:17" ht="12.75" customHeight="1">
      <c r="A95" s="195">
        <v>43043</v>
      </c>
      <c r="B95" s="17"/>
      <c r="C95" s="17">
        <v>2</v>
      </c>
      <c r="D95" s="17">
        <v>221</v>
      </c>
      <c r="E95" s="17">
        <f>IF(((C95="")*AND(D95="")),"",D95-C95)</f>
        <v>219</v>
      </c>
      <c r="F95" s="17"/>
      <c r="G95" s="17"/>
      <c r="H95" s="17"/>
      <c r="I95" s="17"/>
      <c r="J95" s="17"/>
      <c r="K95" s="17"/>
      <c r="L95" s="17">
        <v>30</v>
      </c>
      <c r="M95" s="17">
        <v>30</v>
      </c>
      <c r="N95" s="19" t="str">
        <f>IF(E95="","",IF(E95&lt;=30,"Pass","Fail"))</f>
        <v>Fail</v>
      </c>
      <c r="O95" s="188">
        <v>1335</v>
      </c>
      <c r="P95" s="31" t="s">
        <v>67</v>
      </c>
      <c r="Q95" s="22"/>
    </row>
    <row r="96" spans="1:17" ht="12.75" customHeight="1">
      <c r="A96" s="195">
        <v>43043</v>
      </c>
      <c r="B96" s="17"/>
      <c r="C96" s="17">
        <v>5</v>
      </c>
      <c r="D96" s="17">
        <v>77</v>
      </c>
      <c r="E96" s="17">
        <f t="shared" ref="E96:E159" si="4">IF(((C96="")*AND(D96="")),"",D96-C96)</f>
        <v>72</v>
      </c>
      <c r="F96" s="17"/>
      <c r="G96" s="17"/>
      <c r="H96" s="17"/>
      <c r="I96" s="17"/>
      <c r="J96" s="17"/>
      <c r="K96" s="17"/>
      <c r="L96" s="17">
        <v>30</v>
      </c>
      <c r="M96" s="17">
        <v>30</v>
      </c>
      <c r="N96" s="19" t="str">
        <f t="shared" ref="N96:N159" si="5">IF(E96="","",IF(E96&lt;=30,"Pass","Fail"))</f>
        <v>Fail</v>
      </c>
      <c r="O96" s="188">
        <v>1335</v>
      </c>
      <c r="P96" s="31" t="s">
        <v>67</v>
      </c>
      <c r="Q96" s="22"/>
    </row>
    <row r="97" spans="1:17" ht="12.75" customHeight="1">
      <c r="A97" s="195">
        <v>43044</v>
      </c>
      <c r="B97" s="17"/>
      <c r="C97" s="17">
        <v>10</v>
      </c>
      <c r="D97" s="17">
        <v>15</v>
      </c>
      <c r="E97" s="17">
        <f t="shared" si="4"/>
        <v>5</v>
      </c>
      <c r="F97" s="17"/>
      <c r="G97" s="17"/>
      <c r="H97" s="17"/>
      <c r="I97" s="17"/>
      <c r="J97" s="17"/>
      <c r="K97" s="17"/>
      <c r="L97" s="17">
        <v>30</v>
      </c>
      <c r="M97" s="17">
        <v>30</v>
      </c>
      <c r="N97" s="19" t="str">
        <f t="shared" si="5"/>
        <v>Pass</v>
      </c>
      <c r="O97" s="188">
        <v>1335</v>
      </c>
      <c r="P97" s="31" t="s">
        <v>85</v>
      </c>
      <c r="Q97" s="22"/>
    </row>
    <row r="98" spans="1:17" ht="12.75" customHeight="1">
      <c r="A98" s="195">
        <v>43047</v>
      </c>
      <c r="B98" s="17"/>
      <c r="C98" s="17">
        <v>19</v>
      </c>
      <c r="D98" s="17">
        <v>317</v>
      </c>
      <c r="E98" s="17">
        <f t="shared" si="4"/>
        <v>298</v>
      </c>
      <c r="F98" s="17"/>
      <c r="G98" s="17"/>
      <c r="H98" s="17"/>
      <c r="I98" s="17"/>
      <c r="J98" s="17"/>
      <c r="K98" s="17"/>
      <c r="L98" s="17">
        <v>30</v>
      </c>
      <c r="M98" s="17">
        <v>30</v>
      </c>
      <c r="N98" s="19" t="str">
        <f t="shared" si="5"/>
        <v>Fail</v>
      </c>
      <c r="O98" s="188">
        <v>1335</v>
      </c>
      <c r="P98" s="31" t="s">
        <v>86</v>
      </c>
      <c r="Q98" s="22"/>
    </row>
    <row r="99" spans="1:17" ht="12.75" customHeight="1">
      <c r="A99" s="195">
        <v>43047</v>
      </c>
      <c r="B99" s="17"/>
      <c r="C99" s="17">
        <v>1</v>
      </c>
      <c r="D99" s="17">
        <v>264</v>
      </c>
      <c r="E99" s="17">
        <f t="shared" si="4"/>
        <v>263</v>
      </c>
      <c r="F99" s="17"/>
      <c r="G99" s="17"/>
      <c r="H99" s="17"/>
      <c r="I99" s="17"/>
      <c r="J99" s="17"/>
      <c r="K99" s="17"/>
      <c r="L99" s="17">
        <v>30</v>
      </c>
      <c r="M99" s="17">
        <v>30</v>
      </c>
      <c r="N99" s="19" t="str">
        <f t="shared" si="5"/>
        <v>Fail</v>
      </c>
      <c r="O99" s="188">
        <v>1335</v>
      </c>
      <c r="P99" s="31" t="s">
        <v>87</v>
      </c>
      <c r="Q99" s="22"/>
    </row>
    <row r="100" spans="1:17" ht="12.75" customHeight="1">
      <c r="A100" s="195">
        <v>43053</v>
      </c>
      <c r="B100" s="17"/>
      <c r="C100" s="17">
        <v>6</v>
      </c>
      <c r="D100" s="17">
        <v>208</v>
      </c>
      <c r="E100" s="17">
        <f t="shared" si="4"/>
        <v>202</v>
      </c>
      <c r="F100" s="17"/>
      <c r="G100" s="17"/>
      <c r="H100" s="17"/>
      <c r="I100" s="17"/>
      <c r="J100" s="17"/>
      <c r="K100" s="17"/>
      <c r="L100" s="17">
        <v>30</v>
      </c>
      <c r="M100" s="17">
        <v>30</v>
      </c>
      <c r="N100" s="19" t="str">
        <f t="shared" si="5"/>
        <v>Fail</v>
      </c>
      <c r="O100" s="188">
        <v>1159</v>
      </c>
      <c r="P100" s="31" t="s">
        <v>88</v>
      </c>
      <c r="Q100" s="22"/>
    </row>
    <row r="101" spans="1:17" ht="12.75" customHeight="1">
      <c r="A101" s="195">
        <v>43053</v>
      </c>
      <c r="B101" s="17"/>
      <c r="C101" s="17">
        <v>14</v>
      </c>
      <c r="D101" s="17">
        <v>383</v>
      </c>
      <c r="E101" s="17">
        <f t="shared" si="4"/>
        <v>369</v>
      </c>
      <c r="F101" s="17"/>
      <c r="G101" s="17"/>
      <c r="H101" s="17"/>
      <c r="I101" s="17"/>
      <c r="J101" s="17"/>
      <c r="K101" s="17"/>
      <c r="L101" s="17">
        <v>30</v>
      </c>
      <c r="M101" s="17">
        <v>30</v>
      </c>
      <c r="N101" s="19" t="str">
        <f t="shared" si="5"/>
        <v>Fail</v>
      </c>
      <c r="O101" s="188">
        <v>121</v>
      </c>
      <c r="P101" s="31" t="s">
        <v>89</v>
      </c>
      <c r="Q101" s="22"/>
    </row>
    <row r="102" spans="1:17" ht="12.75" customHeight="1">
      <c r="A102" s="195">
        <v>43053</v>
      </c>
      <c r="B102" s="17"/>
      <c r="C102" s="17">
        <v>7</v>
      </c>
      <c r="D102" s="17">
        <v>234</v>
      </c>
      <c r="E102" s="17">
        <f t="shared" si="4"/>
        <v>227</v>
      </c>
      <c r="F102" s="17"/>
      <c r="G102" s="17"/>
      <c r="H102" s="17"/>
      <c r="I102" s="17"/>
      <c r="J102" s="17"/>
      <c r="K102" s="17"/>
      <c r="L102" s="17">
        <v>30</v>
      </c>
      <c r="M102" s="17">
        <v>30</v>
      </c>
      <c r="N102" s="19" t="str">
        <f t="shared" si="5"/>
        <v>Fail</v>
      </c>
      <c r="O102" s="188">
        <v>102</v>
      </c>
      <c r="P102" s="31" t="s">
        <v>90</v>
      </c>
      <c r="Q102" s="22"/>
    </row>
    <row r="103" spans="1:17" ht="12.75" customHeight="1">
      <c r="A103" s="195">
        <v>43055</v>
      </c>
      <c r="B103" s="17"/>
      <c r="C103" s="17">
        <v>2</v>
      </c>
      <c r="D103" s="17">
        <v>219</v>
      </c>
      <c r="E103" s="17">
        <f t="shared" si="4"/>
        <v>217</v>
      </c>
      <c r="F103" s="17"/>
      <c r="G103" s="17"/>
      <c r="H103" s="17"/>
      <c r="I103" s="17"/>
      <c r="J103" s="17"/>
      <c r="K103" s="17"/>
      <c r="L103" s="17">
        <v>30</v>
      </c>
      <c r="M103" s="17">
        <v>30</v>
      </c>
      <c r="N103" s="19" t="str">
        <f t="shared" si="5"/>
        <v>Fail</v>
      </c>
      <c r="O103" s="188">
        <v>102</v>
      </c>
      <c r="P103" s="31" t="s">
        <v>281</v>
      </c>
      <c r="Q103" s="22" t="s">
        <v>280</v>
      </c>
    </row>
    <row r="104" spans="1:17" ht="12.75" customHeight="1">
      <c r="A104" s="195">
        <v>43055</v>
      </c>
      <c r="B104" s="17"/>
      <c r="C104" s="17">
        <v>4</v>
      </c>
      <c r="D104" s="17">
        <v>86</v>
      </c>
      <c r="E104" s="17">
        <f t="shared" si="4"/>
        <v>82</v>
      </c>
      <c r="F104" s="17"/>
      <c r="G104" s="17"/>
      <c r="H104" s="17"/>
      <c r="I104" s="17"/>
      <c r="J104" s="17"/>
      <c r="K104" s="17"/>
      <c r="L104" s="17">
        <v>30</v>
      </c>
      <c r="M104" s="17">
        <v>30</v>
      </c>
      <c r="N104" s="19" t="str">
        <f t="shared" si="5"/>
        <v>Fail</v>
      </c>
      <c r="O104" s="188">
        <v>102</v>
      </c>
      <c r="P104" s="31" t="s">
        <v>283</v>
      </c>
      <c r="Q104" s="22" t="s">
        <v>282</v>
      </c>
    </row>
    <row r="105" spans="1:17" ht="12.75" customHeight="1">
      <c r="A105" s="195">
        <v>43067</v>
      </c>
      <c r="B105" s="17"/>
      <c r="C105" s="17">
        <v>27</v>
      </c>
      <c r="D105" s="17">
        <v>158</v>
      </c>
      <c r="E105" s="17">
        <f>IF(((C105="")*AND(D105="")),"",D105-C105)</f>
        <v>131</v>
      </c>
      <c r="F105" s="17"/>
      <c r="G105" s="17"/>
      <c r="H105" s="17"/>
      <c r="I105" s="17"/>
      <c r="J105" s="17"/>
      <c r="K105" s="17"/>
      <c r="L105" s="17">
        <v>30</v>
      </c>
      <c r="M105" s="17">
        <v>30</v>
      </c>
      <c r="N105" s="19" t="str">
        <f>IF(E105="","",IF(E105&lt;=30,"Pass","Fail"))</f>
        <v>Fail</v>
      </c>
      <c r="O105" s="188">
        <v>102</v>
      </c>
      <c r="P105" s="31" t="s">
        <v>91</v>
      </c>
      <c r="Q105" s="22"/>
    </row>
    <row r="106" spans="1:17" ht="12.75" customHeight="1">
      <c r="A106" s="195">
        <v>43080</v>
      </c>
      <c r="B106" s="17"/>
      <c r="C106" s="17">
        <v>14</v>
      </c>
      <c r="D106" s="17">
        <v>103</v>
      </c>
      <c r="E106" s="17">
        <f t="shared" si="4"/>
        <v>89</v>
      </c>
      <c r="F106" s="17"/>
      <c r="G106" s="17"/>
      <c r="H106" s="17"/>
      <c r="I106" s="17"/>
      <c r="J106" s="17"/>
      <c r="K106" s="17"/>
      <c r="L106" s="17">
        <v>30</v>
      </c>
      <c r="M106" s="17">
        <v>30</v>
      </c>
      <c r="N106" s="19" t="str">
        <f t="shared" si="5"/>
        <v>Fail</v>
      </c>
      <c r="O106" s="188">
        <v>1335</v>
      </c>
      <c r="P106" s="31"/>
      <c r="Q106" s="22"/>
    </row>
    <row r="107" spans="1:17" ht="12.75" customHeight="1">
      <c r="A107" s="195">
        <v>43091</v>
      </c>
      <c r="B107" s="17"/>
      <c r="C107" s="17">
        <v>5</v>
      </c>
      <c r="D107" s="17">
        <v>29</v>
      </c>
      <c r="E107" s="17">
        <f t="shared" si="4"/>
        <v>24</v>
      </c>
      <c r="F107" s="17"/>
      <c r="G107" s="17"/>
      <c r="H107" s="17"/>
      <c r="I107" s="17"/>
      <c r="J107" s="17"/>
      <c r="K107" s="17"/>
      <c r="L107" s="17">
        <v>30</v>
      </c>
      <c r="M107" s="17">
        <v>30</v>
      </c>
      <c r="N107" s="19" t="str">
        <f t="shared" si="5"/>
        <v>Pass</v>
      </c>
      <c r="O107" s="188">
        <v>121</v>
      </c>
      <c r="P107" s="31"/>
      <c r="Q107" s="22"/>
    </row>
    <row r="108" spans="1:17" ht="12.75" customHeight="1">
      <c r="A108" s="195">
        <v>43098</v>
      </c>
      <c r="B108" s="17"/>
      <c r="C108" s="17">
        <v>12</v>
      </c>
      <c r="D108" s="17">
        <v>10</v>
      </c>
      <c r="E108" s="17">
        <f t="shared" si="4"/>
        <v>-2</v>
      </c>
      <c r="F108" s="17"/>
      <c r="G108" s="17"/>
      <c r="H108" s="17"/>
      <c r="I108" s="17"/>
      <c r="J108" s="17"/>
      <c r="K108" s="17"/>
      <c r="L108" s="17">
        <v>30</v>
      </c>
      <c r="M108" s="17">
        <v>30</v>
      </c>
      <c r="N108" s="19" t="str">
        <f t="shared" si="5"/>
        <v>Pass</v>
      </c>
      <c r="O108" s="188">
        <v>121</v>
      </c>
      <c r="P108" s="31" t="s">
        <v>92</v>
      </c>
      <c r="Q108" s="22"/>
    </row>
    <row r="109" spans="1:17" ht="12.75" customHeight="1">
      <c r="A109" s="195">
        <v>43103</v>
      </c>
      <c r="B109" s="17"/>
      <c r="C109" s="17">
        <v>10</v>
      </c>
      <c r="D109" s="17">
        <v>10</v>
      </c>
      <c r="E109" s="17">
        <f t="shared" si="4"/>
        <v>0</v>
      </c>
      <c r="F109" s="17"/>
      <c r="G109" s="17"/>
      <c r="H109" s="17"/>
      <c r="I109" s="17"/>
      <c r="J109" s="17"/>
      <c r="K109" s="17"/>
      <c r="L109" s="17">
        <v>30</v>
      </c>
      <c r="M109" s="17">
        <v>30</v>
      </c>
      <c r="N109" s="19" t="str">
        <f t="shared" si="5"/>
        <v>Pass</v>
      </c>
      <c r="O109" s="188">
        <v>1335</v>
      </c>
      <c r="P109" s="31" t="s">
        <v>93</v>
      </c>
      <c r="Q109" s="22"/>
    </row>
    <row r="110" spans="1:17" ht="12.75" customHeight="1">
      <c r="A110" s="195">
        <v>43106</v>
      </c>
      <c r="B110" s="17"/>
      <c r="C110" s="17">
        <v>3</v>
      </c>
      <c r="D110" s="17">
        <v>73</v>
      </c>
      <c r="E110" s="17">
        <f t="shared" si="4"/>
        <v>70</v>
      </c>
      <c r="F110" s="17"/>
      <c r="G110" s="17"/>
      <c r="H110" s="17"/>
      <c r="I110" s="17"/>
      <c r="J110" s="17"/>
      <c r="K110" s="17"/>
      <c r="L110" s="17">
        <v>30</v>
      </c>
      <c r="M110" s="17">
        <v>30</v>
      </c>
      <c r="N110" s="19" t="str">
        <f t="shared" si="5"/>
        <v>Fail</v>
      </c>
      <c r="O110" s="188">
        <v>102</v>
      </c>
      <c r="P110" s="31" t="s">
        <v>94</v>
      </c>
      <c r="Q110" s="22"/>
    </row>
    <row r="111" spans="1:17" ht="12.75" customHeight="1">
      <c r="A111" s="195">
        <v>43106</v>
      </c>
      <c r="B111" s="17"/>
      <c r="C111" s="17">
        <v>41</v>
      </c>
      <c r="D111" s="17">
        <v>37</v>
      </c>
      <c r="E111" s="17">
        <f t="shared" si="4"/>
        <v>-4</v>
      </c>
      <c r="F111" s="17"/>
      <c r="G111" s="17"/>
      <c r="H111" s="17"/>
      <c r="I111" s="17"/>
      <c r="J111" s="17"/>
      <c r="K111" s="17"/>
      <c r="L111" s="17">
        <v>30</v>
      </c>
      <c r="M111" s="17">
        <v>30</v>
      </c>
      <c r="N111" s="19" t="str">
        <f t="shared" si="5"/>
        <v>Pass</v>
      </c>
      <c r="O111" s="188">
        <v>1519</v>
      </c>
      <c r="P111" s="31" t="s">
        <v>95</v>
      </c>
      <c r="Q111" s="22"/>
    </row>
    <row r="112" spans="1:17" ht="12.75" customHeight="1">
      <c r="A112" s="195">
        <v>43110</v>
      </c>
      <c r="B112" s="17"/>
      <c r="C112" s="17">
        <v>11</v>
      </c>
      <c r="D112" s="17">
        <v>105</v>
      </c>
      <c r="E112" s="17">
        <f t="shared" si="4"/>
        <v>94</v>
      </c>
      <c r="F112" s="17"/>
      <c r="G112" s="17"/>
      <c r="H112" s="17"/>
      <c r="I112" s="17"/>
      <c r="J112" s="17"/>
      <c r="K112" s="17"/>
      <c r="L112" s="17">
        <v>30</v>
      </c>
      <c r="M112" s="17">
        <v>30</v>
      </c>
      <c r="N112" s="19" t="str">
        <f t="shared" si="5"/>
        <v>Fail</v>
      </c>
      <c r="O112" s="188">
        <v>1335</v>
      </c>
      <c r="P112" s="31" t="s">
        <v>96</v>
      </c>
      <c r="Q112" s="22"/>
    </row>
    <row r="113" spans="1:17" ht="12.75" customHeight="1">
      <c r="A113" s="195">
        <v>43110</v>
      </c>
      <c r="B113" s="17"/>
      <c r="C113" s="17">
        <v>15</v>
      </c>
      <c r="D113" s="17">
        <v>20</v>
      </c>
      <c r="E113" s="17">
        <f t="shared" si="4"/>
        <v>5</v>
      </c>
      <c r="F113" s="17"/>
      <c r="G113" s="17"/>
      <c r="H113" s="17"/>
      <c r="I113" s="17"/>
      <c r="J113" s="17"/>
      <c r="K113" s="17"/>
      <c r="L113" s="17">
        <v>30</v>
      </c>
      <c r="M113" s="17">
        <v>30</v>
      </c>
      <c r="N113" s="19" t="str">
        <f t="shared" si="5"/>
        <v>Pass</v>
      </c>
      <c r="O113" s="188">
        <v>1335</v>
      </c>
      <c r="P113" s="31" t="s">
        <v>97</v>
      </c>
      <c r="Q113" s="22"/>
    </row>
    <row r="114" spans="1:17" ht="12.75" customHeight="1">
      <c r="A114" s="195">
        <v>43117</v>
      </c>
      <c r="B114" s="17"/>
      <c r="C114" s="17">
        <v>6</v>
      </c>
      <c r="D114" s="17">
        <v>221</v>
      </c>
      <c r="E114" s="17">
        <f t="shared" si="4"/>
        <v>215</v>
      </c>
      <c r="F114" s="17"/>
      <c r="G114" s="17"/>
      <c r="H114" s="17"/>
      <c r="I114" s="17"/>
      <c r="J114" s="17"/>
      <c r="K114" s="17"/>
      <c r="L114" s="17">
        <v>30</v>
      </c>
      <c r="M114" s="17">
        <v>30</v>
      </c>
      <c r="N114" s="19" t="str">
        <f t="shared" si="5"/>
        <v>Fail</v>
      </c>
      <c r="O114" s="188">
        <v>121</v>
      </c>
      <c r="P114" s="31" t="s">
        <v>98</v>
      </c>
      <c r="Q114" s="22"/>
    </row>
    <row r="115" spans="1:17" ht="12.75" customHeight="1">
      <c r="A115" s="195">
        <v>43122</v>
      </c>
      <c r="B115" s="17"/>
      <c r="C115" s="17">
        <v>3</v>
      </c>
      <c r="D115" s="17">
        <v>20</v>
      </c>
      <c r="E115" s="17">
        <f t="shared" si="4"/>
        <v>17</v>
      </c>
      <c r="F115" s="17"/>
      <c r="G115" s="17"/>
      <c r="H115" s="17"/>
      <c r="I115" s="17"/>
      <c r="J115" s="17"/>
      <c r="K115" s="17"/>
      <c r="L115" s="17">
        <v>30</v>
      </c>
      <c r="M115" s="17">
        <v>30</v>
      </c>
      <c r="N115" s="19" t="str">
        <f t="shared" si="5"/>
        <v>Pass</v>
      </c>
      <c r="O115" s="188">
        <v>121</v>
      </c>
      <c r="P115" s="31" t="s">
        <v>99</v>
      </c>
      <c r="Q115" s="22"/>
    </row>
    <row r="116" spans="1:17" ht="12.75" customHeight="1">
      <c r="A116" s="195">
        <v>43125</v>
      </c>
      <c r="B116" s="17"/>
      <c r="C116" s="17">
        <v>24</v>
      </c>
      <c r="D116" s="17">
        <v>239</v>
      </c>
      <c r="E116" s="17">
        <f t="shared" si="4"/>
        <v>215</v>
      </c>
      <c r="F116" s="17"/>
      <c r="G116" s="17"/>
      <c r="H116" s="17"/>
      <c r="I116" s="17"/>
      <c r="J116" s="17"/>
      <c r="K116" s="17"/>
      <c r="L116" s="17">
        <v>30</v>
      </c>
      <c r="M116" s="17">
        <v>30</v>
      </c>
      <c r="N116" s="19" t="str">
        <f t="shared" si="5"/>
        <v>Fail</v>
      </c>
      <c r="O116" s="188">
        <v>1428</v>
      </c>
      <c r="P116" s="31"/>
      <c r="Q116" s="22"/>
    </row>
    <row r="117" spans="1:17" ht="12.75" customHeight="1">
      <c r="A117" s="195">
        <v>43125</v>
      </c>
      <c r="B117" s="17"/>
      <c r="C117" s="17">
        <v>10</v>
      </c>
      <c r="D117" s="17">
        <v>20</v>
      </c>
      <c r="E117" s="17">
        <f t="shared" si="4"/>
        <v>10</v>
      </c>
      <c r="F117" s="17"/>
      <c r="G117" s="17"/>
      <c r="H117" s="17"/>
      <c r="I117" s="17"/>
      <c r="J117" s="17"/>
      <c r="K117" s="17"/>
      <c r="L117" s="17">
        <v>30</v>
      </c>
      <c r="M117" s="17">
        <v>30</v>
      </c>
      <c r="N117" s="19" t="str">
        <f t="shared" si="5"/>
        <v>Pass</v>
      </c>
      <c r="O117" s="188">
        <v>1519</v>
      </c>
      <c r="P117" s="31" t="s">
        <v>100</v>
      </c>
      <c r="Q117" s="22"/>
    </row>
    <row r="118" spans="1:17" ht="12.75" customHeight="1">
      <c r="A118" s="195">
        <v>43129</v>
      </c>
      <c r="B118" s="17"/>
      <c r="C118" s="17">
        <v>4</v>
      </c>
      <c r="D118" s="17">
        <v>83</v>
      </c>
      <c r="E118" s="17">
        <f t="shared" si="4"/>
        <v>79</v>
      </c>
      <c r="F118" s="17"/>
      <c r="G118" s="17"/>
      <c r="H118" s="17"/>
      <c r="I118" s="17"/>
      <c r="J118" s="17"/>
      <c r="K118" s="17"/>
      <c r="L118" s="17">
        <v>30</v>
      </c>
      <c r="M118" s="17">
        <v>30</v>
      </c>
      <c r="N118" s="19" t="str">
        <f t="shared" si="5"/>
        <v>Fail</v>
      </c>
      <c r="O118" s="188">
        <v>1335</v>
      </c>
      <c r="P118" s="31" t="s">
        <v>101</v>
      </c>
      <c r="Q118" s="36" t="s">
        <v>102</v>
      </c>
    </row>
    <row r="119" spans="1:17" ht="12.75" customHeight="1">
      <c r="A119" s="195">
        <v>43129</v>
      </c>
      <c r="B119" s="17"/>
      <c r="C119" s="17">
        <v>7</v>
      </c>
      <c r="D119" s="17">
        <v>155</v>
      </c>
      <c r="E119" s="17">
        <f t="shared" si="4"/>
        <v>148</v>
      </c>
      <c r="F119" s="17"/>
      <c r="G119" s="17"/>
      <c r="H119" s="17"/>
      <c r="I119" s="17"/>
      <c r="J119" s="17"/>
      <c r="K119" s="17"/>
      <c r="L119" s="17">
        <v>30</v>
      </c>
      <c r="M119" s="17">
        <v>30</v>
      </c>
      <c r="N119" s="19" t="str">
        <f t="shared" si="5"/>
        <v>Fail</v>
      </c>
      <c r="O119" s="188">
        <v>1335</v>
      </c>
      <c r="P119" s="31" t="s">
        <v>103</v>
      </c>
      <c r="Q119" s="36" t="s">
        <v>104</v>
      </c>
    </row>
    <row r="120" spans="1:17" ht="12.75" customHeight="1">
      <c r="A120" s="195">
        <v>43129</v>
      </c>
      <c r="B120" s="17"/>
      <c r="C120" s="17">
        <v>2</v>
      </c>
      <c r="D120" s="17">
        <v>68</v>
      </c>
      <c r="E120" s="17">
        <f t="shared" si="4"/>
        <v>66</v>
      </c>
      <c r="F120" s="17"/>
      <c r="G120" s="17"/>
      <c r="H120" s="17"/>
      <c r="I120" s="17"/>
      <c r="J120" s="17"/>
      <c r="K120" s="17"/>
      <c r="L120" s="17">
        <v>30</v>
      </c>
      <c r="M120" s="17">
        <v>30</v>
      </c>
      <c r="N120" s="19" t="str">
        <f t="shared" si="5"/>
        <v>Fail</v>
      </c>
      <c r="O120" s="188">
        <v>121</v>
      </c>
      <c r="P120" s="31" t="s">
        <v>105</v>
      </c>
      <c r="Q120" s="36" t="s">
        <v>102</v>
      </c>
    </row>
    <row r="121" spans="1:17" ht="12.75" customHeight="1">
      <c r="A121" s="195">
        <v>43130</v>
      </c>
      <c r="B121" s="17"/>
      <c r="C121" s="17">
        <v>5</v>
      </c>
      <c r="D121" s="17">
        <v>101</v>
      </c>
      <c r="E121" s="17">
        <f t="shared" si="4"/>
        <v>96</v>
      </c>
      <c r="F121" s="17"/>
      <c r="G121" s="17"/>
      <c r="H121" s="17"/>
      <c r="I121" s="17"/>
      <c r="J121" s="17"/>
      <c r="K121" s="17"/>
      <c r="L121" s="17">
        <v>30</v>
      </c>
      <c r="M121" s="17">
        <v>30</v>
      </c>
      <c r="N121" s="19" t="str">
        <f t="shared" si="5"/>
        <v>Fail</v>
      </c>
      <c r="O121" s="188">
        <v>64</v>
      </c>
      <c r="P121" s="31" t="s">
        <v>106</v>
      </c>
      <c r="Q121" s="36" t="s">
        <v>102</v>
      </c>
    </row>
    <row r="122" spans="1:17" ht="12.75" customHeight="1">
      <c r="A122" s="195">
        <v>43130</v>
      </c>
      <c r="B122" s="17"/>
      <c r="C122" s="17">
        <v>15</v>
      </c>
      <c r="D122" s="17">
        <v>38</v>
      </c>
      <c r="E122" s="17">
        <f t="shared" si="4"/>
        <v>23</v>
      </c>
      <c r="F122" s="17"/>
      <c r="G122" s="17"/>
      <c r="H122" s="17"/>
      <c r="I122" s="17"/>
      <c r="J122" s="17"/>
      <c r="K122" s="17"/>
      <c r="L122" s="17">
        <v>30</v>
      </c>
      <c r="M122" s="17">
        <v>30</v>
      </c>
      <c r="N122" s="19" t="str">
        <f t="shared" si="5"/>
        <v>Pass</v>
      </c>
      <c r="O122" s="188">
        <v>121</v>
      </c>
      <c r="P122" s="31" t="s">
        <v>107</v>
      </c>
      <c r="Q122" s="36" t="s">
        <v>102</v>
      </c>
    </row>
    <row r="123" spans="1:17" ht="12.75" customHeight="1">
      <c r="A123" s="195">
        <v>43130</v>
      </c>
      <c r="B123" s="17"/>
      <c r="C123" s="17">
        <v>3</v>
      </c>
      <c r="D123" s="17">
        <v>93</v>
      </c>
      <c r="E123" s="17">
        <f t="shared" si="4"/>
        <v>90</v>
      </c>
      <c r="F123" s="17"/>
      <c r="G123" s="17"/>
      <c r="H123" s="17"/>
      <c r="I123" s="17"/>
      <c r="J123" s="17"/>
      <c r="K123" s="17"/>
      <c r="L123" s="17">
        <v>30</v>
      </c>
      <c r="M123" s="17">
        <v>30</v>
      </c>
      <c r="N123" s="19" t="str">
        <f t="shared" si="5"/>
        <v>Fail</v>
      </c>
      <c r="O123" s="188">
        <v>121</v>
      </c>
      <c r="P123" s="31" t="s">
        <v>108</v>
      </c>
      <c r="Q123" s="22" t="s">
        <v>109</v>
      </c>
    </row>
    <row r="124" spans="1:17" ht="12.75" customHeight="1">
      <c r="A124" s="195">
        <v>43130</v>
      </c>
      <c r="B124" s="17"/>
      <c r="C124" s="17">
        <v>10</v>
      </c>
      <c r="D124" s="17">
        <v>28</v>
      </c>
      <c r="E124" s="17">
        <f t="shared" si="4"/>
        <v>18</v>
      </c>
      <c r="F124" s="17"/>
      <c r="G124" s="17"/>
      <c r="H124" s="17"/>
      <c r="I124" s="17"/>
      <c r="J124" s="17"/>
      <c r="K124" s="17"/>
      <c r="L124" s="17">
        <v>30</v>
      </c>
      <c r="M124" s="17">
        <v>30</v>
      </c>
      <c r="N124" s="19" t="str">
        <f t="shared" si="5"/>
        <v>Pass</v>
      </c>
      <c r="O124" s="188">
        <v>121</v>
      </c>
      <c r="P124" s="31" t="s">
        <v>110</v>
      </c>
      <c r="Q124" s="36" t="s">
        <v>102</v>
      </c>
    </row>
    <row r="125" spans="1:17" ht="12.75" customHeight="1">
      <c r="A125" s="195">
        <v>43133</v>
      </c>
      <c r="B125" s="17"/>
      <c r="C125" s="17">
        <v>6</v>
      </c>
      <c r="D125" s="17">
        <v>166</v>
      </c>
      <c r="E125" s="17">
        <f>IF(((C125="")*AND(D125="")),"",D125-C125)</f>
        <v>160</v>
      </c>
      <c r="F125" s="17"/>
      <c r="G125" s="17"/>
      <c r="H125" s="17"/>
      <c r="I125" s="17"/>
      <c r="J125" s="17"/>
      <c r="K125" s="17"/>
      <c r="L125" s="17">
        <v>30</v>
      </c>
      <c r="M125" s="17">
        <v>30</v>
      </c>
      <c r="N125" s="19" t="str">
        <f>IF(E125="","",IF(E125&lt;=30,"Pass","Fail"))</f>
        <v>Fail</v>
      </c>
      <c r="O125" s="188">
        <v>1335</v>
      </c>
      <c r="P125" s="31" t="s">
        <v>111</v>
      </c>
      <c r="Q125" s="36"/>
    </row>
    <row r="126" spans="1:17" ht="12.75" customHeight="1">
      <c r="A126" s="195">
        <v>43133</v>
      </c>
      <c r="B126" s="17"/>
      <c r="C126" s="17">
        <v>4</v>
      </c>
      <c r="D126" s="17">
        <v>47</v>
      </c>
      <c r="E126" s="17">
        <f t="shared" si="4"/>
        <v>43</v>
      </c>
      <c r="F126" s="17"/>
      <c r="G126" s="17"/>
      <c r="H126" s="17"/>
      <c r="I126" s="17"/>
      <c r="J126" s="17"/>
      <c r="K126" s="17"/>
      <c r="L126" s="17">
        <v>30</v>
      </c>
      <c r="M126" s="17">
        <v>30</v>
      </c>
      <c r="N126" s="19" t="str">
        <f t="shared" si="5"/>
        <v>Fail</v>
      </c>
      <c r="O126" s="188">
        <v>1335</v>
      </c>
      <c r="P126" s="31" t="s">
        <v>112</v>
      </c>
      <c r="Q126" s="22" t="s">
        <v>109</v>
      </c>
    </row>
    <row r="127" spans="1:17" ht="12.75" customHeight="1">
      <c r="A127" s="195">
        <v>43133</v>
      </c>
      <c r="B127" s="17"/>
      <c r="C127" s="17">
        <v>47</v>
      </c>
      <c r="D127" s="17">
        <v>205</v>
      </c>
      <c r="E127" s="17">
        <f t="shared" si="4"/>
        <v>158</v>
      </c>
      <c r="F127" s="17"/>
      <c r="G127" s="17"/>
      <c r="H127" s="17"/>
      <c r="I127" s="17"/>
      <c r="J127" s="17"/>
      <c r="K127" s="17"/>
      <c r="L127" s="17">
        <v>30</v>
      </c>
      <c r="M127" s="17">
        <v>30</v>
      </c>
      <c r="N127" s="19" t="str">
        <f t="shared" si="5"/>
        <v>Fail</v>
      </c>
      <c r="O127" s="188">
        <v>1335</v>
      </c>
      <c r="P127" s="31" t="s">
        <v>113</v>
      </c>
      <c r="Q127" s="22" t="s">
        <v>114</v>
      </c>
    </row>
    <row r="128" spans="1:17" ht="12.75" customHeight="1">
      <c r="A128" s="195">
        <v>43133</v>
      </c>
      <c r="B128" s="17"/>
      <c r="C128" s="17">
        <v>4</v>
      </c>
      <c r="D128" s="17">
        <v>95</v>
      </c>
      <c r="E128" s="17">
        <f t="shared" si="4"/>
        <v>91</v>
      </c>
      <c r="F128" s="17"/>
      <c r="G128" s="17"/>
      <c r="H128" s="17"/>
      <c r="I128" s="17"/>
      <c r="J128" s="17"/>
      <c r="K128" s="17"/>
      <c r="L128" s="17">
        <v>30</v>
      </c>
      <c r="M128" s="17">
        <v>30</v>
      </c>
      <c r="N128" s="19" t="str">
        <f t="shared" si="5"/>
        <v>Fail</v>
      </c>
      <c r="O128" s="188">
        <v>1335</v>
      </c>
      <c r="P128" s="31" t="s">
        <v>115</v>
      </c>
      <c r="Q128" s="22" t="s">
        <v>114</v>
      </c>
    </row>
    <row r="129" spans="1:17" ht="12.75" customHeight="1">
      <c r="A129" s="195">
        <v>43144</v>
      </c>
      <c r="B129" s="17"/>
      <c r="C129" s="17">
        <v>7</v>
      </c>
      <c r="D129" s="17">
        <v>73</v>
      </c>
      <c r="E129" s="17">
        <f>IF(((C129="")*AND(D129="")),"",D129-C129)</f>
        <v>66</v>
      </c>
      <c r="F129" s="17"/>
      <c r="G129" s="17"/>
      <c r="H129" s="17"/>
      <c r="I129" s="17"/>
      <c r="J129" s="17"/>
      <c r="K129" s="17"/>
      <c r="L129" s="17">
        <v>30</v>
      </c>
      <c r="M129" s="17">
        <v>30</v>
      </c>
      <c r="N129" s="19" t="str">
        <f>IF(E129="","",IF(E129&lt;=30,"Pass","Fail"))</f>
        <v>Fail</v>
      </c>
      <c r="O129" s="188">
        <v>1428</v>
      </c>
      <c r="P129" s="31"/>
      <c r="Q129" s="22"/>
    </row>
    <row r="130" spans="1:17" ht="12.75" customHeight="1">
      <c r="A130" s="195">
        <v>43144</v>
      </c>
      <c r="B130" s="17"/>
      <c r="C130" s="17">
        <v>11</v>
      </c>
      <c r="D130" s="17">
        <v>39</v>
      </c>
      <c r="E130" s="17">
        <f>IF(((C130="")*AND(D130="")),"",D130-C130)</f>
        <v>28</v>
      </c>
      <c r="F130" s="17"/>
      <c r="G130" s="17"/>
      <c r="H130" s="17"/>
      <c r="I130" s="17"/>
      <c r="J130" s="17"/>
      <c r="K130" s="17"/>
      <c r="L130" s="17">
        <v>30</v>
      </c>
      <c r="M130" s="17">
        <v>30</v>
      </c>
      <c r="N130" s="19" t="str">
        <f>IF(E130="","",IF(E130&lt;=30,"Pass","Fail"))</f>
        <v>Pass</v>
      </c>
      <c r="O130" s="188">
        <v>1428</v>
      </c>
      <c r="P130" s="31"/>
      <c r="Q130" s="22"/>
    </row>
    <row r="131" spans="1:17" ht="12.75" customHeight="1">
      <c r="A131" s="195">
        <v>43160</v>
      </c>
      <c r="B131" s="17"/>
      <c r="C131" s="17">
        <v>13</v>
      </c>
      <c r="D131" s="17">
        <v>205</v>
      </c>
      <c r="E131" s="17">
        <f t="shared" si="4"/>
        <v>192</v>
      </c>
      <c r="F131" s="17"/>
      <c r="G131" s="17"/>
      <c r="H131" s="17"/>
      <c r="I131" s="17"/>
      <c r="J131" s="17"/>
      <c r="K131" s="17"/>
      <c r="L131" s="17">
        <v>30</v>
      </c>
      <c r="M131" s="17">
        <v>30</v>
      </c>
      <c r="N131" s="19" t="str">
        <f t="shared" si="5"/>
        <v>Fail</v>
      </c>
      <c r="O131" s="188">
        <v>1159</v>
      </c>
      <c r="P131" s="31" t="s">
        <v>116</v>
      </c>
      <c r="Q131" s="22"/>
    </row>
    <row r="132" spans="1:17" ht="12.75" customHeight="1">
      <c r="A132" s="195">
        <v>43160</v>
      </c>
      <c r="B132" s="17"/>
      <c r="C132" s="17">
        <v>5</v>
      </c>
      <c r="D132" s="17">
        <v>80</v>
      </c>
      <c r="E132" s="17">
        <f t="shared" si="4"/>
        <v>75</v>
      </c>
      <c r="F132" s="17"/>
      <c r="G132" s="17"/>
      <c r="H132" s="17"/>
      <c r="I132" s="17"/>
      <c r="J132" s="17"/>
      <c r="K132" s="17"/>
      <c r="L132" s="17">
        <v>30</v>
      </c>
      <c r="M132" s="17">
        <v>30</v>
      </c>
      <c r="N132" s="19" t="str">
        <f t="shared" si="5"/>
        <v>Fail</v>
      </c>
      <c r="O132" s="188">
        <v>1159</v>
      </c>
      <c r="P132" s="31" t="s">
        <v>117</v>
      </c>
      <c r="Q132" s="22"/>
    </row>
    <row r="133" spans="1:17" ht="12.75" customHeight="1">
      <c r="A133" s="195">
        <v>43161</v>
      </c>
      <c r="B133" s="17"/>
      <c r="C133" s="17">
        <v>6</v>
      </c>
      <c r="D133" s="17">
        <v>36</v>
      </c>
      <c r="E133" s="17">
        <f t="shared" si="4"/>
        <v>30</v>
      </c>
      <c r="F133" s="17"/>
      <c r="G133" s="17"/>
      <c r="H133" s="17"/>
      <c r="I133" s="17"/>
      <c r="J133" s="17"/>
      <c r="K133" s="17"/>
      <c r="L133" s="17">
        <v>30</v>
      </c>
      <c r="M133" s="17">
        <v>30</v>
      </c>
      <c r="N133" s="19" t="str">
        <f t="shared" si="5"/>
        <v>Pass</v>
      </c>
      <c r="O133" s="188">
        <v>1159</v>
      </c>
      <c r="P133" s="31" t="s">
        <v>118</v>
      </c>
      <c r="Q133" s="22"/>
    </row>
    <row r="134" spans="1:17" ht="12.75" customHeight="1">
      <c r="A134" s="195">
        <v>43167</v>
      </c>
      <c r="B134" s="17"/>
      <c r="C134" s="17">
        <v>5</v>
      </c>
      <c r="D134" s="17">
        <v>156</v>
      </c>
      <c r="E134" s="17">
        <f t="shared" si="4"/>
        <v>151</v>
      </c>
      <c r="F134" s="17"/>
      <c r="G134" s="17"/>
      <c r="H134" s="17"/>
      <c r="I134" s="17"/>
      <c r="J134" s="17"/>
      <c r="K134" s="17"/>
      <c r="L134" s="17">
        <v>30</v>
      </c>
      <c r="M134" s="17">
        <v>30</v>
      </c>
      <c r="N134" s="19" t="str">
        <f t="shared" si="5"/>
        <v>Fail</v>
      </c>
      <c r="O134" s="188">
        <v>102</v>
      </c>
      <c r="P134" s="31" t="s">
        <v>119</v>
      </c>
      <c r="Q134" s="22"/>
    </row>
    <row r="135" spans="1:17" ht="12.75" customHeight="1">
      <c r="A135" s="195">
        <v>43169</v>
      </c>
      <c r="B135" s="17"/>
      <c r="C135" s="17">
        <v>8</v>
      </c>
      <c r="D135" s="17">
        <v>32</v>
      </c>
      <c r="E135" s="17">
        <f t="shared" si="4"/>
        <v>24</v>
      </c>
      <c r="F135" s="17"/>
      <c r="G135" s="17"/>
      <c r="H135" s="17"/>
      <c r="I135" s="17"/>
      <c r="J135" s="17"/>
      <c r="K135" s="17"/>
      <c r="L135" s="17">
        <v>30</v>
      </c>
      <c r="M135" s="17">
        <v>30</v>
      </c>
      <c r="N135" s="19" t="str">
        <f t="shared" si="5"/>
        <v>Pass</v>
      </c>
      <c r="O135" s="188">
        <v>102</v>
      </c>
      <c r="P135" s="31" t="s">
        <v>120</v>
      </c>
      <c r="Q135" s="36" t="s">
        <v>121</v>
      </c>
    </row>
    <row r="136" spans="1:17" ht="12.75" customHeight="1">
      <c r="A136" s="195">
        <v>43171</v>
      </c>
      <c r="B136" s="17"/>
      <c r="C136" s="17">
        <v>13</v>
      </c>
      <c r="D136" s="17">
        <v>185</v>
      </c>
      <c r="E136" s="17">
        <f t="shared" si="4"/>
        <v>172</v>
      </c>
      <c r="F136" s="17"/>
      <c r="G136" s="17"/>
      <c r="H136" s="17"/>
      <c r="I136" s="17"/>
      <c r="J136" s="17"/>
      <c r="K136" s="17"/>
      <c r="L136" s="17">
        <v>30</v>
      </c>
      <c r="M136" s="17">
        <v>30</v>
      </c>
      <c r="N136" s="19" t="str">
        <f t="shared" si="5"/>
        <v>Fail</v>
      </c>
      <c r="O136" s="188">
        <v>121</v>
      </c>
      <c r="P136" s="31" t="s">
        <v>122</v>
      </c>
      <c r="Q136" s="22" t="s">
        <v>104</v>
      </c>
    </row>
    <row r="137" spans="1:17" ht="12.75" customHeight="1">
      <c r="A137" s="195">
        <v>43171</v>
      </c>
      <c r="B137" s="17"/>
      <c r="C137" s="17">
        <v>9</v>
      </c>
      <c r="D137" s="17">
        <v>68</v>
      </c>
      <c r="E137" s="17">
        <f t="shared" si="4"/>
        <v>59</v>
      </c>
      <c r="F137" s="17"/>
      <c r="G137" s="17"/>
      <c r="H137" s="17"/>
      <c r="I137" s="17"/>
      <c r="J137" s="17"/>
      <c r="K137" s="17"/>
      <c r="L137" s="17">
        <v>30</v>
      </c>
      <c r="M137" s="17">
        <v>30</v>
      </c>
      <c r="N137" s="19" t="str">
        <f t="shared" si="5"/>
        <v>Fail</v>
      </c>
      <c r="O137" s="188">
        <v>121</v>
      </c>
      <c r="P137" s="31" t="s">
        <v>123</v>
      </c>
      <c r="Q137" s="22"/>
    </row>
    <row r="138" spans="1:17" ht="12.75" customHeight="1">
      <c r="A138" s="195">
        <v>43179</v>
      </c>
      <c r="B138" s="17"/>
      <c r="C138" s="17">
        <v>5</v>
      </c>
      <c r="D138" s="17">
        <v>31</v>
      </c>
      <c r="E138" s="17">
        <f t="shared" si="4"/>
        <v>26</v>
      </c>
      <c r="F138" s="17"/>
      <c r="G138" s="17"/>
      <c r="H138" s="17"/>
      <c r="I138" s="17"/>
      <c r="J138" s="17"/>
      <c r="K138" s="17"/>
      <c r="L138" s="17">
        <v>30</v>
      </c>
      <c r="M138" s="17">
        <v>30</v>
      </c>
      <c r="N138" s="19" t="str">
        <f t="shared" si="5"/>
        <v>Pass</v>
      </c>
      <c r="O138" s="188">
        <v>121</v>
      </c>
      <c r="P138" s="31" t="s">
        <v>124</v>
      </c>
      <c r="Q138" s="22" t="s">
        <v>104</v>
      </c>
    </row>
    <row r="139" spans="1:17" ht="12.75" customHeight="1">
      <c r="A139" s="195">
        <v>43187</v>
      </c>
      <c r="B139" s="17"/>
      <c r="C139" s="17">
        <v>8</v>
      </c>
      <c r="D139" s="17">
        <v>24</v>
      </c>
      <c r="E139" s="17">
        <f>IF(((C139="")*AND(D139="")),"",D139-C139)</f>
        <v>16</v>
      </c>
      <c r="F139" s="17"/>
      <c r="G139" s="17"/>
      <c r="H139" s="17"/>
      <c r="I139" s="17"/>
      <c r="J139" s="17"/>
      <c r="K139" s="17"/>
      <c r="L139" s="17">
        <v>30</v>
      </c>
      <c r="M139" s="17">
        <v>30</v>
      </c>
      <c r="N139" s="19" t="str">
        <f>IF(E139="","",IF(E139&lt;=30,"Pass","Fail"))</f>
        <v>Pass</v>
      </c>
      <c r="O139" s="188">
        <v>1335</v>
      </c>
      <c r="P139" s="31" t="s">
        <v>125</v>
      </c>
      <c r="Q139" s="22"/>
    </row>
    <row r="140" spans="1:17" ht="12.75" customHeight="1">
      <c r="A140" s="195">
        <v>43216</v>
      </c>
      <c r="B140" s="17"/>
      <c r="C140" s="17">
        <v>27</v>
      </c>
      <c r="D140" s="17">
        <v>85</v>
      </c>
      <c r="E140" s="17">
        <f>IF(((C140="")*AND(D140="")),"",D140-C140)</f>
        <v>58</v>
      </c>
      <c r="F140" s="17"/>
      <c r="G140" s="17"/>
      <c r="H140" s="17"/>
      <c r="I140" s="17"/>
      <c r="J140" s="17"/>
      <c r="K140" s="17"/>
      <c r="L140" s="17">
        <v>30</v>
      </c>
      <c r="M140" s="17">
        <v>30</v>
      </c>
      <c r="N140" s="19" t="str">
        <f>IF(E140="","",IF(E140&lt;=30,"Pass","Fail"))</f>
        <v>Fail</v>
      </c>
      <c r="O140" s="188" t="s">
        <v>126</v>
      </c>
      <c r="P140" s="31" t="s">
        <v>127</v>
      </c>
      <c r="Q140" s="22"/>
    </row>
    <row r="141" spans="1:17" ht="12.75" customHeight="1">
      <c r="A141" s="195">
        <v>43216</v>
      </c>
      <c r="B141" s="17"/>
      <c r="C141" s="17">
        <v>14</v>
      </c>
      <c r="D141" s="17">
        <v>54</v>
      </c>
      <c r="E141" s="17">
        <f t="shared" si="4"/>
        <v>40</v>
      </c>
      <c r="F141" s="17"/>
      <c r="G141" s="17"/>
      <c r="H141" s="17"/>
      <c r="I141" s="17"/>
      <c r="J141" s="17"/>
      <c r="K141" s="17"/>
      <c r="L141" s="17">
        <v>30</v>
      </c>
      <c r="M141" s="17">
        <v>30</v>
      </c>
      <c r="N141" s="19" t="str">
        <f t="shared" si="5"/>
        <v>Fail</v>
      </c>
      <c r="O141" s="188">
        <v>1159</v>
      </c>
      <c r="P141" s="31" t="s">
        <v>128</v>
      </c>
      <c r="Q141" s="22"/>
    </row>
    <row r="142" spans="1:17" ht="12.75" customHeight="1">
      <c r="A142" s="195">
        <v>43217</v>
      </c>
      <c r="B142" s="17"/>
      <c r="C142" s="17">
        <v>16</v>
      </c>
      <c r="D142" s="17">
        <v>24</v>
      </c>
      <c r="E142" s="17">
        <f>IF(((C142="")*AND(D142="")),"",D142-C142)</f>
        <v>8</v>
      </c>
      <c r="F142" s="17"/>
      <c r="G142" s="17"/>
      <c r="H142" s="17"/>
      <c r="I142" s="17"/>
      <c r="J142" s="17"/>
      <c r="K142" s="17"/>
      <c r="L142" s="17">
        <v>30</v>
      </c>
      <c r="M142" s="17">
        <v>30</v>
      </c>
      <c r="N142" s="19" t="str">
        <f>IF(E142="","",IF(E142&lt;=30,"Pass","Fail"))</f>
        <v>Pass</v>
      </c>
      <c r="O142" s="188">
        <v>121</v>
      </c>
      <c r="P142" s="31" t="s">
        <v>129</v>
      </c>
      <c r="Q142" s="22"/>
    </row>
    <row r="143" spans="1:17" ht="12.75" customHeight="1">
      <c r="A143" s="195">
        <v>43229</v>
      </c>
      <c r="B143" s="17"/>
      <c r="C143" s="17">
        <v>35</v>
      </c>
      <c r="D143" s="17">
        <v>75</v>
      </c>
      <c r="E143" s="17">
        <f t="shared" si="4"/>
        <v>40</v>
      </c>
      <c r="F143" s="17"/>
      <c r="G143" s="17"/>
      <c r="H143" s="17"/>
      <c r="I143" s="17"/>
      <c r="J143" s="17"/>
      <c r="K143" s="17"/>
      <c r="L143" s="17">
        <v>30</v>
      </c>
      <c r="M143" s="17">
        <v>30</v>
      </c>
      <c r="N143" s="19" t="str">
        <f t="shared" si="5"/>
        <v>Fail</v>
      </c>
      <c r="O143" s="188">
        <v>121</v>
      </c>
      <c r="P143" s="31" t="s">
        <v>130</v>
      </c>
      <c r="Q143" s="36" t="s">
        <v>131</v>
      </c>
    </row>
    <row r="144" spans="1:17" ht="12.75" customHeight="1">
      <c r="A144" s="195">
        <v>43229</v>
      </c>
      <c r="B144" s="17"/>
      <c r="C144" s="17">
        <v>14</v>
      </c>
      <c r="D144" s="17">
        <v>18</v>
      </c>
      <c r="E144" s="17">
        <f t="shared" si="4"/>
        <v>4</v>
      </c>
      <c r="F144" s="17"/>
      <c r="G144" s="17"/>
      <c r="H144" s="17"/>
      <c r="I144" s="17"/>
      <c r="J144" s="17"/>
      <c r="K144" s="17"/>
      <c r="L144" s="17">
        <v>30</v>
      </c>
      <c r="M144" s="17">
        <v>30</v>
      </c>
      <c r="N144" s="19" t="str">
        <f t="shared" si="5"/>
        <v>Pass</v>
      </c>
      <c r="O144" s="188">
        <v>121</v>
      </c>
      <c r="P144" s="31" t="s">
        <v>132</v>
      </c>
      <c r="Q144" s="36" t="s">
        <v>131</v>
      </c>
    </row>
    <row r="145" spans="1:17" ht="12.75" customHeight="1">
      <c r="A145" s="195">
        <v>43235</v>
      </c>
      <c r="B145" s="17"/>
      <c r="C145" s="17">
        <v>7</v>
      </c>
      <c r="D145" s="17">
        <v>13</v>
      </c>
      <c r="E145" s="17">
        <f>IF(((C145="")*AND(D145="")),"",D145-C145)</f>
        <v>6</v>
      </c>
      <c r="F145" s="17"/>
      <c r="G145" s="17"/>
      <c r="H145" s="17"/>
      <c r="I145" s="17"/>
      <c r="J145" s="17"/>
      <c r="K145" s="17"/>
      <c r="L145" s="17">
        <v>30</v>
      </c>
      <c r="M145" s="17">
        <v>30</v>
      </c>
      <c r="N145" s="19" t="str">
        <f>IF(E145="","",IF(E145&lt;=30,"Pass","Fail"))</f>
        <v>Pass</v>
      </c>
      <c r="O145" s="188">
        <v>102</v>
      </c>
      <c r="P145" s="31" t="s">
        <v>133</v>
      </c>
      <c r="Q145" s="36" t="s">
        <v>131</v>
      </c>
    </row>
    <row r="146" spans="1:17" ht="12.75" customHeight="1">
      <c r="A146" s="195">
        <v>43241</v>
      </c>
      <c r="B146" s="17"/>
      <c r="C146" s="17">
        <v>25</v>
      </c>
      <c r="D146" s="17">
        <v>96</v>
      </c>
      <c r="E146" s="17">
        <f t="shared" si="4"/>
        <v>71</v>
      </c>
      <c r="F146" s="17"/>
      <c r="G146" s="17"/>
      <c r="H146" s="17"/>
      <c r="I146" s="17"/>
      <c r="J146" s="17"/>
      <c r="K146" s="17"/>
      <c r="L146" s="17">
        <v>30</v>
      </c>
      <c r="M146" s="17">
        <v>30</v>
      </c>
      <c r="N146" s="19" t="str">
        <f t="shared" si="5"/>
        <v>Fail</v>
      </c>
      <c r="O146" s="188">
        <v>121</v>
      </c>
      <c r="P146" s="31" t="s">
        <v>134</v>
      </c>
      <c r="Q146" s="36" t="s">
        <v>131</v>
      </c>
    </row>
    <row r="147" spans="1:17" ht="12.75" customHeight="1">
      <c r="A147" s="195">
        <v>43241</v>
      </c>
      <c r="B147" s="17"/>
      <c r="C147" s="17">
        <v>16</v>
      </c>
      <c r="D147" s="17">
        <v>13</v>
      </c>
      <c r="E147" s="17">
        <f t="shared" si="4"/>
        <v>-3</v>
      </c>
      <c r="F147" s="17"/>
      <c r="G147" s="17"/>
      <c r="H147" s="17"/>
      <c r="I147" s="17"/>
      <c r="J147" s="17"/>
      <c r="K147" s="17"/>
      <c r="L147" s="17">
        <v>30</v>
      </c>
      <c r="M147" s="17">
        <v>30</v>
      </c>
      <c r="N147" s="19" t="str">
        <f t="shared" si="5"/>
        <v>Pass</v>
      </c>
      <c r="O147" s="188">
        <v>121</v>
      </c>
      <c r="P147" s="31" t="s">
        <v>135</v>
      </c>
      <c r="Q147" s="36" t="s">
        <v>131</v>
      </c>
    </row>
    <row r="148" spans="1:17" ht="12.75" customHeight="1">
      <c r="A148" s="195">
        <v>43251</v>
      </c>
      <c r="B148" s="17"/>
      <c r="C148" s="17">
        <v>2</v>
      </c>
      <c r="D148" s="17">
        <v>159</v>
      </c>
      <c r="E148" s="17">
        <f t="shared" si="4"/>
        <v>157</v>
      </c>
      <c r="F148" s="17"/>
      <c r="G148" s="17"/>
      <c r="H148" s="17"/>
      <c r="I148" s="17"/>
      <c r="J148" s="17"/>
      <c r="K148" s="17"/>
      <c r="L148" s="17">
        <v>30</v>
      </c>
      <c r="M148" s="17">
        <v>30</v>
      </c>
      <c r="N148" s="19" t="str">
        <f t="shared" si="5"/>
        <v>Fail</v>
      </c>
      <c r="O148" s="188">
        <v>1335</v>
      </c>
      <c r="P148" s="31" t="s">
        <v>136</v>
      </c>
      <c r="Q148" s="22"/>
    </row>
    <row r="149" spans="1:17" ht="12.75" customHeight="1">
      <c r="A149" s="195">
        <v>43251</v>
      </c>
      <c r="B149" s="17"/>
      <c r="C149" s="17">
        <v>7</v>
      </c>
      <c r="D149" s="17">
        <v>8</v>
      </c>
      <c r="E149" s="17">
        <f t="shared" si="4"/>
        <v>1</v>
      </c>
      <c r="F149" s="17"/>
      <c r="G149" s="17"/>
      <c r="H149" s="17"/>
      <c r="I149" s="17"/>
      <c r="J149" s="17"/>
      <c r="K149" s="17"/>
      <c r="L149" s="17">
        <v>30</v>
      </c>
      <c r="M149" s="17">
        <v>30</v>
      </c>
      <c r="N149" s="19" t="str">
        <f t="shared" si="5"/>
        <v>Pass</v>
      </c>
      <c r="O149" s="188">
        <v>1335</v>
      </c>
      <c r="P149" s="31" t="s">
        <v>137</v>
      </c>
      <c r="Q149" s="22"/>
    </row>
    <row r="150" spans="1:17" ht="12.75" customHeight="1">
      <c r="A150" s="195">
        <v>43255</v>
      </c>
      <c r="B150" s="17"/>
      <c r="C150" s="17">
        <v>6</v>
      </c>
      <c r="D150" s="17">
        <v>17</v>
      </c>
      <c r="E150" s="17">
        <f t="shared" si="4"/>
        <v>11</v>
      </c>
      <c r="F150" s="17"/>
      <c r="G150" s="17"/>
      <c r="H150" s="17"/>
      <c r="I150" s="17"/>
      <c r="J150" s="17"/>
      <c r="K150" s="17"/>
      <c r="L150" s="17">
        <v>30</v>
      </c>
      <c r="M150" s="17">
        <v>30</v>
      </c>
      <c r="N150" s="19" t="str">
        <f t="shared" si="5"/>
        <v>Pass</v>
      </c>
      <c r="O150" s="188">
        <v>121</v>
      </c>
      <c r="P150" s="31" t="s">
        <v>138</v>
      </c>
      <c r="Q150" s="22"/>
    </row>
    <row r="151" spans="1:17" ht="12.75" customHeight="1">
      <c r="A151" s="195">
        <v>43258</v>
      </c>
      <c r="B151" s="17"/>
      <c r="C151" s="17">
        <v>14</v>
      </c>
      <c r="D151" s="17">
        <v>40</v>
      </c>
      <c r="E151" s="17">
        <f t="shared" si="4"/>
        <v>26</v>
      </c>
      <c r="F151" s="17"/>
      <c r="G151" s="17"/>
      <c r="H151" s="17"/>
      <c r="I151" s="17"/>
      <c r="J151" s="17"/>
      <c r="K151" s="17"/>
      <c r="L151" s="17">
        <v>30</v>
      </c>
      <c r="M151" s="17">
        <v>30</v>
      </c>
      <c r="N151" s="19" t="str">
        <f t="shared" si="5"/>
        <v>Pass</v>
      </c>
      <c r="O151" s="188">
        <v>1428</v>
      </c>
      <c r="P151" s="31" t="s">
        <v>139</v>
      </c>
      <c r="Q151" s="22"/>
    </row>
    <row r="152" spans="1:17" ht="12.75" customHeight="1">
      <c r="A152" s="195">
        <v>43271</v>
      </c>
      <c r="B152" s="17"/>
      <c r="C152" s="17">
        <v>0</v>
      </c>
      <c r="D152" s="17">
        <v>54</v>
      </c>
      <c r="E152" s="17">
        <f t="shared" si="4"/>
        <v>54</v>
      </c>
      <c r="F152" s="17"/>
      <c r="G152" s="17"/>
      <c r="H152" s="17"/>
      <c r="I152" s="17"/>
      <c r="J152" s="17"/>
      <c r="K152" s="17"/>
      <c r="L152" s="17">
        <v>30</v>
      </c>
      <c r="M152" s="17">
        <v>30</v>
      </c>
      <c r="N152" s="19" t="str">
        <f t="shared" si="5"/>
        <v>Fail</v>
      </c>
      <c r="O152" s="188">
        <v>1159</v>
      </c>
      <c r="P152" s="31" t="s">
        <v>140</v>
      </c>
      <c r="Q152" s="36" t="s">
        <v>141</v>
      </c>
    </row>
    <row r="153" spans="1:17" ht="12.75" customHeight="1">
      <c r="A153" s="195">
        <v>43271</v>
      </c>
      <c r="B153" s="17"/>
      <c r="C153" s="17">
        <v>3</v>
      </c>
      <c r="D153" s="17">
        <v>14</v>
      </c>
      <c r="E153" s="17">
        <f t="shared" si="4"/>
        <v>11</v>
      </c>
      <c r="F153" s="17"/>
      <c r="G153" s="17"/>
      <c r="H153" s="17"/>
      <c r="I153" s="17"/>
      <c r="J153" s="17"/>
      <c r="K153" s="17"/>
      <c r="L153" s="17">
        <v>30</v>
      </c>
      <c r="M153" s="17">
        <v>30</v>
      </c>
      <c r="N153" s="19" t="str">
        <f t="shared" si="5"/>
        <v>Pass</v>
      </c>
      <c r="O153" s="188">
        <v>1159</v>
      </c>
      <c r="P153" s="31" t="s">
        <v>142</v>
      </c>
      <c r="Q153" s="22"/>
    </row>
    <row r="154" spans="1:17" ht="12.75" customHeight="1">
      <c r="A154" s="195">
        <v>43285</v>
      </c>
      <c r="B154" s="17"/>
      <c r="C154" s="17">
        <v>22</v>
      </c>
      <c r="D154" s="17">
        <v>31</v>
      </c>
      <c r="E154" s="17">
        <f t="shared" si="4"/>
        <v>9</v>
      </c>
      <c r="F154" s="17"/>
      <c r="G154" s="17"/>
      <c r="H154" s="17"/>
      <c r="I154" s="17"/>
      <c r="J154" s="17"/>
      <c r="K154" s="17"/>
      <c r="L154" s="17">
        <v>30</v>
      </c>
      <c r="M154" s="17">
        <v>30</v>
      </c>
      <c r="N154" s="19" t="str">
        <f t="shared" si="5"/>
        <v>Pass</v>
      </c>
      <c r="O154" s="188">
        <v>1159</v>
      </c>
      <c r="P154" s="31" t="s">
        <v>143</v>
      </c>
      <c r="Q154" s="22"/>
    </row>
    <row r="155" spans="1:17" ht="12.75" customHeight="1">
      <c r="A155" s="195">
        <v>43294</v>
      </c>
      <c r="B155" s="17"/>
      <c r="C155" s="17">
        <v>12</v>
      </c>
      <c r="D155" s="17">
        <v>24</v>
      </c>
      <c r="E155" s="17">
        <f t="shared" si="4"/>
        <v>12</v>
      </c>
      <c r="F155" s="17"/>
      <c r="G155" s="17"/>
      <c r="H155" s="17"/>
      <c r="I155" s="17"/>
      <c r="J155" s="17"/>
      <c r="K155" s="17"/>
      <c r="L155" s="17">
        <v>30</v>
      </c>
      <c r="M155" s="17">
        <v>30</v>
      </c>
      <c r="N155" s="19" t="str">
        <f t="shared" si="5"/>
        <v>Pass</v>
      </c>
      <c r="O155" s="188">
        <v>1335</v>
      </c>
      <c r="P155" s="31" t="s">
        <v>144</v>
      </c>
      <c r="Q155" s="22"/>
    </row>
    <row r="156" spans="1:17" ht="12.75" customHeight="1">
      <c r="A156" s="195">
        <v>43296</v>
      </c>
      <c r="B156" s="17"/>
      <c r="C156" s="17">
        <v>15</v>
      </c>
      <c r="D156" s="17">
        <v>82</v>
      </c>
      <c r="E156" s="17">
        <f t="shared" si="4"/>
        <v>67</v>
      </c>
      <c r="F156" s="17"/>
      <c r="G156" s="17"/>
      <c r="H156" s="17"/>
      <c r="I156" s="17"/>
      <c r="J156" s="17"/>
      <c r="K156" s="17"/>
      <c r="L156" s="17">
        <v>30</v>
      </c>
      <c r="M156" s="17">
        <v>30</v>
      </c>
      <c r="N156" s="19" t="str">
        <f t="shared" si="5"/>
        <v>Fail</v>
      </c>
      <c r="O156" s="188">
        <v>74</v>
      </c>
      <c r="P156" s="31"/>
      <c r="Q156" s="36" t="s">
        <v>145</v>
      </c>
    </row>
    <row r="157" spans="1:17" ht="12.75" customHeight="1">
      <c r="A157" s="195">
        <v>43297</v>
      </c>
      <c r="B157" s="17"/>
      <c r="C157" s="17">
        <v>17</v>
      </c>
      <c r="D157" s="17">
        <v>33</v>
      </c>
      <c r="E157" s="17">
        <f t="shared" si="4"/>
        <v>16</v>
      </c>
      <c r="F157" s="17"/>
      <c r="G157" s="17"/>
      <c r="H157" s="17"/>
      <c r="I157" s="17"/>
      <c r="J157" s="17"/>
      <c r="K157" s="17"/>
      <c r="L157" s="17">
        <v>30</v>
      </c>
      <c r="M157" s="17">
        <v>30</v>
      </c>
      <c r="N157" s="19" t="str">
        <f t="shared" si="5"/>
        <v>Pass</v>
      </c>
      <c r="O157" s="188">
        <v>1159</v>
      </c>
      <c r="P157" s="31" t="s">
        <v>146</v>
      </c>
      <c r="Q157" s="36" t="s">
        <v>145</v>
      </c>
    </row>
    <row r="158" spans="1:17" ht="12.75" customHeight="1">
      <c r="A158" s="195">
        <v>43306</v>
      </c>
      <c r="B158" s="17"/>
      <c r="C158" s="17">
        <v>29</v>
      </c>
      <c r="D158" s="17">
        <v>14</v>
      </c>
      <c r="E158" s="17">
        <f t="shared" si="4"/>
        <v>-15</v>
      </c>
      <c r="F158" s="17"/>
      <c r="G158" s="17"/>
      <c r="H158" s="17"/>
      <c r="I158" s="17"/>
      <c r="J158" s="17"/>
      <c r="K158" s="17"/>
      <c r="L158" s="17">
        <v>30</v>
      </c>
      <c r="M158" s="17">
        <v>30</v>
      </c>
      <c r="N158" s="19" t="str">
        <f t="shared" si="5"/>
        <v>Pass</v>
      </c>
      <c r="O158" s="188">
        <v>121</v>
      </c>
      <c r="P158" s="31" t="s">
        <v>147</v>
      </c>
      <c r="Q158" s="22"/>
    </row>
    <row r="159" spans="1:17" ht="12.75" customHeight="1">
      <c r="A159" s="195">
        <v>43307</v>
      </c>
      <c r="B159" s="17"/>
      <c r="C159" s="17">
        <v>16</v>
      </c>
      <c r="D159" s="17">
        <v>36</v>
      </c>
      <c r="E159" s="17">
        <f t="shared" si="4"/>
        <v>20</v>
      </c>
      <c r="F159" s="17"/>
      <c r="G159" s="17"/>
      <c r="H159" s="17"/>
      <c r="I159" s="17"/>
      <c r="J159" s="17"/>
      <c r="K159" s="17"/>
      <c r="L159" s="17">
        <v>30</v>
      </c>
      <c r="M159" s="17">
        <v>30</v>
      </c>
      <c r="N159" s="19" t="str">
        <f t="shared" si="5"/>
        <v>Pass</v>
      </c>
      <c r="O159" s="188">
        <v>121</v>
      </c>
      <c r="P159" s="31" t="s">
        <v>148</v>
      </c>
      <c r="Q159" s="22"/>
    </row>
    <row r="160" spans="1:17" ht="12.75" customHeight="1">
      <c r="A160" s="195">
        <v>43311</v>
      </c>
      <c r="B160" s="17"/>
      <c r="C160" s="17">
        <v>18</v>
      </c>
      <c r="D160" s="17">
        <v>41</v>
      </c>
      <c r="E160" s="17">
        <f t="shared" ref="E160:E223" si="6">IF(((C160="")*AND(D160="")),"",D160-C160)</f>
        <v>23</v>
      </c>
      <c r="F160" s="17"/>
      <c r="G160" s="17"/>
      <c r="H160" s="17"/>
      <c r="I160" s="17"/>
      <c r="J160" s="17"/>
      <c r="K160" s="17"/>
      <c r="L160" s="17">
        <v>30</v>
      </c>
      <c r="M160" s="17">
        <v>30</v>
      </c>
      <c r="N160" s="19" t="str">
        <f t="shared" ref="N160:N223" si="7">IF(E160="","",IF(E160&lt;=30,"Pass","Fail"))</f>
        <v>Pass</v>
      </c>
      <c r="O160" s="188">
        <v>1340</v>
      </c>
      <c r="P160" s="31"/>
      <c r="Q160" s="22"/>
    </row>
    <row r="161" spans="1:17" ht="12.75" customHeight="1">
      <c r="A161" s="195">
        <v>43328</v>
      </c>
      <c r="B161" s="17"/>
      <c r="C161" s="17">
        <v>7</v>
      </c>
      <c r="D161" s="17">
        <v>12</v>
      </c>
      <c r="E161" s="17">
        <f t="shared" si="6"/>
        <v>5</v>
      </c>
      <c r="F161" s="17"/>
      <c r="G161" s="17"/>
      <c r="H161" s="17"/>
      <c r="I161" s="17"/>
      <c r="J161" s="17"/>
      <c r="K161" s="17"/>
      <c r="L161" s="17">
        <v>30</v>
      </c>
      <c r="M161" s="17">
        <v>30</v>
      </c>
      <c r="N161" s="19" t="str">
        <f t="shared" si="7"/>
        <v>Pass</v>
      </c>
      <c r="O161" s="188">
        <v>1159</v>
      </c>
      <c r="P161" s="31" t="s">
        <v>149</v>
      </c>
      <c r="Q161" s="22"/>
    </row>
    <row r="162" spans="1:17" ht="12.75" customHeight="1">
      <c r="A162" s="195">
        <v>43336</v>
      </c>
      <c r="B162" s="17"/>
      <c r="C162" s="17">
        <v>29</v>
      </c>
      <c r="D162" s="17">
        <v>15</v>
      </c>
      <c r="E162" s="17">
        <f t="shared" si="6"/>
        <v>-14</v>
      </c>
      <c r="F162" s="17"/>
      <c r="G162" s="17"/>
      <c r="H162" s="17"/>
      <c r="I162" s="17"/>
      <c r="J162" s="17"/>
      <c r="K162" s="17"/>
      <c r="L162" s="17">
        <v>30</v>
      </c>
      <c r="M162" s="17">
        <v>30</v>
      </c>
      <c r="N162" s="19" t="str">
        <f t="shared" si="7"/>
        <v>Pass</v>
      </c>
      <c r="O162" s="188">
        <v>1159</v>
      </c>
      <c r="P162" s="31" t="s">
        <v>150</v>
      </c>
      <c r="Q162" s="22"/>
    </row>
    <row r="163" spans="1:17" ht="12.75" customHeight="1">
      <c r="A163" s="195">
        <v>43347</v>
      </c>
      <c r="B163" s="17"/>
      <c r="C163" s="17">
        <v>40</v>
      </c>
      <c r="D163" s="17">
        <v>32</v>
      </c>
      <c r="E163" s="17">
        <f t="shared" si="6"/>
        <v>-8</v>
      </c>
      <c r="F163" s="17"/>
      <c r="G163" s="17"/>
      <c r="H163" s="17"/>
      <c r="I163" s="17"/>
      <c r="J163" s="17"/>
      <c r="K163" s="17"/>
      <c r="L163" s="17">
        <v>30</v>
      </c>
      <c r="M163" s="17">
        <v>30</v>
      </c>
      <c r="N163" s="19" t="str">
        <f t="shared" si="7"/>
        <v>Pass</v>
      </c>
      <c r="O163" s="188">
        <v>1335</v>
      </c>
      <c r="P163" s="31" t="s">
        <v>151</v>
      </c>
      <c r="Q163" s="22"/>
    </row>
    <row r="164" spans="1:17" ht="12.75" customHeight="1">
      <c r="A164" s="195">
        <v>43354</v>
      </c>
      <c r="B164" s="17"/>
      <c r="C164" s="17">
        <v>29</v>
      </c>
      <c r="D164" s="17">
        <v>51</v>
      </c>
      <c r="E164" s="17">
        <f t="shared" si="6"/>
        <v>22</v>
      </c>
      <c r="F164" s="17"/>
      <c r="G164" s="17"/>
      <c r="H164" s="17"/>
      <c r="I164" s="17"/>
      <c r="J164" s="17"/>
      <c r="K164" s="17"/>
      <c r="L164" s="17">
        <v>30</v>
      </c>
      <c r="M164" s="17">
        <v>30</v>
      </c>
      <c r="N164" s="19" t="str">
        <f t="shared" si="7"/>
        <v>Pass</v>
      </c>
      <c r="O164" s="188">
        <v>1340</v>
      </c>
      <c r="P164" s="31"/>
      <c r="Q164" s="22"/>
    </row>
    <row r="165" spans="1:17" ht="12.75" customHeight="1">
      <c r="A165" s="195">
        <v>43361</v>
      </c>
      <c r="B165" s="17"/>
      <c r="C165" s="17">
        <v>13</v>
      </c>
      <c r="D165" s="17">
        <v>40</v>
      </c>
      <c r="E165" s="17">
        <f t="shared" si="6"/>
        <v>27</v>
      </c>
      <c r="F165" s="17"/>
      <c r="G165" s="17"/>
      <c r="H165" s="17"/>
      <c r="I165" s="17"/>
      <c r="J165" s="17"/>
      <c r="K165" s="17"/>
      <c r="L165" s="17">
        <v>30</v>
      </c>
      <c r="M165" s="17">
        <v>30</v>
      </c>
      <c r="N165" s="19" t="str">
        <f t="shared" si="7"/>
        <v>Pass</v>
      </c>
      <c r="O165" s="188">
        <v>1340</v>
      </c>
      <c r="P165" s="31"/>
      <c r="Q165" s="22"/>
    </row>
    <row r="166" spans="1:17" ht="12.75" customHeight="1">
      <c r="A166" s="195">
        <v>43368</v>
      </c>
      <c r="B166" s="17"/>
      <c r="C166" s="17">
        <v>21</v>
      </c>
      <c r="D166" s="17">
        <v>30</v>
      </c>
      <c r="E166" s="17">
        <f t="shared" si="6"/>
        <v>9</v>
      </c>
      <c r="F166" s="17"/>
      <c r="G166" s="17"/>
      <c r="H166" s="17"/>
      <c r="I166" s="17"/>
      <c r="J166" s="17"/>
      <c r="K166" s="17"/>
      <c r="L166" s="17">
        <v>30</v>
      </c>
      <c r="M166" s="17">
        <v>30</v>
      </c>
      <c r="N166" s="19" t="str">
        <f t="shared" si="7"/>
        <v>Pass</v>
      </c>
      <c r="O166" s="188">
        <v>1340</v>
      </c>
      <c r="P166" s="31"/>
      <c r="Q166" s="22"/>
    </row>
    <row r="167" spans="1:17" ht="12.75" customHeight="1">
      <c r="A167" s="195">
        <v>43371</v>
      </c>
      <c r="B167" s="17"/>
      <c r="C167" s="17">
        <v>22</v>
      </c>
      <c r="D167" s="17">
        <v>43</v>
      </c>
      <c r="E167" s="17">
        <f t="shared" si="6"/>
        <v>21</v>
      </c>
      <c r="F167" s="17"/>
      <c r="G167" s="17"/>
      <c r="H167" s="17"/>
      <c r="I167" s="17"/>
      <c r="J167" s="17"/>
      <c r="K167" s="17"/>
      <c r="L167" s="17">
        <v>30</v>
      </c>
      <c r="M167" s="17">
        <v>30</v>
      </c>
      <c r="N167" s="19" t="str">
        <f t="shared" si="7"/>
        <v>Pass</v>
      </c>
      <c r="O167" s="188">
        <v>1340</v>
      </c>
      <c r="P167" s="31"/>
      <c r="Q167" s="22"/>
    </row>
    <row r="168" spans="1:17" ht="12.75" customHeight="1">
      <c r="A168" s="195">
        <v>43378</v>
      </c>
      <c r="B168" s="17"/>
      <c r="C168" s="17">
        <v>21</v>
      </c>
      <c r="D168" s="17">
        <v>22</v>
      </c>
      <c r="E168" s="17">
        <f t="shared" si="6"/>
        <v>1</v>
      </c>
      <c r="F168" s="17"/>
      <c r="G168" s="17"/>
      <c r="H168" s="17"/>
      <c r="I168" s="17"/>
      <c r="J168" s="17"/>
      <c r="K168" s="17"/>
      <c r="L168" s="17">
        <v>30</v>
      </c>
      <c r="M168" s="17">
        <v>30</v>
      </c>
      <c r="N168" s="19" t="str">
        <f t="shared" si="7"/>
        <v>Pass</v>
      </c>
      <c r="O168" s="188">
        <v>1340</v>
      </c>
      <c r="P168" s="31"/>
      <c r="Q168" s="22"/>
    </row>
    <row r="169" spans="1:17" ht="12.75" customHeight="1">
      <c r="A169" s="195">
        <v>43391</v>
      </c>
      <c r="B169" s="17"/>
      <c r="C169" s="17">
        <v>31</v>
      </c>
      <c r="D169" s="17">
        <v>41</v>
      </c>
      <c r="E169" s="17">
        <f t="shared" si="6"/>
        <v>10</v>
      </c>
      <c r="F169" s="17"/>
      <c r="G169" s="17"/>
      <c r="H169" s="17"/>
      <c r="I169" s="17"/>
      <c r="J169" s="17"/>
      <c r="K169" s="17"/>
      <c r="L169" s="17">
        <v>30</v>
      </c>
      <c r="M169" s="17">
        <v>30</v>
      </c>
      <c r="N169" s="19" t="str">
        <f t="shared" si="7"/>
        <v>Pass</v>
      </c>
      <c r="O169" s="188">
        <v>1159</v>
      </c>
      <c r="P169" s="31" t="s">
        <v>152</v>
      </c>
      <c r="Q169" s="22"/>
    </row>
    <row r="170" spans="1:17" ht="12.75" customHeight="1">
      <c r="A170" s="195">
        <v>43396</v>
      </c>
      <c r="B170" s="17"/>
      <c r="C170" s="17">
        <v>14</v>
      </c>
      <c r="D170" s="17">
        <v>20</v>
      </c>
      <c r="E170" s="17">
        <f t="shared" si="6"/>
        <v>6</v>
      </c>
      <c r="F170" s="17"/>
      <c r="G170" s="17"/>
      <c r="H170" s="17"/>
      <c r="I170" s="17"/>
      <c r="J170" s="17"/>
      <c r="K170" s="17"/>
      <c r="L170" s="17">
        <v>30</v>
      </c>
      <c r="M170" s="17">
        <v>30</v>
      </c>
      <c r="N170" s="19" t="str">
        <f t="shared" si="7"/>
        <v>Pass</v>
      </c>
      <c r="O170" s="188">
        <v>1159</v>
      </c>
      <c r="P170" s="31" t="s">
        <v>153</v>
      </c>
      <c r="Q170" s="22"/>
    </row>
    <row r="171" spans="1:17" ht="12.75" customHeight="1">
      <c r="A171" s="195">
        <v>43404</v>
      </c>
      <c r="B171" s="17"/>
      <c r="C171" s="17">
        <v>21</v>
      </c>
      <c r="D171" s="17">
        <v>31</v>
      </c>
      <c r="E171" s="17">
        <f t="shared" si="6"/>
        <v>10</v>
      </c>
      <c r="F171" s="17"/>
      <c r="G171" s="17"/>
      <c r="H171" s="17"/>
      <c r="I171" s="17"/>
      <c r="J171" s="17"/>
      <c r="K171" s="17"/>
      <c r="L171" s="17">
        <v>30</v>
      </c>
      <c r="M171" s="17">
        <v>30</v>
      </c>
      <c r="N171" s="19" t="str">
        <f t="shared" si="7"/>
        <v>Pass</v>
      </c>
      <c r="O171" s="188">
        <v>64</v>
      </c>
      <c r="P171" s="31"/>
      <c r="Q171" s="22"/>
    </row>
    <row r="172" spans="1:17" ht="12.75" customHeight="1">
      <c r="A172" s="195">
        <v>43420</v>
      </c>
      <c r="B172" s="17"/>
      <c r="C172" s="17">
        <v>51</v>
      </c>
      <c r="D172" s="17">
        <v>35</v>
      </c>
      <c r="E172" s="17">
        <f t="shared" si="6"/>
        <v>-16</v>
      </c>
      <c r="F172" s="17"/>
      <c r="G172" s="17"/>
      <c r="H172" s="17"/>
      <c r="I172" s="17"/>
      <c r="J172" s="17"/>
      <c r="K172" s="17"/>
      <c r="L172" s="17">
        <v>30</v>
      </c>
      <c r="M172" s="17">
        <v>30</v>
      </c>
      <c r="N172" s="19" t="str">
        <f t="shared" si="7"/>
        <v>Pass</v>
      </c>
      <c r="O172" s="188">
        <v>74</v>
      </c>
      <c r="P172" s="31"/>
      <c r="Q172" s="22"/>
    </row>
    <row r="173" spans="1:17" ht="12.75" customHeight="1">
      <c r="A173" s="195">
        <v>43420</v>
      </c>
      <c r="B173" s="17"/>
      <c r="C173" s="17">
        <v>26</v>
      </c>
      <c r="D173" s="17">
        <v>12</v>
      </c>
      <c r="E173" s="17">
        <f t="shared" si="6"/>
        <v>-14</v>
      </c>
      <c r="F173" s="17"/>
      <c r="G173" s="17"/>
      <c r="H173" s="17"/>
      <c r="I173" s="17"/>
      <c r="J173" s="17"/>
      <c r="K173" s="17"/>
      <c r="L173" s="17">
        <v>30</v>
      </c>
      <c r="M173" s="17">
        <v>30</v>
      </c>
      <c r="N173" s="19" t="str">
        <f t="shared" si="7"/>
        <v>Pass</v>
      </c>
      <c r="O173" s="188">
        <v>1159</v>
      </c>
      <c r="P173" s="30" t="s">
        <v>65</v>
      </c>
      <c r="Q173" s="22"/>
    </row>
    <row r="174" spans="1:17" ht="12.75" customHeight="1">
      <c r="A174" s="195">
        <v>43460</v>
      </c>
      <c r="B174" s="17"/>
      <c r="C174" s="17">
        <v>21</v>
      </c>
      <c r="D174" s="17">
        <v>58</v>
      </c>
      <c r="E174" s="17">
        <f t="shared" si="6"/>
        <v>37</v>
      </c>
      <c r="F174" s="17"/>
      <c r="G174" s="17"/>
      <c r="H174" s="17"/>
      <c r="I174" s="17"/>
      <c r="J174" s="17"/>
      <c r="K174" s="17"/>
      <c r="L174" s="17">
        <v>30</v>
      </c>
      <c r="M174" s="17">
        <v>30</v>
      </c>
      <c r="N174" s="19" t="str">
        <f t="shared" si="7"/>
        <v>Fail</v>
      </c>
      <c r="O174" s="188">
        <v>1340</v>
      </c>
      <c r="P174" s="31" t="s">
        <v>27</v>
      </c>
      <c r="Q174" s="22"/>
    </row>
    <row r="175" spans="1:17" ht="12.75" customHeight="1">
      <c r="A175" s="195">
        <v>43460</v>
      </c>
      <c r="B175" s="17"/>
      <c r="C175" s="17">
        <v>24</v>
      </c>
      <c r="D175" s="17">
        <v>20</v>
      </c>
      <c r="E175" s="17">
        <f t="shared" si="6"/>
        <v>-4</v>
      </c>
      <c r="F175" s="17"/>
      <c r="G175" s="17"/>
      <c r="H175" s="17"/>
      <c r="I175" s="17"/>
      <c r="J175" s="17"/>
      <c r="K175" s="17"/>
      <c r="L175" s="17">
        <v>30</v>
      </c>
      <c r="M175" s="17">
        <v>30</v>
      </c>
      <c r="N175" s="19" t="str">
        <f t="shared" si="7"/>
        <v>Pass</v>
      </c>
      <c r="O175" s="188">
        <v>1340</v>
      </c>
      <c r="P175" s="31" t="s">
        <v>27</v>
      </c>
      <c r="Q175" s="22"/>
    </row>
    <row r="176" spans="1:17" customFormat="1" ht="12.75" customHeight="1">
      <c r="A176" s="263">
        <v>43476</v>
      </c>
      <c r="B176" s="261"/>
      <c r="C176" s="261">
        <v>44</v>
      </c>
      <c r="D176" s="261">
        <v>42</v>
      </c>
      <c r="E176" s="261">
        <f t="shared" si="6"/>
        <v>-2</v>
      </c>
      <c r="F176" s="261"/>
      <c r="G176" s="261"/>
      <c r="H176" s="261"/>
      <c r="I176" s="261"/>
      <c r="J176" s="261"/>
      <c r="K176" s="261"/>
      <c r="L176" s="261">
        <v>30</v>
      </c>
      <c r="M176" s="261">
        <v>30</v>
      </c>
      <c r="N176" s="257" t="str">
        <f t="shared" si="7"/>
        <v>Pass</v>
      </c>
      <c r="O176" s="264">
        <v>1335</v>
      </c>
      <c r="P176" s="258" t="s">
        <v>27</v>
      </c>
      <c r="Q176" s="262"/>
    </row>
    <row r="177" spans="1:17" customFormat="1" ht="12.75" customHeight="1">
      <c r="A177" s="263">
        <v>43480</v>
      </c>
      <c r="B177" s="261"/>
      <c r="C177" s="261">
        <v>21</v>
      </c>
      <c r="D177" s="261">
        <v>1043</v>
      </c>
      <c r="E177" s="261">
        <f t="shared" si="6"/>
        <v>1022</v>
      </c>
      <c r="F177" s="261"/>
      <c r="G177" s="261"/>
      <c r="H177" s="261"/>
      <c r="I177" s="261"/>
      <c r="J177" s="261"/>
      <c r="K177" s="261"/>
      <c r="L177" s="261">
        <v>30</v>
      </c>
      <c r="M177" s="261">
        <v>30</v>
      </c>
      <c r="N177" s="257" t="str">
        <f t="shared" si="7"/>
        <v>Fail</v>
      </c>
      <c r="O177" s="264">
        <v>74</v>
      </c>
      <c r="P177" s="258" t="s">
        <v>27</v>
      </c>
      <c r="Q177" s="259" t="s">
        <v>309</v>
      </c>
    </row>
    <row r="178" spans="1:17" customFormat="1" ht="12.75" customHeight="1">
      <c r="A178" s="263">
        <v>43481</v>
      </c>
      <c r="B178" s="261"/>
      <c r="C178" s="261">
        <v>43</v>
      </c>
      <c r="D178" s="261">
        <v>23</v>
      </c>
      <c r="E178" s="261">
        <f t="shared" si="6"/>
        <v>-20</v>
      </c>
      <c r="F178" s="261"/>
      <c r="G178" s="261"/>
      <c r="H178" s="261"/>
      <c r="I178" s="261"/>
      <c r="J178" s="261"/>
      <c r="K178" s="261"/>
      <c r="L178" s="261">
        <v>30</v>
      </c>
      <c r="M178" s="261">
        <v>30</v>
      </c>
      <c r="N178" s="257" t="str">
        <f t="shared" si="7"/>
        <v>Pass</v>
      </c>
      <c r="O178" s="264">
        <v>1340</v>
      </c>
      <c r="P178" s="258" t="s">
        <v>27</v>
      </c>
      <c r="Q178" s="262"/>
    </row>
    <row r="179" spans="1:17" customFormat="1" ht="12.75" customHeight="1">
      <c r="A179" s="263">
        <v>43481</v>
      </c>
      <c r="B179" s="261"/>
      <c r="C179" s="261">
        <v>11</v>
      </c>
      <c r="D179" s="261">
        <v>39</v>
      </c>
      <c r="E179" s="261">
        <f t="shared" si="6"/>
        <v>28</v>
      </c>
      <c r="F179" s="261"/>
      <c r="G179" s="261"/>
      <c r="H179" s="261"/>
      <c r="I179" s="261"/>
      <c r="J179" s="261"/>
      <c r="K179" s="261"/>
      <c r="L179" s="261">
        <v>30</v>
      </c>
      <c r="M179" s="261">
        <v>30</v>
      </c>
      <c r="N179" s="257" t="str">
        <f t="shared" si="7"/>
        <v>Pass</v>
      </c>
      <c r="O179" s="264">
        <v>1340</v>
      </c>
      <c r="P179" s="258" t="s">
        <v>27</v>
      </c>
      <c r="Q179" s="262"/>
    </row>
    <row r="180" spans="1:17" customFormat="1" ht="12.75" customHeight="1">
      <c r="A180" s="263">
        <v>43488</v>
      </c>
      <c r="B180" s="261"/>
      <c r="C180" s="261">
        <v>36</v>
      </c>
      <c r="D180" s="261">
        <v>29</v>
      </c>
      <c r="E180" s="261">
        <f>IF(((C180="")*AND(D180="")),"",D180-C180)</f>
        <v>-7</v>
      </c>
      <c r="F180" s="261"/>
      <c r="G180" s="261"/>
      <c r="H180" s="261"/>
      <c r="I180" s="261"/>
      <c r="J180" s="261"/>
      <c r="K180" s="261"/>
      <c r="L180" s="261">
        <v>30</v>
      </c>
      <c r="M180" s="261">
        <v>30</v>
      </c>
      <c r="N180" s="257" t="str">
        <f>IF(E180="","",IF(E180&lt;=30,"Pass","Fail"))</f>
        <v>Pass</v>
      </c>
      <c r="O180" s="264">
        <v>1159</v>
      </c>
      <c r="P180" s="258" t="s">
        <v>310</v>
      </c>
      <c r="Q180" s="262"/>
    </row>
    <row r="181" spans="1:17" customFormat="1" ht="12.75" customHeight="1">
      <c r="A181" s="263">
        <v>43494</v>
      </c>
      <c r="B181" s="261"/>
      <c r="C181" s="261">
        <v>9</v>
      </c>
      <c r="D181" s="261">
        <v>12</v>
      </c>
      <c r="E181" s="261">
        <f t="shared" si="6"/>
        <v>3</v>
      </c>
      <c r="F181" s="261"/>
      <c r="G181" s="261"/>
      <c r="H181" s="261"/>
      <c r="I181" s="261"/>
      <c r="J181" s="261"/>
      <c r="K181" s="261"/>
      <c r="L181" s="261">
        <v>30</v>
      </c>
      <c r="M181" s="261">
        <v>30</v>
      </c>
      <c r="N181" s="257" t="str">
        <f t="shared" si="7"/>
        <v>Pass</v>
      </c>
      <c r="O181" s="264">
        <v>121</v>
      </c>
      <c r="P181" s="258" t="s">
        <v>27</v>
      </c>
      <c r="Q181" s="262"/>
    </row>
    <row r="182" spans="1:17" customFormat="1" ht="12.75" customHeight="1">
      <c r="A182" s="263">
        <v>43494</v>
      </c>
      <c r="B182" s="261"/>
      <c r="C182" s="261">
        <v>12</v>
      </c>
      <c r="D182" s="261">
        <v>15</v>
      </c>
      <c r="E182" s="261">
        <f t="shared" si="6"/>
        <v>3</v>
      </c>
      <c r="F182" s="261"/>
      <c r="G182" s="261"/>
      <c r="H182" s="261"/>
      <c r="I182" s="261"/>
      <c r="J182" s="261"/>
      <c r="K182" s="261"/>
      <c r="L182" s="261">
        <v>30</v>
      </c>
      <c r="M182" s="261">
        <v>30</v>
      </c>
      <c r="N182" s="257" t="str">
        <f t="shared" si="7"/>
        <v>Pass</v>
      </c>
      <c r="O182" s="264">
        <v>121</v>
      </c>
      <c r="P182" s="258" t="s">
        <v>27</v>
      </c>
      <c r="Q182" s="262"/>
    </row>
    <row r="183" spans="1:17" customFormat="1" ht="12.75" customHeight="1">
      <c r="A183" s="263">
        <v>43497</v>
      </c>
      <c r="B183" s="261"/>
      <c r="C183" s="261">
        <v>29</v>
      </c>
      <c r="D183" s="261">
        <v>19</v>
      </c>
      <c r="E183" s="261">
        <f t="shared" si="6"/>
        <v>-10</v>
      </c>
      <c r="F183" s="261"/>
      <c r="G183" s="261"/>
      <c r="H183" s="261"/>
      <c r="I183" s="261"/>
      <c r="J183" s="261"/>
      <c r="K183" s="261"/>
      <c r="L183" s="261">
        <v>30</v>
      </c>
      <c r="M183" s="261">
        <v>30</v>
      </c>
      <c r="N183" s="257" t="str">
        <f t="shared" si="7"/>
        <v>Pass</v>
      </c>
      <c r="O183" s="264">
        <v>121</v>
      </c>
      <c r="P183" s="258" t="s">
        <v>311</v>
      </c>
      <c r="Q183" s="262"/>
    </row>
    <row r="184" spans="1:17" customFormat="1" ht="12.75" customHeight="1">
      <c r="A184" s="263">
        <v>43502</v>
      </c>
      <c r="B184" s="261"/>
      <c r="C184" s="261">
        <v>24</v>
      </c>
      <c r="D184" s="261">
        <v>45</v>
      </c>
      <c r="E184" s="261">
        <f t="shared" si="6"/>
        <v>21</v>
      </c>
      <c r="F184" s="261"/>
      <c r="G184" s="261"/>
      <c r="H184" s="261"/>
      <c r="I184" s="261"/>
      <c r="J184" s="261"/>
      <c r="K184" s="261"/>
      <c r="L184" s="261">
        <v>30</v>
      </c>
      <c r="M184" s="261">
        <v>30</v>
      </c>
      <c r="N184" s="257" t="str">
        <f t="shared" si="7"/>
        <v>Pass</v>
      </c>
      <c r="O184" s="264">
        <v>1340</v>
      </c>
      <c r="P184" s="258" t="s">
        <v>27</v>
      </c>
      <c r="Q184" s="262"/>
    </row>
    <row r="185" spans="1:17" customFormat="1" ht="12.75" customHeight="1">
      <c r="A185" s="263">
        <v>43505</v>
      </c>
      <c r="B185" s="261"/>
      <c r="C185" s="261">
        <v>46</v>
      </c>
      <c r="D185" s="261">
        <v>43</v>
      </c>
      <c r="E185" s="261">
        <f t="shared" si="6"/>
        <v>-3</v>
      </c>
      <c r="F185" s="261"/>
      <c r="G185" s="261"/>
      <c r="H185" s="261"/>
      <c r="I185" s="261"/>
      <c r="J185" s="261"/>
      <c r="K185" s="261"/>
      <c r="L185" s="261">
        <v>30</v>
      </c>
      <c r="M185" s="261">
        <v>30</v>
      </c>
      <c r="N185" s="257" t="str">
        <f t="shared" si="7"/>
        <v>Pass</v>
      </c>
      <c r="O185" s="264">
        <v>64</v>
      </c>
      <c r="P185" s="258" t="s">
        <v>27</v>
      </c>
      <c r="Q185" s="262"/>
    </row>
    <row r="186" spans="1:17" customFormat="1" ht="12.75" customHeight="1">
      <c r="A186" s="263">
        <v>43508</v>
      </c>
      <c r="B186" s="261"/>
      <c r="C186" s="261">
        <v>26</v>
      </c>
      <c r="D186" s="261">
        <v>20</v>
      </c>
      <c r="E186" s="261">
        <f t="shared" si="6"/>
        <v>-6</v>
      </c>
      <c r="F186" s="261"/>
      <c r="G186" s="261"/>
      <c r="H186" s="261"/>
      <c r="I186" s="261"/>
      <c r="J186" s="261"/>
      <c r="K186" s="261"/>
      <c r="L186" s="261">
        <v>30</v>
      </c>
      <c r="M186" s="261">
        <v>30</v>
      </c>
      <c r="N186" s="257" t="str">
        <f t="shared" si="7"/>
        <v>Pass</v>
      </c>
      <c r="O186" s="264">
        <v>1340</v>
      </c>
      <c r="P186" s="258" t="s">
        <v>27</v>
      </c>
      <c r="Q186" s="262"/>
    </row>
    <row r="187" spans="1:17" customFormat="1" ht="12.75" customHeight="1">
      <c r="A187" s="263">
        <v>43514</v>
      </c>
      <c r="B187" s="261"/>
      <c r="C187" s="261">
        <v>19</v>
      </c>
      <c r="D187" s="261">
        <v>14</v>
      </c>
      <c r="E187" s="261">
        <f t="shared" si="6"/>
        <v>-5</v>
      </c>
      <c r="F187" s="261"/>
      <c r="G187" s="261"/>
      <c r="H187" s="261"/>
      <c r="I187" s="261"/>
      <c r="J187" s="261"/>
      <c r="K187" s="261"/>
      <c r="L187" s="261">
        <v>30</v>
      </c>
      <c r="M187" s="261">
        <v>30</v>
      </c>
      <c r="N187" s="257" t="str">
        <f t="shared" si="7"/>
        <v>Pass</v>
      </c>
      <c r="O187" s="264">
        <v>1340</v>
      </c>
      <c r="P187" s="258" t="s">
        <v>27</v>
      </c>
      <c r="Q187" s="262"/>
    </row>
    <row r="188" spans="1:17" customFormat="1" ht="12.75" customHeight="1">
      <c r="A188" s="263">
        <v>43517</v>
      </c>
      <c r="B188" s="261"/>
      <c r="C188" s="261">
        <v>65</v>
      </c>
      <c r="D188" s="261">
        <v>51</v>
      </c>
      <c r="E188" s="261">
        <f t="shared" si="6"/>
        <v>-14</v>
      </c>
      <c r="F188" s="261"/>
      <c r="G188" s="261"/>
      <c r="H188" s="261"/>
      <c r="I188" s="261"/>
      <c r="J188" s="261"/>
      <c r="K188" s="261"/>
      <c r="L188" s="261">
        <v>30</v>
      </c>
      <c r="M188" s="261">
        <v>30</v>
      </c>
      <c r="N188" s="257" t="str">
        <f t="shared" si="7"/>
        <v>Pass</v>
      </c>
      <c r="O188" s="264">
        <v>121</v>
      </c>
      <c r="P188" s="258" t="s">
        <v>27</v>
      </c>
      <c r="Q188" s="262"/>
    </row>
    <row r="189" spans="1:17" customFormat="1" ht="12.75" customHeight="1">
      <c r="A189" s="263">
        <v>43517</v>
      </c>
      <c r="B189" s="261"/>
      <c r="C189" s="261">
        <v>50</v>
      </c>
      <c r="D189" s="261">
        <v>46</v>
      </c>
      <c r="E189" s="261">
        <f t="shared" si="6"/>
        <v>-4</v>
      </c>
      <c r="F189" s="261"/>
      <c r="G189" s="261"/>
      <c r="H189" s="261"/>
      <c r="I189" s="261"/>
      <c r="J189" s="261"/>
      <c r="K189" s="261"/>
      <c r="L189" s="261">
        <v>30</v>
      </c>
      <c r="M189" s="261">
        <v>30</v>
      </c>
      <c r="N189" s="257" t="str">
        <f t="shared" si="7"/>
        <v>Pass</v>
      </c>
      <c r="O189" s="264">
        <v>121</v>
      </c>
      <c r="P189" s="258" t="s">
        <v>27</v>
      </c>
      <c r="Q189" s="262"/>
    </row>
    <row r="190" spans="1:17" customFormat="1" ht="12.75" customHeight="1">
      <c r="A190" s="263">
        <v>43521</v>
      </c>
      <c r="B190" s="261"/>
      <c r="C190" s="261">
        <v>16</v>
      </c>
      <c r="D190" s="261">
        <v>17</v>
      </c>
      <c r="E190" s="261">
        <f t="shared" si="6"/>
        <v>1</v>
      </c>
      <c r="F190" s="261"/>
      <c r="G190" s="261"/>
      <c r="H190" s="261"/>
      <c r="I190" s="261"/>
      <c r="J190" s="261"/>
      <c r="K190" s="261"/>
      <c r="L190" s="261">
        <v>30</v>
      </c>
      <c r="M190" s="261">
        <v>30</v>
      </c>
      <c r="N190" s="257" t="str">
        <f t="shared" si="7"/>
        <v>Pass</v>
      </c>
      <c r="O190" s="264">
        <v>1335</v>
      </c>
      <c r="P190" s="258" t="s">
        <v>27</v>
      </c>
      <c r="Q190" s="262"/>
    </row>
    <row r="191" spans="1:17" customFormat="1" ht="12.75" customHeight="1">
      <c r="A191" s="263">
        <v>43524</v>
      </c>
      <c r="B191" s="261"/>
      <c r="C191" s="261">
        <v>17</v>
      </c>
      <c r="D191" s="261">
        <v>29</v>
      </c>
      <c r="E191" s="261">
        <f t="shared" si="6"/>
        <v>12</v>
      </c>
      <c r="F191" s="261"/>
      <c r="G191" s="261"/>
      <c r="H191" s="261"/>
      <c r="I191" s="261"/>
      <c r="J191" s="261"/>
      <c r="K191" s="261"/>
      <c r="L191" s="261">
        <v>30</v>
      </c>
      <c r="M191" s="261">
        <v>30</v>
      </c>
      <c r="N191" s="257" t="str">
        <f t="shared" si="7"/>
        <v>Pass</v>
      </c>
      <c r="O191" s="260" t="s">
        <v>312</v>
      </c>
      <c r="P191" s="258" t="s">
        <v>313</v>
      </c>
      <c r="Q191" s="262"/>
    </row>
    <row r="192" spans="1:17" customFormat="1" ht="12.75" customHeight="1">
      <c r="A192" s="263">
        <v>43528</v>
      </c>
      <c r="B192" s="261"/>
      <c r="C192" s="261">
        <v>17</v>
      </c>
      <c r="D192" s="261">
        <v>26</v>
      </c>
      <c r="E192" s="261">
        <f t="shared" si="6"/>
        <v>9</v>
      </c>
      <c r="F192" s="261"/>
      <c r="G192" s="261"/>
      <c r="H192" s="261"/>
      <c r="I192" s="261"/>
      <c r="J192" s="261"/>
      <c r="K192" s="261"/>
      <c r="L192" s="261">
        <v>30</v>
      </c>
      <c r="M192" s="261">
        <v>30</v>
      </c>
      <c r="N192" s="257" t="str">
        <f t="shared" si="7"/>
        <v>Pass</v>
      </c>
      <c r="O192" s="264">
        <v>74</v>
      </c>
      <c r="P192" s="258"/>
      <c r="Q192" s="262"/>
    </row>
    <row r="193" spans="1:17" customFormat="1" ht="12.75" customHeight="1">
      <c r="A193" s="263">
        <v>43531</v>
      </c>
      <c r="B193" s="261"/>
      <c r="C193" s="261">
        <v>15</v>
      </c>
      <c r="D193" s="261">
        <v>21</v>
      </c>
      <c r="E193" s="261">
        <f t="shared" si="6"/>
        <v>6</v>
      </c>
      <c r="F193" s="261"/>
      <c r="G193" s="261"/>
      <c r="H193" s="261"/>
      <c r="I193" s="261"/>
      <c r="J193" s="261"/>
      <c r="K193" s="261"/>
      <c r="L193" s="261">
        <v>30</v>
      </c>
      <c r="M193" s="261">
        <v>30</v>
      </c>
      <c r="N193" s="257" t="str">
        <f t="shared" si="7"/>
        <v>Pass</v>
      </c>
      <c r="O193" s="264">
        <v>1340</v>
      </c>
      <c r="P193" s="258"/>
      <c r="Q193" s="262"/>
    </row>
    <row r="194" spans="1:17" customFormat="1" ht="12.75" customHeight="1">
      <c r="A194" s="263">
        <v>43535</v>
      </c>
      <c r="B194" s="261"/>
      <c r="C194" s="261">
        <v>17</v>
      </c>
      <c r="D194" s="261">
        <v>7</v>
      </c>
      <c r="E194" s="261">
        <f t="shared" si="6"/>
        <v>-10</v>
      </c>
      <c r="F194" s="261"/>
      <c r="G194" s="261"/>
      <c r="H194" s="261"/>
      <c r="I194" s="261"/>
      <c r="J194" s="261"/>
      <c r="K194" s="261"/>
      <c r="L194" s="261">
        <v>30</v>
      </c>
      <c r="M194" s="261">
        <v>30</v>
      </c>
      <c r="N194" s="257" t="str">
        <f t="shared" si="7"/>
        <v>Pass</v>
      </c>
      <c r="O194" s="264"/>
      <c r="P194" s="258"/>
      <c r="Q194" s="262"/>
    </row>
    <row r="195" spans="1:17" customFormat="1" ht="12.75" customHeight="1">
      <c r="A195" s="263">
        <v>43538</v>
      </c>
      <c r="B195" s="261"/>
      <c r="C195" s="261">
        <v>18</v>
      </c>
      <c r="D195" s="261">
        <v>24</v>
      </c>
      <c r="E195" s="261">
        <f t="shared" si="6"/>
        <v>6</v>
      </c>
      <c r="F195" s="261"/>
      <c r="G195" s="261"/>
      <c r="H195" s="261"/>
      <c r="I195" s="261"/>
      <c r="J195" s="261"/>
      <c r="K195" s="261"/>
      <c r="L195" s="261">
        <v>30</v>
      </c>
      <c r="M195" s="261">
        <v>30</v>
      </c>
      <c r="N195" s="257" t="str">
        <f t="shared" si="7"/>
        <v>Pass</v>
      </c>
      <c r="O195" s="264">
        <v>121</v>
      </c>
      <c r="P195" s="258"/>
      <c r="Q195" s="262"/>
    </row>
    <row r="196" spans="1:17" customFormat="1" ht="12.75" customHeight="1">
      <c r="A196" s="263">
        <v>43546</v>
      </c>
      <c r="B196" s="261"/>
      <c r="C196" s="261">
        <v>23</v>
      </c>
      <c r="D196" s="261">
        <v>20</v>
      </c>
      <c r="E196" s="261">
        <f t="shared" si="6"/>
        <v>-3</v>
      </c>
      <c r="F196" s="261"/>
      <c r="G196" s="261"/>
      <c r="H196" s="261"/>
      <c r="I196" s="261"/>
      <c r="J196" s="261"/>
      <c r="K196" s="261"/>
      <c r="L196" s="261">
        <v>30</v>
      </c>
      <c r="M196" s="261">
        <v>30</v>
      </c>
      <c r="N196" s="257" t="str">
        <f t="shared" si="7"/>
        <v>Pass</v>
      </c>
      <c r="O196" s="264"/>
      <c r="P196" s="258"/>
      <c r="Q196" s="262"/>
    </row>
    <row r="197" spans="1:17" customFormat="1" ht="12.75" customHeight="1">
      <c r="A197" s="263">
        <v>43549</v>
      </c>
      <c r="B197" s="261"/>
      <c r="C197" s="261">
        <v>6</v>
      </c>
      <c r="D197" s="261">
        <v>26</v>
      </c>
      <c r="E197" s="261">
        <f t="shared" si="6"/>
        <v>20</v>
      </c>
      <c r="F197" s="261"/>
      <c r="G197" s="261"/>
      <c r="H197" s="261"/>
      <c r="I197" s="261"/>
      <c r="J197" s="261"/>
      <c r="K197" s="261"/>
      <c r="L197" s="261">
        <v>30</v>
      </c>
      <c r="M197" s="261">
        <v>30</v>
      </c>
      <c r="N197" s="257" t="str">
        <f t="shared" si="7"/>
        <v>Pass</v>
      </c>
      <c r="O197" s="264">
        <v>1159</v>
      </c>
      <c r="P197" s="258"/>
      <c r="Q197" s="262"/>
    </row>
    <row r="198" spans="1:17" customFormat="1" ht="12.75" customHeight="1">
      <c r="A198" s="263">
        <v>43556</v>
      </c>
      <c r="B198" s="261"/>
      <c r="C198" s="261">
        <v>33</v>
      </c>
      <c r="D198" s="261">
        <v>40</v>
      </c>
      <c r="E198" s="261">
        <f t="shared" si="6"/>
        <v>7</v>
      </c>
      <c r="F198" s="261"/>
      <c r="G198" s="261"/>
      <c r="H198" s="261"/>
      <c r="I198" s="261"/>
      <c r="J198" s="261"/>
      <c r="K198" s="261"/>
      <c r="L198" s="261">
        <v>30</v>
      </c>
      <c r="M198" s="261">
        <v>30</v>
      </c>
      <c r="N198" s="257" t="str">
        <f t="shared" si="7"/>
        <v>Pass</v>
      </c>
      <c r="O198" s="264">
        <v>1340</v>
      </c>
      <c r="P198" s="258"/>
      <c r="Q198" s="262"/>
    </row>
    <row r="199" spans="1:17" customFormat="1" ht="12.75" customHeight="1">
      <c r="A199" s="263">
        <v>43560</v>
      </c>
      <c r="B199" s="261"/>
      <c r="C199" s="261">
        <v>19</v>
      </c>
      <c r="D199" s="261">
        <v>26</v>
      </c>
      <c r="E199" s="261">
        <f t="shared" si="6"/>
        <v>7</v>
      </c>
      <c r="F199" s="261"/>
      <c r="G199" s="261"/>
      <c r="H199" s="261"/>
      <c r="I199" s="261"/>
      <c r="J199" s="261"/>
      <c r="K199" s="261"/>
      <c r="L199" s="261">
        <v>30</v>
      </c>
      <c r="M199" s="261">
        <v>30</v>
      </c>
      <c r="N199" s="257" t="str">
        <f t="shared" si="7"/>
        <v>Pass</v>
      </c>
      <c r="O199" s="264" t="s">
        <v>289</v>
      </c>
      <c r="P199" s="258"/>
      <c r="Q199" s="262"/>
    </row>
    <row r="200" spans="1:17" customFormat="1" ht="12.75" customHeight="1">
      <c r="A200" s="263">
        <v>43564</v>
      </c>
      <c r="B200" s="261"/>
      <c r="C200" s="261">
        <v>27</v>
      </c>
      <c r="D200" s="261">
        <v>35</v>
      </c>
      <c r="E200" s="261">
        <f t="shared" si="6"/>
        <v>8</v>
      </c>
      <c r="F200" s="261"/>
      <c r="G200" s="261"/>
      <c r="H200" s="261"/>
      <c r="I200" s="261"/>
      <c r="J200" s="261"/>
      <c r="K200" s="261"/>
      <c r="L200" s="261">
        <v>30</v>
      </c>
      <c r="M200" s="261">
        <v>30</v>
      </c>
      <c r="N200" s="257" t="str">
        <f t="shared" si="7"/>
        <v>Pass</v>
      </c>
      <c r="O200" s="264">
        <v>74</v>
      </c>
      <c r="P200" s="258"/>
      <c r="Q200" s="262"/>
    </row>
    <row r="201" spans="1:17" customFormat="1" ht="12.75" customHeight="1">
      <c r="A201" s="263">
        <v>43577</v>
      </c>
      <c r="B201" s="261"/>
      <c r="C201" s="261">
        <v>26</v>
      </c>
      <c r="D201" s="261">
        <v>53</v>
      </c>
      <c r="E201" s="261">
        <f t="shared" si="6"/>
        <v>27</v>
      </c>
      <c r="F201" s="261"/>
      <c r="G201" s="261"/>
      <c r="H201" s="261"/>
      <c r="I201" s="261"/>
      <c r="J201" s="261"/>
      <c r="K201" s="261"/>
      <c r="L201" s="261">
        <v>30</v>
      </c>
      <c r="M201" s="261">
        <v>30</v>
      </c>
      <c r="N201" s="257" t="str">
        <f t="shared" si="7"/>
        <v>Pass</v>
      </c>
      <c r="O201" s="264">
        <v>1340</v>
      </c>
      <c r="P201" s="258"/>
      <c r="Q201" s="262"/>
    </row>
    <row r="202" spans="1:17" customFormat="1" ht="12.75" customHeight="1">
      <c r="A202" s="263">
        <v>43581</v>
      </c>
      <c r="B202" s="261"/>
      <c r="C202" s="261">
        <v>15</v>
      </c>
      <c r="D202" s="261">
        <v>53</v>
      </c>
      <c r="E202" s="261">
        <f>IF(((C202="")*AND(D202="")),"",D202-C202)</f>
        <v>38</v>
      </c>
      <c r="F202" s="261"/>
      <c r="G202" s="261"/>
      <c r="H202" s="261"/>
      <c r="I202" s="261"/>
      <c r="J202" s="261"/>
      <c r="K202" s="261"/>
      <c r="L202" s="261">
        <v>30</v>
      </c>
      <c r="M202" s="261">
        <v>30</v>
      </c>
      <c r="N202" s="257" t="str">
        <f>IF(E202="","",IF(E202&lt;=30,"Pass","Fail"))</f>
        <v>Fail</v>
      </c>
      <c r="O202" s="260">
        <v>1159</v>
      </c>
      <c r="P202" s="258" t="s">
        <v>314</v>
      </c>
      <c r="Q202" s="262"/>
    </row>
    <row r="203" spans="1:17" customFormat="1" ht="12.75" customHeight="1">
      <c r="A203" s="263">
        <v>43581</v>
      </c>
      <c r="B203" s="261"/>
      <c r="C203" s="261">
        <v>53</v>
      </c>
      <c r="D203" s="261">
        <v>50</v>
      </c>
      <c r="E203" s="261">
        <f t="shared" si="6"/>
        <v>-3</v>
      </c>
      <c r="F203" s="261"/>
      <c r="G203" s="261"/>
      <c r="H203" s="261"/>
      <c r="I203" s="261"/>
      <c r="J203" s="261"/>
      <c r="K203" s="261"/>
      <c r="L203" s="261">
        <v>30</v>
      </c>
      <c r="M203" s="261">
        <v>30</v>
      </c>
      <c r="N203" s="257" t="str">
        <f t="shared" si="7"/>
        <v>Pass</v>
      </c>
      <c r="O203" s="264">
        <v>1159</v>
      </c>
      <c r="P203" s="258" t="s">
        <v>315</v>
      </c>
      <c r="Q203" s="262"/>
    </row>
    <row r="204" spans="1:17" customFormat="1" ht="12.75" customHeight="1">
      <c r="A204" s="263">
        <v>43581</v>
      </c>
      <c r="B204" s="261"/>
      <c r="C204" s="261">
        <v>31</v>
      </c>
      <c r="D204" s="261">
        <v>21</v>
      </c>
      <c r="E204" s="261">
        <f t="shared" si="6"/>
        <v>-10</v>
      </c>
      <c r="F204" s="261"/>
      <c r="G204" s="261"/>
      <c r="H204" s="261"/>
      <c r="I204" s="261"/>
      <c r="J204" s="261"/>
      <c r="K204" s="261"/>
      <c r="L204" s="261">
        <v>30</v>
      </c>
      <c r="M204" s="261">
        <v>30</v>
      </c>
      <c r="N204" s="257" t="str">
        <f t="shared" si="7"/>
        <v>Pass</v>
      </c>
      <c r="O204" s="264">
        <v>1159</v>
      </c>
      <c r="P204" s="258" t="s">
        <v>316</v>
      </c>
      <c r="Q204" s="262"/>
    </row>
    <row r="205" spans="1:17" customFormat="1" ht="12.75" customHeight="1">
      <c r="A205" s="263">
        <v>43585</v>
      </c>
      <c r="B205" s="261"/>
      <c r="C205" s="261">
        <v>10</v>
      </c>
      <c r="D205" s="261">
        <v>22</v>
      </c>
      <c r="E205" s="261">
        <f>IF(((C205="")*AND(D205="")),"",D205-C205)</f>
        <v>12</v>
      </c>
      <c r="F205" s="261"/>
      <c r="G205" s="261"/>
      <c r="H205" s="261"/>
      <c r="I205" s="261"/>
      <c r="J205" s="261"/>
      <c r="K205" s="261"/>
      <c r="L205" s="261">
        <v>30</v>
      </c>
      <c r="M205" s="261">
        <v>30</v>
      </c>
      <c r="N205" s="257" t="str">
        <f>IF(E205="","",IF(E205&lt;=30,"Pass","Fail"))</f>
        <v>Pass</v>
      </c>
      <c r="O205" s="264">
        <v>1340</v>
      </c>
      <c r="P205" s="258" t="s">
        <v>316</v>
      </c>
      <c r="Q205" s="262"/>
    </row>
    <row r="206" spans="1:17" customFormat="1" ht="12.75" customHeight="1">
      <c r="A206" s="263">
        <v>43589</v>
      </c>
      <c r="B206" s="261"/>
      <c r="C206" s="261">
        <v>30</v>
      </c>
      <c r="D206" s="261">
        <v>40</v>
      </c>
      <c r="E206" s="261">
        <f t="shared" si="6"/>
        <v>10</v>
      </c>
      <c r="F206" s="261"/>
      <c r="G206" s="261"/>
      <c r="H206" s="261"/>
      <c r="I206" s="261"/>
      <c r="J206" s="261"/>
      <c r="K206" s="261"/>
      <c r="L206" s="261">
        <v>30</v>
      </c>
      <c r="M206" s="261">
        <v>30</v>
      </c>
      <c r="N206" s="257" t="str">
        <f t="shared" si="7"/>
        <v>Pass</v>
      </c>
      <c r="O206" s="264">
        <v>102</v>
      </c>
      <c r="P206" s="258" t="s">
        <v>317</v>
      </c>
      <c r="Q206" s="262"/>
    </row>
    <row r="207" spans="1:17" customFormat="1" ht="12.75" customHeight="1">
      <c r="A207" s="263">
        <v>43593</v>
      </c>
      <c r="B207" s="261"/>
      <c r="C207" s="261">
        <v>17</v>
      </c>
      <c r="D207" s="261">
        <v>23</v>
      </c>
      <c r="E207" s="261">
        <f>IF(((C207="")*AND(D207="")),"",D207-C207)</f>
        <v>6</v>
      </c>
      <c r="F207" s="261"/>
      <c r="G207" s="261"/>
      <c r="H207" s="261"/>
      <c r="I207" s="261"/>
      <c r="J207" s="261"/>
      <c r="K207" s="261"/>
      <c r="L207" s="261">
        <v>30</v>
      </c>
      <c r="M207" s="261">
        <v>30</v>
      </c>
      <c r="N207" s="257" t="str">
        <f>IF(E207="","",IF(E207&lt;=30,"Pass","Fail"))</f>
        <v>Pass</v>
      </c>
      <c r="O207" s="264" t="s">
        <v>305</v>
      </c>
      <c r="P207" s="258" t="s">
        <v>318</v>
      </c>
      <c r="Q207" s="262"/>
    </row>
    <row r="208" spans="1:17" customFormat="1" ht="12.75" customHeight="1">
      <c r="A208" s="263">
        <v>43597</v>
      </c>
      <c r="B208" s="261"/>
      <c r="C208" s="261">
        <v>27</v>
      </c>
      <c r="D208" s="261">
        <v>39</v>
      </c>
      <c r="E208" s="261">
        <f t="shared" si="6"/>
        <v>12</v>
      </c>
      <c r="F208" s="261"/>
      <c r="G208" s="261"/>
      <c r="H208" s="261"/>
      <c r="I208" s="261"/>
      <c r="J208" s="261"/>
      <c r="K208" s="261"/>
      <c r="L208" s="261">
        <v>30</v>
      </c>
      <c r="M208" s="261">
        <v>30</v>
      </c>
      <c r="N208" s="257" t="str">
        <f t="shared" si="7"/>
        <v>Pass</v>
      </c>
      <c r="O208" s="264">
        <v>121</v>
      </c>
      <c r="P208" s="258"/>
      <c r="Q208" s="262"/>
    </row>
    <row r="209" spans="1:17" customFormat="1" ht="12.75" customHeight="1">
      <c r="A209" s="263">
        <v>43600</v>
      </c>
      <c r="B209" s="261"/>
      <c r="C209" s="261">
        <v>8</v>
      </c>
      <c r="D209" s="261">
        <v>22</v>
      </c>
      <c r="E209" s="261">
        <f t="shared" si="6"/>
        <v>14</v>
      </c>
      <c r="F209" s="261"/>
      <c r="G209" s="261"/>
      <c r="H209" s="261"/>
      <c r="I209" s="261"/>
      <c r="J209" s="261"/>
      <c r="K209" s="261"/>
      <c r="L209" s="261">
        <v>30</v>
      </c>
      <c r="M209" s="261">
        <v>30</v>
      </c>
      <c r="N209" s="257" t="str">
        <f t="shared" si="7"/>
        <v>Pass</v>
      </c>
      <c r="O209" s="264">
        <v>1340</v>
      </c>
      <c r="P209" s="258" t="s">
        <v>319</v>
      </c>
      <c r="Q209" s="262"/>
    </row>
    <row r="210" spans="1:17" customFormat="1" ht="12.75" customHeight="1">
      <c r="A210" s="263">
        <v>43605</v>
      </c>
      <c r="B210" s="261"/>
      <c r="C210" s="261">
        <v>16</v>
      </c>
      <c r="D210" s="261">
        <v>18</v>
      </c>
      <c r="E210" s="261">
        <f>IF(((C210="")*AND(D210="")),"",D210-C210)</f>
        <v>2</v>
      </c>
      <c r="F210" s="261"/>
      <c r="G210" s="261"/>
      <c r="H210" s="261"/>
      <c r="I210" s="261"/>
      <c r="J210" s="261"/>
      <c r="K210" s="261"/>
      <c r="L210" s="261">
        <v>30</v>
      </c>
      <c r="M210" s="261">
        <v>30</v>
      </c>
      <c r="N210" s="257" t="str">
        <f>IF(E210="","",IF(E210&lt;=30,"Pass","Fail"))</f>
        <v>Pass</v>
      </c>
      <c r="O210" s="264">
        <v>1159</v>
      </c>
      <c r="P210" s="258" t="s">
        <v>320</v>
      </c>
      <c r="Q210" s="262"/>
    </row>
    <row r="211" spans="1:17" ht="12.75" customHeight="1">
      <c r="A211" s="195">
        <v>43616</v>
      </c>
      <c r="B211" s="17"/>
      <c r="C211" s="17">
        <v>21</v>
      </c>
      <c r="D211" s="17">
        <v>29</v>
      </c>
      <c r="E211" s="17">
        <f t="shared" si="6"/>
        <v>8</v>
      </c>
      <c r="F211" s="17"/>
      <c r="G211" s="17"/>
      <c r="H211" s="17"/>
      <c r="I211" s="17"/>
      <c r="J211" s="17"/>
      <c r="K211" s="17"/>
      <c r="L211" s="17">
        <v>30</v>
      </c>
      <c r="M211" s="17">
        <v>30</v>
      </c>
      <c r="N211" s="19" t="str">
        <f t="shared" si="7"/>
        <v>Pass</v>
      </c>
      <c r="O211" s="188">
        <v>1340</v>
      </c>
      <c r="P211" s="265" t="s">
        <v>321</v>
      </c>
      <c r="Q211" s="22"/>
    </row>
    <row r="212" spans="1:17" ht="12.75" customHeight="1">
      <c r="A212" s="195">
        <v>43623</v>
      </c>
      <c r="B212" s="17"/>
      <c r="C212" s="17">
        <v>17</v>
      </c>
      <c r="D212" s="17">
        <v>19</v>
      </c>
      <c r="E212" s="17">
        <f t="shared" si="6"/>
        <v>2</v>
      </c>
      <c r="F212" s="17"/>
      <c r="G212" s="17"/>
      <c r="H212" s="17"/>
      <c r="I212" s="17"/>
      <c r="J212" s="17"/>
      <c r="K212" s="17"/>
      <c r="L212" s="17">
        <v>30</v>
      </c>
      <c r="M212" s="17">
        <v>30</v>
      </c>
      <c r="N212" s="19" t="str">
        <f t="shared" si="7"/>
        <v>Pass</v>
      </c>
      <c r="O212" s="188">
        <v>1340</v>
      </c>
      <c r="P212" s="265" t="s">
        <v>323</v>
      </c>
      <c r="Q212" s="22"/>
    </row>
    <row r="213" spans="1:17" ht="12.75" customHeight="1">
      <c r="A213" s="195">
        <v>43630</v>
      </c>
      <c r="B213" s="17"/>
      <c r="C213" s="17">
        <v>19</v>
      </c>
      <c r="D213" s="17">
        <v>20</v>
      </c>
      <c r="E213" s="17">
        <f t="shared" si="6"/>
        <v>1</v>
      </c>
      <c r="F213" s="17"/>
      <c r="G213" s="17"/>
      <c r="H213" s="17"/>
      <c r="I213" s="17"/>
      <c r="J213" s="17"/>
      <c r="K213" s="17"/>
      <c r="L213" s="17">
        <v>30</v>
      </c>
      <c r="M213" s="17">
        <v>30</v>
      </c>
      <c r="N213" s="19" t="str">
        <f t="shared" si="7"/>
        <v>Pass</v>
      </c>
      <c r="O213" s="188">
        <v>1428</v>
      </c>
      <c r="P213" s="31"/>
      <c r="Q213" s="22"/>
    </row>
    <row r="214" spans="1:17" ht="12.75" customHeight="1">
      <c r="A214" s="195">
        <v>43633</v>
      </c>
      <c r="B214" s="17"/>
      <c r="C214" s="17">
        <v>9</v>
      </c>
      <c r="D214" s="17">
        <v>13</v>
      </c>
      <c r="E214" s="17">
        <f t="shared" si="6"/>
        <v>4</v>
      </c>
      <c r="F214" s="17"/>
      <c r="G214" s="17"/>
      <c r="H214" s="17"/>
      <c r="I214" s="17"/>
      <c r="J214" s="17"/>
      <c r="K214" s="17"/>
      <c r="L214" s="17">
        <v>30</v>
      </c>
      <c r="M214" s="17">
        <v>30</v>
      </c>
      <c r="N214" s="19" t="str">
        <f t="shared" si="7"/>
        <v>Pass</v>
      </c>
      <c r="O214" s="188">
        <v>1335</v>
      </c>
      <c r="P214" s="265" t="s">
        <v>326</v>
      </c>
      <c r="Q214" s="22"/>
    </row>
    <row r="215" spans="1:17" ht="12.75" customHeight="1">
      <c r="A215" s="195">
        <v>43636</v>
      </c>
      <c r="B215" s="17"/>
      <c r="C215" s="17">
        <v>27</v>
      </c>
      <c r="D215" s="17">
        <v>20</v>
      </c>
      <c r="E215" s="17">
        <f t="shared" si="6"/>
        <v>-7</v>
      </c>
      <c r="F215" s="17"/>
      <c r="G215" s="17"/>
      <c r="H215" s="17"/>
      <c r="I215" s="17"/>
      <c r="J215" s="17"/>
      <c r="K215" s="17"/>
      <c r="L215" s="17">
        <v>30</v>
      </c>
      <c r="M215" s="17">
        <v>30</v>
      </c>
      <c r="N215" s="19" t="str">
        <f t="shared" si="7"/>
        <v>Pass</v>
      </c>
      <c r="O215" s="188">
        <v>1335</v>
      </c>
      <c r="P215" s="265" t="s">
        <v>328</v>
      </c>
      <c r="Q215" s="22"/>
    </row>
    <row r="216" spans="1:17" ht="12.75" customHeight="1">
      <c r="A216" s="195">
        <v>43640</v>
      </c>
      <c r="B216" s="17"/>
      <c r="C216" s="17">
        <v>15</v>
      </c>
      <c r="D216" s="17">
        <v>22</v>
      </c>
      <c r="E216" s="17">
        <f t="shared" si="6"/>
        <v>7</v>
      </c>
      <c r="F216" s="17"/>
      <c r="G216" s="17"/>
      <c r="H216" s="17"/>
      <c r="I216" s="17"/>
      <c r="J216" s="17"/>
      <c r="K216" s="17"/>
      <c r="L216" s="17">
        <v>30</v>
      </c>
      <c r="M216" s="17">
        <v>30</v>
      </c>
      <c r="N216" s="19" t="str">
        <f t="shared" si="7"/>
        <v>Pass</v>
      </c>
      <c r="O216" s="188">
        <v>1340</v>
      </c>
      <c r="P216" s="265" t="s">
        <v>330</v>
      </c>
      <c r="Q216" s="22"/>
    </row>
    <row r="217" spans="1:17" ht="12.75" customHeight="1">
      <c r="A217" s="195">
        <v>43648</v>
      </c>
      <c r="B217" s="17"/>
      <c r="C217" s="17">
        <v>14</v>
      </c>
      <c r="D217" s="17">
        <v>24</v>
      </c>
      <c r="E217" s="17">
        <f>IF(((C217="")*AND(D217="")),"",D217-C217)</f>
        <v>10</v>
      </c>
      <c r="F217" s="17"/>
      <c r="G217" s="17"/>
      <c r="H217" s="17"/>
      <c r="I217" s="17"/>
      <c r="J217" s="17"/>
      <c r="K217" s="17"/>
      <c r="L217" s="17">
        <v>30</v>
      </c>
      <c r="M217" s="17">
        <v>30</v>
      </c>
      <c r="N217" s="19" t="str">
        <f>IF(E217="","",IF(E217&lt;=30,"Pass","Fail"))</f>
        <v>Pass</v>
      </c>
      <c r="O217" s="188">
        <v>1159</v>
      </c>
      <c r="P217" s="265" t="s">
        <v>332</v>
      </c>
      <c r="Q217" s="22"/>
    </row>
    <row r="218" spans="1:17" ht="12.75" customHeight="1">
      <c r="A218" s="195">
        <v>43651</v>
      </c>
      <c r="B218" s="17"/>
      <c r="C218" s="17">
        <v>5</v>
      </c>
      <c r="D218" s="17">
        <v>9</v>
      </c>
      <c r="E218" s="17">
        <f>IF(((C218="")*AND(D218="")),"",D218-C218)</f>
        <v>4</v>
      </c>
      <c r="F218" s="17"/>
      <c r="G218" s="17"/>
      <c r="H218" s="17"/>
      <c r="I218" s="17"/>
      <c r="J218" s="17"/>
      <c r="K218" s="17"/>
      <c r="L218" s="17">
        <v>30</v>
      </c>
      <c r="M218" s="17">
        <v>30</v>
      </c>
      <c r="N218" s="19" t="str">
        <f>IF(E218="","",IF(E218&lt;=30,"Pass","Fail"))</f>
        <v>Pass</v>
      </c>
      <c r="O218" s="188">
        <v>1159</v>
      </c>
      <c r="P218" s="265" t="s">
        <v>334</v>
      </c>
      <c r="Q218" s="22"/>
    </row>
    <row r="219" spans="1:17" ht="12.75" customHeight="1">
      <c r="A219" s="195">
        <v>43654</v>
      </c>
      <c r="B219" s="17"/>
      <c r="C219" s="17">
        <v>12</v>
      </c>
      <c r="D219" s="17">
        <v>16</v>
      </c>
      <c r="E219" s="17">
        <f t="shared" si="6"/>
        <v>4</v>
      </c>
      <c r="F219" s="17"/>
      <c r="G219" s="17"/>
      <c r="H219" s="17"/>
      <c r="I219" s="17"/>
      <c r="J219" s="17"/>
      <c r="K219" s="17"/>
      <c r="L219" s="17">
        <v>30</v>
      </c>
      <c r="M219" s="17">
        <v>30</v>
      </c>
      <c r="N219" s="19" t="str">
        <f t="shared" si="7"/>
        <v>Pass</v>
      </c>
      <c r="O219" s="188">
        <v>64</v>
      </c>
      <c r="P219" s="31"/>
      <c r="Q219" s="22"/>
    </row>
    <row r="220" spans="1:17" ht="12.75" customHeight="1">
      <c r="A220" s="195">
        <v>43657</v>
      </c>
      <c r="B220" s="17"/>
      <c r="C220" s="17">
        <v>22</v>
      </c>
      <c r="D220" s="17">
        <v>28</v>
      </c>
      <c r="E220" s="17">
        <f t="shared" si="6"/>
        <v>6</v>
      </c>
      <c r="F220" s="17"/>
      <c r="G220" s="17"/>
      <c r="H220" s="17"/>
      <c r="I220" s="17"/>
      <c r="J220" s="17"/>
      <c r="K220" s="17"/>
      <c r="L220" s="17">
        <v>30</v>
      </c>
      <c r="M220" s="17">
        <v>30</v>
      </c>
      <c r="N220" s="19" t="str">
        <f t="shared" si="7"/>
        <v>Pass</v>
      </c>
      <c r="O220" s="188">
        <v>64</v>
      </c>
      <c r="P220" s="31"/>
      <c r="Q220" s="22"/>
    </row>
    <row r="221" spans="1:17" ht="12.75" customHeight="1">
      <c r="A221" s="195">
        <v>43660</v>
      </c>
      <c r="B221" s="17"/>
      <c r="C221" s="17">
        <v>18</v>
      </c>
      <c r="D221" s="17">
        <v>32</v>
      </c>
      <c r="E221" s="17">
        <f t="shared" si="6"/>
        <v>14</v>
      </c>
      <c r="F221" s="17"/>
      <c r="G221" s="17"/>
      <c r="H221" s="17"/>
      <c r="I221" s="17"/>
      <c r="J221" s="17"/>
      <c r="K221" s="17"/>
      <c r="L221" s="17">
        <v>30</v>
      </c>
      <c r="M221" s="17">
        <v>30</v>
      </c>
      <c r="N221" s="19" t="str">
        <f t="shared" si="7"/>
        <v>Pass</v>
      </c>
      <c r="O221" s="188">
        <v>74</v>
      </c>
      <c r="P221" s="265" t="s">
        <v>338</v>
      </c>
      <c r="Q221" s="22"/>
    </row>
    <row r="222" spans="1:17" ht="12.75" customHeight="1">
      <c r="A222" s="195">
        <v>43664</v>
      </c>
      <c r="B222" s="17"/>
      <c r="C222" s="17">
        <v>17</v>
      </c>
      <c r="D222" s="17">
        <v>29</v>
      </c>
      <c r="E222" s="17">
        <f t="shared" si="6"/>
        <v>12</v>
      </c>
      <c r="F222" s="17"/>
      <c r="G222" s="17"/>
      <c r="H222" s="17"/>
      <c r="I222" s="17"/>
      <c r="J222" s="17"/>
      <c r="K222" s="17"/>
      <c r="L222" s="17">
        <v>30</v>
      </c>
      <c r="M222" s="17">
        <v>30</v>
      </c>
      <c r="N222" s="19" t="str">
        <f t="shared" si="7"/>
        <v>Pass</v>
      </c>
      <c r="O222" s="188">
        <v>1335</v>
      </c>
      <c r="P222" s="265" t="s">
        <v>340</v>
      </c>
      <c r="Q222" s="22"/>
    </row>
    <row r="223" spans="1:17" ht="12.75" customHeight="1">
      <c r="A223" s="195">
        <v>43677</v>
      </c>
      <c r="B223" s="17"/>
      <c r="C223" s="17">
        <v>22</v>
      </c>
      <c r="D223" s="17">
        <v>25</v>
      </c>
      <c r="E223" s="17">
        <f t="shared" si="6"/>
        <v>3</v>
      </c>
      <c r="F223" s="17"/>
      <c r="G223" s="17"/>
      <c r="H223" s="17"/>
      <c r="I223" s="17"/>
      <c r="J223" s="17"/>
      <c r="K223" s="17"/>
      <c r="L223" s="17">
        <v>30</v>
      </c>
      <c r="M223" s="17">
        <v>30</v>
      </c>
      <c r="N223" s="19" t="str">
        <f t="shared" si="7"/>
        <v>Pass</v>
      </c>
      <c r="O223" s="188">
        <v>121</v>
      </c>
      <c r="P223" s="265" t="s">
        <v>342</v>
      </c>
      <c r="Q223" s="22"/>
    </row>
    <row r="224" spans="1:17" ht="12.75" customHeight="1">
      <c r="A224" s="195">
        <v>43682</v>
      </c>
      <c r="B224" s="17"/>
      <c r="C224" s="17">
        <v>14</v>
      </c>
      <c r="D224" s="17">
        <v>14</v>
      </c>
      <c r="E224" s="17">
        <f t="shared" ref="E224:E287" si="8">IF(((C224="")*AND(D224="")),"",D224-C224)</f>
        <v>0</v>
      </c>
      <c r="F224" s="17"/>
      <c r="G224" s="17"/>
      <c r="H224" s="17"/>
      <c r="I224" s="17"/>
      <c r="J224" s="17"/>
      <c r="K224" s="17"/>
      <c r="L224" s="17">
        <v>30</v>
      </c>
      <c r="M224" s="17">
        <v>30</v>
      </c>
      <c r="N224" s="19" t="str">
        <f t="shared" ref="N224:N244" si="9">IF(E224="","",IF(E224&lt;=30,"Pass","Fail"))</f>
        <v>Pass</v>
      </c>
      <c r="O224" s="188">
        <v>1340</v>
      </c>
      <c r="P224" s="265" t="s">
        <v>342</v>
      </c>
      <c r="Q224" s="22"/>
    </row>
    <row r="225" spans="1:17" ht="12.75" customHeight="1">
      <c r="A225" s="195">
        <v>43691</v>
      </c>
      <c r="B225" s="17"/>
      <c r="C225" s="17">
        <v>4</v>
      </c>
      <c r="D225" s="17">
        <v>19</v>
      </c>
      <c r="E225" s="17">
        <f>IF(((C225="")*AND(D225="")),"",D225-C225)</f>
        <v>15</v>
      </c>
      <c r="F225" s="17"/>
      <c r="G225" s="17"/>
      <c r="H225" s="17"/>
      <c r="I225" s="17"/>
      <c r="J225" s="17"/>
      <c r="K225" s="17"/>
      <c r="L225" s="17">
        <v>30</v>
      </c>
      <c r="M225" s="17">
        <v>30</v>
      </c>
      <c r="N225" s="19" t="str">
        <f>IF(E225="","",IF(E225&lt;=30,"Pass","Fail"))</f>
        <v>Pass</v>
      </c>
      <c r="O225" s="188">
        <v>1159</v>
      </c>
      <c r="P225" s="265" t="s">
        <v>344</v>
      </c>
      <c r="Q225" s="22"/>
    </row>
    <row r="226" spans="1:17" ht="12.75" customHeight="1">
      <c r="A226" s="195">
        <v>43698</v>
      </c>
      <c r="B226" s="17"/>
      <c r="C226" s="17">
        <v>3</v>
      </c>
      <c r="D226" s="17">
        <v>14</v>
      </c>
      <c r="E226" s="17">
        <f>IF(((C226="")*AND(D226="")),"",D226-C226)</f>
        <v>11</v>
      </c>
      <c r="F226" s="17"/>
      <c r="G226" s="17"/>
      <c r="H226" s="17"/>
      <c r="I226" s="17"/>
      <c r="J226" s="17"/>
      <c r="K226" s="17"/>
      <c r="L226" s="17">
        <v>30</v>
      </c>
      <c r="M226" s="17">
        <v>30</v>
      </c>
      <c r="N226" s="19" t="str">
        <f>IF(E226="","",IF(E226&lt;=30,"Pass","Fail"))</f>
        <v>Pass</v>
      </c>
      <c r="O226" s="188" t="s">
        <v>289</v>
      </c>
      <c r="P226" s="265" t="s">
        <v>346</v>
      </c>
      <c r="Q226" s="22"/>
    </row>
    <row r="227" spans="1:17" ht="12.75" customHeight="1">
      <c r="A227" s="195">
        <v>43703</v>
      </c>
      <c r="B227" s="17"/>
      <c r="C227" s="17">
        <v>12</v>
      </c>
      <c r="D227" s="17">
        <v>15</v>
      </c>
      <c r="E227" s="17">
        <f>IF(((C227="")*AND(D227="")),"",D227-C227)</f>
        <v>3</v>
      </c>
      <c r="F227" s="17"/>
      <c r="G227" s="17"/>
      <c r="H227" s="17"/>
      <c r="I227" s="17"/>
      <c r="J227" s="17"/>
      <c r="K227" s="17"/>
      <c r="L227" s="17">
        <v>30</v>
      </c>
      <c r="M227" s="17">
        <v>30</v>
      </c>
      <c r="N227" s="19" t="str">
        <f>IF(E227="","",IF(E227&lt;=30,"Pass","Fail"))</f>
        <v>Pass</v>
      </c>
      <c r="O227" s="188">
        <v>1159</v>
      </c>
      <c r="P227" s="265" t="s">
        <v>348</v>
      </c>
      <c r="Q227" s="22"/>
    </row>
    <row r="228" spans="1:17" ht="12.75" customHeight="1">
      <c r="A228" s="195">
        <v>43706</v>
      </c>
      <c r="B228" s="17"/>
      <c r="C228" s="17">
        <v>24</v>
      </c>
      <c r="D228" s="17">
        <v>16</v>
      </c>
      <c r="E228" s="17">
        <f>IF(((C228="")*AND(D228="")),"",D228-C228)</f>
        <v>-8</v>
      </c>
      <c r="F228" s="17"/>
      <c r="G228" s="17"/>
      <c r="H228" s="17"/>
      <c r="I228" s="17"/>
      <c r="J228" s="17"/>
      <c r="K228" s="17"/>
      <c r="L228" s="17">
        <v>30</v>
      </c>
      <c r="M228" s="17">
        <v>30</v>
      </c>
      <c r="N228" s="19" t="str">
        <f>IF(E228="","",IF(E228&lt;=30,"Pass","Fail"))</f>
        <v>Pass</v>
      </c>
      <c r="O228" s="188">
        <v>1159</v>
      </c>
      <c r="P228" s="265" t="s">
        <v>350</v>
      </c>
      <c r="Q228" s="22"/>
    </row>
    <row r="229" spans="1:17" ht="12.75" customHeight="1">
      <c r="A229" s="195">
        <v>43709</v>
      </c>
      <c r="B229" s="17"/>
      <c r="C229" s="17">
        <v>35</v>
      </c>
      <c r="D229" s="17">
        <v>38</v>
      </c>
      <c r="E229" s="17">
        <f t="shared" si="8"/>
        <v>3</v>
      </c>
      <c r="F229" s="17"/>
      <c r="G229" s="17"/>
      <c r="H229" s="17"/>
      <c r="I229" s="17"/>
      <c r="J229" s="17"/>
      <c r="K229" s="17"/>
      <c r="L229" s="17">
        <v>30</v>
      </c>
      <c r="M229" s="17">
        <v>30</v>
      </c>
      <c r="N229" s="19" t="str">
        <f t="shared" si="9"/>
        <v>Pass</v>
      </c>
      <c r="O229" s="188">
        <v>1428</v>
      </c>
      <c r="P229" s="265" t="s">
        <v>353</v>
      </c>
      <c r="Q229" s="22"/>
    </row>
    <row r="230" spans="1:17" ht="12.75" customHeight="1">
      <c r="A230" s="195">
        <v>43712</v>
      </c>
      <c r="B230" s="17"/>
      <c r="C230" s="17">
        <v>21</v>
      </c>
      <c r="D230" s="17">
        <v>20</v>
      </c>
      <c r="E230" s="17">
        <f>IF(((C230="")*AND(D230="")),"",D230-C230)</f>
        <v>-1</v>
      </c>
      <c r="F230" s="17"/>
      <c r="G230" s="17"/>
      <c r="H230" s="17"/>
      <c r="I230" s="17"/>
      <c r="J230" s="17"/>
      <c r="K230" s="17"/>
      <c r="L230" s="17">
        <v>30</v>
      </c>
      <c r="M230" s="17">
        <v>30</v>
      </c>
      <c r="N230" s="19" t="str">
        <f>IF(E230="","",IF(E230&lt;=30,"Pass","Fail"))</f>
        <v>Pass</v>
      </c>
      <c r="O230" s="188">
        <v>1340</v>
      </c>
      <c r="P230" s="265" t="s">
        <v>354</v>
      </c>
      <c r="Q230" s="22"/>
    </row>
    <row r="231" spans="1:17" ht="12.75" customHeight="1">
      <c r="A231" s="195">
        <v>43717</v>
      </c>
      <c r="B231" s="17"/>
      <c r="C231" s="17">
        <v>9</v>
      </c>
      <c r="D231" s="17">
        <v>22</v>
      </c>
      <c r="E231" s="17">
        <f>IF(((C231="")*AND(D231="")),"",D231-C231)</f>
        <v>13</v>
      </c>
      <c r="F231" s="17"/>
      <c r="G231" s="17"/>
      <c r="H231" s="17"/>
      <c r="I231" s="17"/>
      <c r="J231" s="17"/>
      <c r="K231" s="17"/>
      <c r="L231" s="17">
        <v>30</v>
      </c>
      <c r="M231" s="17">
        <v>30</v>
      </c>
      <c r="N231" s="19" t="str">
        <f>IF(E231="","",IF(E231&lt;=30,"Pass","Fail"))</f>
        <v>Pass</v>
      </c>
      <c r="O231" s="188">
        <v>74</v>
      </c>
      <c r="P231" s="265" t="s">
        <v>355</v>
      </c>
      <c r="Q231" s="22"/>
    </row>
    <row r="232" spans="1:17" ht="12.75" customHeight="1">
      <c r="A232" s="195">
        <v>43720</v>
      </c>
      <c r="B232" s="17"/>
      <c r="C232" s="17">
        <v>25</v>
      </c>
      <c r="D232" s="17">
        <v>14</v>
      </c>
      <c r="E232" s="17">
        <f>IF(((C232="")*AND(D232="")),"",D232-C232)</f>
        <v>-11</v>
      </c>
      <c r="F232" s="17"/>
      <c r="G232" s="17"/>
      <c r="H232" s="17"/>
      <c r="I232" s="17"/>
      <c r="J232" s="17"/>
      <c r="K232" s="17"/>
      <c r="L232" s="17">
        <v>30</v>
      </c>
      <c r="M232" s="17">
        <v>30</v>
      </c>
      <c r="N232" s="19" t="str">
        <f>IF(E232="","",IF(E232&lt;=30,"Pass","Fail"))</f>
        <v>Pass</v>
      </c>
      <c r="O232" s="188">
        <v>74</v>
      </c>
      <c r="P232" s="265" t="s">
        <v>357</v>
      </c>
      <c r="Q232" s="22"/>
    </row>
    <row r="233" spans="1:17" ht="12.75" customHeight="1">
      <c r="A233" s="195">
        <v>43725</v>
      </c>
      <c r="B233" s="17"/>
      <c r="C233" s="17">
        <v>28</v>
      </c>
      <c r="D233" s="17">
        <v>28</v>
      </c>
      <c r="E233" s="17">
        <f t="shared" si="8"/>
        <v>0</v>
      </c>
      <c r="F233" s="17"/>
      <c r="G233" s="17"/>
      <c r="H233" s="17"/>
      <c r="I233" s="17"/>
      <c r="J233" s="17"/>
      <c r="K233" s="17"/>
      <c r="L233" s="17">
        <v>30</v>
      </c>
      <c r="M233" s="17">
        <v>30</v>
      </c>
      <c r="N233" s="19" t="str">
        <f t="shared" si="9"/>
        <v>Pass</v>
      </c>
      <c r="O233" s="188">
        <v>1340</v>
      </c>
      <c r="P233" s="31"/>
      <c r="Q233" s="22"/>
    </row>
    <row r="234" spans="1:17" ht="12.75" customHeight="1">
      <c r="A234" s="195">
        <v>43729</v>
      </c>
      <c r="B234" s="17"/>
      <c r="C234" s="17">
        <v>12</v>
      </c>
      <c r="D234" s="17">
        <v>11</v>
      </c>
      <c r="E234" s="17">
        <f t="shared" si="8"/>
        <v>-1</v>
      </c>
      <c r="F234" s="17"/>
      <c r="G234" s="17"/>
      <c r="H234" s="17"/>
      <c r="I234" s="17"/>
      <c r="J234" s="17"/>
      <c r="K234" s="17"/>
      <c r="L234" s="17">
        <v>30</v>
      </c>
      <c r="M234" s="17">
        <v>30</v>
      </c>
      <c r="N234" s="19" t="str">
        <f t="shared" si="9"/>
        <v>Pass</v>
      </c>
      <c r="O234" s="188">
        <v>64</v>
      </c>
      <c r="P234" s="31"/>
      <c r="Q234" s="22"/>
    </row>
    <row r="235" spans="1:17" ht="12.75" customHeight="1">
      <c r="A235" s="195">
        <v>43734</v>
      </c>
      <c r="B235" s="17"/>
      <c r="C235" s="17">
        <v>16</v>
      </c>
      <c r="D235" s="17">
        <v>31</v>
      </c>
      <c r="E235" s="17">
        <f t="shared" si="8"/>
        <v>15</v>
      </c>
      <c r="F235" s="17"/>
      <c r="G235" s="17"/>
      <c r="H235" s="17"/>
      <c r="I235" s="17"/>
      <c r="J235" s="17"/>
      <c r="K235" s="17"/>
      <c r="L235" s="17">
        <v>30</v>
      </c>
      <c r="M235" s="17">
        <v>30</v>
      </c>
      <c r="N235" s="19" t="str">
        <f t="shared" si="9"/>
        <v>Pass</v>
      </c>
      <c r="O235" s="188">
        <v>102</v>
      </c>
      <c r="P235" s="265" t="s">
        <v>361</v>
      </c>
      <c r="Q235" s="22"/>
    </row>
    <row r="236" spans="1:17" ht="12.75" customHeight="1">
      <c r="A236" s="195">
        <v>43738</v>
      </c>
      <c r="B236" s="17"/>
      <c r="C236" s="17">
        <v>53</v>
      </c>
      <c r="D236" s="17">
        <v>52</v>
      </c>
      <c r="E236" s="17">
        <f t="shared" si="8"/>
        <v>-1</v>
      </c>
      <c r="F236" s="17"/>
      <c r="G236" s="17"/>
      <c r="H236" s="17"/>
      <c r="I236" s="17"/>
      <c r="J236" s="17"/>
      <c r="K236" s="17"/>
      <c r="L236" s="17">
        <v>30</v>
      </c>
      <c r="M236" s="17">
        <v>30</v>
      </c>
      <c r="N236" s="19" t="str">
        <f t="shared" si="9"/>
        <v>Pass</v>
      </c>
      <c r="O236" s="188">
        <v>121</v>
      </c>
      <c r="P236" s="265" t="s">
        <v>364</v>
      </c>
      <c r="Q236" s="22"/>
    </row>
    <row r="237" spans="1:17" ht="12.75" customHeight="1">
      <c r="A237" s="195">
        <v>43754</v>
      </c>
      <c r="B237" s="17"/>
      <c r="C237" s="17">
        <v>20</v>
      </c>
      <c r="D237" s="17">
        <v>20</v>
      </c>
      <c r="E237" s="17">
        <f t="shared" si="8"/>
        <v>0</v>
      </c>
      <c r="F237" s="17"/>
      <c r="G237" s="17"/>
      <c r="H237" s="17"/>
      <c r="I237" s="17"/>
      <c r="J237" s="17"/>
      <c r="K237" s="17"/>
      <c r="L237" s="17">
        <v>30</v>
      </c>
      <c r="M237" s="17">
        <v>30</v>
      </c>
      <c r="N237" s="19" t="str">
        <f t="shared" si="9"/>
        <v>Pass</v>
      </c>
      <c r="O237" s="188">
        <v>1340</v>
      </c>
      <c r="P237" s="265" t="s">
        <v>365</v>
      </c>
      <c r="Q237" s="22"/>
    </row>
    <row r="238" spans="1:17" ht="12.75" customHeight="1">
      <c r="A238" s="195">
        <v>43762</v>
      </c>
      <c r="B238" s="17"/>
      <c r="C238" s="17">
        <v>6</v>
      </c>
      <c r="D238" s="17">
        <v>8</v>
      </c>
      <c r="E238" s="17">
        <f t="shared" si="8"/>
        <v>2</v>
      </c>
      <c r="F238" s="17"/>
      <c r="G238" s="17"/>
      <c r="H238" s="17"/>
      <c r="I238" s="17"/>
      <c r="J238" s="17"/>
      <c r="K238" s="17"/>
      <c r="L238" s="17">
        <v>30</v>
      </c>
      <c r="M238" s="17">
        <v>30</v>
      </c>
      <c r="N238" s="19" t="str">
        <f t="shared" si="9"/>
        <v>Pass</v>
      </c>
      <c r="O238" s="188">
        <v>1340</v>
      </c>
      <c r="P238" s="265" t="s">
        <v>367</v>
      </c>
      <c r="Q238" s="22"/>
    </row>
    <row r="239" spans="1:17" ht="12.75" customHeight="1">
      <c r="A239" s="195">
        <v>43766</v>
      </c>
      <c r="B239" s="17"/>
      <c r="C239" s="17">
        <v>46</v>
      </c>
      <c r="D239" s="17">
        <v>18</v>
      </c>
      <c r="E239" s="17">
        <f t="shared" si="8"/>
        <v>-28</v>
      </c>
      <c r="F239" s="17"/>
      <c r="G239" s="17"/>
      <c r="H239" s="17"/>
      <c r="I239" s="17"/>
      <c r="J239" s="17"/>
      <c r="K239" s="17"/>
      <c r="L239" s="17">
        <v>30</v>
      </c>
      <c r="M239" s="17">
        <v>30</v>
      </c>
      <c r="N239" s="19" t="str">
        <f t="shared" si="9"/>
        <v>Pass</v>
      </c>
      <c r="O239" s="188">
        <v>1335</v>
      </c>
      <c r="P239" s="265" t="s">
        <v>369</v>
      </c>
      <c r="Q239" s="22"/>
    </row>
    <row r="240" spans="1:17" ht="12.75" customHeight="1">
      <c r="A240" s="195">
        <v>43773</v>
      </c>
      <c r="B240" s="17"/>
      <c r="C240" s="17">
        <v>22</v>
      </c>
      <c r="D240" s="17">
        <v>38</v>
      </c>
      <c r="E240" s="17">
        <f t="shared" si="8"/>
        <v>16</v>
      </c>
      <c r="F240" s="17"/>
      <c r="G240" s="17"/>
      <c r="H240" s="17"/>
      <c r="I240" s="17"/>
      <c r="J240" s="17"/>
      <c r="K240" s="17"/>
      <c r="L240" s="17">
        <v>30</v>
      </c>
      <c r="M240" s="17">
        <v>30</v>
      </c>
      <c r="N240" s="19" t="str">
        <f t="shared" si="9"/>
        <v>Pass</v>
      </c>
      <c r="O240" s="188">
        <v>121</v>
      </c>
      <c r="P240" s="265" t="s">
        <v>371</v>
      </c>
      <c r="Q240" s="22"/>
    </row>
    <row r="241" spans="1:17" ht="12.75" customHeight="1">
      <c r="A241" s="195">
        <v>43782</v>
      </c>
      <c r="B241" s="17"/>
      <c r="C241" s="17">
        <v>2</v>
      </c>
      <c r="D241" s="17">
        <v>5</v>
      </c>
      <c r="E241" s="17">
        <f>IF(((C241="")*AND(D241="")),"",D241-C241)</f>
        <v>3</v>
      </c>
      <c r="F241" s="17"/>
      <c r="G241" s="17"/>
      <c r="H241" s="17"/>
      <c r="I241" s="17"/>
      <c r="J241" s="17"/>
      <c r="K241" s="17"/>
      <c r="L241" s="17">
        <v>30</v>
      </c>
      <c r="M241" s="17">
        <v>30</v>
      </c>
      <c r="N241" s="19" t="str">
        <f>IF(E241="","",IF(E241&lt;=30,"Pass","Fail"))</f>
        <v>Pass</v>
      </c>
      <c r="O241" s="188">
        <v>1159</v>
      </c>
      <c r="P241" s="265" t="s">
        <v>373</v>
      </c>
      <c r="Q241" s="22"/>
    </row>
    <row r="242" spans="1:17" ht="12.75" customHeight="1">
      <c r="A242" s="195">
        <v>43788</v>
      </c>
      <c r="B242" s="17"/>
      <c r="C242" s="17">
        <v>4</v>
      </c>
      <c r="D242" s="17">
        <v>9</v>
      </c>
      <c r="E242" s="17">
        <f>IF(((C242="")*AND(D242="")),"",D242-C242)</f>
        <v>5</v>
      </c>
      <c r="F242" s="17"/>
      <c r="G242" s="17"/>
      <c r="H242" s="17"/>
      <c r="I242" s="17"/>
      <c r="J242" s="17"/>
      <c r="K242" s="17"/>
      <c r="L242" s="17">
        <v>30</v>
      </c>
      <c r="M242" s="17">
        <v>30</v>
      </c>
      <c r="N242" s="19" t="str">
        <f>IF(E242="","",IF(E242&lt;=30,"Pass","Fail"))</f>
        <v>Pass</v>
      </c>
      <c r="O242" s="188">
        <v>74</v>
      </c>
      <c r="P242" s="265" t="s">
        <v>374</v>
      </c>
      <c r="Q242" s="22"/>
    </row>
    <row r="243" spans="1:17" ht="12.75" customHeight="1">
      <c r="A243" s="195">
        <v>43791</v>
      </c>
      <c r="B243" s="17"/>
      <c r="C243" s="17">
        <v>4</v>
      </c>
      <c r="D243" s="17">
        <v>18</v>
      </c>
      <c r="E243" s="17">
        <f t="shared" si="8"/>
        <v>14</v>
      </c>
      <c r="F243" s="17"/>
      <c r="G243" s="17"/>
      <c r="H243" s="17"/>
      <c r="I243" s="17"/>
      <c r="J243" s="17"/>
      <c r="K243" s="17"/>
      <c r="L243" s="17">
        <v>30</v>
      </c>
      <c r="M243" s="17">
        <v>30</v>
      </c>
      <c r="N243" s="19" t="str">
        <f t="shared" si="9"/>
        <v>Pass</v>
      </c>
      <c r="O243" s="188">
        <v>64</v>
      </c>
      <c r="P243" s="265" t="s">
        <v>376</v>
      </c>
      <c r="Q243" s="22"/>
    </row>
    <row r="244" spans="1:17" ht="12.75" customHeight="1">
      <c r="A244" s="195">
        <v>43794</v>
      </c>
      <c r="B244" s="17"/>
      <c r="C244" s="17">
        <v>3</v>
      </c>
      <c r="D244" s="17">
        <v>13</v>
      </c>
      <c r="E244" s="17">
        <f t="shared" si="8"/>
        <v>10</v>
      </c>
      <c r="F244" s="17"/>
      <c r="G244" s="17"/>
      <c r="H244" s="17"/>
      <c r="I244" s="17"/>
      <c r="J244" s="17"/>
      <c r="K244" s="17"/>
      <c r="L244" s="17">
        <v>30</v>
      </c>
      <c r="M244" s="17">
        <v>30</v>
      </c>
      <c r="N244" s="19" t="str">
        <f t="shared" si="9"/>
        <v>Pass</v>
      </c>
      <c r="O244" s="188">
        <v>1340</v>
      </c>
      <c r="P244" s="265" t="s">
        <v>377</v>
      </c>
      <c r="Q244" s="22"/>
    </row>
    <row r="245" spans="1:17" ht="12.75" customHeight="1">
      <c r="A245" s="195">
        <v>43801</v>
      </c>
      <c r="B245" s="17"/>
      <c r="C245" s="17">
        <v>3</v>
      </c>
      <c r="D245" s="17">
        <v>17</v>
      </c>
      <c r="E245" s="17">
        <f>IF(((C245="")*AND(D245="")),"",D245-C245)</f>
        <v>14</v>
      </c>
      <c r="F245" s="17"/>
      <c r="G245" s="17"/>
      <c r="H245" s="17"/>
      <c r="I245" s="17"/>
      <c r="J245" s="17"/>
      <c r="K245" s="17"/>
      <c r="L245" s="17">
        <v>30</v>
      </c>
      <c r="M245" s="17">
        <v>30</v>
      </c>
      <c r="N245" s="19" t="str">
        <f>IF(E245="","",IF(E245&lt;=M245,"Pass","Fail"))</f>
        <v>Pass</v>
      </c>
      <c r="O245" s="188">
        <v>1159</v>
      </c>
      <c r="P245" s="265" t="s">
        <v>379</v>
      </c>
      <c r="Q245" s="22" t="s">
        <v>382</v>
      </c>
    </row>
    <row r="246" spans="1:17" ht="12.75" customHeight="1">
      <c r="A246" s="195">
        <v>43805</v>
      </c>
      <c r="B246" s="17"/>
      <c r="C246" s="17">
        <v>0</v>
      </c>
      <c r="D246" s="17">
        <v>15</v>
      </c>
      <c r="E246" s="17">
        <f>IF(((C246="")*AND(D246="")),"",D246-C246)</f>
        <v>15</v>
      </c>
      <c r="F246" s="17"/>
      <c r="G246" s="17"/>
      <c r="H246" s="17"/>
      <c r="I246" s="17"/>
      <c r="J246" s="17"/>
      <c r="K246" s="17"/>
      <c r="L246" s="17">
        <v>30</v>
      </c>
      <c r="M246" s="17">
        <v>30</v>
      </c>
      <c r="N246" s="19" t="str">
        <f>IF(E246="","",IF(E246&lt;=M246,"Pass","Fail"))</f>
        <v>Pass</v>
      </c>
      <c r="O246" s="188">
        <v>1159</v>
      </c>
      <c r="P246" s="265" t="s">
        <v>383</v>
      </c>
      <c r="Q246" s="22"/>
    </row>
    <row r="247" spans="1:17" ht="12.75" customHeight="1">
      <c r="A247" s="195">
        <v>43808</v>
      </c>
      <c r="B247" s="17"/>
      <c r="C247" s="17">
        <v>10</v>
      </c>
      <c r="D247" s="17">
        <v>15</v>
      </c>
      <c r="E247" s="17">
        <f>IF(((C247="")*AND(D247="")),"",D247-C247)</f>
        <v>5</v>
      </c>
      <c r="F247" s="17"/>
      <c r="G247" s="17"/>
      <c r="H247" s="17"/>
      <c r="I247" s="17"/>
      <c r="J247" s="17"/>
      <c r="K247" s="17"/>
      <c r="L247" s="17">
        <v>30</v>
      </c>
      <c r="M247" s="17">
        <v>30</v>
      </c>
      <c r="N247" s="19" t="str">
        <f>IF(E247="","",IF(E247&lt;=M247,"Pass","Fail"))</f>
        <v>Pass</v>
      </c>
      <c r="O247" s="188">
        <v>1159</v>
      </c>
      <c r="P247" s="265" t="s">
        <v>385</v>
      </c>
      <c r="Q247" s="22"/>
    </row>
    <row r="248" spans="1:17" ht="12.75" customHeight="1">
      <c r="A248" s="195">
        <v>43816</v>
      </c>
      <c r="B248" s="17"/>
      <c r="C248" s="17">
        <v>4</v>
      </c>
      <c r="D248" s="17">
        <v>9</v>
      </c>
      <c r="E248" s="17">
        <f>IF(((C248="")*AND(D248="")),"",D248-C248)</f>
        <v>5</v>
      </c>
      <c r="F248" s="17"/>
      <c r="G248" s="17"/>
      <c r="H248" s="17"/>
      <c r="I248" s="17"/>
      <c r="J248" s="17"/>
      <c r="K248" s="17"/>
      <c r="L248" s="17">
        <v>30</v>
      </c>
      <c r="M248" s="17">
        <v>30</v>
      </c>
      <c r="N248" s="19" t="str">
        <f>IF(E248="","",IF(E248&lt;=M248,"Pass","Fail"))</f>
        <v>Pass</v>
      </c>
      <c r="O248" s="188">
        <v>1159</v>
      </c>
      <c r="P248" s="265" t="s">
        <v>390</v>
      </c>
      <c r="Q248" s="22"/>
    </row>
    <row r="249" spans="1:17" ht="12.75" customHeight="1">
      <c r="A249" s="195">
        <v>43823</v>
      </c>
      <c r="B249" s="17"/>
      <c r="C249" s="17">
        <v>9</v>
      </c>
      <c r="D249" s="17">
        <v>22</v>
      </c>
      <c r="E249" s="17">
        <f t="shared" si="8"/>
        <v>13</v>
      </c>
      <c r="F249" s="17"/>
      <c r="G249" s="17"/>
      <c r="H249" s="17"/>
      <c r="I249" s="17"/>
      <c r="J249" s="17"/>
      <c r="K249" s="17"/>
      <c r="L249" s="17">
        <v>30</v>
      </c>
      <c r="M249" s="17">
        <v>19</v>
      </c>
      <c r="N249" s="19" t="str">
        <f t="shared" ref="N249:N307" si="10">IF(E249="","",IF(E249&lt;=M249,"Pass","Fail"))</f>
        <v>Pass</v>
      </c>
      <c r="O249" s="188">
        <v>1428</v>
      </c>
      <c r="P249" s="265" t="s">
        <v>392</v>
      </c>
      <c r="Q249" s="22"/>
    </row>
    <row r="250" spans="1:17" ht="12.75" customHeight="1">
      <c r="A250" s="195">
        <v>43833</v>
      </c>
      <c r="B250" s="17"/>
      <c r="C250" s="17">
        <v>25</v>
      </c>
      <c r="D250" s="17">
        <v>44</v>
      </c>
      <c r="E250" s="17">
        <f t="shared" si="8"/>
        <v>19</v>
      </c>
      <c r="F250" s="17">
        <v>5</v>
      </c>
      <c r="G250" s="17">
        <v>11</v>
      </c>
      <c r="H250" s="17">
        <f>G250-F250</f>
        <v>6</v>
      </c>
      <c r="I250" s="17">
        <v>4</v>
      </c>
      <c r="J250" s="17">
        <v>5</v>
      </c>
      <c r="K250" s="17">
        <f>J250-I250</f>
        <v>1</v>
      </c>
      <c r="L250" s="17">
        <v>30</v>
      </c>
      <c r="M250" s="17">
        <v>19</v>
      </c>
      <c r="N250" s="19" t="str">
        <f t="shared" si="10"/>
        <v>Pass</v>
      </c>
      <c r="O250" s="188">
        <v>1428</v>
      </c>
      <c r="P250" s="265" t="s">
        <v>515</v>
      </c>
      <c r="Q250" s="22"/>
    </row>
    <row r="251" spans="1:17" ht="12.75" customHeight="1">
      <c r="A251" s="195">
        <v>43836</v>
      </c>
      <c r="B251" s="17"/>
      <c r="C251" s="17">
        <v>7</v>
      </c>
      <c r="D251" s="17">
        <v>11</v>
      </c>
      <c r="E251" s="17">
        <f>IF(((C251="")*AND(D251="")),"",D251-C251)</f>
        <v>4</v>
      </c>
      <c r="F251" s="17">
        <v>3</v>
      </c>
      <c r="G251" s="17">
        <v>4</v>
      </c>
      <c r="H251" s="17">
        <f>G251-F251</f>
        <v>1</v>
      </c>
      <c r="I251" s="17">
        <v>2</v>
      </c>
      <c r="J251" s="17">
        <v>2</v>
      </c>
      <c r="K251" s="17">
        <f>J251-I251</f>
        <v>0</v>
      </c>
      <c r="L251" s="17">
        <v>30</v>
      </c>
      <c r="M251" s="17">
        <v>19</v>
      </c>
      <c r="N251" s="19" t="str">
        <f>IF(E251="","",IF(E251&lt;=M251,"Pass","Fail"))</f>
        <v>Pass</v>
      </c>
      <c r="O251" s="188">
        <v>1159</v>
      </c>
      <c r="P251" s="265" t="s">
        <v>516</v>
      </c>
      <c r="Q251" s="22"/>
    </row>
    <row r="252" spans="1:17" ht="12.75" customHeight="1">
      <c r="A252" s="195">
        <v>43838</v>
      </c>
      <c r="B252" s="17"/>
      <c r="C252" s="17">
        <v>5</v>
      </c>
      <c r="D252" s="17">
        <v>80</v>
      </c>
      <c r="E252" s="17">
        <f>IF(((C252="")*AND(D252="")),"",D252-C252)</f>
        <v>75</v>
      </c>
      <c r="F252" s="17">
        <v>0</v>
      </c>
      <c r="G252" s="17">
        <v>8</v>
      </c>
      <c r="H252" s="17">
        <f>G252-F252</f>
        <v>8</v>
      </c>
      <c r="I252" s="17">
        <v>0</v>
      </c>
      <c r="J252" s="17">
        <v>5</v>
      </c>
      <c r="K252" s="17">
        <f>J252-I252</f>
        <v>5</v>
      </c>
      <c r="L252" s="17">
        <v>30</v>
      </c>
      <c r="M252" s="17">
        <v>19</v>
      </c>
      <c r="N252" s="19" t="str">
        <f>IF(E252="","",IF(E252&lt;=M252,"Pass","Fail"))</f>
        <v>Fail</v>
      </c>
      <c r="O252" s="188">
        <v>1159</v>
      </c>
      <c r="P252" s="265" t="s">
        <v>517</v>
      </c>
      <c r="Q252" s="22" t="s">
        <v>397</v>
      </c>
    </row>
    <row r="253" spans="1:17" ht="12.75" customHeight="1">
      <c r="A253" s="195">
        <v>43838</v>
      </c>
      <c r="B253" s="17"/>
      <c r="C253" s="17">
        <v>4</v>
      </c>
      <c r="D253" s="17">
        <v>22</v>
      </c>
      <c r="E253" s="17">
        <f t="shared" si="8"/>
        <v>18</v>
      </c>
      <c r="F253" s="17">
        <v>0</v>
      </c>
      <c r="G253" s="17">
        <v>0</v>
      </c>
      <c r="H253" s="17">
        <f>G253-F253</f>
        <v>0</v>
      </c>
      <c r="I253" s="17"/>
      <c r="J253" s="17"/>
      <c r="K253" s="17"/>
      <c r="L253" s="17">
        <v>30</v>
      </c>
      <c r="M253" s="17">
        <v>19</v>
      </c>
      <c r="N253" s="19" t="str">
        <f t="shared" si="10"/>
        <v>Pass</v>
      </c>
      <c r="O253" s="188">
        <v>1335</v>
      </c>
      <c r="P253" s="265" t="s">
        <v>518</v>
      </c>
      <c r="Q253" s="22"/>
    </row>
    <row r="254" spans="1:17" ht="12.75" customHeight="1">
      <c r="A254" s="195">
        <v>43838</v>
      </c>
      <c r="B254" s="17"/>
      <c r="C254" s="17">
        <v>3</v>
      </c>
      <c r="D254" s="17">
        <v>12</v>
      </c>
      <c r="E254" s="17">
        <f t="shared" si="8"/>
        <v>9</v>
      </c>
      <c r="F254" s="17">
        <v>0</v>
      </c>
      <c r="G254" s="17">
        <v>0</v>
      </c>
      <c r="H254" s="17">
        <f>G254-F254</f>
        <v>0</v>
      </c>
      <c r="I254" s="17"/>
      <c r="J254" s="17"/>
      <c r="K254" s="17"/>
      <c r="L254" s="17">
        <v>30</v>
      </c>
      <c r="M254" s="17">
        <v>19</v>
      </c>
      <c r="N254" s="19" t="str">
        <f t="shared" si="10"/>
        <v>Pass</v>
      </c>
      <c r="O254" s="188">
        <v>1335</v>
      </c>
      <c r="P254" s="265" t="s">
        <v>519</v>
      </c>
      <c r="Q254" s="22"/>
    </row>
    <row r="255" spans="1:17" ht="12.75" customHeight="1">
      <c r="A255" s="195">
        <v>43841</v>
      </c>
      <c r="B255" s="17"/>
      <c r="C255" s="17">
        <v>11</v>
      </c>
      <c r="D255" s="17">
        <v>29</v>
      </c>
      <c r="E255" s="17">
        <f t="shared" si="8"/>
        <v>18</v>
      </c>
      <c r="F255" s="17"/>
      <c r="G255" s="17"/>
      <c r="H255" s="17"/>
      <c r="I255" s="17"/>
      <c r="J255" s="17"/>
      <c r="K255" s="17"/>
      <c r="L255" s="17">
        <v>30</v>
      </c>
      <c r="M255" s="17">
        <v>19</v>
      </c>
      <c r="N255" s="19" t="str">
        <f t="shared" si="10"/>
        <v>Pass</v>
      </c>
      <c r="O255" s="188">
        <v>102</v>
      </c>
      <c r="P255" s="265" t="s">
        <v>398</v>
      </c>
      <c r="Q255" s="22"/>
    </row>
    <row r="256" spans="1:17" ht="12.75" customHeight="1">
      <c r="A256" s="195">
        <v>43845</v>
      </c>
      <c r="B256" s="17"/>
      <c r="C256" s="17">
        <v>4</v>
      </c>
      <c r="D256" s="17">
        <v>30</v>
      </c>
      <c r="E256" s="17">
        <f>IF(((C256="")*AND(D256="")),"",D256-C256)</f>
        <v>26</v>
      </c>
      <c r="F256" s="17">
        <v>0</v>
      </c>
      <c r="G256" s="17">
        <v>19</v>
      </c>
      <c r="H256" s="17">
        <f>G256-F256</f>
        <v>19</v>
      </c>
      <c r="I256" s="17">
        <v>0</v>
      </c>
      <c r="J256" s="17">
        <v>18</v>
      </c>
      <c r="K256" s="17">
        <f>J256-I256</f>
        <v>18</v>
      </c>
      <c r="L256" s="17">
        <v>30</v>
      </c>
      <c r="M256" s="17">
        <v>19</v>
      </c>
      <c r="N256" s="19" t="str">
        <f>IF(E256="","",IF(E256&lt;=M256,"Pass","Fail"))</f>
        <v>Fail</v>
      </c>
      <c r="O256" s="188">
        <v>1159</v>
      </c>
      <c r="P256" s="265" t="s">
        <v>520</v>
      </c>
      <c r="Q256" s="22"/>
    </row>
    <row r="257" spans="1:17" ht="12.75" customHeight="1">
      <c r="A257" s="195">
        <v>43845</v>
      </c>
      <c r="B257" s="17"/>
      <c r="C257" s="17">
        <v>4</v>
      </c>
      <c r="D257" s="17">
        <v>15</v>
      </c>
      <c r="E257" s="17">
        <f>IF(((C257="")*AND(D257="")),"",D257-C257)</f>
        <v>11</v>
      </c>
      <c r="F257" s="17">
        <v>0</v>
      </c>
      <c r="G257" s="17">
        <v>9</v>
      </c>
      <c r="H257" s="17">
        <f>G257-F257</f>
        <v>9</v>
      </c>
      <c r="I257" s="17">
        <v>0</v>
      </c>
      <c r="J257" s="17">
        <v>4</v>
      </c>
      <c r="K257" s="17">
        <f>J257-I257</f>
        <v>4</v>
      </c>
      <c r="L257" s="17">
        <v>30</v>
      </c>
      <c r="M257" s="17">
        <v>19</v>
      </c>
      <c r="N257" s="19" t="str">
        <f>IF(E257="","",IF(E257&lt;=M257,"Pass","Fail"))</f>
        <v>Pass</v>
      </c>
      <c r="O257" s="188">
        <v>1159</v>
      </c>
      <c r="P257" s="265" t="s">
        <v>521</v>
      </c>
      <c r="Q257" s="22"/>
    </row>
    <row r="258" spans="1:17" ht="12.75" customHeight="1">
      <c r="A258" s="195">
        <v>43845</v>
      </c>
      <c r="B258" s="17"/>
      <c r="C258" s="17">
        <v>15</v>
      </c>
      <c r="D258" s="17">
        <v>22</v>
      </c>
      <c r="E258" s="17">
        <f>IF(((C258="")*AND(D258="")),"",D258-C258)</f>
        <v>7</v>
      </c>
      <c r="F258" s="17">
        <v>9</v>
      </c>
      <c r="G258" s="17">
        <v>11</v>
      </c>
      <c r="H258" s="17">
        <f>G258-F258</f>
        <v>2</v>
      </c>
      <c r="I258" s="17">
        <v>4</v>
      </c>
      <c r="J258" s="17">
        <v>5</v>
      </c>
      <c r="K258" s="17">
        <f>J258-I258</f>
        <v>1</v>
      </c>
      <c r="L258" s="17">
        <v>30</v>
      </c>
      <c r="M258" s="17">
        <v>19</v>
      </c>
      <c r="N258" s="19" t="str">
        <f>IF(E258="","",IF(E258&lt;=M258,"Pass","Fail"))</f>
        <v>Pass</v>
      </c>
      <c r="O258" s="188">
        <v>1159</v>
      </c>
      <c r="P258" s="265" t="s">
        <v>522</v>
      </c>
      <c r="Q258" s="22"/>
    </row>
    <row r="259" spans="1:17" ht="12.75" customHeight="1">
      <c r="A259" s="195">
        <v>43859</v>
      </c>
      <c r="B259" s="17"/>
      <c r="C259" s="17">
        <v>10</v>
      </c>
      <c r="D259" s="17">
        <v>28</v>
      </c>
      <c r="E259" s="17">
        <f>IF(((C259="")*AND(D259="")),"",D259-C259)</f>
        <v>18</v>
      </c>
      <c r="F259" s="17">
        <v>1</v>
      </c>
      <c r="G259" s="17">
        <v>22</v>
      </c>
      <c r="H259" s="17">
        <f>G259-F259</f>
        <v>21</v>
      </c>
      <c r="I259" s="17">
        <v>0</v>
      </c>
      <c r="J259" s="17">
        <v>14</v>
      </c>
      <c r="K259" s="17">
        <f>J259-I259</f>
        <v>14</v>
      </c>
      <c r="L259" s="17">
        <v>30</v>
      </c>
      <c r="M259" s="17">
        <v>19</v>
      </c>
      <c r="N259" s="19" t="str">
        <f>IF(E259="","",IF(E259&lt;=M259,"Pass","Fail"))</f>
        <v>Pass</v>
      </c>
      <c r="O259" s="188">
        <v>1159</v>
      </c>
      <c r="P259" s="265" t="s">
        <v>523</v>
      </c>
      <c r="Q259" s="22"/>
    </row>
    <row r="260" spans="1:17" ht="12.75" customHeight="1">
      <c r="A260" s="195">
        <v>43864</v>
      </c>
      <c r="B260" s="17"/>
      <c r="C260" s="17">
        <v>2</v>
      </c>
      <c r="D260" s="17">
        <v>33</v>
      </c>
      <c r="E260" s="17">
        <f t="shared" si="8"/>
        <v>31</v>
      </c>
      <c r="F260" s="17"/>
      <c r="G260" s="17"/>
      <c r="H260" s="17"/>
      <c r="I260" s="17"/>
      <c r="J260" s="17"/>
      <c r="K260" s="17"/>
      <c r="L260" s="17">
        <v>30</v>
      </c>
      <c r="M260" s="17">
        <v>19</v>
      </c>
      <c r="N260" s="19" t="str">
        <f t="shared" si="10"/>
        <v>Fail</v>
      </c>
      <c r="O260" s="188">
        <v>64</v>
      </c>
      <c r="P260" s="31"/>
      <c r="Q260" s="22"/>
    </row>
    <row r="261" spans="1:17" ht="12.75" customHeight="1">
      <c r="A261" s="195">
        <v>43864</v>
      </c>
      <c r="B261" s="17"/>
      <c r="C261" s="17">
        <v>1</v>
      </c>
      <c r="D261" s="17">
        <v>51</v>
      </c>
      <c r="E261" s="17">
        <f t="shared" si="8"/>
        <v>50</v>
      </c>
      <c r="F261" s="17"/>
      <c r="G261" s="17"/>
      <c r="H261" s="17"/>
      <c r="I261" s="17"/>
      <c r="J261" s="17"/>
      <c r="K261" s="17"/>
      <c r="L261" s="17">
        <v>30</v>
      </c>
      <c r="M261" s="17">
        <v>19</v>
      </c>
      <c r="N261" s="19" t="str">
        <f t="shared" si="10"/>
        <v>Fail</v>
      </c>
      <c r="O261" s="188">
        <v>64</v>
      </c>
      <c r="P261" s="31"/>
      <c r="Q261" s="22"/>
    </row>
    <row r="262" spans="1:17" ht="12.75" customHeight="1">
      <c r="A262" s="195">
        <v>43865</v>
      </c>
      <c r="B262" s="17"/>
      <c r="C262" s="17">
        <v>0</v>
      </c>
      <c r="D262" s="17">
        <v>31</v>
      </c>
      <c r="E262" s="17">
        <v>31</v>
      </c>
      <c r="F262" s="17">
        <v>0</v>
      </c>
      <c r="G262" s="17">
        <v>25</v>
      </c>
      <c r="H262" s="17">
        <f>G262-F262</f>
        <v>25</v>
      </c>
      <c r="I262" s="17"/>
      <c r="J262" s="17"/>
      <c r="K262" s="17"/>
      <c r="L262" s="17">
        <v>30</v>
      </c>
      <c r="M262" s="17">
        <v>19</v>
      </c>
      <c r="N262" s="19" t="str">
        <f t="shared" si="10"/>
        <v>Fail</v>
      </c>
      <c r="O262" s="188">
        <v>74</v>
      </c>
      <c r="P262" s="265" t="s">
        <v>523</v>
      </c>
      <c r="Q262" s="22"/>
    </row>
    <row r="263" spans="1:17" ht="12.75" customHeight="1">
      <c r="A263" s="195">
        <v>43865</v>
      </c>
      <c r="B263" s="17"/>
      <c r="C263" s="17">
        <v>0</v>
      </c>
      <c r="D263" s="17">
        <v>4</v>
      </c>
      <c r="E263" s="17">
        <f t="shared" si="8"/>
        <v>4</v>
      </c>
      <c r="F263" s="17">
        <v>0</v>
      </c>
      <c r="G263" s="17">
        <v>2</v>
      </c>
      <c r="H263" s="17">
        <f t="shared" ref="H263:H265" si="11">G263-F263</f>
        <v>2</v>
      </c>
      <c r="I263" s="17"/>
      <c r="J263" s="17"/>
      <c r="K263" s="17"/>
      <c r="L263" s="17">
        <v>30</v>
      </c>
      <c r="M263" s="17">
        <v>19</v>
      </c>
      <c r="N263" s="19" t="str">
        <f t="shared" si="10"/>
        <v>Pass</v>
      </c>
      <c r="O263" s="188">
        <v>74</v>
      </c>
      <c r="P263" s="265" t="s">
        <v>523</v>
      </c>
      <c r="Q263" s="22"/>
    </row>
    <row r="264" spans="1:17" ht="12.75" customHeight="1">
      <c r="A264" s="195">
        <v>43865</v>
      </c>
      <c r="B264" s="17"/>
      <c r="C264" s="17">
        <v>4</v>
      </c>
      <c r="D264" s="17">
        <v>6</v>
      </c>
      <c r="E264" s="17">
        <f>IF(((C264="")*AND(D264="")),"",D264-C264)</f>
        <v>2</v>
      </c>
      <c r="F264" s="17">
        <v>1</v>
      </c>
      <c r="G264" s="17">
        <v>2</v>
      </c>
      <c r="H264" s="17">
        <f t="shared" si="11"/>
        <v>1</v>
      </c>
      <c r="I264" s="17"/>
      <c r="J264" s="17"/>
      <c r="K264" s="17"/>
      <c r="L264" s="17">
        <v>30</v>
      </c>
      <c r="M264" s="17">
        <v>19</v>
      </c>
      <c r="N264" s="19" t="str">
        <f>IF(E264="","",IF(E264&lt;=M264,"Pass","Fail"))</f>
        <v>Pass</v>
      </c>
      <c r="O264" s="188">
        <v>74</v>
      </c>
      <c r="P264" s="265" t="s">
        <v>530</v>
      </c>
      <c r="Q264" s="22"/>
    </row>
    <row r="265" spans="1:17" ht="12.75" customHeight="1">
      <c r="A265" s="195">
        <v>43865</v>
      </c>
      <c r="B265" s="17"/>
      <c r="C265" s="17">
        <v>4</v>
      </c>
      <c r="D265" s="17">
        <v>6</v>
      </c>
      <c r="E265" s="17">
        <f>IF(((C265="")*AND(D265="")),"",D265-C265)</f>
        <v>2</v>
      </c>
      <c r="F265" s="17">
        <v>0</v>
      </c>
      <c r="G265" s="17">
        <v>3</v>
      </c>
      <c r="H265" s="17">
        <f t="shared" si="11"/>
        <v>3</v>
      </c>
      <c r="I265" s="17"/>
      <c r="J265" s="17"/>
      <c r="K265" s="17"/>
      <c r="L265" s="17">
        <v>30</v>
      </c>
      <c r="M265" s="17">
        <v>19</v>
      </c>
      <c r="N265" s="19" t="str">
        <f>IF(E265="","",IF(E265&lt;=M265,"Pass","Fail"))</f>
        <v>Pass</v>
      </c>
      <c r="O265" s="188">
        <v>74</v>
      </c>
      <c r="P265" s="265" t="s">
        <v>531</v>
      </c>
      <c r="Q265" s="22"/>
    </row>
    <row r="266" spans="1:17" ht="12.75" customHeight="1">
      <c r="A266" s="195">
        <v>43867</v>
      </c>
      <c r="B266" s="17"/>
      <c r="C266" s="17">
        <v>4</v>
      </c>
      <c r="D266" s="17">
        <v>44</v>
      </c>
      <c r="E266" s="17">
        <f t="shared" si="8"/>
        <v>40</v>
      </c>
      <c r="F266" s="17"/>
      <c r="G266" s="17"/>
      <c r="H266" s="17"/>
      <c r="I266" s="17"/>
      <c r="J266" s="17"/>
      <c r="K266" s="17"/>
      <c r="L266" s="17">
        <v>30</v>
      </c>
      <c r="M266" s="17">
        <v>19</v>
      </c>
      <c r="N266" s="19" t="str">
        <f t="shared" si="10"/>
        <v>Fail</v>
      </c>
      <c r="O266" s="188">
        <v>1340</v>
      </c>
      <c r="P266" s="31"/>
      <c r="Q266" s="22"/>
    </row>
    <row r="267" spans="1:17" ht="12.75" customHeight="1">
      <c r="A267" s="195">
        <v>43867</v>
      </c>
      <c r="B267" s="17"/>
      <c r="C267" s="17">
        <v>13</v>
      </c>
      <c r="D267" s="17">
        <v>20</v>
      </c>
      <c r="E267" s="17">
        <f t="shared" si="8"/>
        <v>7</v>
      </c>
      <c r="F267" s="17"/>
      <c r="G267" s="17"/>
      <c r="H267" s="17"/>
      <c r="I267" s="17"/>
      <c r="J267" s="17"/>
      <c r="K267" s="17"/>
      <c r="L267" s="17">
        <v>30</v>
      </c>
      <c r="M267" s="17">
        <v>19</v>
      </c>
      <c r="N267" s="19" t="str">
        <f t="shared" si="10"/>
        <v>Pass</v>
      </c>
      <c r="O267" s="188">
        <v>64</v>
      </c>
      <c r="P267" s="31"/>
      <c r="Q267" s="22"/>
    </row>
    <row r="268" spans="1:17" ht="12.75" customHeight="1">
      <c r="A268" s="195">
        <v>43867</v>
      </c>
      <c r="B268" s="17"/>
      <c r="C268" s="17">
        <v>44</v>
      </c>
      <c r="D268" s="17">
        <v>51</v>
      </c>
      <c r="E268" s="17">
        <f t="shared" si="8"/>
        <v>7</v>
      </c>
      <c r="F268" s="17"/>
      <c r="G268" s="17"/>
      <c r="H268" s="17"/>
      <c r="I268" s="17"/>
      <c r="J268" s="17"/>
      <c r="K268" s="17"/>
      <c r="L268" s="17">
        <v>30</v>
      </c>
      <c r="M268" s="17">
        <v>19</v>
      </c>
      <c r="N268" s="19" t="str">
        <f t="shared" si="10"/>
        <v>Pass</v>
      </c>
      <c r="O268" s="188">
        <v>64</v>
      </c>
      <c r="P268" s="31"/>
      <c r="Q268" s="22"/>
    </row>
    <row r="269" spans="1:17" ht="12.75" customHeight="1">
      <c r="A269" s="195">
        <v>43871</v>
      </c>
      <c r="B269" s="17"/>
      <c r="C269" s="17">
        <v>3</v>
      </c>
      <c r="D269" s="17">
        <v>13</v>
      </c>
      <c r="E269" s="17">
        <f t="shared" si="8"/>
        <v>10</v>
      </c>
      <c r="F269" s="17">
        <v>0</v>
      </c>
      <c r="G269" s="17">
        <v>3</v>
      </c>
      <c r="H269" s="17">
        <f>G269-F269</f>
        <v>3</v>
      </c>
      <c r="I269" s="17"/>
      <c r="J269" s="17"/>
      <c r="K269" s="17"/>
      <c r="L269" s="17">
        <v>30</v>
      </c>
      <c r="M269" s="17">
        <v>19</v>
      </c>
      <c r="N269" s="19" t="str">
        <f t="shared" si="10"/>
        <v>Pass</v>
      </c>
      <c r="O269" s="188">
        <v>1340</v>
      </c>
      <c r="P269" s="265" t="s">
        <v>524</v>
      </c>
      <c r="Q269" s="22"/>
    </row>
    <row r="270" spans="1:17" ht="12.75" customHeight="1">
      <c r="A270" s="195">
        <v>43875</v>
      </c>
      <c r="B270" s="17"/>
      <c r="C270" s="17">
        <v>7</v>
      </c>
      <c r="D270" s="17">
        <v>77</v>
      </c>
      <c r="E270" s="17">
        <f t="shared" si="8"/>
        <v>70</v>
      </c>
      <c r="F270" s="17">
        <v>3</v>
      </c>
      <c r="G270" s="17">
        <v>66</v>
      </c>
      <c r="H270" s="17">
        <f t="shared" ref="H270:H275" si="12">G270-F270</f>
        <v>63</v>
      </c>
      <c r="I270" s="17"/>
      <c r="J270" s="17"/>
      <c r="K270" s="17"/>
      <c r="L270" s="17">
        <v>30</v>
      </c>
      <c r="M270" s="17">
        <v>19</v>
      </c>
      <c r="N270" s="19" t="str">
        <f>IF(E270="","",IF(E270&lt;=M270,"Pass","Fail"))</f>
        <v>Fail</v>
      </c>
      <c r="O270" s="188">
        <v>1159</v>
      </c>
      <c r="P270" s="265" t="s">
        <v>525</v>
      </c>
      <c r="Q270" s="22"/>
    </row>
    <row r="271" spans="1:17" ht="12.75" customHeight="1">
      <c r="A271" s="195">
        <v>43875</v>
      </c>
      <c r="B271" s="17"/>
      <c r="C271" s="17">
        <v>16</v>
      </c>
      <c r="D271" s="17">
        <v>31</v>
      </c>
      <c r="E271" s="17">
        <f>IF(((C271="")*AND(D271="")),"",D271-C271)</f>
        <v>15</v>
      </c>
      <c r="F271" s="17">
        <v>0</v>
      </c>
      <c r="G271" s="17">
        <v>20</v>
      </c>
      <c r="H271" s="17">
        <f t="shared" si="12"/>
        <v>20</v>
      </c>
      <c r="I271" s="17"/>
      <c r="J271" s="17"/>
      <c r="K271" s="17"/>
      <c r="L271" s="17">
        <v>30</v>
      </c>
      <c r="M271" s="17">
        <v>19</v>
      </c>
      <c r="N271" s="19" t="str">
        <f>IF(E271="","",IF(E271&lt;=M271,"Pass","Fail"))</f>
        <v>Pass</v>
      </c>
      <c r="O271" s="188">
        <v>1159</v>
      </c>
      <c r="P271" s="265" t="s">
        <v>526</v>
      </c>
      <c r="Q271" s="22"/>
    </row>
    <row r="272" spans="1:17" ht="12.75" customHeight="1">
      <c r="A272" s="195">
        <v>43875</v>
      </c>
      <c r="B272" s="17"/>
      <c r="C272" s="17">
        <v>33</v>
      </c>
      <c r="D272" s="17">
        <v>28</v>
      </c>
      <c r="E272" s="17">
        <f t="shared" si="8"/>
        <v>-5</v>
      </c>
      <c r="F272" s="17">
        <v>18</v>
      </c>
      <c r="G272" s="17">
        <v>19</v>
      </c>
      <c r="H272" s="17">
        <f t="shared" si="12"/>
        <v>1</v>
      </c>
      <c r="I272" s="17"/>
      <c r="J272" s="17"/>
      <c r="K272" s="17"/>
      <c r="L272" s="17">
        <v>30</v>
      </c>
      <c r="M272" s="17">
        <v>19</v>
      </c>
      <c r="N272" s="19" t="str">
        <f t="shared" si="10"/>
        <v>Pass</v>
      </c>
      <c r="O272" s="188">
        <v>1428</v>
      </c>
      <c r="P272" s="265" t="s">
        <v>527</v>
      </c>
      <c r="Q272" s="22"/>
    </row>
    <row r="273" spans="1:17" ht="12.75" customHeight="1">
      <c r="A273" s="195">
        <v>43881</v>
      </c>
      <c r="B273" s="17"/>
      <c r="C273" s="17">
        <v>6</v>
      </c>
      <c r="D273" s="17">
        <v>12</v>
      </c>
      <c r="E273" s="17">
        <f>IF(((C273="")*AND(D273="")),"",D273-C273)</f>
        <v>6</v>
      </c>
      <c r="F273" s="17">
        <v>0</v>
      </c>
      <c r="G273" s="17">
        <v>8</v>
      </c>
      <c r="H273" s="17">
        <f t="shared" si="12"/>
        <v>8</v>
      </c>
      <c r="I273" s="17">
        <v>0</v>
      </c>
      <c r="J273" s="17">
        <v>7</v>
      </c>
      <c r="K273" s="17">
        <f>J273-I273</f>
        <v>7</v>
      </c>
      <c r="L273" s="17">
        <v>30</v>
      </c>
      <c r="M273" s="17">
        <v>19</v>
      </c>
      <c r="N273" s="19" t="str">
        <f>IF(E273="","",IF(E273&lt;=M273,"Pass","Fail"))</f>
        <v>Pass</v>
      </c>
      <c r="O273" s="188">
        <v>1159</v>
      </c>
      <c r="P273" s="265" t="s">
        <v>528</v>
      </c>
      <c r="Q273" s="22"/>
    </row>
    <row r="274" spans="1:17" ht="12.75" customHeight="1">
      <c r="A274" s="195">
        <v>43885</v>
      </c>
      <c r="B274" s="17"/>
      <c r="C274" s="17">
        <v>0</v>
      </c>
      <c r="D274" s="17">
        <v>11</v>
      </c>
      <c r="E274" s="17">
        <f t="shared" si="8"/>
        <v>11</v>
      </c>
      <c r="F274" s="17"/>
      <c r="G274" s="17"/>
      <c r="H274" s="17"/>
      <c r="I274" s="17"/>
      <c r="J274" s="17"/>
      <c r="K274" s="17"/>
      <c r="L274" s="17">
        <v>30</v>
      </c>
      <c r="M274" s="17">
        <v>19</v>
      </c>
      <c r="N274" s="19" t="str">
        <f t="shared" si="10"/>
        <v>Pass</v>
      </c>
      <c r="O274" s="188">
        <v>1340</v>
      </c>
      <c r="P274" s="265" t="s">
        <v>407</v>
      </c>
      <c r="Q274" s="22"/>
    </row>
    <row r="275" spans="1:17" ht="12.75" customHeight="1">
      <c r="A275" s="195">
        <v>43889</v>
      </c>
      <c r="B275" s="17"/>
      <c r="C275" s="17">
        <v>20</v>
      </c>
      <c r="D275" s="17">
        <v>24</v>
      </c>
      <c r="E275" s="17">
        <f t="shared" si="8"/>
        <v>4</v>
      </c>
      <c r="F275" s="17">
        <v>1</v>
      </c>
      <c r="G275" s="17">
        <v>1</v>
      </c>
      <c r="H275" s="17">
        <f t="shared" si="12"/>
        <v>0</v>
      </c>
      <c r="I275" s="17"/>
      <c r="J275" s="17"/>
      <c r="K275" s="17"/>
      <c r="L275" s="17">
        <v>30</v>
      </c>
      <c r="M275" s="17">
        <v>19</v>
      </c>
      <c r="N275" s="19" t="str">
        <f t="shared" si="10"/>
        <v>Pass</v>
      </c>
      <c r="O275" s="188">
        <v>1335</v>
      </c>
      <c r="P275" s="265" t="s">
        <v>529</v>
      </c>
      <c r="Q275" s="22"/>
    </row>
    <row r="276" spans="1:17" ht="12.75" customHeight="1">
      <c r="A276" s="195">
        <v>43892</v>
      </c>
      <c r="B276" s="17"/>
      <c r="C276" s="17">
        <v>38</v>
      </c>
      <c r="D276" s="17">
        <v>55</v>
      </c>
      <c r="E276" s="17">
        <f t="shared" si="8"/>
        <v>17</v>
      </c>
      <c r="F276" s="17"/>
      <c r="G276" s="17"/>
      <c r="H276" s="17"/>
      <c r="I276" s="17"/>
      <c r="J276" s="17"/>
      <c r="K276" s="17"/>
      <c r="L276" s="17">
        <v>30</v>
      </c>
      <c r="M276" s="17">
        <v>19</v>
      </c>
      <c r="N276" s="19" t="str">
        <f t="shared" si="10"/>
        <v>Pass</v>
      </c>
      <c r="O276" s="188">
        <v>1340</v>
      </c>
      <c r="P276" s="265" t="s">
        <v>410</v>
      </c>
      <c r="Q276" s="22"/>
    </row>
    <row r="277" spans="1:17" ht="12.75" customHeight="1">
      <c r="A277" s="195">
        <v>43895</v>
      </c>
      <c r="B277" s="17"/>
      <c r="C277" s="17">
        <v>3</v>
      </c>
      <c r="D277" s="17">
        <v>15</v>
      </c>
      <c r="E277" s="17">
        <f t="shared" si="8"/>
        <v>12</v>
      </c>
      <c r="F277" s="17"/>
      <c r="G277" s="17"/>
      <c r="H277" s="17"/>
      <c r="I277" s="17"/>
      <c r="J277" s="17"/>
      <c r="K277" s="17"/>
      <c r="L277" s="17">
        <v>30</v>
      </c>
      <c r="M277" s="17">
        <v>19</v>
      </c>
      <c r="N277" s="19" t="str">
        <f t="shared" si="10"/>
        <v>Pass</v>
      </c>
      <c r="O277" s="188">
        <v>1340</v>
      </c>
      <c r="P277" s="265" t="s">
        <v>412</v>
      </c>
      <c r="Q277" s="22"/>
    </row>
    <row r="278" spans="1:17" ht="12.75" customHeight="1">
      <c r="A278" s="195">
        <v>43899</v>
      </c>
      <c r="B278" s="17"/>
      <c r="C278" s="17">
        <v>14</v>
      </c>
      <c r="D278" s="17">
        <v>25</v>
      </c>
      <c r="E278" s="17">
        <f t="shared" si="8"/>
        <v>11</v>
      </c>
      <c r="F278" s="17"/>
      <c r="G278" s="17"/>
      <c r="H278" s="17"/>
      <c r="I278" s="17"/>
      <c r="J278" s="17"/>
      <c r="K278" s="17"/>
      <c r="L278" s="17">
        <v>30</v>
      </c>
      <c r="M278" s="17">
        <v>19</v>
      </c>
      <c r="N278" s="19" t="str">
        <f t="shared" si="10"/>
        <v>Pass</v>
      </c>
      <c r="O278" s="188">
        <v>1340</v>
      </c>
      <c r="P278" s="265" t="s">
        <v>414</v>
      </c>
      <c r="Q278" s="22"/>
    </row>
    <row r="279" spans="1:17" ht="12.75" customHeight="1">
      <c r="A279" s="195">
        <v>43902</v>
      </c>
      <c r="B279" s="17"/>
      <c r="C279" s="17">
        <v>39</v>
      </c>
      <c r="D279" s="17">
        <v>16</v>
      </c>
      <c r="E279" s="17">
        <f>IF(((C279="")*AND(D279="")),"",D279-C279)</f>
        <v>-23</v>
      </c>
      <c r="F279" s="17"/>
      <c r="G279" s="17"/>
      <c r="H279" s="17"/>
      <c r="I279" s="17"/>
      <c r="J279" s="17"/>
      <c r="K279" s="17"/>
      <c r="L279" s="17">
        <v>30</v>
      </c>
      <c r="M279" s="17">
        <v>19</v>
      </c>
      <c r="N279" s="19" t="str">
        <f>IF(E279="","",IF(E279&lt;=M279,"Pass","Fail"))</f>
        <v>Pass</v>
      </c>
      <c r="O279" s="188">
        <v>1159</v>
      </c>
      <c r="P279" s="265" t="s">
        <v>416</v>
      </c>
      <c r="Q279" s="22"/>
    </row>
    <row r="280" spans="1:17" ht="12.75" customHeight="1">
      <c r="A280" s="195">
        <v>43906</v>
      </c>
      <c r="B280" s="17"/>
      <c r="C280" s="17">
        <v>15</v>
      </c>
      <c r="D280" s="17">
        <v>33</v>
      </c>
      <c r="E280" s="17">
        <f t="shared" si="8"/>
        <v>18</v>
      </c>
      <c r="F280" s="17"/>
      <c r="G280" s="17"/>
      <c r="H280" s="17"/>
      <c r="I280" s="17"/>
      <c r="J280" s="17"/>
      <c r="K280" s="17"/>
      <c r="L280" s="17">
        <v>30</v>
      </c>
      <c r="M280" s="17">
        <v>19</v>
      </c>
      <c r="N280" s="19" t="str">
        <f t="shared" si="10"/>
        <v>Pass</v>
      </c>
      <c r="O280" s="188">
        <v>1428</v>
      </c>
      <c r="P280" s="265" t="s">
        <v>418</v>
      </c>
      <c r="Q280" s="22"/>
    </row>
    <row r="281" spans="1:17" ht="12.75" customHeight="1">
      <c r="A281" s="195">
        <v>43909</v>
      </c>
      <c r="B281" s="17"/>
      <c r="C281" s="17">
        <v>42</v>
      </c>
      <c r="D281" s="17">
        <v>58</v>
      </c>
      <c r="E281" s="17">
        <f t="shared" si="8"/>
        <v>16</v>
      </c>
      <c r="F281" s="17"/>
      <c r="G281" s="17"/>
      <c r="H281" s="17"/>
      <c r="I281" s="17"/>
      <c r="J281" s="17"/>
      <c r="K281" s="17"/>
      <c r="L281" s="17">
        <v>30</v>
      </c>
      <c r="M281" s="17">
        <v>19</v>
      </c>
      <c r="N281" s="19" t="str">
        <f t="shared" si="10"/>
        <v>Pass</v>
      </c>
      <c r="O281" s="188">
        <v>1428</v>
      </c>
      <c r="P281" s="31"/>
      <c r="Q281" s="22"/>
    </row>
    <row r="282" spans="1:17" ht="12.75" customHeight="1">
      <c r="A282" s="195">
        <v>43949</v>
      </c>
      <c r="B282" s="17"/>
      <c r="C282" s="17">
        <v>1</v>
      </c>
      <c r="D282" s="17">
        <v>23</v>
      </c>
      <c r="E282" s="17">
        <f t="shared" si="8"/>
        <v>22</v>
      </c>
      <c r="F282" s="17"/>
      <c r="G282" s="17"/>
      <c r="H282" s="17"/>
      <c r="I282" s="17"/>
      <c r="J282" s="17"/>
      <c r="K282" s="17"/>
      <c r="L282" s="17">
        <v>30</v>
      </c>
      <c r="M282" s="17">
        <v>19</v>
      </c>
      <c r="N282" s="19" t="str">
        <f t="shared" si="10"/>
        <v>Fail</v>
      </c>
      <c r="O282" s="188">
        <v>121</v>
      </c>
      <c r="P282" s="265" t="s">
        <v>421</v>
      </c>
      <c r="Q282" s="22" t="s">
        <v>420</v>
      </c>
    </row>
    <row r="283" spans="1:17" ht="12.75" customHeight="1">
      <c r="A283" s="195">
        <v>43949</v>
      </c>
      <c r="B283" s="17"/>
      <c r="C283" s="17">
        <v>23</v>
      </c>
      <c r="D283" s="17">
        <v>24</v>
      </c>
      <c r="E283" s="17">
        <f t="shared" si="8"/>
        <v>1</v>
      </c>
      <c r="F283" s="17"/>
      <c r="G283" s="17"/>
      <c r="H283" s="17"/>
      <c r="I283" s="17"/>
      <c r="J283" s="17"/>
      <c r="K283" s="17"/>
      <c r="L283" s="17">
        <v>30</v>
      </c>
      <c r="M283" s="17">
        <v>19</v>
      </c>
      <c r="N283" s="19" t="str">
        <f t="shared" si="10"/>
        <v>Pass</v>
      </c>
      <c r="O283" s="188">
        <v>121</v>
      </c>
      <c r="P283" s="265" t="s">
        <v>422</v>
      </c>
      <c r="Q283" s="22" t="s">
        <v>423</v>
      </c>
    </row>
    <row r="284" spans="1:17" ht="12.75" customHeight="1">
      <c r="A284" s="195">
        <v>43949</v>
      </c>
      <c r="B284" s="17"/>
      <c r="C284" s="17">
        <v>24</v>
      </c>
      <c r="D284" s="17">
        <v>34</v>
      </c>
      <c r="E284" s="17">
        <f t="shared" si="8"/>
        <v>10</v>
      </c>
      <c r="F284" s="17"/>
      <c r="G284" s="17"/>
      <c r="H284" s="17"/>
      <c r="I284" s="17"/>
      <c r="J284" s="17"/>
      <c r="K284" s="17"/>
      <c r="L284" s="17">
        <v>30</v>
      </c>
      <c r="M284" s="17">
        <v>19</v>
      </c>
      <c r="N284" s="19" t="str">
        <f t="shared" si="10"/>
        <v>Pass</v>
      </c>
      <c r="O284" s="188">
        <v>121</v>
      </c>
      <c r="P284" s="265" t="s">
        <v>424</v>
      </c>
      <c r="Q284" s="22" t="s">
        <v>425</v>
      </c>
    </row>
    <row r="285" spans="1:17" ht="12.75" customHeight="1">
      <c r="A285" s="195">
        <v>43957</v>
      </c>
      <c r="B285" s="17"/>
      <c r="C285" s="17">
        <v>0</v>
      </c>
      <c r="D285" s="17">
        <v>17</v>
      </c>
      <c r="E285" s="17">
        <f t="shared" si="8"/>
        <v>17</v>
      </c>
      <c r="F285" s="17"/>
      <c r="G285" s="17"/>
      <c r="H285" s="17"/>
      <c r="I285" s="17"/>
      <c r="J285" s="17"/>
      <c r="K285" s="17"/>
      <c r="L285" s="17">
        <v>30</v>
      </c>
      <c r="M285" s="17">
        <v>19</v>
      </c>
      <c r="N285" s="19" t="str">
        <f t="shared" si="10"/>
        <v>Pass</v>
      </c>
      <c r="O285" s="188">
        <v>1428</v>
      </c>
      <c r="P285" s="265" t="s">
        <v>426</v>
      </c>
      <c r="Q285" s="22"/>
    </row>
    <row r="286" spans="1:17" ht="12.75" customHeight="1">
      <c r="A286" s="195">
        <v>43963</v>
      </c>
      <c r="B286" s="17"/>
      <c r="C286" s="17">
        <v>2</v>
      </c>
      <c r="D286" s="17">
        <v>25</v>
      </c>
      <c r="E286" s="17">
        <f t="shared" si="8"/>
        <v>23</v>
      </c>
      <c r="F286" s="17"/>
      <c r="G286" s="17"/>
      <c r="H286" s="17"/>
      <c r="I286" s="17"/>
      <c r="J286" s="17"/>
      <c r="K286" s="17"/>
      <c r="L286" s="17">
        <v>30</v>
      </c>
      <c r="M286" s="17">
        <v>19</v>
      </c>
      <c r="N286" s="19" t="str">
        <f t="shared" si="10"/>
        <v>Fail</v>
      </c>
      <c r="O286" s="188" t="s">
        <v>430</v>
      </c>
      <c r="P286" s="31"/>
      <c r="Q286" s="22"/>
    </row>
    <row r="287" spans="1:17" ht="12.75" customHeight="1">
      <c r="A287" s="195">
        <v>43963</v>
      </c>
      <c r="B287" s="17"/>
      <c r="C287" s="17">
        <v>24</v>
      </c>
      <c r="D287" s="17">
        <v>17</v>
      </c>
      <c r="E287" s="17">
        <f t="shared" si="8"/>
        <v>-7</v>
      </c>
      <c r="F287" s="17"/>
      <c r="G287" s="17"/>
      <c r="H287" s="17"/>
      <c r="I287" s="17"/>
      <c r="J287" s="17"/>
      <c r="K287" s="17"/>
      <c r="L287" s="17">
        <v>30</v>
      </c>
      <c r="M287" s="17">
        <v>19</v>
      </c>
      <c r="N287" s="19" t="str">
        <f t="shared" si="10"/>
        <v>Pass</v>
      </c>
      <c r="O287" s="188">
        <v>121</v>
      </c>
      <c r="P287" s="31"/>
      <c r="Q287" s="22"/>
    </row>
    <row r="288" spans="1:17" ht="12.75" customHeight="1">
      <c r="A288" s="195">
        <v>43963</v>
      </c>
      <c r="B288" s="17"/>
      <c r="C288" s="17">
        <v>17</v>
      </c>
      <c r="D288" s="17">
        <v>22</v>
      </c>
      <c r="E288" s="17">
        <f t="shared" ref="E288:E344" si="13">IF(((C288="")*AND(D288="")),"",D288-C288)</f>
        <v>5</v>
      </c>
      <c r="F288" s="17"/>
      <c r="G288" s="17"/>
      <c r="H288" s="17"/>
      <c r="I288" s="17"/>
      <c r="J288" s="17"/>
      <c r="K288" s="17"/>
      <c r="L288" s="17">
        <v>30</v>
      </c>
      <c r="M288" s="17">
        <v>19</v>
      </c>
      <c r="N288" s="19" t="str">
        <f t="shared" si="10"/>
        <v>Pass</v>
      </c>
      <c r="O288" s="188">
        <v>121</v>
      </c>
      <c r="P288" s="31"/>
      <c r="Q288" s="22" t="s">
        <v>429</v>
      </c>
    </row>
    <row r="289" spans="1:17" ht="12.75" customHeight="1">
      <c r="A289" s="195">
        <v>43969</v>
      </c>
      <c r="B289" s="17"/>
      <c r="C289" s="17">
        <v>25</v>
      </c>
      <c r="D289" s="17">
        <v>28</v>
      </c>
      <c r="E289" s="17">
        <f t="shared" si="13"/>
        <v>3</v>
      </c>
      <c r="F289" s="17"/>
      <c r="G289" s="17"/>
      <c r="H289" s="17"/>
      <c r="I289" s="17"/>
      <c r="J289" s="17"/>
      <c r="K289" s="17"/>
      <c r="L289" s="17">
        <v>30</v>
      </c>
      <c r="M289" s="17">
        <v>19</v>
      </c>
      <c r="N289" s="19" t="str">
        <f t="shared" si="10"/>
        <v>Pass</v>
      </c>
      <c r="O289" s="188">
        <v>1428</v>
      </c>
      <c r="P289" s="265" t="s">
        <v>431</v>
      </c>
      <c r="Q289" s="22"/>
    </row>
    <row r="290" spans="1:17" ht="12.75" customHeight="1">
      <c r="A290" s="195">
        <v>43973</v>
      </c>
      <c r="B290" s="17"/>
      <c r="C290" s="17">
        <v>3</v>
      </c>
      <c r="D290" s="17">
        <v>18</v>
      </c>
      <c r="E290" s="17">
        <f t="shared" ref="E290" si="14">IF(((C290="")*AND(D290="")),"",D290-C290)</f>
        <v>15</v>
      </c>
      <c r="F290" s="17"/>
      <c r="G290" s="17"/>
      <c r="H290" s="17"/>
      <c r="I290" s="17"/>
      <c r="J290" s="17"/>
      <c r="K290" s="17"/>
      <c r="L290" s="17">
        <v>30</v>
      </c>
      <c r="M290" s="17">
        <v>19</v>
      </c>
      <c r="N290" s="19" t="str">
        <f t="shared" ref="N290" si="15">IF(E290="","",IF(E290&lt;=M290,"Pass","Fail"))</f>
        <v>Pass</v>
      </c>
      <c r="O290" s="188">
        <v>1335</v>
      </c>
      <c r="P290" s="265" t="s">
        <v>433</v>
      </c>
      <c r="Q290" s="22"/>
    </row>
    <row r="291" spans="1:17" ht="12.75" customHeight="1">
      <c r="A291" s="195">
        <v>43977</v>
      </c>
      <c r="B291" s="17"/>
      <c r="C291" s="17">
        <v>0</v>
      </c>
      <c r="D291" s="17">
        <v>14</v>
      </c>
      <c r="E291" s="17">
        <f t="shared" si="13"/>
        <v>14</v>
      </c>
      <c r="F291" s="17"/>
      <c r="G291" s="17"/>
      <c r="H291" s="17"/>
      <c r="I291" s="17"/>
      <c r="J291" s="17"/>
      <c r="K291" s="17"/>
      <c r="L291" s="17">
        <v>30</v>
      </c>
      <c r="M291" s="17">
        <v>19</v>
      </c>
      <c r="N291" s="19" t="str">
        <f t="shared" si="10"/>
        <v>Pass</v>
      </c>
      <c r="O291" s="188">
        <v>1428</v>
      </c>
      <c r="P291" s="265" t="s">
        <v>431</v>
      </c>
      <c r="Q291" s="22"/>
    </row>
    <row r="292" spans="1:17" ht="12.75" customHeight="1">
      <c r="A292" s="195">
        <v>43980</v>
      </c>
      <c r="B292" s="17"/>
      <c r="C292" s="17">
        <v>14</v>
      </c>
      <c r="D292" s="17">
        <v>21</v>
      </c>
      <c r="E292" s="17">
        <f t="shared" si="13"/>
        <v>7</v>
      </c>
      <c r="F292" s="17"/>
      <c r="G292" s="17"/>
      <c r="H292" s="17"/>
      <c r="I292" s="17"/>
      <c r="J292" s="17"/>
      <c r="K292" s="17"/>
      <c r="L292" s="17">
        <v>30</v>
      </c>
      <c r="M292" s="17">
        <v>19</v>
      </c>
      <c r="N292" s="19" t="str">
        <f t="shared" si="10"/>
        <v>Pass</v>
      </c>
      <c r="O292" s="188">
        <v>1428</v>
      </c>
      <c r="P292" s="265" t="s">
        <v>434</v>
      </c>
      <c r="Q292" s="22"/>
    </row>
    <row r="293" spans="1:17" ht="12.75" customHeight="1">
      <c r="A293" s="195">
        <v>43983</v>
      </c>
      <c r="B293" s="17"/>
      <c r="C293" s="17">
        <v>5</v>
      </c>
      <c r="D293" s="17">
        <v>19</v>
      </c>
      <c r="E293" s="17">
        <f t="shared" si="13"/>
        <v>14</v>
      </c>
      <c r="F293" s="17"/>
      <c r="G293" s="17"/>
      <c r="H293" s="17"/>
      <c r="I293" s="17"/>
      <c r="J293" s="17"/>
      <c r="K293" s="17"/>
      <c r="L293" s="17">
        <v>30</v>
      </c>
      <c r="M293" s="17">
        <v>19</v>
      </c>
      <c r="N293" s="19" t="str">
        <f t="shared" si="10"/>
        <v>Pass</v>
      </c>
      <c r="O293" s="188">
        <v>1335</v>
      </c>
      <c r="P293" s="265" t="s">
        <v>440</v>
      </c>
      <c r="Q293" s="22"/>
    </row>
    <row r="294" spans="1:17" ht="12.75" customHeight="1">
      <c r="A294" s="195">
        <v>43983</v>
      </c>
      <c r="B294" s="17"/>
      <c r="C294" s="17">
        <v>4</v>
      </c>
      <c r="D294" s="17">
        <v>22</v>
      </c>
      <c r="E294" s="17">
        <f t="shared" ref="E294" si="16">IF(((C294="")*AND(D294="")),"",D294-C294)</f>
        <v>18</v>
      </c>
      <c r="F294" s="17"/>
      <c r="G294" s="17"/>
      <c r="H294" s="17"/>
      <c r="I294" s="17"/>
      <c r="J294" s="17"/>
      <c r="K294" s="17"/>
      <c r="L294" s="17">
        <v>30</v>
      </c>
      <c r="M294" s="17">
        <v>19</v>
      </c>
      <c r="N294" s="19" t="str">
        <f t="shared" ref="N294" si="17">IF(E294="","",IF(E294&lt;=M294,"Pass","Fail"))</f>
        <v>Pass</v>
      </c>
      <c r="O294" s="188">
        <v>1340</v>
      </c>
      <c r="P294" s="265" t="s">
        <v>442</v>
      </c>
      <c r="Q294" s="22"/>
    </row>
    <row r="295" spans="1:17" ht="12.75" customHeight="1">
      <c r="A295" s="195">
        <v>43990</v>
      </c>
      <c r="B295" s="17"/>
      <c r="C295" s="17">
        <v>2</v>
      </c>
      <c r="D295" s="17">
        <v>32</v>
      </c>
      <c r="E295" s="17">
        <f t="shared" ref="E295" si="18">IF(((C295="")*AND(D295="")),"",D295-C295)</f>
        <v>30</v>
      </c>
      <c r="F295" s="17"/>
      <c r="G295" s="17"/>
      <c r="H295" s="17"/>
      <c r="I295" s="17"/>
      <c r="J295" s="17"/>
      <c r="K295" s="17"/>
      <c r="L295" s="17">
        <v>30</v>
      </c>
      <c r="M295" s="17">
        <v>19</v>
      </c>
      <c r="N295" s="19" t="str">
        <f t="shared" ref="N295" si="19">IF(E295="","",IF(E295&lt;=M295,"Pass","Fail"))</f>
        <v>Fail</v>
      </c>
      <c r="O295" s="188">
        <v>1159</v>
      </c>
      <c r="P295" s="265" t="s">
        <v>443</v>
      </c>
      <c r="Q295" s="22"/>
    </row>
    <row r="296" spans="1:17" ht="12.75" customHeight="1">
      <c r="A296" s="195">
        <v>43990</v>
      </c>
      <c r="B296" s="17"/>
      <c r="C296" s="17">
        <v>1</v>
      </c>
      <c r="D296" s="17">
        <v>44</v>
      </c>
      <c r="E296" s="17">
        <f t="shared" ref="E296:E297" si="20">IF(((C296="")*AND(D296="")),"",D296-C296)</f>
        <v>43</v>
      </c>
      <c r="F296" s="17"/>
      <c r="G296" s="17"/>
      <c r="H296" s="17"/>
      <c r="I296" s="17"/>
      <c r="J296" s="17"/>
      <c r="K296" s="17"/>
      <c r="L296" s="17">
        <v>30</v>
      </c>
      <c r="M296" s="17">
        <v>19</v>
      </c>
      <c r="N296" s="19" t="str">
        <f t="shared" ref="N296:N297" si="21">IF(E296="","",IF(E296&lt;=M296,"Pass","Fail"))</f>
        <v>Fail</v>
      </c>
      <c r="O296" s="188">
        <v>1159</v>
      </c>
      <c r="P296" s="265" t="s">
        <v>444</v>
      </c>
      <c r="Q296" s="22"/>
    </row>
    <row r="297" spans="1:17" ht="12.75" customHeight="1">
      <c r="A297" s="195">
        <v>43990</v>
      </c>
      <c r="B297" s="17"/>
      <c r="C297" s="17">
        <v>2</v>
      </c>
      <c r="D297" s="17">
        <v>23</v>
      </c>
      <c r="E297" s="17">
        <f t="shared" si="20"/>
        <v>21</v>
      </c>
      <c r="F297" s="17"/>
      <c r="G297" s="17"/>
      <c r="H297" s="17"/>
      <c r="I297" s="17"/>
      <c r="J297" s="17"/>
      <c r="K297" s="17"/>
      <c r="L297" s="17">
        <v>30</v>
      </c>
      <c r="M297" s="17">
        <v>19</v>
      </c>
      <c r="N297" s="19" t="str">
        <f t="shared" si="21"/>
        <v>Fail</v>
      </c>
      <c r="O297" s="188">
        <v>1159</v>
      </c>
      <c r="P297" s="265" t="s">
        <v>445</v>
      </c>
      <c r="Q297" s="22"/>
    </row>
    <row r="298" spans="1:17" ht="12.75" customHeight="1">
      <c r="A298" s="195">
        <v>43990</v>
      </c>
      <c r="B298" s="17"/>
      <c r="C298" s="17">
        <v>23</v>
      </c>
      <c r="D298" s="17">
        <v>30</v>
      </c>
      <c r="E298" s="17">
        <f t="shared" ref="E298" si="22">IF(((C298="")*AND(D298="")),"",D298-C298)</f>
        <v>7</v>
      </c>
      <c r="F298" s="17"/>
      <c r="G298" s="17"/>
      <c r="H298" s="17"/>
      <c r="I298" s="17"/>
      <c r="J298" s="17"/>
      <c r="K298" s="17"/>
      <c r="L298" s="17">
        <v>30</v>
      </c>
      <c r="M298" s="17">
        <v>19</v>
      </c>
      <c r="N298" s="19" t="str">
        <f t="shared" ref="N298" si="23">IF(E298="","",IF(E298&lt;=M298,"Pass","Fail"))</f>
        <v>Pass</v>
      </c>
      <c r="O298" s="188">
        <v>1159</v>
      </c>
      <c r="P298" s="265" t="s">
        <v>446</v>
      </c>
      <c r="Q298" s="22"/>
    </row>
    <row r="299" spans="1:17" ht="12.75" customHeight="1">
      <c r="A299" s="195">
        <v>43990</v>
      </c>
      <c r="B299" s="17"/>
      <c r="C299" s="17">
        <v>30</v>
      </c>
      <c r="D299" s="17">
        <v>43</v>
      </c>
      <c r="E299" s="17">
        <f t="shared" ref="E299" si="24">IF(((C299="")*AND(D299="")),"",D299-C299)</f>
        <v>13</v>
      </c>
      <c r="F299" s="17"/>
      <c r="G299" s="17"/>
      <c r="H299" s="17"/>
      <c r="I299" s="17"/>
      <c r="J299" s="17"/>
      <c r="K299" s="17"/>
      <c r="L299" s="17">
        <v>30</v>
      </c>
      <c r="M299" s="17">
        <v>19</v>
      </c>
      <c r="N299" s="19" t="str">
        <f t="shared" ref="N299" si="25">IF(E299="","",IF(E299&lt;=M299,"Pass","Fail"))</f>
        <v>Pass</v>
      </c>
      <c r="O299" s="188">
        <v>1159</v>
      </c>
      <c r="P299" s="265" t="s">
        <v>447</v>
      </c>
      <c r="Q299" s="22"/>
    </row>
    <row r="300" spans="1:17" ht="12.75" customHeight="1">
      <c r="A300" s="195">
        <v>43993</v>
      </c>
      <c r="B300" s="17"/>
      <c r="C300" s="17">
        <v>2</v>
      </c>
      <c r="D300" s="17">
        <v>9</v>
      </c>
      <c r="E300" s="17">
        <f t="shared" ref="E300" si="26">IF(((C300="")*AND(D300="")),"",D300-C300)</f>
        <v>7</v>
      </c>
      <c r="F300" s="17"/>
      <c r="G300" s="17"/>
      <c r="H300" s="17"/>
      <c r="I300" s="17"/>
      <c r="J300" s="17"/>
      <c r="K300" s="17"/>
      <c r="L300" s="17">
        <v>30</v>
      </c>
      <c r="M300" s="17">
        <v>19</v>
      </c>
      <c r="N300" s="19" t="str">
        <f t="shared" ref="N300" si="27">IF(E300="","",IF(E300&lt;=M300,"Pass","Fail"))</f>
        <v>Pass</v>
      </c>
      <c r="O300" s="188">
        <v>1159</v>
      </c>
      <c r="P300" s="265" t="s">
        <v>449</v>
      </c>
      <c r="Q300" s="22"/>
    </row>
    <row r="301" spans="1:17" ht="12.75" customHeight="1">
      <c r="A301" s="195">
        <v>43997</v>
      </c>
      <c r="B301" s="17"/>
      <c r="C301" s="17">
        <v>2</v>
      </c>
      <c r="D301" s="17">
        <v>15</v>
      </c>
      <c r="E301" s="17">
        <f t="shared" ref="E301" si="28">IF(((C301="")*AND(D301="")),"",D301-C301)</f>
        <v>13</v>
      </c>
      <c r="F301" s="17"/>
      <c r="G301" s="17"/>
      <c r="H301" s="17"/>
      <c r="I301" s="17"/>
      <c r="J301" s="17"/>
      <c r="K301" s="17"/>
      <c r="L301" s="17">
        <v>30</v>
      </c>
      <c r="M301" s="17">
        <v>19</v>
      </c>
      <c r="N301" s="19" t="str">
        <f t="shared" ref="N301" si="29">IF(E301="","",IF(E301&lt;=M301,"Pass","Fail"))</f>
        <v>Pass</v>
      </c>
      <c r="O301" s="188">
        <v>1335</v>
      </c>
      <c r="P301" s="265" t="s">
        <v>451</v>
      </c>
      <c r="Q301" s="22"/>
    </row>
    <row r="302" spans="1:17" ht="12.75" customHeight="1">
      <c r="A302" s="195">
        <v>44007</v>
      </c>
      <c r="B302" s="17"/>
      <c r="C302" s="17">
        <v>5</v>
      </c>
      <c r="D302" s="17">
        <v>24</v>
      </c>
      <c r="E302" s="17">
        <f t="shared" ref="E302" si="30">IF(((C302="")*AND(D302="")),"",D302-C302)</f>
        <v>19</v>
      </c>
      <c r="F302" s="17"/>
      <c r="G302" s="17"/>
      <c r="H302" s="17"/>
      <c r="I302" s="17"/>
      <c r="J302" s="17"/>
      <c r="K302" s="17"/>
      <c r="L302" s="17">
        <v>30</v>
      </c>
      <c r="M302" s="17">
        <v>19</v>
      </c>
      <c r="N302" s="19" t="str">
        <f t="shared" ref="N302" si="31">IF(E302="","",IF(E302&lt;=M302,"Pass","Fail"))</f>
        <v>Pass</v>
      </c>
      <c r="O302" s="188">
        <v>1335</v>
      </c>
      <c r="P302" s="265" t="s">
        <v>453</v>
      </c>
      <c r="Q302" s="22"/>
    </row>
    <row r="303" spans="1:17" ht="12.75" customHeight="1">
      <c r="A303" s="195">
        <v>44007</v>
      </c>
      <c r="B303" s="17"/>
      <c r="C303" s="17">
        <v>2</v>
      </c>
      <c r="D303" s="17">
        <v>20</v>
      </c>
      <c r="E303" s="17">
        <f t="shared" ref="E303" si="32">IF(((C303="")*AND(D303="")),"",D303-C303)</f>
        <v>18</v>
      </c>
      <c r="F303" s="17"/>
      <c r="G303" s="17"/>
      <c r="H303" s="17"/>
      <c r="I303" s="17"/>
      <c r="J303" s="17"/>
      <c r="K303" s="17"/>
      <c r="L303" s="17">
        <v>30</v>
      </c>
      <c r="M303" s="17">
        <v>19</v>
      </c>
      <c r="N303" s="19" t="str">
        <f t="shared" ref="N303" si="33">IF(E303="","",IF(E303&lt;=M303,"Pass","Fail"))</f>
        <v>Pass</v>
      </c>
      <c r="O303" s="188">
        <v>1335</v>
      </c>
      <c r="P303" s="265" t="s">
        <v>455</v>
      </c>
      <c r="Q303" s="22"/>
    </row>
    <row r="304" spans="1:17" ht="12.75" customHeight="1">
      <c r="A304" s="195">
        <v>44015</v>
      </c>
      <c r="B304" s="17"/>
      <c r="C304" s="17">
        <v>0</v>
      </c>
      <c r="D304" s="17">
        <v>10</v>
      </c>
      <c r="E304" s="17">
        <f t="shared" ref="E304" si="34">IF(((C304="")*AND(D304="")),"",D304-C304)</f>
        <v>10</v>
      </c>
      <c r="F304" s="17"/>
      <c r="G304" s="17"/>
      <c r="H304" s="17"/>
      <c r="I304" s="17"/>
      <c r="J304" s="17"/>
      <c r="K304" s="17"/>
      <c r="L304" s="17">
        <v>30</v>
      </c>
      <c r="M304" s="17">
        <v>19</v>
      </c>
      <c r="N304" s="19" t="str">
        <f t="shared" ref="N304" si="35">IF(E304="","",IF(E304&lt;=M304,"Pass","Fail"))</f>
        <v>Pass</v>
      </c>
      <c r="O304" s="188">
        <v>1335</v>
      </c>
      <c r="P304" s="265" t="s">
        <v>457</v>
      </c>
      <c r="Q304" s="22"/>
    </row>
    <row r="305" spans="1:17" ht="12.75" customHeight="1">
      <c r="A305" s="195">
        <v>44019</v>
      </c>
      <c r="B305" s="17"/>
      <c r="C305" s="17">
        <v>2</v>
      </c>
      <c r="D305" s="17">
        <v>35</v>
      </c>
      <c r="E305" s="17">
        <f t="shared" ref="E305" si="36">IF(((C305="")*AND(D305="")),"",D305-C305)</f>
        <v>33</v>
      </c>
      <c r="F305" s="17"/>
      <c r="G305" s="17"/>
      <c r="H305" s="17"/>
      <c r="I305" s="17"/>
      <c r="J305" s="17"/>
      <c r="K305" s="17"/>
      <c r="L305" s="17">
        <v>30</v>
      </c>
      <c r="M305" s="17">
        <v>19</v>
      </c>
      <c r="N305" s="19" t="str">
        <f t="shared" ref="N305" si="37">IF(E305="","",IF(E305&lt;=M305,"Pass","Fail"))</f>
        <v>Fail</v>
      </c>
      <c r="O305" s="188">
        <v>1340</v>
      </c>
      <c r="P305" s="265" t="s">
        <v>459</v>
      </c>
      <c r="Q305" s="22"/>
    </row>
    <row r="306" spans="1:17" ht="12.75" customHeight="1">
      <c r="A306" s="195">
        <v>44019</v>
      </c>
      <c r="B306" s="17"/>
      <c r="C306" s="17">
        <v>1</v>
      </c>
      <c r="D306" s="17">
        <v>32</v>
      </c>
      <c r="E306" s="17">
        <f t="shared" ref="E306" si="38">IF(((C306="")*AND(D306="")),"",D306-C306)</f>
        <v>31</v>
      </c>
      <c r="F306" s="17"/>
      <c r="G306" s="17"/>
      <c r="H306" s="17"/>
      <c r="I306" s="17"/>
      <c r="J306" s="17"/>
      <c r="K306" s="17"/>
      <c r="L306" s="17">
        <v>30</v>
      </c>
      <c r="M306" s="17">
        <v>19</v>
      </c>
      <c r="N306" s="19" t="str">
        <f t="shared" ref="N306" si="39">IF(E306="","",IF(E306&lt;=M306,"Pass","Fail"))</f>
        <v>Fail</v>
      </c>
      <c r="O306" s="188">
        <v>1340</v>
      </c>
      <c r="P306" s="265" t="s">
        <v>460</v>
      </c>
      <c r="Q306" s="22"/>
    </row>
    <row r="307" spans="1:17" ht="12.75" customHeight="1">
      <c r="A307" s="195">
        <v>44022</v>
      </c>
      <c r="B307" s="17"/>
      <c r="C307" s="17">
        <v>1</v>
      </c>
      <c r="D307" s="17">
        <v>9</v>
      </c>
      <c r="E307" s="17">
        <f t="shared" si="13"/>
        <v>8</v>
      </c>
      <c r="F307" s="17"/>
      <c r="G307" s="17"/>
      <c r="H307" s="17"/>
      <c r="I307" s="17"/>
      <c r="J307" s="17"/>
      <c r="K307" s="17"/>
      <c r="L307" s="17">
        <v>30</v>
      </c>
      <c r="M307" s="17">
        <v>19</v>
      </c>
      <c r="N307" s="19" t="str">
        <f t="shared" si="10"/>
        <v>Pass</v>
      </c>
      <c r="O307" s="188">
        <v>121</v>
      </c>
      <c r="P307" s="265" t="s">
        <v>461</v>
      </c>
      <c r="Q307" s="22" t="s">
        <v>463</v>
      </c>
    </row>
    <row r="308" spans="1:17" ht="12.75" customHeight="1">
      <c r="A308" s="195">
        <v>44022</v>
      </c>
      <c r="B308" s="17"/>
      <c r="C308" s="17">
        <v>10</v>
      </c>
      <c r="D308" s="17">
        <v>16</v>
      </c>
      <c r="E308" s="17">
        <f t="shared" ref="E308" si="40">IF(((C308="")*AND(D308="")),"",D308-C308)</f>
        <v>6</v>
      </c>
      <c r="F308" s="17"/>
      <c r="G308" s="17"/>
      <c r="H308" s="17"/>
      <c r="I308" s="17"/>
      <c r="J308" s="17"/>
      <c r="K308" s="17"/>
      <c r="L308" s="17">
        <v>30</v>
      </c>
      <c r="M308" s="17">
        <v>19</v>
      </c>
      <c r="N308" s="19" t="str">
        <f t="shared" ref="N308" si="41">IF(E308="","",IF(E308&lt;=M308,"Pass","Fail"))</f>
        <v>Pass</v>
      </c>
      <c r="O308" s="188">
        <v>121</v>
      </c>
      <c r="P308" s="265" t="s">
        <v>462</v>
      </c>
      <c r="Q308" s="22" t="s">
        <v>464</v>
      </c>
    </row>
    <row r="309" spans="1:17" ht="12.75" customHeight="1">
      <c r="A309" s="195">
        <v>44025</v>
      </c>
      <c r="B309" s="17"/>
      <c r="C309" s="17">
        <v>8</v>
      </c>
      <c r="D309" s="17">
        <v>23</v>
      </c>
      <c r="E309" s="17">
        <f t="shared" ref="E309:E310" si="42">IF(((C309="")*AND(D309="")),"",D309-C309)</f>
        <v>15</v>
      </c>
      <c r="F309" s="17"/>
      <c r="G309" s="17"/>
      <c r="H309" s="17"/>
      <c r="I309" s="17"/>
      <c r="J309" s="17"/>
      <c r="K309" s="17"/>
      <c r="L309" s="17">
        <v>30</v>
      </c>
      <c r="M309" s="17">
        <v>19</v>
      </c>
      <c r="N309" s="19" t="str">
        <f t="shared" ref="N309:N310" si="43">IF(E309="","",IF(E309&lt;=M309,"Pass","Fail"))</f>
        <v>Pass</v>
      </c>
      <c r="O309" s="188">
        <v>1340</v>
      </c>
      <c r="P309" s="265" t="s">
        <v>465</v>
      </c>
      <c r="Q309" s="278" t="s">
        <v>466</v>
      </c>
    </row>
    <row r="310" spans="1:17" ht="12.75" customHeight="1">
      <c r="A310" s="195">
        <v>44028</v>
      </c>
      <c r="B310" s="17"/>
      <c r="C310" s="17">
        <v>9</v>
      </c>
      <c r="D310" s="17">
        <v>50</v>
      </c>
      <c r="E310" s="17">
        <f t="shared" si="42"/>
        <v>41</v>
      </c>
      <c r="F310" s="17"/>
      <c r="G310" s="17"/>
      <c r="H310" s="17"/>
      <c r="I310" s="17"/>
      <c r="J310" s="17"/>
      <c r="K310" s="17"/>
      <c r="L310" s="17">
        <v>30</v>
      </c>
      <c r="M310" s="17">
        <v>19</v>
      </c>
      <c r="N310" s="19" t="str">
        <f t="shared" si="43"/>
        <v>Fail</v>
      </c>
      <c r="O310" s="188">
        <v>1159</v>
      </c>
      <c r="P310" s="265" t="s">
        <v>467</v>
      </c>
      <c r="Q310" s="22"/>
    </row>
    <row r="311" spans="1:17" ht="12.75" customHeight="1">
      <c r="A311" s="195">
        <v>44032</v>
      </c>
      <c r="B311" s="17"/>
      <c r="C311" s="17">
        <v>2</v>
      </c>
      <c r="D311" s="17">
        <v>39</v>
      </c>
      <c r="E311" s="17">
        <f t="shared" ref="E311" si="44">IF(((C311="")*AND(D311="")),"",D311-C311)</f>
        <v>37</v>
      </c>
      <c r="F311" s="17"/>
      <c r="G311" s="17"/>
      <c r="H311" s="17"/>
      <c r="I311" s="17"/>
      <c r="J311" s="17"/>
      <c r="K311" s="17"/>
      <c r="L311" s="17">
        <v>30</v>
      </c>
      <c r="M311" s="17">
        <v>19</v>
      </c>
      <c r="N311" s="19" t="str">
        <f t="shared" ref="N311" si="45">IF(E311="","",IF(E311&lt;=M311,"Pass","Fail"))</f>
        <v>Fail</v>
      </c>
      <c r="O311" s="188">
        <v>1335</v>
      </c>
      <c r="P311" s="265" t="s">
        <v>469</v>
      </c>
      <c r="Q311" s="22"/>
    </row>
    <row r="312" spans="1:17" ht="12.75" customHeight="1">
      <c r="A312" s="195">
        <v>44036</v>
      </c>
      <c r="B312" s="17"/>
      <c r="C312" s="17">
        <v>3</v>
      </c>
      <c r="D312" s="17">
        <v>25</v>
      </c>
      <c r="E312" s="17">
        <f t="shared" ref="E312" si="46">IF(((C312="")*AND(D312="")),"",D312-C312)</f>
        <v>22</v>
      </c>
      <c r="F312" s="17"/>
      <c r="G312" s="17"/>
      <c r="H312" s="17"/>
      <c r="I312" s="17"/>
      <c r="J312" s="17"/>
      <c r="K312" s="17"/>
      <c r="L312" s="17">
        <v>30</v>
      </c>
      <c r="M312" s="17">
        <v>19</v>
      </c>
      <c r="N312" s="19" t="str">
        <f t="shared" ref="N312" si="47">IF(E312="","",IF(E312&lt;=M312,"Pass","Fail"))</f>
        <v>Fail</v>
      </c>
      <c r="O312" s="188">
        <v>1335</v>
      </c>
      <c r="P312" s="265" t="s">
        <v>471</v>
      </c>
      <c r="Q312" s="22"/>
    </row>
    <row r="313" spans="1:17" ht="12.75" customHeight="1">
      <c r="A313" s="195">
        <v>44036</v>
      </c>
      <c r="B313" s="17"/>
      <c r="C313" s="17">
        <v>2</v>
      </c>
      <c r="D313" s="17">
        <v>7</v>
      </c>
      <c r="E313" s="17">
        <f t="shared" ref="E313" si="48">IF(((C313="")*AND(D313="")),"",D313-C313)</f>
        <v>5</v>
      </c>
      <c r="F313" s="17"/>
      <c r="G313" s="17"/>
      <c r="H313" s="17"/>
      <c r="I313" s="17"/>
      <c r="J313" s="17"/>
      <c r="K313" s="17"/>
      <c r="L313" s="17">
        <v>30</v>
      </c>
      <c r="M313" s="17">
        <v>19</v>
      </c>
      <c r="N313" s="19" t="str">
        <f t="shared" ref="N313" si="49">IF(E313="","",IF(E313&lt;=M313,"Pass","Fail"))</f>
        <v>Pass</v>
      </c>
      <c r="O313" s="188">
        <v>1335</v>
      </c>
      <c r="P313" s="265" t="s">
        <v>470</v>
      </c>
      <c r="Q313" s="22"/>
    </row>
    <row r="314" spans="1:17" ht="12.75" customHeight="1">
      <c r="A314" s="195">
        <v>44036</v>
      </c>
      <c r="B314" s="17"/>
      <c r="C314" s="17">
        <v>1</v>
      </c>
      <c r="D314" s="17">
        <v>10</v>
      </c>
      <c r="E314" s="17">
        <f t="shared" ref="E314" si="50">IF(((C314="")*AND(D314="")),"",D314-C314)</f>
        <v>9</v>
      </c>
      <c r="F314" s="17"/>
      <c r="G314" s="17"/>
      <c r="H314" s="17"/>
      <c r="I314" s="17"/>
      <c r="J314" s="17"/>
      <c r="K314" s="17"/>
      <c r="L314" s="17">
        <v>30</v>
      </c>
      <c r="M314" s="17">
        <v>19</v>
      </c>
      <c r="N314" s="19" t="str">
        <f t="shared" ref="N314" si="51">IF(E314="","",IF(E314&lt;=M314,"Pass","Fail"))</f>
        <v>Pass</v>
      </c>
      <c r="O314" s="188">
        <v>1335</v>
      </c>
      <c r="P314" s="265" t="s">
        <v>472</v>
      </c>
      <c r="Q314" s="22"/>
    </row>
    <row r="315" spans="1:17" ht="12.75" customHeight="1">
      <c r="A315" s="195">
        <v>44043</v>
      </c>
      <c r="B315" s="17"/>
      <c r="C315" s="17">
        <v>9</v>
      </c>
      <c r="D315" s="17">
        <v>20</v>
      </c>
      <c r="E315" s="17">
        <f t="shared" si="13"/>
        <v>11</v>
      </c>
      <c r="F315" s="17"/>
      <c r="G315" s="17"/>
      <c r="H315" s="17"/>
      <c r="I315" s="17"/>
      <c r="J315" s="17"/>
      <c r="K315" s="17"/>
      <c r="L315" s="17">
        <v>30</v>
      </c>
      <c r="M315" s="17">
        <v>19</v>
      </c>
      <c r="N315" s="19" t="str">
        <f t="shared" ref="N315:N358" si="52">IF(E315="","",IF(E315&lt;=M315,"Pass","Fail"))</f>
        <v>Pass</v>
      </c>
      <c r="O315" s="188">
        <v>121</v>
      </c>
      <c r="P315" s="265" t="s">
        <v>474</v>
      </c>
      <c r="Q315" s="22"/>
    </row>
    <row r="316" spans="1:17" ht="12.75" customHeight="1">
      <c r="A316" s="195">
        <v>44047</v>
      </c>
      <c r="B316" s="17"/>
      <c r="C316" s="17">
        <v>2</v>
      </c>
      <c r="D316" s="17">
        <v>5</v>
      </c>
      <c r="E316" s="17">
        <f t="shared" si="13"/>
        <v>3</v>
      </c>
      <c r="F316" s="17"/>
      <c r="G316" s="17"/>
      <c r="H316" s="17"/>
      <c r="I316" s="17"/>
      <c r="J316" s="17"/>
      <c r="K316" s="17"/>
      <c r="L316" s="17">
        <v>30</v>
      </c>
      <c r="M316" s="17">
        <v>19</v>
      </c>
      <c r="N316" s="19" t="str">
        <f t="shared" si="52"/>
        <v>Pass</v>
      </c>
      <c r="O316" s="188">
        <v>1428</v>
      </c>
      <c r="P316" s="265" t="s">
        <v>476</v>
      </c>
      <c r="Q316" s="22"/>
    </row>
    <row r="317" spans="1:17" ht="12.75" customHeight="1">
      <c r="A317" s="195">
        <v>44060</v>
      </c>
      <c r="B317" s="17"/>
      <c r="C317" s="17">
        <v>6</v>
      </c>
      <c r="D317" s="17">
        <v>45</v>
      </c>
      <c r="E317" s="17">
        <f t="shared" ref="E317" si="53">IF(((C317="")*AND(D317="")),"",D317-C317)</f>
        <v>39</v>
      </c>
      <c r="F317" s="17"/>
      <c r="G317" s="17"/>
      <c r="H317" s="17"/>
      <c r="I317" s="17"/>
      <c r="J317" s="17"/>
      <c r="K317" s="17"/>
      <c r="L317" s="17">
        <v>30</v>
      </c>
      <c r="M317" s="17">
        <v>19</v>
      </c>
      <c r="N317" s="19" t="str">
        <f t="shared" ref="N317" si="54">IF(E317="","",IF(E317&lt;=M317,"Pass","Fail"))</f>
        <v>Fail</v>
      </c>
      <c r="O317" s="188">
        <v>1159</v>
      </c>
      <c r="P317" s="265" t="s">
        <v>478</v>
      </c>
      <c r="Q317" s="22"/>
    </row>
    <row r="318" spans="1:17" ht="12.75" customHeight="1">
      <c r="A318" s="195">
        <v>44060</v>
      </c>
      <c r="B318" s="17"/>
      <c r="C318" s="17">
        <v>6</v>
      </c>
      <c r="D318" s="17">
        <v>19</v>
      </c>
      <c r="E318" s="17">
        <f t="shared" ref="E318" si="55">IF(((C318="")*AND(D318="")),"",D318-C318)</f>
        <v>13</v>
      </c>
      <c r="F318" s="17"/>
      <c r="G318" s="17"/>
      <c r="H318" s="17"/>
      <c r="I318" s="17"/>
      <c r="J318" s="17"/>
      <c r="K318" s="17"/>
      <c r="L318" s="17">
        <v>30</v>
      </c>
      <c r="M318" s="17">
        <v>19</v>
      </c>
      <c r="N318" s="19" t="str">
        <f t="shared" ref="N318" si="56">IF(E318="","",IF(E318&lt;=M318,"Pass","Fail"))</f>
        <v>Pass</v>
      </c>
      <c r="O318" s="188">
        <v>1159</v>
      </c>
      <c r="P318" s="265" t="s">
        <v>479</v>
      </c>
      <c r="Q318" s="22"/>
    </row>
    <row r="319" spans="1:17" ht="12.75" customHeight="1">
      <c r="A319" s="195">
        <v>44061</v>
      </c>
      <c r="B319" s="17"/>
      <c r="C319" s="17">
        <v>3</v>
      </c>
      <c r="D319" s="17">
        <v>21</v>
      </c>
      <c r="E319" s="17">
        <f t="shared" ref="E319" si="57">IF(((C319="")*AND(D319="")),"",D319-C319)</f>
        <v>18</v>
      </c>
      <c r="F319" s="17"/>
      <c r="G319" s="17"/>
      <c r="H319" s="17"/>
      <c r="I319" s="17"/>
      <c r="J319" s="17"/>
      <c r="K319" s="17"/>
      <c r="L319" s="17">
        <v>30</v>
      </c>
      <c r="M319" s="17">
        <v>19</v>
      </c>
      <c r="N319" s="19" t="str">
        <f t="shared" ref="N319" si="58">IF(E319="","",IF(E319&lt;=M319,"Pass","Fail"))</f>
        <v>Pass</v>
      </c>
      <c r="O319" s="188">
        <v>1159</v>
      </c>
      <c r="P319" s="265" t="s">
        <v>480</v>
      </c>
      <c r="Q319" s="22"/>
    </row>
    <row r="320" spans="1:17" ht="12.75" customHeight="1">
      <c r="A320" s="195">
        <v>44061</v>
      </c>
      <c r="B320" s="17"/>
      <c r="C320" s="17">
        <v>19</v>
      </c>
      <c r="D320" s="17">
        <v>35</v>
      </c>
      <c r="E320" s="17">
        <f t="shared" ref="E320" si="59">IF(((C320="")*AND(D320="")),"",D320-C320)</f>
        <v>16</v>
      </c>
      <c r="F320" s="17"/>
      <c r="G320" s="17"/>
      <c r="H320" s="17"/>
      <c r="I320" s="17"/>
      <c r="J320" s="17"/>
      <c r="K320" s="17"/>
      <c r="L320" s="17">
        <v>30</v>
      </c>
      <c r="M320" s="17">
        <v>19</v>
      </c>
      <c r="N320" s="19" t="str">
        <f t="shared" ref="N320" si="60">IF(E320="","",IF(E320&lt;=M320,"Pass","Fail"))</f>
        <v>Pass</v>
      </c>
      <c r="O320" s="188">
        <v>1159</v>
      </c>
      <c r="P320" s="265" t="s">
        <v>481</v>
      </c>
      <c r="Q320" s="22" t="s">
        <v>483</v>
      </c>
    </row>
    <row r="321" spans="1:17" ht="12.75" customHeight="1">
      <c r="A321" s="195">
        <v>44067</v>
      </c>
      <c r="B321" s="17"/>
      <c r="C321" s="17">
        <v>19</v>
      </c>
      <c r="D321" s="17">
        <v>80</v>
      </c>
      <c r="E321" s="17">
        <f t="shared" si="13"/>
        <v>61</v>
      </c>
      <c r="F321" s="17"/>
      <c r="G321" s="17"/>
      <c r="H321" s="17"/>
      <c r="I321" s="17"/>
      <c r="J321" s="17"/>
      <c r="K321" s="17"/>
      <c r="L321" s="17">
        <v>30</v>
      </c>
      <c r="M321" s="17">
        <v>19</v>
      </c>
      <c r="N321" s="19" t="str">
        <f t="shared" si="52"/>
        <v>Fail</v>
      </c>
      <c r="O321" s="188">
        <v>121</v>
      </c>
      <c r="P321" s="265" t="s">
        <v>482</v>
      </c>
      <c r="Q321" s="22" t="s">
        <v>485</v>
      </c>
    </row>
    <row r="322" spans="1:17" ht="12.75" customHeight="1">
      <c r="A322" s="195">
        <v>44067</v>
      </c>
      <c r="B322" s="17"/>
      <c r="C322" s="17">
        <v>1</v>
      </c>
      <c r="D322" s="17">
        <v>62</v>
      </c>
      <c r="E322" s="17">
        <f t="shared" si="13"/>
        <v>61</v>
      </c>
      <c r="F322" s="17"/>
      <c r="G322" s="17"/>
      <c r="H322" s="17"/>
      <c r="I322" s="17"/>
      <c r="J322" s="17"/>
      <c r="K322" s="17"/>
      <c r="L322" s="17">
        <v>30</v>
      </c>
      <c r="M322" s="17">
        <v>19</v>
      </c>
      <c r="N322" s="19" t="str">
        <f t="shared" si="52"/>
        <v>Fail</v>
      </c>
      <c r="O322" s="188">
        <v>1428</v>
      </c>
      <c r="P322" s="265" t="s">
        <v>486</v>
      </c>
      <c r="Q322" s="22" t="s">
        <v>487</v>
      </c>
    </row>
    <row r="323" spans="1:17" ht="12.75" customHeight="1">
      <c r="A323" s="195">
        <v>44067</v>
      </c>
      <c r="B323" s="17"/>
      <c r="C323" s="17">
        <v>1</v>
      </c>
      <c r="D323" s="17">
        <v>61</v>
      </c>
      <c r="E323" s="17">
        <f t="shared" ref="E323" si="61">IF(((C323="")*AND(D323="")),"",D323-C323)</f>
        <v>60</v>
      </c>
      <c r="F323" s="17"/>
      <c r="G323" s="17"/>
      <c r="H323" s="17"/>
      <c r="I323" s="17"/>
      <c r="J323" s="17"/>
      <c r="K323" s="17"/>
      <c r="L323" s="17">
        <v>30</v>
      </c>
      <c r="M323" s="17">
        <v>19</v>
      </c>
      <c r="N323" s="19" t="str">
        <f t="shared" ref="N323" si="62">IF(E323="","",IF(E323&lt;=M323,"Pass","Fail"))</f>
        <v>Fail</v>
      </c>
      <c r="O323" s="188">
        <v>1428</v>
      </c>
      <c r="P323" s="265" t="s">
        <v>488</v>
      </c>
      <c r="Q323" s="22" t="s">
        <v>487</v>
      </c>
    </row>
    <row r="324" spans="1:17" ht="12.75" customHeight="1">
      <c r="A324" s="195">
        <v>44069</v>
      </c>
      <c r="B324" s="17"/>
      <c r="C324" s="17">
        <v>3</v>
      </c>
      <c r="D324" s="17">
        <v>10</v>
      </c>
      <c r="E324" s="17">
        <f t="shared" si="13"/>
        <v>7</v>
      </c>
      <c r="F324" s="17"/>
      <c r="G324" s="17"/>
      <c r="H324" s="17"/>
      <c r="I324" s="17"/>
      <c r="J324" s="17"/>
      <c r="K324" s="17"/>
      <c r="L324" s="17">
        <v>30</v>
      </c>
      <c r="M324" s="17">
        <v>19</v>
      </c>
      <c r="N324" s="19" t="str">
        <f t="shared" si="52"/>
        <v>Pass</v>
      </c>
      <c r="O324" s="188">
        <v>121</v>
      </c>
      <c r="P324" s="265" t="s">
        <v>490</v>
      </c>
      <c r="Q324" s="22" t="s">
        <v>492</v>
      </c>
    </row>
    <row r="325" spans="1:17" ht="12.75" customHeight="1">
      <c r="A325" s="195">
        <v>44075</v>
      </c>
      <c r="B325" s="17"/>
      <c r="C325" s="17">
        <v>5</v>
      </c>
      <c r="D325" s="17">
        <v>11</v>
      </c>
      <c r="E325" s="17">
        <f t="shared" si="13"/>
        <v>6</v>
      </c>
      <c r="F325" s="17"/>
      <c r="G325" s="17"/>
      <c r="H325" s="17"/>
      <c r="I325" s="17"/>
      <c r="J325" s="17"/>
      <c r="K325" s="17"/>
      <c r="L325" s="17">
        <v>30</v>
      </c>
      <c r="M325" s="17">
        <v>19</v>
      </c>
      <c r="N325" s="19" t="str">
        <f t="shared" si="52"/>
        <v>Pass</v>
      </c>
      <c r="O325" s="188">
        <v>74</v>
      </c>
      <c r="P325" s="265" t="s">
        <v>493</v>
      </c>
      <c r="Q325" s="22"/>
    </row>
    <row r="326" spans="1:17" ht="12.75" customHeight="1">
      <c r="A326" s="195">
        <v>44081</v>
      </c>
      <c r="B326" s="17"/>
      <c r="C326" s="17">
        <v>1</v>
      </c>
      <c r="D326" s="17">
        <v>5</v>
      </c>
      <c r="E326" s="17">
        <f t="shared" ref="E326:E327" si="63">IF(((C326="")*AND(D326="")),"",D326-C326)</f>
        <v>4</v>
      </c>
      <c r="F326" s="17"/>
      <c r="G326" s="17"/>
      <c r="H326" s="17"/>
      <c r="I326" s="17"/>
      <c r="J326" s="17"/>
      <c r="K326" s="17"/>
      <c r="L326" s="17">
        <v>30</v>
      </c>
      <c r="M326" s="17">
        <v>19</v>
      </c>
      <c r="N326" s="19" t="str">
        <f t="shared" ref="N326" si="64">IF(E326="","",IF(E326&lt;=M326,"Pass","Fail"))</f>
        <v>Pass</v>
      </c>
      <c r="O326" s="188">
        <v>74</v>
      </c>
      <c r="P326" s="265" t="s">
        <v>495</v>
      </c>
      <c r="Q326" s="22"/>
    </row>
    <row r="327" spans="1:17" ht="12.75" customHeight="1">
      <c r="A327" s="195">
        <v>44084</v>
      </c>
      <c r="B327" s="17"/>
      <c r="C327" s="17">
        <v>9</v>
      </c>
      <c r="D327" s="17">
        <v>32</v>
      </c>
      <c r="E327" s="17">
        <f t="shared" si="63"/>
        <v>23</v>
      </c>
      <c r="F327" s="17"/>
      <c r="G327" s="17"/>
      <c r="H327" s="17"/>
      <c r="I327" s="17"/>
      <c r="J327" s="17"/>
      <c r="K327" s="17"/>
      <c r="L327" s="17">
        <v>30</v>
      </c>
      <c r="M327" s="17">
        <v>19</v>
      </c>
      <c r="N327" s="19" t="str">
        <f t="shared" ref="N327" si="65">IF(E327="","",IF(E327&lt;=M327,"Pass","Fail"))</f>
        <v>Fail</v>
      </c>
      <c r="O327" s="188">
        <v>1159</v>
      </c>
      <c r="P327" s="265" t="s">
        <v>496</v>
      </c>
      <c r="Q327" s="22"/>
    </row>
    <row r="328" spans="1:17" ht="12.75" customHeight="1">
      <c r="A328" s="195">
        <v>44084</v>
      </c>
      <c r="B328" s="17"/>
      <c r="C328" s="17">
        <v>5</v>
      </c>
      <c r="D328" s="17">
        <v>4</v>
      </c>
      <c r="E328" s="17">
        <f t="shared" ref="E328:E329" si="66">IF(((C328="")*AND(D328="")),"",D328-C328)</f>
        <v>-1</v>
      </c>
      <c r="F328" s="17"/>
      <c r="G328" s="17"/>
      <c r="H328" s="17"/>
      <c r="I328" s="17"/>
      <c r="J328" s="17"/>
      <c r="K328" s="17"/>
      <c r="L328" s="17">
        <v>30</v>
      </c>
      <c r="M328" s="17">
        <v>19</v>
      </c>
      <c r="N328" s="19" t="str">
        <f t="shared" ref="N328:N329" si="67">IF(E328="","",IF(E328&lt;=M328,"Pass","Fail"))</f>
        <v>Pass</v>
      </c>
      <c r="O328" s="188">
        <v>1159</v>
      </c>
      <c r="P328" s="265" t="s">
        <v>497</v>
      </c>
      <c r="Q328" s="22"/>
    </row>
    <row r="329" spans="1:17" ht="12.75" customHeight="1">
      <c r="A329" s="195">
        <v>44084</v>
      </c>
      <c r="B329" s="17"/>
      <c r="C329" s="17">
        <v>3</v>
      </c>
      <c r="D329" s="17">
        <v>2</v>
      </c>
      <c r="E329" s="17">
        <f t="shared" si="66"/>
        <v>-1</v>
      </c>
      <c r="F329" s="17"/>
      <c r="G329" s="17"/>
      <c r="H329" s="17"/>
      <c r="I329" s="17"/>
      <c r="J329" s="17"/>
      <c r="K329" s="17"/>
      <c r="L329" s="17">
        <v>30</v>
      </c>
      <c r="M329" s="17">
        <v>19</v>
      </c>
      <c r="N329" s="19" t="str">
        <f t="shared" si="67"/>
        <v>Pass</v>
      </c>
      <c r="O329" s="188">
        <v>1159</v>
      </c>
      <c r="P329" s="265" t="s">
        <v>498</v>
      </c>
      <c r="Q329" s="22"/>
    </row>
    <row r="330" spans="1:17" ht="12.75" customHeight="1">
      <c r="A330" s="195">
        <v>44086</v>
      </c>
      <c r="B330" s="17" t="s">
        <v>501</v>
      </c>
      <c r="C330" s="17">
        <v>3</v>
      </c>
      <c r="D330" s="17">
        <v>15</v>
      </c>
      <c r="E330" s="17">
        <f t="shared" ref="E330" si="68">IF(((C330="")*AND(D330="")),"",D330-C330)</f>
        <v>12</v>
      </c>
      <c r="F330" s="17"/>
      <c r="G330" s="17"/>
      <c r="H330" s="17"/>
      <c r="I330" s="17"/>
      <c r="J330" s="17"/>
      <c r="K330" s="17"/>
      <c r="L330" s="17">
        <v>30</v>
      </c>
      <c r="M330" s="17">
        <v>19</v>
      </c>
      <c r="N330" s="19" t="str">
        <f t="shared" ref="N330" si="69">IF(E330="","",IF(E330&lt;=M330,"Pass","Fail"))</f>
        <v>Pass</v>
      </c>
      <c r="O330" s="188">
        <v>102</v>
      </c>
      <c r="P330" s="265" t="s">
        <v>502</v>
      </c>
      <c r="Q330" s="22"/>
    </row>
    <row r="331" spans="1:17" ht="12.75" customHeight="1">
      <c r="A331" s="195">
        <v>44090</v>
      </c>
      <c r="B331" s="17" t="s">
        <v>501</v>
      </c>
      <c r="C331" s="17">
        <v>0</v>
      </c>
      <c r="D331" s="17">
        <v>6</v>
      </c>
      <c r="E331" s="17">
        <f t="shared" ref="E331" si="70">IF(((C331="")*AND(D331="")),"",D331-C331)</f>
        <v>6</v>
      </c>
      <c r="F331" s="17"/>
      <c r="G331" s="17"/>
      <c r="H331" s="17"/>
      <c r="I331" s="17"/>
      <c r="J331" s="17"/>
      <c r="K331" s="17"/>
      <c r="L331" s="17">
        <v>30</v>
      </c>
      <c r="M331" s="17">
        <v>19</v>
      </c>
      <c r="N331" s="19" t="str">
        <f t="shared" ref="N331" si="71">IF(E331="","",IF(E331&lt;=M331,"Pass","Fail"))</f>
        <v>Pass</v>
      </c>
      <c r="O331" s="188">
        <v>102</v>
      </c>
      <c r="P331" s="265" t="s">
        <v>503</v>
      </c>
      <c r="Q331" s="22"/>
    </row>
    <row r="332" spans="1:17" ht="12.75" customHeight="1">
      <c r="A332" s="195">
        <v>44095</v>
      </c>
      <c r="B332" s="17" t="s">
        <v>504</v>
      </c>
      <c r="C332" s="17">
        <v>1</v>
      </c>
      <c r="D332" s="17">
        <v>8</v>
      </c>
      <c r="E332" s="17">
        <f t="shared" si="13"/>
        <v>7</v>
      </c>
      <c r="F332" s="17"/>
      <c r="G332" s="17"/>
      <c r="H332" s="17"/>
      <c r="I332" s="17"/>
      <c r="J332" s="17"/>
      <c r="K332" s="17"/>
      <c r="L332" s="17">
        <v>30</v>
      </c>
      <c r="M332" s="17">
        <v>19</v>
      </c>
      <c r="N332" s="19" t="str">
        <f t="shared" si="52"/>
        <v>Pass</v>
      </c>
      <c r="O332" s="188">
        <v>1428</v>
      </c>
      <c r="P332" s="265" t="s">
        <v>506</v>
      </c>
      <c r="Q332" s="22"/>
    </row>
    <row r="333" spans="1:17" ht="12.75" customHeight="1">
      <c r="A333" s="195">
        <v>44103</v>
      </c>
      <c r="B333" s="17" t="s">
        <v>504</v>
      </c>
      <c r="C333" s="17">
        <v>8</v>
      </c>
      <c r="D333" s="17">
        <v>15</v>
      </c>
      <c r="E333" s="17">
        <f t="shared" ref="E333" si="72">IF(((C333="")*AND(D333="")),"",D333-C333)</f>
        <v>7</v>
      </c>
      <c r="F333" s="17"/>
      <c r="G333" s="17"/>
      <c r="H333" s="17"/>
      <c r="I333" s="17"/>
      <c r="J333" s="17"/>
      <c r="K333" s="17"/>
      <c r="L333" s="17">
        <v>30</v>
      </c>
      <c r="M333" s="17">
        <v>19</v>
      </c>
      <c r="N333" s="19" t="str">
        <f t="shared" ref="N333" si="73">IF(E333="","",IF(E333&lt;=M333,"Pass","Fail"))</f>
        <v>Pass</v>
      </c>
      <c r="O333" s="188">
        <v>1428</v>
      </c>
      <c r="P333" s="265" t="s">
        <v>507</v>
      </c>
      <c r="Q333" s="22"/>
    </row>
    <row r="334" spans="1:17" ht="12.75" customHeight="1">
      <c r="A334" s="195">
        <v>44106</v>
      </c>
      <c r="B334" s="17" t="s">
        <v>501</v>
      </c>
      <c r="C334" s="17">
        <v>3</v>
      </c>
      <c r="D334" s="17">
        <v>11</v>
      </c>
      <c r="E334" s="17">
        <f t="shared" ref="E334" si="74">IF(((C334="")*AND(D334="")),"",D334-C334)</f>
        <v>8</v>
      </c>
      <c r="F334" s="17"/>
      <c r="G334" s="17"/>
      <c r="H334" s="17"/>
      <c r="I334" s="17"/>
      <c r="J334" s="17"/>
      <c r="K334" s="17"/>
      <c r="L334" s="17">
        <v>30</v>
      </c>
      <c r="M334" s="17">
        <v>19</v>
      </c>
      <c r="N334" s="19" t="str">
        <f t="shared" ref="N334" si="75">IF(E334="","",IF(E334&lt;=M334,"Pass","Fail"))</f>
        <v>Pass</v>
      </c>
      <c r="O334" s="188">
        <v>1159</v>
      </c>
      <c r="P334" s="265" t="s">
        <v>509</v>
      </c>
      <c r="Q334" s="22"/>
    </row>
    <row r="335" spans="1:17" ht="12.75" customHeight="1">
      <c r="A335" s="195">
        <v>44137</v>
      </c>
      <c r="B335" s="17" t="s">
        <v>501</v>
      </c>
      <c r="C335" s="17">
        <v>5</v>
      </c>
      <c r="D335" s="17">
        <v>5</v>
      </c>
      <c r="E335" s="17">
        <f t="shared" si="13"/>
        <v>0</v>
      </c>
      <c r="F335" s="17"/>
      <c r="G335" s="17"/>
      <c r="H335" s="17"/>
      <c r="I335" s="17"/>
      <c r="J335" s="17"/>
      <c r="K335" s="17"/>
      <c r="L335" s="17">
        <v>30</v>
      </c>
      <c r="M335" s="17">
        <v>19</v>
      </c>
      <c r="N335" s="19" t="str">
        <f t="shared" si="52"/>
        <v>Pass</v>
      </c>
      <c r="O335" s="188">
        <v>64</v>
      </c>
      <c r="P335" s="265" t="s">
        <v>510</v>
      </c>
      <c r="Q335" s="22"/>
    </row>
    <row r="336" spans="1:17" ht="12.75" customHeight="1">
      <c r="A336" s="195">
        <v>44144</v>
      </c>
      <c r="B336" s="17" t="s">
        <v>501</v>
      </c>
      <c r="C336" s="17">
        <v>5</v>
      </c>
      <c r="D336" s="17">
        <v>12</v>
      </c>
      <c r="E336" s="17">
        <f t="shared" ref="E336" si="76">IF(((C336="")*AND(D336="")),"",D336-C336)</f>
        <v>7</v>
      </c>
      <c r="F336" s="17">
        <v>2</v>
      </c>
      <c r="G336" s="17">
        <v>4</v>
      </c>
      <c r="H336" s="17">
        <f>IF(((F336="")*AND(G336="")),"",G336-F336)</f>
        <v>2</v>
      </c>
      <c r="I336" s="17">
        <v>2</v>
      </c>
      <c r="J336" s="17">
        <v>4</v>
      </c>
      <c r="K336" s="17">
        <f>IF(((I336="")*AND(J336="")),"",J336-I336)</f>
        <v>2</v>
      </c>
      <c r="L336" s="17">
        <v>30</v>
      </c>
      <c r="M336" s="17">
        <v>19</v>
      </c>
      <c r="N336" s="19" t="str">
        <f t="shared" ref="N336" si="77">IF(E336="","",IF(E336&lt;=M336,"Pass","Fail"))</f>
        <v>Pass</v>
      </c>
      <c r="O336" s="188">
        <v>1428</v>
      </c>
      <c r="P336" s="265" t="s">
        <v>533</v>
      </c>
      <c r="Q336" s="22"/>
    </row>
    <row r="337" spans="1:17" ht="12.75" customHeight="1">
      <c r="A337" s="195">
        <v>44144</v>
      </c>
      <c r="B337" s="17" t="s">
        <v>501</v>
      </c>
      <c r="C337" s="17">
        <v>15</v>
      </c>
      <c r="D337" s="17">
        <v>34</v>
      </c>
      <c r="E337" s="17">
        <f t="shared" ref="E337" si="78">IF(((C337="")*AND(D337="")),"",D337-C337)</f>
        <v>19</v>
      </c>
      <c r="F337" s="17">
        <v>4</v>
      </c>
      <c r="G337" s="17">
        <v>12</v>
      </c>
      <c r="H337" s="17">
        <f>IF(((F337="")*AND(G337="")),"",G337-F337)</f>
        <v>8</v>
      </c>
      <c r="I337" s="17">
        <v>4</v>
      </c>
      <c r="J337" s="17">
        <v>6</v>
      </c>
      <c r="K337" s="17">
        <f>IF(((I337="")*AND(J337="")),"",J337-I337)</f>
        <v>2</v>
      </c>
      <c r="L337" s="17">
        <v>30</v>
      </c>
      <c r="M337" s="17">
        <v>19</v>
      </c>
      <c r="N337" s="19" t="str">
        <f t="shared" ref="N337" si="79">IF(E337="","",IF(E337&lt;=M337,"Pass","Fail"))</f>
        <v>Pass</v>
      </c>
      <c r="O337" s="188">
        <v>1428</v>
      </c>
      <c r="P337" s="265" t="s">
        <v>535</v>
      </c>
      <c r="Q337" s="22"/>
    </row>
    <row r="338" spans="1:17" ht="12.75" customHeight="1">
      <c r="A338" s="195">
        <v>44151</v>
      </c>
      <c r="B338" s="17" t="s">
        <v>501</v>
      </c>
      <c r="C338" s="17">
        <v>4</v>
      </c>
      <c r="D338" s="17">
        <v>13</v>
      </c>
      <c r="E338" s="17">
        <f t="shared" ref="E338" si="80">IF(((C338="")*AND(D338="")),"",D338-C338)</f>
        <v>9</v>
      </c>
      <c r="F338" s="17">
        <v>0</v>
      </c>
      <c r="G338" s="17">
        <v>5</v>
      </c>
      <c r="H338" s="17">
        <f t="shared" ref="H338:H339" si="81">IF(((F338="")*AND(G338="")),"",G338-F338)</f>
        <v>5</v>
      </c>
      <c r="I338" s="17">
        <v>2</v>
      </c>
      <c r="J338" s="17">
        <v>3</v>
      </c>
      <c r="K338" s="17">
        <f t="shared" ref="K338:K339" si="82">IF(((I338="")*AND(J338="")),"",J338-I338)</f>
        <v>1</v>
      </c>
      <c r="L338" s="17">
        <v>30</v>
      </c>
      <c r="M338" s="17">
        <v>19</v>
      </c>
      <c r="N338" s="19" t="str">
        <f t="shared" ref="N338" si="83">IF(E338="","",IF(E338&lt;=M338,"Pass","Fail"))</f>
        <v>Pass</v>
      </c>
      <c r="O338" s="188">
        <v>1335</v>
      </c>
      <c r="P338" s="265" t="s">
        <v>536</v>
      </c>
      <c r="Q338" s="22"/>
    </row>
    <row r="339" spans="1:17" ht="12.75" customHeight="1">
      <c r="A339" s="195">
        <v>44158</v>
      </c>
      <c r="B339" s="17" t="s">
        <v>501</v>
      </c>
      <c r="C339" s="17">
        <v>13</v>
      </c>
      <c r="D339" s="17">
        <v>10</v>
      </c>
      <c r="E339" s="17">
        <f t="shared" ref="E339" si="84">IF(((C339="")*AND(D339="")),"",D339-C339)</f>
        <v>-3</v>
      </c>
      <c r="F339" s="17">
        <v>6</v>
      </c>
      <c r="G339" s="17">
        <v>5</v>
      </c>
      <c r="H339" s="17">
        <f t="shared" si="81"/>
        <v>-1</v>
      </c>
      <c r="I339" s="17">
        <v>3</v>
      </c>
      <c r="J339" s="17">
        <v>3</v>
      </c>
      <c r="K339" s="17">
        <f t="shared" si="82"/>
        <v>0</v>
      </c>
      <c r="L339" s="17">
        <v>30</v>
      </c>
      <c r="M339" s="17">
        <v>19</v>
      </c>
      <c r="N339" s="19" t="str">
        <f t="shared" ref="N339" si="85">IF(E339="","",IF(E339&lt;=M339,"Pass","Fail"))</f>
        <v>Pass</v>
      </c>
      <c r="O339" s="188">
        <v>1428</v>
      </c>
      <c r="P339" s="265" t="s">
        <v>539</v>
      </c>
      <c r="Q339" s="22"/>
    </row>
    <row r="340" spans="1:17" ht="12.75" customHeight="1">
      <c r="A340" s="195">
        <v>44161</v>
      </c>
      <c r="B340" s="17" t="s">
        <v>504</v>
      </c>
      <c r="C340" s="17">
        <v>9</v>
      </c>
      <c r="D340" s="17">
        <v>3</v>
      </c>
      <c r="E340" s="17">
        <f t="shared" ref="E340" si="86">IF(((C340="")*AND(D340="")),"",D340-C340)</f>
        <v>-6</v>
      </c>
      <c r="F340" s="17">
        <v>1</v>
      </c>
      <c r="G340" s="17">
        <v>1</v>
      </c>
      <c r="H340" s="17">
        <f t="shared" ref="H340" si="87">IF(((F340="")*AND(G340="")),"",G340-F340)</f>
        <v>0</v>
      </c>
      <c r="I340" s="17">
        <v>0</v>
      </c>
      <c r="J340" s="17">
        <v>0</v>
      </c>
      <c r="K340" s="17">
        <f t="shared" ref="K340" si="88">IF(((I340="")*AND(J340="")),"",J340-I340)</f>
        <v>0</v>
      </c>
      <c r="L340" s="17">
        <v>30</v>
      </c>
      <c r="M340" s="17">
        <v>19</v>
      </c>
      <c r="N340" s="19" t="str">
        <f t="shared" ref="N340" si="89">IF(E340="","",IF(E340&lt;=M340,"Pass","Fail"))</f>
        <v>Pass</v>
      </c>
      <c r="O340" s="188">
        <v>1159</v>
      </c>
      <c r="P340" s="265" t="s">
        <v>540</v>
      </c>
      <c r="Q340" s="22"/>
    </row>
    <row r="341" spans="1:17" ht="12.75" customHeight="1">
      <c r="A341" s="195">
        <v>44166</v>
      </c>
      <c r="B341" s="17" t="s">
        <v>504</v>
      </c>
      <c r="C341" s="17">
        <v>5</v>
      </c>
      <c r="D341" s="17">
        <v>11</v>
      </c>
      <c r="E341" s="17">
        <f t="shared" ref="E341" si="90">IF(((C341="")*AND(D341="")),"",D341-C341)</f>
        <v>6</v>
      </c>
      <c r="F341" s="17">
        <v>0</v>
      </c>
      <c r="G341" s="17">
        <v>1</v>
      </c>
      <c r="H341" s="17">
        <f t="shared" ref="H341" si="91">IF(((F341="")*AND(G341="")),"",G341-F341)</f>
        <v>1</v>
      </c>
      <c r="I341" s="17">
        <v>0</v>
      </c>
      <c r="J341" s="17">
        <v>0</v>
      </c>
      <c r="K341" s="17">
        <f t="shared" ref="K341" si="92">IF(((I341="")*AND(J341="")),"",J341-I341)</f>
        <v>0</v>
      </c>
      <c r="L341" s="17">
        <v>30</v>
      </c>
      <c r="M341" s="17">
        <v>19</v>
      </c>
      <c r="N341" s="19" t="str">
        <f t="shared" ref="N341" si="93">IF(E341="","",IF(E341&lt;=M341,"Pass","Fail"))</f>
        <v>Pass</v>
      </c>
      <c r="O341" s="188">
        <v>1335</v>
      </c>
      <c r="P341" s="265" t="s">
        <v>542</v>
      </c>
      <c r="Q341" s="22"/>
    </row>
    <row r="342" spans="1:17" ht="12.75" customHeight="1">
      <c r="A342" s="195">
        <v>44172</v>
      </c>
      <c r="B342" s="17" t="s">
        <v>504</v>
      </c>
      <c r="C342" s="17">
        <v>14</v>
      </c>
      <c r="D342" s="17">
        <v>28</v>
      </c>
      <c r="E342" s="17">
        <f t="shared" ref="E342" si="94">IF(((C342="")*AND(D342="")),"",D342-C342)</f>
        <v>14</v>
      </c>
      <c r="F342" s="17">
        <v>1</v>
      </c>
      <c r="G342" s="17">
        <v>1</v>
      </c>
      <c r="H342" s="17">
        <f t="shared" ref="H342:H347" si="95">G342-F342</f>
        <v>0</v>
      </c>
      <c r="I342" s="17">
        <v>1</v>
      </c>
      <c r="J342" s="17">
        <v>1</v>
      </c>
      <c r="K342" s="17">
        <f t="shared" ref="K342" si="96">IF(((I342="")*AND(J342="")),"",J342-I342)</f>
        <v>0</v>
      </c>
      <c r="L342" s="17">
        <v>30</v>
      </c>
      <c r="M342" s="17">
        <v>19</v>
      </c>
      <c r="N342" s="19" t="str">
        <f t="shared" ref="N342" si="97">IF(E342="","",IF(E342&lt;=M342,"Pass","Fail"))</f>
        <v>Pass</v>
      </c>
      <c r="O342" s="188">
        <v>121</v>
      </c>
      <c r="P342" s="265" t="s">
        <v>544</v>
      </c>
      <c r="Q342" s="22"/>
    </row>
    <row r="343" spans="1:17" ht="12.75" customHeight="1">
      <c r="A343" s="195">
        <v>44186</v>
      </c>
      <c r="B343" s="17" t="s">
        <v>501</v>
      </c>
      <c r="C343" s="17">
        <v>16</v>
      </c>
      <c r="D343" s="17">
        <v>19</v>
      </c>
      <c r="E343" s="17">
        <f t="shared" ref="E343" si="98">IF(((C343="")*AND(D343="")),"",D343-C343)</f>
        <v>3</v>
      </c>
      <c r="F343" s="17">
        <v>0</v>
      </c>
      <c r="G343" s="17">
        <v>3</v>
      </c>
      <c r="H343" s="17">
        <f t="shared" si="95"/>
        <v>3</v>
      </c>
      <c r="I343" s="17">
        <v>0</v>
      </c>
      <c r="J343" s="17">
        <v>3</v>
      </c>
      <c r="K343" s="17">
        <f t="shared" ref="K343:K344" si="99">IF(((I343="")*AND(J343="")),"",J343-I343)</f>
        <v>3</v>
      </c>
      <c r="L343" s="17">
        <v>30</v>
      </c>
      <c r="M343" s="17">
        <v>19</v>
      </c>
      <c r="N343" s="19" t="str">
        <f t="shared" ref="N343" si="100">IF(E343="","",IF(E343&lt;=M343,"Pass","Fail"))</f>
        <v>Pass</v>
      </c>
      <c r="O343" s="188">
        <v>1159</v>
      </c>
      <c r="P343" s="265" t="s">
        <v>545</v>
      </c>
      <c r="Q343" s="22"/>
    </row>
    <row r="344" spans="1:17" ht="12.75" customHeight="1">
      <c r="A344" s="195">
        <v>44197</v>
      </c>
      <c r="B344" s="17" t="s">
        <v>504</v>
      </c>
      <c r="C344" s="17">
        <v>2</v>
      </c>
      <c r="D344" s="17">
        <v>15</v>
      </c>
      <c r="E344" s="17">
        <f t="shared" si="13"/>
        <v>13</v>
      </c>
      <c r="F344" s="17">
        <v>0</v>
      </c>
      <c r="G344" s="17">
        <v>3</v>
      </c>
      <c r="H344" s="17">
        <f t="shared" si="95"/>
        <v>3</v>
      </c>
      <c r="I344" s="17">
        <v>0</v>
      </c>
      <c r="J344" s="17">
        <v>2</v>
      </c>
      <c r="K344" s="17">
        <f t="shared" si="99"/>
        <v>2</v>
      </c>
      <c r="L344" s="17">
        <v>30</v>
      </c>
      <c r="M344" s="17">
        <v>19</v>
      </c>
      <c r="N344" s="19" t="str">
        <f t="shared" si="52"/>
        <v>Pass</v>
      </c>
      <c r="O344" s="188">
        <v>1428</v>
      </c>
      <c r="P344" s="265" t="s">
        <v>547</v>
      </c>
      <c r="Q344" s="22"/>
    </row>
    <row r="345" spans="1:17" ht="12.75" customHeight="1">
      <c r="A345" s="195">
        <v>44200</v>
      </c>
      <c r="B345" s="17" t="s">
        <v>504</v>
      </c>
      <c r="C345" s="17">
        <v>2</v>
      </c>
      <c r="D345" s="17">
        <v>8</v>
      </c>
      <c r="E345" s="17">
        <f t="shared" ref="E345" si="101">IF(((C345="")*AND(D345="")),"",D345-C345)</f>
        <v>6</v>
      </c>
      <c r="F345" s="17">
        <v>0</v>
      </c>
      <c r="G345" s="17">
        <v>5</v>
      </c>
      <c r="H345" s="17">
        <f t="shared" si="95"/>
        <v>5</v>
      </c>
      <c r="I345" s="17">
        <v>0</v>
      </c>
      <c r="J345" s="17">
        <v>4</v>
      </c>
      <c r="K345" s="17">
        <f t="shared" ref="K345" si="102">IF(((I345="")*AND(J345="")),"",J345-I345)</f>
        <v>4</v>
      </c>
      <c r="L345" s="17">
        <v>30</v>
      </c>
      <c r="M345" s="17">
        <v>19</v>
      </c>
      <c r="N345" s="19" t="str">
        <f t="shared" ref="N345" si="103">IF(E345="","",IF(E345&lt;=M345,"Pass","Fail"))</f>
        <v>Pass</v>
      </c>
      <c r="O345" s="188">
        <v>121</v>
      </c>
      <c r="P345" s="265" t="s">
        <v>549</v>
      </c>
      <c r="Q345" s="22"/>
    </row>
    <row r="346" spans="1:17" ht="12.75" customHeight="1">
      <c r="A346" s="195">
        <v>44204</v>
      </c>
      <c r="B346" s="17" t="s">
        <v>501</v>
      </c>
      <c r="C346" s="17">
        <v>11</v>
      </c>
      <c r="D346" s="17">
        <v>9</v>
      </c>
      <c r="E346" s="17">
        <f t="shared" ref="E346" si="104">IF(((C346="")*AND(D346="")),"",D346-C346)</f>
        <v>-2</v>
      </c>
      <c r="F346" s="17">
        <v>0</v>
      </c>
      <c r="G346" s="17">
        <v>0</v>
      </c>
      <c r="H346" s="17">
        <f t="shared" si="95"/>
        <v>0</v>
      </c>
      <c r="I346" s="17">
        <v>0</v>
      </c>
      <c r="J346" s="17">
        <v>0</v>
      </c>
      <c r="K346" s="17">
        <f t="shared" ref="K346:K347" si="105">IF(((I346="")*AND(J346="")),"",J346-I346)</f>
        <v>0</v>
      </c>
      <c r="L346" s="17">
        <v>30</v>
      </c>
      <c r="M346" s="17">
        <v>19</v>
      </c>
      <c r="N346" s="19" t="str">
        <f t="shared" ref="N346" si="106">IF(E346="","",IF(E346&lt;=M346,"Pass","Fail"))</f>
        <v>Pass</v>
      </c>
      <c r="O346" s="188">
        <v>1428</v>
      </c>
      <c r="P346" s="265" t="s">
        <v>552</v>
      </c>
      <c r="Q346" s="22"/>
    </row>
    <row r="347" spans="1:17" ht="12.75" customHeight="1">
      <c r="A347" s="195">
        <v>44207</v>
      </c>
      <c r="B347" s="17" t="s">
        <v>504</v>
      </c>
      <c r="C347" s="17">
        <v>14</v>
      </c>
      <c r="D347" s="17">
        <v>6</v>
      </c>
      <c r="E347" s="17">
        <f t="shared" ref="E347" si="107">IF(((C347="")*AND(D347="")),"",D347-C347)</f>
        <v>-8</v>
      </c>
      <c r="F347" s="17">
        <v>0</v>
      </c>
      <c r="G347" s="17">
        <v>1</v>
      </c>
      <c r="H347" s="17">
        <f t="shared" si="95"/>
        <v>1</v>
      </c>
      <c r="I347" s="17">
        <v>0</v>
      </c>
      <c r="J347" s="17">
        <v>1</v>
      </c>
      <c r="K347" s="17">
        <f t="shared" si="105"/>
        <v>1</v>
      </c>
      <c r="L347" s="17">
        <v>30</v>
      </c>
      <c r="M347" s="17">
        <v>19</v>
      </c>
      <c r="N347" s="19" t="str">
        <f t="shared" ref="N347" si="108">IF(E347="","",IF(E347&lt;=M347,"Pass","Fail"))</f>
        <v>Pass</v>
      </c>
      <c r="O347" s="188">
        <v>1335</v>
      </c>
      <c r="P347" s="265" t="s">
        <v>549</v>
      </c>
      <c r="Q347" s="22"/>
    </row>
    <row r="348" spans="1:17" ht="12.75" customHeight="1">
      <c r="A348" s="195">
        <v>44215</v>
      </c>
      <c r="B348" s="17" t="s">
        <v>501</v>
      </c>
      <c r="C348" s="17">
        <v>8</v>
      </c>
      <c r="D348" s="17">
        <v>12</v>
      </c>
      <c r="E348" s="17">
        <f t="shared" ref="E348" si="109">IF(((C348="")*AND(D348="")),"",D348-C348)</f>
        <v>4</v>
      </c>
      <c r="F348" s="17">
        <v>1</v>
      </c>
      <c r="G348" s="17">
        <v>2</v>
      </c>
      <c r="H348" s="17">
        <f t="shared" ref="H348" si="110">G348-F348</f>
        <v>1</v>
      </c>
      <c r="I348" s="17">
        <v>1</v>
      </c>
      <c r="J348" s="17">
        <v>2</v>
      </c>
      <c r="K348" s="17">
        <f t="shared" ref="K348" si="111">IF(((I348="")*AND(J348="")),"",J348-I348)</f>
        <v>1</v>
      </c>
      <c r="L348" s="17">
        <v>30</v>
      </c>
      <c r="M348" s="17">
        <v>19</v>
      </c>
      <c r="N348" s="19" t="str">
        <f t="shared" ref="N348" si="112">IF(E348="","",IF(E348&lt;=M348,"Pass","Fail"))</f>
        <v>Pass</v>
      </c>
      <c r="O348" s="188">
        <v>121</v>
      </c>
      <c r="P348" s="265" t="s">
        <v>553</v>
      </c>
      <c r="Q348" s="22"/>
    </row>
    <row r="349" spans="1:17" ht="12.75" customHeight="1">
      <c r="A349" s="195">
        <v>44221</v>
      </c>
      <c r="B349" s="17" t="s">
        <v>504</v>
      </c>
      <c r="C349" s="17">
        <v>4</v>
      </c>
      <c r="D349" s="17">
        <v>19</v>
      </c>
      <c r="E349" s="17">
        <f t="shared" ref="E349" si="113">IF(((C349="")*AND(D349="")),"",D349-C349)</f>
        <v>15</v>
      </c>
      <c r="F349" s="17">
        <v>1</v>
      </c>
      <c r="G349" s="17">
        <v>2</v>
      </c>
      <c r="H349" s="17">
        <f t="shared" ref="H349" si="114">G349-F349</f>
        <v>1</v>
      </c>
      <c r="I349" s="17">
        <v>1</v>
      </c>
      <c r="J349" s="17">
        <v>2</v>
      </c>
      <c r="K349" s="17">
        <f t="shared" ref="K349" si="115">IF(((I349="")*AND(J349="")),"",J349-I349)</f>
        <v>1</v>
      </c>
      <c r="L349" s="17">
        <v>30</v>
      </c>
      <c r="M349" s="17">
        <v>19</v>
      </c>
      <c r="N349" s="19" t="str">
        <f t="shared" ref="N349" si="116">IF(E349="","",IF(E349&lt;=M349,"Pass","Fail"))</f>
        <v>Pass</v>
      </c>
      <c r="O349" s="188">
        <v>1335</v>
      </c>
      <c r="P349" s="265" t="s">
        <v>553</v>
      </c>
      <c r="Q349" s="22"/>
    </row>
    <row r="350" spans="1:17" ht="12.75" customHeight="1">
      <c r="A350" s="195">
        <v>44227</v>
      </c>
      <c r="B350" s="17" t="s">
        <v>504</v>
      </c>
      <c r="C350" s="17">
        <v>7</v>
      </c>
      <c r="D350" s="17">
        <v>16</v>
      </c>
      <c r="E350" s="17">
        <f t="shared" ref="E350" si="117">IF(((C350="")*AND(D350="")),"",D350-C350)</f>
        <v>9</v>
      </c>
      <c r="F350" s="17">
        <v>2</v>
      </c>
      <c r="G350" s="17">
        <v>3</v>
      </c>
      <c r="H350" s="17">
        <f t="shared" ref="H350" si="118">G350-F350</f>
        <v>1</v>
      </c>
      <c r="I350" s="17">
        <v>2</v>
      </c>
      <c r="J350" s="17">
        <v>1</v>
      </c>
      <c r="K350" s="17">
        <f t="shared" ref="K350" si="119">IF(((I350="")*AND(J350="")),"",J350-I350)</f>
        <v>-1</v>
      </c>
      <c r="L350" s="17">
        <v>30</v>
      </c>
      <c r="M350" s="17">
        <v>19</v>
      </c>
      <c r="N350" s="19" t="str">
        <f t="shared" ref="N350:N351" si="120">IF(E350="","",IF(E350&lt;=M350,"Pass","Fail"))</f>
        <v>Pass</v>
      </c>
      <c r="O350" s="188">
        <v>1428</v>
      </c>
      <c r="P350" s="265" t="s">
        <v>557</v>
      </c>
      <c r="Q350" s="22"/>
    </row>
    <row r="351" spans="1:17" ht="12.75" customHeight="1">
      <c r="A351" s="195">
        <v>44229</v>
      </c>
      <c r="B351" s="17" t="s">
        <v>504</v>
      </c>
      <c r="C351" s="17">
        <v>14</v>
      </c>
      <c r="D351" s="17">
        <v>20</v>
      </c>
      <c r="E351" s="17">
        <f t="shared" ref="E351" si="121">IF(((C351="")*AND(D351="")),"",D351-C351)</f>
        <v>6</v>
      </c>
      <c r="F351" s="17">
        <v>2</v>
      </c>
      <c r="G351" s="17">
        <v>4</v>
      </c>
      <c r="H351" s="17">
        <f t="shared" ref="H351" si="122">G351-F351</f>
        <v>2</v>
      </c>
      <c r="I351" s="17">
        <v>0</v>
      </c>
      <c r="J351" s="17">
        <v>2</v>
      </c>
      <c r="K351" s="17">
        <f t="shared" ref="K351" si="123">IF(((I351="")*AND(J351="")),"",J351-I351)</f>
        <v>2</v>
      </c>
      <c r="L351" s="17">
        <v>30</v>
      </c>
      <c r="M351" s="17">
        <v>19</v>
      </c>
      <c r="N351" s="19" t="str">
        <f t="shared" si="120"/>
        <v>Pass</v>
      </c>
      <c r="O351" s="188">
        <v>121</v>
      </c>
      <c r="P351" s="265" t="s">
        <v>558</v>
      </c>
      <c r="Q351" s="22" t="s">
        <v>560</v>
      </c>
    </row>
    <row r="352" spans="1:17" ht="12.75" customHeight="1">
      <c r="A352" s="195">
        <v>44234</v>
      </c>
      <c r="B352" s="17" t="s">
        <v>501</v>
      </c>
      <c r="C352" s="17">
        <v>18</v>
      </c>
      <c r="D352" s="17">
        <v>30</v>
      </c>
      <c r="E352" s="17">
        <f t="shared" ref="E352" si="124">IF(((C352="")*AND(D352="")),"",D352-C352)</f>
        <v>12</v>
      </c>
      <c r="F352" s="17">
        <v>4</v>
      </c>
      <c r="G352" s="17">
        <v>12</v>
      </c>
      <c r="H352" s="17">
        <f t="shared" ref="H352:H353" si="125">G352-F352</f>
        <v>8</v>
      </c>
      <c r="I352" s="17">
        <v>2</v>
      </c>
      <c r="J352" s="17">
        <v>6</v>
      </c>
      <c r="K352" s="17">
        <f t="shared" ref="K352:K353" si="126">IF(((I352="")*AND(J352="")),"",J352-I352)</f>
        <v>4</v>
      </c>
      <c r="L352" s="17">
        <v>30</v>
      </c>
      <c r="M352" s="17">
        <v>19</v>
      </c>
      <c r="N352" s="19" t="str">
        <f t="shared" ref="N352" si="127">IF(E352="","",IF(E352&lt;=M352,"Pass","Fail"))</f>
        <v>Pass</v>
      </c>
      <c r="O352" s="188">
        <v>121</v>
      </c>
      <c r="P352" s="265" t="s">
        <v>562</v>
      </c>
      <c r="Q352" s="22" t="s">
        <v>561</v>
      </c>
    </row>
    <row r="353" spans="1:17" ht="12.75" customHeight="1">
      <c r="A353" s="195">
        <v>44249</v>
      </c>
      <c r="B353" s="17" t="s">
        <v>501</v>
      </c>
      <c r="C353" s="17">
        <v>6</v>
      </c>
      <c r="D353" s="17">
        <v>13</v>
      </c>
      <c r="E353" s="17">
        <f t="shared" ref="E353:E357" si="128">IF(((C353="")*AND(D353="")),"",D353-C353)</f>
        <v>7</v>
      </c>
      <c r="F353" s="17">
        <v>1</v>
      </c>
      <c r="G353" s="17">
        <v>5</v>
      </c>
      <c r="H353" s="17">
        <f t="shared" si="125"/>
        <v>4</v>
      </c>
      <c r="I353" s="17">
        <v>0</v>
      </c>
      <c r="J353" s="17">
        <v>2</v>
      </c>
      <c r="K353" s="17">
        <f t="shared" si="126"/>
        <v>2</v>
      </c>
      <c r="L353" s="17">
        <v>30</v>
      </c>
      <c r="M353" s="17">
        <v>19</v>
      </c>
      <c r="N353" s="19" t="str">
        <f t="shared" si="52"/>
        <v>Pass</v>
      </c>
      <c r="O353" s="188">
        <v>102</v>
      </c>
      <c r="P353" s="265" t="s">
        <v>567</v>
      </c>
      <c r="Q353" s="22"/>
    </row>
    <row r="354" spans="1:17" ht="12.75" customHeight="1">
      <c r="A354" s="195">
        <v>44253</v>
      </c>
      <c r="B354" s="17" t="s">
        <v>504</v>
      </c>
      <c r="C354" s="17">
        <v>18</v>
      </c>
      <c r="D354" s="17">
        <v>20</v>
      </c>
      <c r="E354" s="17">
        <f t="shared" ref="E354" si="129">IF(((C354="")*AND(D354="")),"",D354-C354)</f>
        <v>2</v>
      </c>
      <c r="F354" s="17">
        <v>7</v>
      </c>
      <c r="G354" s="17">
        <v>8</v>
      </c>
      <c r="H354" s="17">
        <f t="shared" ref="H354" si="130">G354-F354</f>
        <v>1</v>
      </c>
      <c r="I354" s="17">
        <v>4</v>
      </c>
      <c r="J354" s="17">
        <v>5</v>
      </c>
      <c r="K354" s="17">
        <f t="shared" ref="K354" si="131">IF(((I354="")*AND(J354="")),"",J354-I354)</f>
        <v>1</v>
      </c>
      <c r="L354" s="17">
        <v>30</v>
      </c>
      <c r="M354" s="17">
        <v>19</v>
      </c>
      <c r="N354" s="19" t="str">
        <f t="shared" ref="N354" si="132">IF(E354="","",IF(E354&lt;=M354,"Pass","Fail"))</f>
        <v>Pass</v>
      </c>
      <c r="O354" s="188">
        <v>121</v>
      </c>
      <c r="P354" s="265" t="s">
        <v>569</v>
      </c>
      <c r="Q354" s="22"/>
    </row>
    <row r="355" spans="1:17" ht="12.75" customHeight="1">
      <c r="A355" s="195">
        <v>44256</v>
      </c>
      <c r="B355" s="17" t="s">
        <v>501</v>
      </c>
      <c r="C355" s="17">
        <v>2</v>
      </c>
      <c r="D355" s="17">
        <v>18</v>
      </c>
      <c r="E355" s="17">
        <f t="shared" ref="E355" si="133">IF(((C355="")*AND(D355="")),"",D355-C355)</f>
        <v>16</v>
      </c>
      <c r="F355" s="17">
        <v>1</v>
      </c>
      <c r="G355" s="17">
        <v>11</v>
      </c>
      <c r="H355" s="17">
        <f t="shared" ref="H355" si="134">G355-F355</f>
        <v>10</v>
      </c>
      <c r="I355" s="17">
        <v>1</v>
      </c>
      <c r="J355" s="17">
        <v>11</v>
      </c>
      <c r="K355" s="17">
        <f t="shared" ref="K355" si="135">IF(((I355="")*AND(J355="")),"",J355-I355)</f>
        <v>10</v>
      </c>
      <c r="L355" s="17">
        <v>30</v>
      </c>
      <c r="M355" s="17">
        <v>19</v>
      </c>
      <c r="N355" s="19" t="str">
        <f t="shared" ref="N355" si="136">IF(E355="","",IF(E355&lt;=M355,"Pass","Fail"))</f>
        <v>Pass</v>
      </c>
      <c r="O355" s="188">
        <v>1428</v>
      </c>
      <c r="P355" s="265" t="s">
        <v>571</v>
      </c>
      <c r="Q355" s="22"/>
    </row>
    <row r="356" spans="1:17" ht="12.75" customHeight="1">
      <c r="A356" s="195"/>
      <c r="B356" s="17"/>
      <c r="C356" s="17"/>
      <c r="D356" s="17"/>
      <c r="E356" s="17" t="str">
        <f t="shared" si="128"/>
        <v/>
      </c>
      <c r="F356" s="17"/>
      <c r="G356" s="17"/>
      <c r="H356" s="17"/>
      <c r="I356" s="17"/>
      <c r="J356" s="17"/>
      <c r="K356" s="17"/>
      <c r="L356" s="17">
        <v>30</v>
      </c>
      <c r="M356" s="17">
        <v>19</v>
      </c>
      <c r="N356" s="19" t="str">
        <f t="shared" si="52"/>
        <v/>
      </c>
      <c r="O356" s="188"/>
      <c r="P356" s="31"/>
      <c r="Q356" s="22"/>
    </row>
    <row r="357" spans="1:17" ht="12.75" customHeight="1">
      <c r="A357" s="195"/>
      <c r="B357" s="17"/>
      <c r="C357" s="17"/>
      <c r="D357" s="17"/>
      <c r="E357" s="17" t="str">
        <f t="shared" si="128"/>
        <v/>
      </c>
      <c r="F357" s="17"/>
      <c r="G357" s="17"/>
      <c r="H357" s="17"/>
      <c r="I357" s="17"/>
      <c r="J357" s="17"/>
      <c r="K357" s="17"/>
      <c r="L357" s="17">
        <v>30</v>
      </c>
      <c r="M357" s="17">
        <v>19</v>
      </c>
      <c r="N357" s="19" t="str">
        <f t="shared" si="52"/>
        <v/>
      </c>
      <c r="O357" s="188"/>
      <c r="P357" s="31"/>
      <c r="Q357" s="22"/>
    </row>
    <row r="358" spans="1:17" ht="12.75" customHeight="1">
      <c r="A358" s="195"/>
      <c r="B358" s="17"/>
      <c r="C358" s="17"/>
      <c r="D358" s="17"/>
      <c r="E358" s="17"/>
      <c r="F358" s="17"/>
      <c r="G358" s="17"/>
      <c r="H358" s="17"/>
      <c r="I358" s="17"/>
      <c r="J358" s="17"/>
      <c r="K358" s="17"/>
      <c r="L358" s="17">
        <v>30</v>
      </c>
      <c r="M358" s="17">
        <v>19</v>
      </c>
      <c r="N358" s="19" t="str">
        <f t="shared" si="52"/>
        <v/>
      </c>
      <c r="O358" s="188"/>
    </row>
    <row r="359" spans="1:17" ht="12.75" customHeight="1">
      <c r="Q359" s="22"/>
    </row>
    <row r="360" spans="1:17" ht="12.75" customHeight="1">
      <c r="Q360" s="22"/>
    </row>
    <row r="361" spans="1:17" ht="12.75" customHeight="1">
      <c r="Q361" s="22"/>
    </row>
  </sheetData>
  <autoFilter ref="A10:Q358">
    <filterColumn colId="5"/>
    <filterColumn colId="6"/>
    <filterColumn colId="7"/>
    <filterColumn colId="8"/>
    <filterColumn colId="9"/>
    <filterColumn colId="10"/>
  </autoFilter>
  <mergeCells count="7">
    <mergeCell ref="C8:D8"/>
    <mergeCell ref="A1:P1"/>
    <mergeCell ref="N3:P3"/>
    <mergeCell ref="N4:P4"/>
    <mergeCell ref="C9:E9"/>
    <mergeCell ref="F9:H9"/>
    <mergeCell ref="I9:K9"/>
  </mergeCells>
  <conditionalFormatting sqref="N11:N358">
    <cfRule type="containsText" dxfId="9293" priority="11" stopIfTrue="1" operator="containsText" text="PASS">
      <formula>NOT(ISERROR(SEARCH("PASS",N11)))</formula>
    </cfRule>
    <cfRule type="containsText" dxfId="9292" priority="12" stopIfTrue="1" operator="containsText" text="FAIL">
      <formula>NOT(ISERROR(SEARCH("FAIL",N11)))</formula>
    </cfRule>
  </conditionalFormatting>
  <conditionalFormatting sqref="A1:A7 A11:A65537">
    <cfRule type="cellIs" dxfId="9291" priority="10" stopIfTrue="1" operator="equal">
      <formula>TODAY()</formula>
    </cfRule>
  </conditionalFormatting>
  <pageMargins left="0.75" right="0.75" top="1" bottom="0.86245519713261654" header="0.5" footer="0.5"/>
  <pageSetup scale="97" orientation="portrait" horizontalDpi="300" verticalDpi="300" r:id="rId1"/>
  <headerFooter alignWithMargins="0">
    <oddFooter>&amp;LSCL/VFD/WETECH/________</oddFooter>
  </headerFooter>
  <colBreaks count="1" manualBreakCount="1">
    <brk id="16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637"/>
  <sheetViews>
    <sheetView tabSelected="1" zoomScale="76" zoomScaleNormal="76" workbookViewId="0">
      <pane ySplit="13" topLeftCell="A1632" activePane="bottomLeft" state="frozen"/>
      <selection pane="bottomLeft" activeCell="R1641" sqref="R1641"/>
    </sheetView>
  </sheetViews>
  <sheetFormatPr defaultColWidth="8.75" defaultRowHeight="12.75"/>
  <cols>
    <col min="1" max="1" width="14" style="38" customWidth="1"/>
    <col min="2" max="2" width="9" style="8" customWidth="1"/>
    <col min="3" max="3" width="13.375" style="8" customWidth="1"/>
    <col min="4" max="5" width="7.375" style="8" customWidth="1"/>
    <col min="6" max="6" width="6.875" style="8" customWidth="1"/>
    <col min="7" max="7" width="6.5" style="8" customWidth="1"/>
    <col min="8" max="10" width="6.125" style="8" customWidth="1"/>
    <col min="11" max="15" width="6.75" style="8" customWidth="1"/>
    <col min="16" max="16" width="6.125" style="8" customWidth="1"/>
    <col min="17" max="17" width="8.75" style="8" customWidth="1"/>
    <col min="18" max="18" width="7.375" style="8" customWidth="1"/>
    <col min="19" max="19" width="9" style="8" customWidth="1"/>
    <col min="20" max="21" width="9.375" style="8" customWidth="1"/>
    <col min="22" max="22" width="6.25" style="8" customWidth="1"/>
    <col min="23" max="23" width="8.5" style="8" customWidth="1"/>
    <col min="24" max="24" width="24.625" style="26" customWidth="1"/>
    <col min="25" max="25" width="20.25" style="37" customWidth="1"/>
    <col min="26" max="29" width="8.5" style="37" bestFit="1" customWidth="1"/>
    <col min="30" max="31" width="8.5" style="26" bestFit="1" customWidth="1"/>
    <col min="32" max="16384" width="8.75" style="8"/>
  </cols>
  <sheetData>
    <row r="1" spans="1:31" s="2" customFormat="1" ht="12.75" customHeight="1">
      <c r="A1" s="117" t="s">
        <v>11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8"/>
      <c r="Q1" s="121"/>
      <c r="R1" s="121"/>
      <c r="S1" s="121"/>
      <c r="T1" s="121"/>
      <c r="U1" s="121"/>
      <c r="V1" s="121"/>
      <c r="W1" s="121"/>
      <c r="X1" s="191"/>
      <c r="Y1" s="120"/>
      <c r="Z1" s="120"/>
      <c r="AA1" s="120"/>
      <c r="AB1" s="120"/>
      <c r="AC1" s="120"/>
      <c r="AD1" s="119"/>
      <c r="AE1" s="119"/>
    </row>
    <row r="2" spans="1:31" ht="12.75" customHeight="1">
      <c r="A2" s="203" t="s">
        <v>12</v>
      </c>
      <c r="B2" s="112"/>
      <c r="C2" s="6"/>
      <c r="D2" s="6"/>
      <c r="E2" s="112"/>
      <c r="F2" s="112"/>
      <c r="G2" s="112"/>
      <c r="H2" s="112"/>
      <c r="I2" s="11"/>
      <c r="J2" s="112" t="s">
        <v>13</v>
      </c>
      <c r="K2" s="112"/>
      <c r="L2" s="112"/>
      <c r="M2" s="112"/>
      <c r="N2" s="115" t="s">
        <v>229</v>
      </c>
      <c r="O2" s="114"/>
      <c r="P2" s="113" t="s">
        <v>219</v>
      </c>
      <c r="Q2" s="113" t="s">
        <v>21</v>
      </c>
      <c r="R2" s="6"/>
      <c r="S2" s="112"/>
      <c r="T2" s="112"/>
      <c r="U2" s="112"/>
      <c r="V2" s="11"/>
      <c r="W2" s="6"/>
      <c r="X2" s="234"/>
    </row>
    <row r="3" spans="1:31" ht="12.75" customHeight="1">
      <c r="A3" s="203" t="s">
        <v>234</v>
      </c>
      <c r="B3" s="117"/>
      <c r="C3" s="116"/>
      <c r="D3" s="116"/>
      <c r="E3" s="11"/>
      <c r="F3" s="11" t="s">
        <v>233</v>
      </c>
      <c r="G3" s="11"/>
      <c r="H3" s="11"/>
      <c r="I3" s="11"/>
      <c r="J3" s="11"/>
      <c r="K3" s="11"/>
      <c r="L3" s="11"/>
      <c r="M3" s="11"/>
      <c r="N3" s="111" t="s">
        <v>228</v>
      </c>
      <c r="O3" s="110"/>
      <c r="P3" s="109">
        <v>2000</v>
      </c>
      <c r="Q3" s="109">
        <v>3000</v>
      </c>
      <c r="R3" s="116"/>
      <c r="S3" s="11"/>
      <c r="T3" s="11"/>
      <c r="U3" s="11"/>
      <c r="V3" s="11"/>
      <c r="W3" s="11"/>
      <c r="X3" s="193"/>
    </row>
    <row r="4" spans="1:31" ht="12.75" customHeight="1">
      <c r="A4" s="203" t="s">
        <v>232</v>
      </c>
      <c r="B4" s="112"/>
      <c r="C4" s="107"/>
      <c r="D4" s="107"/>
      <c r="E4" s="11"/>
      <c r="F4" s="11"/>
      <c r="G4" s="11"/>
      <c r="H4" s="11"/>
      <c r="I4" s="11"/>
      <c r="J4" s="11"/>
      <c r="K4" s="11"/>
      <c r="L4" s="11"/>
      <c r="M4" s="11"/>
      <c r="N4" s="111" t="s">
        <v>227</v>
      </c>
      <c r="O4" s="110"/>
      <c r="P4" s="109">
        <v>0</v>
      </c>
      <c r="Q4" s="109">
        <v>7</v>
      </c>
      <c r="R4" s="107"/>
      <c r="S4" s="11"/>
      <c r="T4" s="11"/>
      <c r="U4" s="11"/>
      <c r="V4" s="11"/>
      <c r="W4" s="11"/>
      <c r="X4" s="193"/>
    </row>
    <row r="5" spans="1:31" ht="12.75" customHeight="1">
      <c r="A5" s="203" t="s">
        <v>231</v>
      </c>
      <c r="B5" s="112"/>
      <c r="C5" s="107"/>
      <c r="D5" s="107"/>
      <c r="E5" s="11"/>
      <c r="F5" s="11"/>
      <c r="G5" s="11"/>
      <c r="H5" s="11"/>
      <c r="I5" s="11"/>
      <c r="J5" s="11"/>
      <c r="K5" s="5"/>
      <c r="L5" s="5"/>
      <c r="M5" s="5"/>
      <c r="N5" s="111" t="s">
        <v>226</v>
      </c>
      <c r="O5" s="110"/>
      <c r="P5" s="109">
        <v>2800</v>
      </c>
      <c r="Q5" s="109">
        <v>3800</v>
      </c>
      <c r="R5" s="107"/>
      <c r="S5" s="11"/>
      <c r="T5" s="11"/>
      <c r="U5" s="11"/>
      <c r="V5" s="11"/>
      <c r="W5" s="11"/>
      <c r="X5" s="193"/>
    </row>
    <row r="6" spans="1:31" ht="12.75" customHeight="1">
      <c r="A6" s="203" t="s">
        <v>230</v>
      </c>
      <c r="B6" s="112"/>
      <c r="C6" s="107"/>
      <c r="D6" s="107"/>
      <c r="E6" s="11"/>
      <c r="F6" s="11"/>
      <c r="G6" s="11"/>
      <c r="H6" s="11"/>
      <c r="I6" s="11"/>
      <c r="J6" s="11"/>
      <c r="K6" s="5"/>
      <c r="L6" s="5"/>
      <c r="M6" s="5"/>
      <c r="N6" s="111" t="s">
        <v>225</v>
      </c>
      <c r="O6" s="110"/>
      <c r="P6" s="109">
        <v>0</v>
      </c>
      <c r="Q6" s="109">
        <v>7</v>
      </c>
      <c r="R6" s="107"/>
      <c r="S6" s="11"/>
      <c r="T6" s="11"/>
      <c r="U6" s="11"/>
      <c r="V6" s="11"/>
      <c r="W6" s="11"/>
      <c r="X6" s="193"/>
    </row>
    <row r="7" spans="1:31" ht="12.75" customHeight="1" thickBot="1">
      <c r="A7" s="203"/>
      <c r="B7" s="112"/>
      <c r="C7" s="108"/>
      <c r="D7" s="108"/>
      <c r="I7" s="108"/>
      <c r="J7" s="11"/>
      <c r="K7" s="11"/>
      <c r="L7" s="11"/>
      <c r="M7" s="11"/>
      <c r="N7" s="11"/>
      <c r="O7" s="11"/>
      <c r="P7" s="12"/>
      <c r="Q7" s="107"/>
      <c r="R7" s="107"/>
      <c r="S7" s="11"/>
      <c r="T7" s="11"/>
      <c r="U7" s="11"/>
      <c r="V7" s="11"/>
      <c r="W7" s="11"/>
      <c r="X7" s="193"/>
    </row>
    <row r="8" spans="1:31" s="178" customFormat="1" ht="15">
      <c r="A8" s="170"/>
      <c r="B8" s="171"/>
      <c r="C8" s="308" t="s">
        <v>267</v>
      </c>
      <c r="D8" s="309"/>
      <c r="E8" s="309"/>
      <c r="F8" s="309"/>
      <c r="G8" s="309"/>
      <c r="H8" s="309"/>
      <c r="I8" s="309"/>
      <c r="J8" s="309"/>
      <c r="K8" s="309"/>
      <c r="L8" s="309"/>
      <c r="M8" s="309"/>
      <c r="N8" s="309"/>
      <c r="O8" s="309"/>
      <c r="P8" s="310"/>
      <c r="Q8" s="172"/>
      <c r="R8" s="172"/>
      <c r="S8" s="173"/>
      <c r="T8" s="174"/>
      <c r="U8" s="174"/>
      <c r="V8" s="175"/>
      <c r="W8" s="176"/>
      <c r="X8" s="235"/>
      <c r="Y8" s="174"/>
      <c r="Z8" s="175"/>
      <c r="AA8" s="177"/>
      <c r="AB8" s="175"/>
      <c r="AC8" s="175"/>
      <c r="AD8" s="175"/>
      <c r="AE8" s="175"/>
    </row>
    <row r="9" spans="1:31" s="178" customFormat="1" ht="15">
      <c r="A9" s="268"/>
      <c r="B9" s="317" t="s">
        <v>158</v>
      </c>
      <c r="C9" s="273" t="s">
        <v>387</v>
      </c>
      <c r="D9" s="273"/>
      <c r="E9" s="273"/>
      <c r="F9" s="273"/>
      <c r="G9" s="273"/>
      <c r="H9" s="273"/>
      <c r="I9" s="273"/>
      <c r="J9" s="273"/>
      <c r="K9" s="273"/>
      <c r="L9" s="273"/>
      <c r="M9" s="273"/>
      <c r="N9" s="273"/>
      <c r="O9" s="273"/>
      <c r="P9" s="273"/>
      <c r="Q9" s="269"/>
      <c r="R9" s="269"/>
      <c r="S9" s="270"/>
      <c r="T9" s="174"/>
      <c r="U9" s="174"/>
      <c r="V9" s="175"/>
      <c r="W9" s="174"/>
      <c r="X9" s="235"/>
      <c r="Y9" s="174"/>
      <c r="Z9" s="175"/>
      <c r="AA9" s="177"/>
      <c r="AB9" s="175"/>
      <c r="AC9" s="175"/>
      <c r="AD9" s="175"/>
      <c r="AE9" s="175"/>
    </row>
    <row r="10" spans="1:31" s="178" customFormat="1" ht="15">
      <c r="A10" s="268"/>
      <c r="B10" s="317"/>
      <c r="C10" s="273" t="s">
        <v>388</v>
      </c>
      <c r="D10" s="273"/>
      <c r="E10" s="273"/>
      <c r="F10" s="273"/>
      <c r="G10" s="273"/>
      <c r="H10" s="273"/>
      <c r="I10" s="273"/>
      <c r="J10" s="273"/>
      <c r="K10" s="273"/>
      <c r="L10" s="273"/>
      <c r="M10" s="273"/>
      <c r="N10" s="273"/>
      <c r="O10" s="273"/>
      <c r="P10" s="273"/>
      <c r="Q10" s="269"/>
      <c r="R10" s="269"/>
      <c r="S10" s="270"/>
      <c r="T10" s="174"/>
      <c r="U10" s="174"/>
      <c r="V10" s="175"/>
      <c r="W10" s="174"/>
      <c r="X10" s="235"/>
      <c r="Y10" s="174"/>
      <c r="Z10" s="175"/>
      <c r="AA10" s="177"/>
      <c r="AB10" s="175"/>
      <c r="AC10" s="175"/>
      <c r="AD10" s="175"/>
      <c r="AE10" s="175"/>
    </row>
    <row r="11" spans="1:31" s="178" customFormat="1" ht="15">
      <c r="A11" s="268"/>
      <c r="B11" s="317" t="s">
        <v>157</v>
      </c>
      <c r="C11" s="273" t="s">
        <v>387</v>
      </c>
      <c r="D11" s="273"/>
      <c r="E11" s="273"/>
      <c r="F11" s="273"/>
      <c r="G11" s="273"/>
      <c r="H11" s="273"/>
      <c r="I11" s="273"/>
      <c r="J11" s="273"/>
      <c r="K11" s="273"/>
      <c r="L11" s="273"/>
      <c r="M11" s="273"/>
      <c r="N11" s="273"/>
      <c r="O11" s="273"/>
      <c r="P11" s="273"/>
      <c r="Q11" s="269"/>
      <c r="R11" s="269"/>
      <c r="S11" s="270"/>
      <c r="T11" s="174"/>
      <c r="U11" s="174"/>
      <c r="V11" s="175"/>
      <c r="W11" s="174"/>
      <c r="X11" s="235"/>
      <c r="Y11" s="174"/>
      <c r="Z11" s="175"/>
      <c r="AA11" s="177"/>
      <c r="AB11" s="175"/>
      <c r="AC11" s="175"/>
      <c r="AD11" s="175"/>
      <c r="AE11" s="175"/>
    </row>
    <row r="12" spans="1:31" s="178" customFormat="1" ht="15.75" thickBot="1">
      <c r="A12" s="268"/>
      <c r="B12" s="318"/>
      <c r="C12" s="274" t="s">
        <v>388</v>
      </c>
      <c r="D12" s="274"/>
      <c r="E12" s="274"/>
      <c r="F12" s="274"/>
      <c r="G12" s="274"/>
      <c r="H12" s="274"/>
      <c r="I12" s="274"/>
      <c r="J12" s="274"/>
      <c r="K12" s="274"/>
      <c r="L12" s="274"/>
      <c r="M12" s="274"/>
      <c r="N12" s="274"/>
      <c r="O12" s="274"/>
      <c r="P12" s="274"/>
      <c r="Q12" s="269"/>
      <c r="R12" s="269"/>
      <c r="S12" s="270"/>
      <c r="T12" s="174"/>
      <c r="U12" s="174"/>
      <c r="V12" s="175"/>
      <c r="W12" s="174"/>
      <c r="X12" s="235"/>
      <c r="Y12" s="174"/>
      <c r="Z12" s="175"/>
      <c r="AA12" s="177"/>
      <c r="AB12" s="175"/>
      <c r="AC12" s="175"/>
      <c r="AD12" s="175"/>
      <c r="AE12" s="175"/>
    </row>
    <row r="13" spans="1:31" s="185" customFormat="1" ht="42" customHeight="1" thickBot="1">
      <c r="A13" s="179" t="s">
        <v>266</v>
      </c>
      <c r="B13" s="272" t="s">
        <v>268</v>
      </c>
      <c r="C13" s="271" t="s">
        <v>215</v>
      </c>
      <c r="D13" s="272">
        <v>1</v>
      </c>
      <c r="E13" s="272">
        <v>2</v>
      </c>
      <c r="F13" s="272">
        <v>3</v>
      </c>
      <c r="G13" s="272">
        <v>4</v>
      </c>
      <c r="H13" s="272">
        <v>5</v>
      </c>
      <c r="I13" s="272">
        <v>6</v>
      </c>
      <c r="J13" s="272">
        <v>7</v>
      </c>
      <c r="K13" s="272">
        <v>8</v>
      </c>
      <c r="L13" s="272">
        <v>9</v>
      </c>
      <c r="M13" s="272">
        <v>10</v>
      </c>
      <c r="N13" s="272">
        <v>11</v>
      </c>
      <c r="O13" s="272">
        <v>12</v>
      </c>
      <c r="P13" s="272">
        <v>13</v>
      </c>
      <c r="Q13" s="180" t="s">
        <v>224</v>
      </c>
      <c r="R13" s="180" t="s">
        <v>223</v>
      </c>
      <c r="S13" s="180" t="s">
        <v>269</v>
      </c>
      <c r="T13" s="180" t="s">
        <v>216</v>
      </c>
      <c r="U13" s="180" t="s">
        <v>220</v>
      </c>
      <c r="V13" s="181" t="s">
        <v>222</v>
      </c>
      <c r="W13" s="182" t="s">
        <v>221</v>
      </c>
      <c r="X13" s="181" t="s">
        <v>270</v>
      </c>
      <c r="Y13" s="181" t="s">
        <v>24</v>
      </c>
      <c r="Z13" s="183" t="s">
        <v>219</v>
      </c>
      <c r="AA13" s="183" t="s">
        <v>21</v>
      </c>
      <c r="AB13" s="183" t="s">
        <v>218</v>
      </c>
      <c r="AC13" s="183" t="s">
        <v>217</v>
      </c>
      <c r="AD13" s="184" t="s">
        <v>271</v>
      </c>
      <c r="AE13" s="184" t="s">
        <v>389</v>
      </c>
    </row>
    <row r="14" spans="1:31">
      <c r="A14" s="198">
        <v>42417</v>
      </c>
      <c r="B14" s="63" t="s">
        <v>157</v>
      </c>
      <c r="C14" s="56" t="s">
        <v>156</v>
      </c>
      <c r="D14" s="8">
        <v>7165.29</v>
      </c>
      <c r="E14" s="8">
        <v>7011.12</v>
      </c>
      <c r="F14" s="8">
        <v>7055.51</v>
      </c>
      <c r="G14" s="8">
        <v>7111.19</v>
      </c>
      <c r="H14" s="8">
        <v>7337.56</v>
      </c>
      <c r="I14" s="8">
        <v>7357.98</v>
      </c>
      <c r="J14" s="8">
        <v>7084.82</v>
      </c>
      <c r="K14" s="8">
        <v>7132.7</v>
      </c>
      <c r="L14" s="8">
        <v>7385.21</v>
      </c>
      <c r="M14" s="99"/>
      <c r="N14" s="99"/>
      <c r="O14" s="99"/>
      <c r="P14" s="99"/>
      <c r="Q14" s="63">
        <f>IF((L15=""),"",MAX(D16:L16))</f>
        <v>2993.5399999999991</v>
      </c>
      <c r="R14" s="63">
        <f>IF(L15="","",MIN(D16:L16))</f>
        <v>2748.08</v>
      </c>
      <c r="S14" s="98">
        <f>IF((L16=""),"",AVERAGE(D16:L16))</f>
        <v>2849.5866666666666</v>
      </c>
      <c r="T14" s="56">
        <f>IF((L15=""),"",((Q14-R14)/(Q14+R14))*100)</f>
        <v>4.2751000588683885</v>
      </c>
      <c r="U14" s="56">
        <f>STDEV(D14:L14)</f>
        <v>140.90259304851054</v>
      </c>
      <c r="V14" s="55" t="str">
        <f>IF(L15="","",(IF(T14&lt;6,IF(S14&gt;3100,IF(S14&lt;3760,"Pass","Fail"),"Fail"),"Fail")))</f>
        <v>Fail</v>
      </c>
      <c r="W14" s="91">
        <v>1159</v>
      </c>
      <c r="X14" s="236"/>
      <c r="Z14" s="53">
        <v>2800</v>
      </c>
      <c r="AA14" s="53">
        <v>3800</v>
      </c>
      <c r="AB14" s="53">
        <v>3100</v>
      </c>
      <c r="AC14" s="53">
        <v>3760</v>
      </c>
      <c r="AD14" s="52">
        <v>6</v>
      </c>
      <c r="AE14" s="52">
        <v>6</v>
      </c>
    </row>
    <row r="15" spans="1:31" ht="16.5" customHeight="1">
      <c r="A15" s="199"/>
      <c r="B15" s="48"/>
      <c r="C15" s="51" t="s">
        <v>155</v>
      </c>
      <c r="D15" s="8">
        <v>5672.78</v>
      </c>
      <c r="E15" s="8">
        <v>5609.44</v>
      </c>
      <c r="F15" s="8">
        <v>5656.39</v>
      </c>
      <c r="G15" s="8">
        <v>5737.15</v>
      </c>
      <c r="H15" s="8">
        <v>5911.06</v>
      </c>
      <c r="I15" s="8">
        <v>5861.21</v>
      </c>
      <c r="J15" s="8">
        <v>5700.23</v>
      </c>
      <c r="K15" s="8">
        <v>5741.74</v>
      </c>
      <c r="L15" s="8">
        <v>5928.24</v>
      </c>
      <c r="M15" s="93"/>
      <c r="N15" s="93"/>
      <c r="O15" s="93"/>
      <c r="P15" s="93"/>
      <c r="Q15" s="48"/>
      <c r="R15" s="48"/>
      <c r="S15" s="95"/>
      <c r="T15" s="51"/>
      <c r="U15" s="51"/>
      <c r="V15" s="47"/>
      <c r="W15" s="90"/>
      <c r="X15" s="102"/>
      <c r="Z15" s="8"/>
      <c r="AA15" s="8"/>
      <c r="AB15" s="8"/>
      <c r="AC15" s="8"/>
      <c r="AD15" s="8"/>
      <c r="AE15" s="8"/>
    </row>
    <row r="16" spans="1:31" ht="24.75" customHeight="1" thickBot="1">
      <c r="A16" s="199"/>
      <c r="B16" s="61"/>
      <c r="C16" s="51" t="s">
        <v>154</v>
      </c>
      <c r="D16" s="24">
        <f t="shared" ref="D16:L16" si="0">IF(((D14="")*AND(D15="")),"",(D14-D15)*2)</f>
        <v>2985.0200000000004</v>
      </c>
      <c r="E16" s="24">
        <f t="shared" si="0"/>
        <v>2803.3600000000006</v>
      </c>
      <c r="F16" s="24">
        <f t="shared" si="0"/>
        <v>2798.24</v>
      </c>
      <c r="G16" s="24">
        <f t="shared" si="0"/>
        <v>2748.08</v>
      </c>
      <c r="H16" s="24">
        <f t="shared" si="0"/>
        <v>2853</v>
      </c>
      <c r="I16" s="24">
        <f t="shared" si="0"/>
        <v>2993.5399999999991</v>
      </c>
      <c r="J16" s="24">
        <f t="shared" si="0"/>
        <v>2769.1800000000003</v>
      </c>
      <c r="K16" s="24">
        <f t="shared" si="0"/>
        <v>2781.92</v>
      </c>
      <c r="L16" s="24">
        <f t="shared" si="0"/>
        <v>2913.9400000000005</v>
      </c>
      <c r="M16" s="24"/>
      <c r="N16" s="24"/>
      <c r="O16" s="24"/>
      <c r="P16" s="24"/>
      <c r="Q16" s="61"/>
      <c r="R16" s="61"/>
      <c r="S16" s="95"/>
      <c r="T16" s="51"/>
      <c r="U16" s="51"/>
      <c r="V16" s="60"/>
      <c r="W16" s="89"/>
      <c r="X16" s="102"/>
      <c r="Z16" s="8"/>
      <c r="AA16" s="8"/>
      <c r="AB16" s="8"/>
      <c r="AC16" s="8"/>
      <c r="AD16" s="8"/>
      <c r="AE16" s="8"/>
    </row>
    <row r="17" spans="1:31">
      <c r="A17" s="198">
        <v>42417</v>
      </c>
      <c r="B17" s="57" t="s">
        <v>158</v>
      </c>
      <c r="C17" s="51" t="s">
        <v>156</v>
      </c>
      <c r="D17" s="8">
        <v>1244.47</v>
      </c>
      <c r="E17" s="8">
        <v>1253.24</v>
      </c>
      <c r="F17" s="8">
        <v>1263.6500000000001</v>
      </c>
      <c r="G17" s="8">
        <v>1259.8499999999999</v>
      </c>
      <c r="H17" s="8">
        <v>1275.5999999999999</v>
      </c>
      <c r="I17" s="8">
        <v>1227.7</v>
      </c>
      <c r="J17" s="8">
        <v>1241.24</v>
      </c>
      <c r="K17" s="8">
        <v>1266.19</v>
      </c>
      <c r="L17" s="8">
        <v>1267.57</v>
      </c>
      <c r="M17" s="93"/>
      <c r="N17" s="93"/>
      <c r="O17" s="93"/>
      <c r="P17" s="93"/>
      <c r="Q17" s="57">
        <f>IF((L18=""),"",MAX(D19:L19))</f>
        <v>2849.6400000000003</v>
      </c>
      <c r="R17" s="57">
        <f>IF(L18="","",MIN(D19:L19))</f>
        <v>2630.4400000000005</v>
      </c>
      <c r="S17" s="51">
        <f>IF((L19=""),"",AVERAGE(D19:L19))</f>
        <v>2716.6133333333328</v>
      </c>
      <c r="T17" s="51">
        <f>IF((L18=""),"",((Q17-R17)/(Q17+R17))*100)</f>
        <v>3.9999416066918689</v>
      </c>
      <c r="U17" s="51">
        <f>STDEV(D17:L17)</f>
        <v>15.216241688115009</v>
      </c>
      <c r="V17" s="64" t="str">
        <f>IF(L18="","",(IF(T17&lt;12,IF(S17&gt;2200,IF(S17&lt;3280,"Pass","Fail"),"Fail"),"Fail")))</f>
        <v>Pass</v>
      </c>
      <c r="W17" s="105">
        <v>1159</v>
      </c>
      <c r="X17" s="237"/>
      <c r="Z17" s="37">
        <v>2000</v>
      </c>
      <c r="AA17" s="37">
        <v>3000</v>
      </c>
      <c r="AB17" s="37">
        <v>2200</v>
      </c>
      <c r="AC17" s="37">
        <v>3280</v>
      </c>
      <c r="AD17" s="39">
        <v>12</v>
      </c>
      <c r="AE17" s="39">
        <v>12</v>
      </c>
    </row>
    <row r="18" spans="1:31" ht="16.5" customHeight="1">
      <c r="A18" s="199"/>
      <c r="B18" s="48"/>
      <c r="C18" s="51" t="s">
        <v>155</v>
      </c>
      <c r="D18" s="8">
        <v>545.48</v>
      </c>
      <c r="E18" s="8">
        <v>575.21</v>
      </c>
      <c r="F18" s="8">
        <v>606.04</v>
      </c>
      <c r="G18" s="8">
        <v>592.03</v>
      </c>
      <c r="H18" s="8">
        <v>602.57000000000005</v>
      </c>
      <c r="I18" s="8">
        <v>515.29</v>
      </c>
      <c r="J18" s="8">
        <v>558.13</v>
      </c>
      <c r="K18" s="8">
        <v>603.17999999999995</v>
      </c>
      <c r="L18" s="8">
        <v>589.20000000000005</v>
      </c>
      <c r="M18" s="93"/>
      <c r="N18" s="93"/>
      <c r="O18" s="93"/>
      <c r="P18" s="93"/>
      <c r="Q18" s="48"/>
      <c r="R18" s="48"/>
      <c r="S18" s="51"/>
      <c r="T18" s="51"/>
      <c r="U18" s="51"/>
      <c r="V18" s="47"/>
      <c r="W18" s="90"/>
      <c r="X18" s="102"/>
    </row>
    <row r="19" spans="1:31" ht="24.75" customHeight="1" thickBot="1">
      <c r="A19" s="199"/>
      <c r="B19" s="42"/>
      <c r="C19" s="45" t="s">
        <v>154</v>
      </c>
      <c r="D19" s="44">
        <f t="shared" ref="D19:L19" si="1">IF(((D17="")*AND(D18="")),"",(D17-D18)*4)</f>
        <v>2795.96</v>
      </c>
      <c r="E19" s="44">
        <f t="shared" si="1"/>
        <v>2712.12</v>
      </c>
      <c r="F19" s="44">
        <f t="shared" si="1"/>
        <v>2630.4400000000005</v>
      </c>
      <c r="G19" s="44">
        <f t="shared" si="1"/>
        <v>2671.2799999999997</v>
      </c>
      <c r="H19" s="44">
        <f t="shared" si="1"/>
        <v>2692.1199999999994</v>
      </c>
      <c r="I19" s="44">
        <f t="shared" si="1"/>
        <v>2849.6400000000003</v>
      </c>
      <c r="J19" s="44">
        <f t="shared" si="1"/>
        <v>2732.44</v>
      </c>
      <c r="K19" s="44">
        <f t="shared" si="1"/>
        <v>2652.0400000000004</v>
      </c>
      <c r="L19" s="44">
        <f t="shared" si="1"/>
        <v>2713.4799999999996</v>
      </c>
      <c r="M19" s="44"/>
      <c r="N19" s="44"/>
      <c r="O19" s="44"/>
      <c r="P19" s="44" t="str">
        <f>IF(((P17="")*AND(P18="")),"",(P17-P18)*4)</f>
        <v/>
      </c>
      <c r="Q19" s="42"/>
      <c r="R19" s="42"/>
      <c r="S19" s="45"/>
      <c r="T19" s="45"/>
      <c r="U19" s="45"/>
      <c r="V19" s="41"/>
      <c r="W19" s="92"/>
      <c r="X19" s="104"/>
    </row>
    <row r="20" spans="1:31">
      <c r="A20" s="200">
        <v>42432</v>
      </c>
      <c r="B20" s="63" t="s">
        <v>158</v>
      </c>
      <c r="C20" s="51" t="s">
        <v>156</v>
      </c>
      <c r="D20" s="8">
        <v>1922.59</v>
      </c>
      <c r="E20" s="8">
        <v>1913.45</v>
      </c>
      <c r="F20" s="8">
        <v>1909.91</v>
      </c>
      <c r="G20" s="8">
        <v>1909.21</v>
      </c>
      <c r="H20" s="8">
        <v>1916.77</v>
      </c>
      <c r="I20" s="8">
        <v>1917.47</v>
      </c>
      <c r="J20" s="8">
        <v>1911.52</v>
      </c>
      <c r="K20" s="8">
        <v>1912.87</v>
      </c>
      <c r="L20" s="8">
        <v>1919.53</v>
      </c>
      <c r="M20" s="93"/>
      <c r="N20" s="93"/>
      <c r="O20" s="93"/>
      <c r="P20" s="93"/>
      <c r="Q20" s="63">
        <f>IF((L21=""),"",MAX(D22:L22))</f>
        <v>2766.6800000000003</v>
      </c>
      <c r="R20" s="63">
        <f>IF(L21="","",MIN(D22:L22))</f>
        <v>2568.4000000000005</v>
      </c>
      <c r="S20" s="51">
        <f>IF((L22=""),"",AVERAGE(D22:L22))</f>
        <v>2650.4133333333334</v>
      </c>
      <c r="T20" s="51">
        <f>IF((L21=""),"",((Q20-R20)/(Q20+R20))*100)</f>
        <v>3.7165328354963694</v>
      </c>
      <c r="U20" s="51">
        <f>STDEV(D20:L20)</f>
        <v>4.5487800562232286</v>
      </c>
      <c r="V20" s="64" t="str">
        <f>IF(L21="","",(IF(T20&lt;12,IF(S20&gt;2200,IF(S20&lt;3280,"Pass","Fail"),"Fail"),"Fail")))</f>
        <v>Pass</v>
      </c>
      <c r="W20" s="91">
        <v>1335</v>
      </c>
      <c r="X20" s="238"/>
      <c r="Z20" s="37">
        <v>2000</v>
      </c>
      <c r="AA20" s="37">
        <v>3000</v>
      </c>
      <c r="AB20" s="37">
        <v>2200</v>
      </c>
      <c r="AC20" s="37">
        <v>3280</v>
      </c>
      <c r="AD20" s="39">
        <v>12</v>
      </c>
      <c r="AE20" s="39">
        <v>12</v>
      </c>
    </row>
    <row r="21" spans="1:31" ht="16.5" customHeight="1">
      <c r="A21" s="199"/>
      <c r="B21" s="48"/>
      <c r="C21" s="51" t="s">
        <v>155</v>
      </c>
      <c r="D21" s="8">
        <v>1241.05</v>
      </c>
      <c r="E21" s="8">
        <v>1251.48</v>
      </c>
      <c r="F21" s="8">
        <v>1267.81</v>
      </c>
      <c r="G21" s="8">
        <v>1257.0999999999999</v>
      </c>
      <c r="H21" s="8">
        <v>1254.3800000000001</v>
      </c>
      <c r="I21" s="8">
        <v>1225.8</v>
      </c>
      <c r="J21" s="8">
        <v>1245.68</v>
      </c>
      <c r="K21" s="8">
        <v>1266.32</v>
      </c>
      <c r="L21" s="8">
        <v>1260.27</v>
      </c>
      <c r="M21" s="93"/>
      <c r="N21" s="93"/>
      <c r="O21" s="93"/>
      <c r="P21" s="93"/>
      <c r="Q21" s="48"/>
      <c r="R21" s="48"/>
      <c r="S21" s="51"/>
      <c r="T21" s="51"/>
      <c r="U21" s="51"/>
      <c r="V21" s="47"/>
      <c r="W21" s="90"/>
      <c r="X21" s="102"/>
    </row>
    <row r="22" spans="1:31" ht="24.75" customHeight="1" thickBot="1">
      <c r="A22" s="199"/>
      <c r="B22" s="42"/>
      <c r="C22" s="45" t="s">
        <v>154</v>
      </c>
      <c r="D22" s="44">
        <f t="shared" ref="D22:L22" si="2">IF(((D20="")*AND(D21="")),"",(D20-D21)*4)</f>
        <v>2726.16</v>
      </c>
      <c r="E22" s="44">
        <f t="shared" si="2"/>
        <v>2647.88</v>
      </c>
      <c r="F22" s="44">
        <f t="shared" si="2"/>
        <v>2568.4000000000005</v>
      </c>
      <c r="G22" s="44">
        <f t="shared" si="2"/>
        <v>2608.4400000000005</v>
      </c>
      <c r="H22" s="44">
        <f t="shared" si="2"/>
        <v>2649.5599999999995</v>
      </c>
      <c r="I22" s="44">
        <f t="shared" si="2"/>
        <v>2766.6800000000003</v>
      </c>
      <c r="J22" s="44">
        <f t="shared" si="2"/>
        <v>2663.3599999999997</v>
      </c>
      <c r="K22" s="44">
        <f t="shared" si="2"/>
        <v>2586.1999999999998</v>
      </c>
      <c r="L22" s="44">
        <f t="shared" si="2"/>
        <v>2637.04</v>
      </c>
      <c r="M22" s="44"/>
      <c r="N22" s="44"/>
      <c r="O22" s="44"/>
      <c r="P22" s="44" t="str">
        <f>IF(((P20="")*AND(P21="")),"",(P20-P21)*4)</f>
        <v/>
      </c>
      <c r="Q22" s="42"/>
      <c r="R22" s="42"/>
      <c r="S22" s="45"/>
      <c r="T22" s="45"/>
      <c r="U22" s="45"/>
      <c r="V22" s="41"/>
      <c r="W22" s="92"/>
      <c r="X22" s="104"/>
    </row>
    <row r="23" spans="1:31">
      <c r="A23" s="198">
        <v>42438</v>
      </c>
      <c r="B23" s="63" t="s">
        <v>158</v>
      </c>
      <c r="C23" s="51" t="s">
        <v>156</v>
      </c>
      <c r="D23" s="8">
        <v>1242.3800000000001</v>
      </c>
      <c r="E23" s="8">
        <v>1256.9100000000001</v>
      </c>
      <c r="F23" s="8">
        <v>1272.05</v>
      </c>
      <c r="G23" s="8">
        <v>1259.93</v>
      </c>
      <c r="H23" s="8">
        <v>1257.9100000000001</v>
      </c>
      <c r="I23" s="8">
        <v>1227.26</v>
      </c>
      <c r="J23" s="8">
        <v>1247.8599999999999</v>
      </c>
      <c r="K23" s="8">
        <v>1268.96</v>
      </c>
      <c r="L23" s="8">
        <v>1262.78</v>
      </c>
      <c r="M23" s="93"/>
      <c r="N23" s="93"/>
      <c r="O23" s="93"/>
      <c r="P23" s="93"/>
      <c r="Q23" s="63">
        <f>IF((L24=""),"",MAX(D25:L25))</f>
        <v>2510.3199999999997</v>
      </c>
      <c r="R23" s="63">
        <f>IF(L24="","",MIN(D25:L25))</f>
        <v>2405.3199999999997</v>
      </c>
      <c r="S23" s="51">
        <f>IF((L25=""),"",AVERAGE(D25:L25))</f>
        <v>2456.8711111111115</v>
      </c>
      <c r="T23" s="51">
        <f>IF((L24=""),"",((Q23-R23)/(Q23+R23))*100)</f>
        <v>2.1360392542985251</v>
      </c>
      <c r="U23" s="51">
        <f>STDEV(D23:L23)</f>
        <v>13.973926712868739</v>
      </c>
      <c r="V23" s="64" t="str">
        <f>IF(L24="","",(IF(T23&lt;12,IF(S23&gt;2200,IF(S23&lt;3280,"Pass","Fail"),"Fail"),"Fail")))</f>
        <v>Pass</v>
      </c>
      <c r="W23" s="91">
        <v>1428</v>
      </c>
      <c r="X23" s="238"/>
      <c r="Z23" s="37">
        <v>2000</v>
      </c>
      <c r="AA23" s="37">
        <v>3000</v>
      </c>
      <c r="AB23" s="37">
        <v>2200</v>
      </c>
      <c r="AC23" s="37">
        <v>3280</v>
      </c>
      <c r="AD23" s="39">
        <v>12</v>
      </c>
      <c r="AE23" s="39">
        <v>12</v>
      </c>
    </row>
    <row r="24" spans="1:31" ht="16.5" customHeight="1">
      <c r="A24" s="199"/>
      <c r="B24" s="48"/>
      <c r="C24" s="51" t="s">
        <v>155</v>
      </c>
      <c r="D24" s="8">
        <v>623.99</v>
      </c>
      <c r="E24" s="8">
        <v>633.87</v>
      </c>
      <c r="F24" s="8">
        <v>666.12</v>
      </c>
      <c r="G24" s="8">
        <v>646.84</v>
      </c>
      <c r="H24" s="8">
        <v>655.99</v>
      </c>
      <c r="I24" s="8">
        <v>600.51</v>
      </c>
      <c r="J24" s="8">
        <v>620.28</v>
      </c>
      <c r="K24" s="8">
        <v>659.03</v>
      </c>
      <c r="L24" s="8">
        <v>661.45</v>
      </c>
      <c r="M24" s="93"/>
      <c r="N24" s="93"/>
      <c r="O24" s="93"/>
      <c r="P24" s="93"/>
      <c r="Q24" s="48"/>
      <c r="R24" s="48"/>
      <c r="S24" s="51"/>
      <c r="T24" s="51"/>
      <c r="U24" s="51"/>
      <c r="V24" s="47"/>
      <c r="W24" s="90"/>
      <c r="X24" s="102"/>
    </row>
    <row r="25" spans="1:31" ht="24.75" customHeight="1" thickBot="1">
      <c r="A25" s="199"/>
      <c r="B25" s="42"/>
      <c r="C25" s="45" t="s">
        <v>154</v>
      </c>
      <c r="D25" s="44">
        <f t="shared" ref="D25:L25" si="3">IF(((D23="")*AND(D24="")),"",(D23-D24)*4)</f>
        <v>2473.5600000000004</v>
      </c>
      <c r="E25" s="44">
        <f t="shared" si="3"/>
        <v>2492.1600000000003</v>
      </c>
      <c r="F25" s="44">
        <f t="shared" si="3"/>
        <v>2423.7199999999998</v>
      </c>
      <c r="G25" s="44">
        <f t="shared" si="3"/>
        <v>2452.36</v>
      </c>
      <c r="H25" s="44">
        <f t="shared" si="3"/>
        <v>2407.6800000000003</v>
      </c>
      <c r="I25" s="44">
        <f t="shared" si="3"/>
        <v>2507</v>
      </c>
      <c r="J25" s="44">
        <f t="shared" si="3"/>
        <v>2510.3199999999997</v>
      </c>
      <c r="K25" s="44">
        <f t="shared" si="3"/>
        <v>2439.7200000000003</v>
      </c>
      <c r="L25" s="44">
        <f t="shared" si="3"/>
        <v>2405.3199999999997</v>
      </c>
      <c r="M25" s="44"/>
      <c r="N25" s="44"/>
      <c r="O25" s="44"/>
      <c r="P25" s="44" t="str">
        <f>IF(((P23="")*AND(P24="")),"",(P23-P24)*4)</f>
        <v/>
      </c>
      <c r="Q25" s="42"/>
      <c r="R25" s="42"/>
      <c r="S25" s="45"/>
      <c r="T25" s="45"/>
      <c r="U25" s="45"/>
      <c r="V25" s="41"/>
      <c r="W25" s="92"/>
      <c r="X25" s="104"/>
    </row>
    <row r="26" spans="1:31">
      <c r="A26" s="198">
        <v>42447</v>
      </c>
      <c r="B26" s="63" t="s">
        <v>158</v>
      </c>
      <c r="C26" s="51" t="s">
        <v>156</v>
      </c>
      <c r="D26" s="8">
        <v>1778.9</v>
      </c>
      <c r="E26" s="8">
        <v>1839.22</v>
      </c>
      <c r="F26" s="8">
        <v>1837.97</v>
      </c>
      <c r="G26" s="8">
        <v>1839.25</v>
      </c>
      <c r="H26" s="8">
        <v>1850.95</v>
      </c>
      <c r="I26" s="8">
        <v>1800.61</v>
      </c>
      <c r="J26" s="8">
        <v>1867.84</v>
      </c>
      <c r="K26" s="8">
        <v>1803.23</v>
      </c>
      <c r="L26" s="8">
        <v>1837.62</v>
      </c>
      <c r="M26" s="93"/>
      <c r="N26" s="93"/>
      <c r="O26" s="93"/>
      <c r="P26" s="93"/>
      <c r="Q26" s="63">
        <f>IF((L27=""),"",MAX(D28:L28))</f>
        <v>2455.04</v>
      </c>
      <c r="R26" s="63">
        <f>IF(L27="","",MIN(D28:L28))</f>
        <v>2178.6000000000004</v>
      </c>
      <c r="S26" s="51">
        <f>IF((L28=""),"",AVERAGE(D28:L28))</f>
        <v>2297.3288888888887</v>
      </c>
      <c r="T26" s="51">
        <f>IF((L27=""),"",((Q26-R26)/(Q26+R26))*100)</f>
        <v>5.965936067540845</v>
      </c>
      <c r="U26" s="51">
        <f>STDEV(D26:L26)</f>
        <v>28.132426328199806</v>
      </c>
      <c r="V26" s="64" t="str">
        <f>IF(L27="","",(IF(T26&lt;12,IF(S26&gt;2200,IF(S26&lt;3280,"Pass","Fail"),"Fail"),"Fail")))</f>
        <v>Pass</v>
      </c>
      <c r="W26" s="91">
        <v>1335</v>
      </c>
      <c r="X26" s="238"/>
      <c r="Z26" s="37">
        <v>2000</v>
      </c>
      <c r="AA26" s="37">
        <v>3000</v>
      </c>
      <c r="AB26" s="37">
        <v>2200</v>
      </c>
      <c r="AC26" s="37">
        <v>3280</v>
      </c>
      <c r="AD26" s="39">
        <v>12</v>
      </c>
      <c r="AE26" s="39">
        <v>12</v>
      </c>
    </row>
    <row r="27" spans="1:31" ht="16.5" customHeight="1">
      <c r="A27" s="199"/>
      <c r="B27" s="48"/>
      <c r="C27" s="51" t="s">
        <v>155</v>
      </c>
      <c r="D27" s="8">
        <v>1225.18</v>
      </c>
      <c r="E27" s="8">
        <v>1250.53</v>
      </c>
      <c r="F27" s="8">
        <v>1260.43</v>
      </c>
      <c r="G27" s="8">
        <v>1255.8900000000001</v>
      </c>
      <c r="H27" s="8">
        <v>1267</v>
      </c>
      <c r="I27" s="8">
        <v>1245.51</v>
      </c>
      <c r="J27" s="8">
        <v>1254.08</v>
      </c>
      <c r="K27" s="8">
        <v>1258.58</v>
      </c>
      <c r="L27" s="8">
        <v>1269.4000000000001</v>
      </c>
      <c r="M27" s="93"/>
      <c r="N27" s="93"/>
      <c r="O27" s="93"/>
      <c r="P27" s="93"/>
      <c r="Q27" s="48"/>
      <c r="R27" s="48"/>
      <c r="S27" s="51"/>
      <c r="T27" s="51"/>
      <c r="U27" s="51"/>
      <c r="V27" s="47"/>
      <c r="W27" s="90"/>
      <c r="X27" s="102"/>
    </row>
    <row r="28" spans="1:31" ht="24.75" customHeight="1" thickBot="1">
      <c r="A28" s="199"/>
      <c r="B28" s="42"/>
      <c r="C28" s="45" t="s">
        <v>154</v>
      </c>
      <c r="D28" s="44">
        <f t="shared" ref="D28:L28" si="4">IF(((D26="")*AND(D27="")),"",(D26-D27)*4)</f>
        <v>2214.88</v>
      </c>
      <c r="E28" s="44">
        <f t="shared" si="4"/>
        <v>2354.7600000000002</v>
      </c>
      <c r="F28" s="44">
        <f t="shared" si="4"/>
        <v>2310.16</v>
      </c>
      <c r="G28" s="44">
        <f t="shared" si="4"/>
        <v>2333.4399999999996</v>
      </c>
      <c r="H28" s="44">
        <f t="shared" si="4"/>
        <v>2335.8000000000002</v>
      </c>
      <c r="I28" s="44">
        <f t="shared" si="4"/>
        <v>2220.3999999999996</v>
      </c>
      <c r="J28" s="44">
        <f t="shared" si="4"/>
        <v>2455.04</v>
      </c>
      <c r="K28" s="44">
        <f t="shared" si="4"/>
        <v>2178.6000000000004</v>
      </c>
      <c r="L28" s="44">
        <f t="shared" si="4"/>
        <v>2272.8799999999992</v>
      </c>
      <c r="M28" s="44"/>
      <c r="N28" s="44"/>
      <c r="O28" s="44"/>
      <c r="P28" s="44" t="str">
        <f>IF(((P26="")*AND(P27="")),"",(P26-P27)*4)</f>
        <v/>
      </c>
      <c r="Q28" s="42"/>
      <c r="R28" s="42"/>
      <c r="S28" s="45"/>
      <c r="T28" s="45"/>
      <c r="U28" s="45"/>
      <c r="V28" s="41"/>
      <c r="W28" s="92"/>
      <c r="X28" s="104"/>
    </row>
    <row r="29" spans="1:31">
      <c r="A29" s="198">
        <v>42522</v>
      </c>
      <c r="B29" s="63" t="s">
        <v>158</v>
      </c>
      <c r="C29" s="51" t="s">
        <v>156</v>
      </c>
      <c r="D29" s="8">
        <v>1915.56</v>
      </c>
      <c r="E29" s="8">
        <v>1903.3</v>
      </c>
      <c r="F29" s="8">
        <v>1883.07</v>
      </c>
      <c r="G29" s="8">
        <v>1905.87</v>
      </c>
      <c r="H29" s="8">
        <v>1911.25</v>
      </c>
      <c r="I29" s="8">
        <v>1913.45</v>
      </c>
      <c r="J29" s="8">
        <v>1908.3</v>
      </c>
      <c r="K29" s="8">
        <v>1900.27</v>
      </c>
      <c r="L29" s="8">
        <v>1911.14</v>
      </c>
      <c r="M29" s="93"/>
      <c r="N29" s="93"/>
      <c r="O29" s="93"/>
      <c r="P29" s="93"/>
      <c r="Q29" s="63">
        <f>IF((L30=""),"",MAX(D31:L31))</f>
        <v>2693</v>
      </c>
      <c r="R29" s="63">
        <f>IF(L30="","",MIN(D31:L31))</f>
        <v>2493.3599999999997</v>
      </c>
      <c r="S29" s="51">
        <f>IF((L31=""),"",AVERAGE(D31:L31))</f>
        <v>2580.1466666666665</v>
      </c>
      <c r="T29" s="51">
        <f>IF((L30=""),"",((Q29-R29)/(Q29+R29))*100)</f>
        <v>3.8493278522894734</v>
      </c>
      <c r="U29" s="51">
        <f>STDEV(D29:L29)</f>
        <v>9.8217672092187271</v>
      </c>
      <c r="V29" s="64" t="str">
        <f>IF(L30="","",(IF(T29&lt;12,IF(S29&gt;2200,IF(S29&lt;3280,"Pass","Fail"),"Fail"),"Fail")))</f>
        <v>Pass</v>
      </c>
      <c r="W29" s="91">
        <v>1428</v>
      </c>
      <c r="X29" s="238"/>
      <c r="Z29" s="37">
        <v>2000</v>
      </c>
      <c r="AA29" s="37">
        <v>3000</v>
      </c>
      <c r="AB29" s="37">
        <v>2200</v>
      </c>
      <c r="AC29" s="37">
        <v>3280</v>
      </c>
      <c r="AD29" s="39">
        <v>12</v>
      </c>
      <c r="AE29" s="39">
        <v>12</v>
      </c>
    </row>
    <row r="30" spans="1:31" ht="16.5" customHeight="1">
      <c r="A30" s="199"/>
      <c r="B30" s="48"/>
      <c r="C30" s="51" t="s">
        <v>155</v>
      </c>
      <c r="D30" s="8">
        <v>1247.32</v>
      </c>
      <c r="E30" s="8">
        <v>1260.2</v>
      </c>
      <c r="F30" s="8">
        <v>1259.73</v>
      </c>
      <c r="G30" s="8">
        <v>1272.27</v>
      </c>
      <c r="H30" s="8">
        <v>1274.83</v>
      </c>
      <c r="I30" s="8">
        <v>1240.2</v>
      </c>
      <c r="J30" s="8">
        <v>1253.46</v>
      </c>
      <c r="K30" s="8">
        <v>1272.33</v>
      </c>
      <c r="L30" s="8">
        <v>1266.54</v>
      </c>
      <c r="M30" s="93"/>
      <c r="N30" s="93"/>
      <c r="O30" s="93"/>
      <c r="P30" s="93"/>
      <c r="Q30" s="48"/>
      <c r="R30" s="48"/>
      <c r="S30" s="51"/>
      <c r="T30" s="51"/>
      <c r="U30" s="51"/>
      <c r="V30" s="47"/>
      <c r="W30" s="90"/>
      <c r="X30" s="102"/>
    </row>
    <row r="31" spans="1:31" ht="24.75" customHeight="1" thickBot="1">
      <c r="A31" s="199"/>
      <c r="B31" s="42"/>
      <c r="C31" s="45" t="s">
        <v>154</v>
      </c>
      <c r="D31" s="44">
        <f t="shared" ref="D31:L31" si="5">IF(((D29="")*AND(D30="")),"",(D29-D30)*4)</f>
        <v>2672.96</v>
      </c>
      <c r="E31" s="44">
        <f t="shared" si="5"/>
        <v>2572.3999999999996</v>
      </c>
      <c r="F31" s="44">
        <f t="shared" si="5"/>
        <v>2493.3599999999997</v>
      </c>
      <c r="G31" s="44">
        <f t="shared" si="5"/>
        <v>2534.3999999999996</v>
      </c>
      <c r="H31" s="44">
        <f t="shared" si="5"/>
        <v>2545.6800000000003</v>
      </c>
      <c r="I31" s="44">
        <f t="shared" si="5"/>
        <v>2693</v>
      </c>
      <c r="J31" s="44">
        <f t="shared" si="5"/>
        <v>2619.3599999999997</v>
      </c>
      <c r="K31" s="44">
        <f t="shared" si="5"/>
        <v>2511.7600000000002</v>
      </c>
      <c r="L31" s="44">
        <f t="shared" si="5"/>
        <v>2578.4000000000005</v>
      </c>
      <c r="M31" s="44"/>
      <c r="N31" s="44"/>
      <c r="O31" s="44"/>
      <c r="P31" s="44" t="str">
        <f>IF(((P29="")*AND(P30="")),"",(P29-P30)*4)</f>
        <v/>
      </c>
      <c r="Q31" s="42"/>
      <c r="R31" s="42"/>
      <c r="S31" s="45"/>
      <c r="T31" s="45"/>
      <c r="U31" s="45"/>
      <c r="V31" s="41"/>
      <c r="W31" s="92"/>
      <c r="X31" s="104"/>
    </row>
    <row r="32" spans="1:31">
      <c r="A32" s="198">
        <v>42536</v>
      </c>
      <c r="B32" s="63" t="s">
        <v>157</v>
      </c>
      <c r="C32" s="56" t="s">
        <v>156</v>
      </c>
      <c r="D32" s="8">
        <v>7217.69</v>
      </c>
      <c r="E32" s="8">
        <v>6905.85</v>
      </c>
      <c r="F32" s="8">
        <v>6787.64</v>
      </c>
      <c r="G32" s="8">
        <v>6862.35</v>
      </c>
      <c r="H32" s="8">
        <v>7147.89</v>
      </c>
      <c r="I32" s="8">
        <v>7149.43</v>
      </c>
      <c r="J32" s="8">
        <v>6877.02</v>
      </c>
      <c r="K32" s="8">
        <v>6883.68</v>
      </c>
      <c r="L32" s="8">
        <v>7155.78</v>
      </c>
      <c r="M32" s="99"/>
      <c r="N32" s="99"/>
      <c r="O32" s="99"/>
      <c r="P32" s="99"/>
      <c r="Q32" s="63">
        <f>IF((L33=""),"",MAX(D34:L34))</f>
        <v>2901.8199999999997</v>
      </c>
      <c r="R32" s="63">
        <f>IF(L33="","",MIN(D34:L34))</f>
        <v>2771.2000000000007</v>
      </c>
      <c r="S32" s="98">
        <f>IF((L34=""),"",AVERAGE(D34:L34))</f>
        <v>2824.2066666666665</v>
      </c>
      <c r="T32" s="56">
        <f>IF((L33=""),"",((Q32-R32)/(Q32+R32))*100)</f>
        <v>2.3024773401115981</v>
      </c>
      <c r="U32" s="56">
        <f>STDEV(D32:L32)</f>
        <v>164.84925779165027</v>
      </c>
      <c r="V32" s="55" t="str">
        <f>IF(L33="","",(IF(T32&lt;7,IF(S32&gt;2800,IF(S32&lt;3800,"Pass","Fail"),"Fail"),"Fail")))</f>
        <v>Pass</v>
      </c>
      <c r="W32" s="91">
        <v>1335</v>
      </c>
      <c r="Y32" s="103" t="s">
        <v>213</v>
      </c>
      <c r="Z32" s="53">
        <v>2800</v>
      </c>
      <c r="AA32" s="53">
        <v>3800</v>
      </c>
      <c r="AB32" s="53">
        <v>3100</v>
      </c>
      <c r="AC32" s="53">
        <v>3760</v>
      </c>
      <c r="AD32" s="52">
        <v>6</v>
      </c>
      <c r="AE32" s="52">
        <v>6</v>
      </c>
    </row>
    <row r="33" spans="1:31" ht="15.75" customHeight="1">
      <c r="A33" s="199"/>
      <c r="B33" s="48"/>
      <c r="C33" s="51" t="s">
        <v>155</v>
      </c>
      <c r="D33" s="8">
        <v>5767.22</v>
      </c>
      <c r="E33" s="8">
        <v>5515.79</v>
      </c>
      <c r="F33" s="8">
        <v>5390.8</v>
      </c>
      <c r="G33" s="8">
        <v>5473.62</v>
      </c>
      <c r="H33" s="8">
        <v>5727.26</v>
      </c>
      <c r="I33" s="8">
        <v>5698.52</v>
      </c>
      <c r="J33" s="8">
        <v>5491.42</v>
      </c>
      <c r="K33" s="8">
        <v>5492.3</v>
      </c>
      <c r="L33" s="8">
        <v>5721.47</v>
      </c>
      <c r="M33" s="93"/>
      <c r="N33" s="93"/>
      <c r="O33" s="93"/>
      <c r="P33" s="93"/>
      <c r="Q33" s="48"/>
      <c r="R33" s="48"/>
      <c r="S33" s="95"/>
      <c r="T33" s="51"/>
      <c r="U33" s="51"/>
      <c r="V33" s="47"/>
      <c r="W33" s="90"/>
      <c r="X33" s="102"/>
      <c r="Z33" s="8"/>
      <c r="AA33" s="8"/>
      <c r="AB33" s="8"/>
      <c r="AC33" s="8"/>
      <c r="AD33" s="8"/>
      <c r="AE33" s="8"/>
    </row>
    <row r="34" spans="1:31" ht="24" customHeight="1">
      <c r="A34" s="199"/>
      <c r="B34" s="61"/>
      <c r="C34" s="51" t="s">
        <v>154</v>
      </c>
      <c r="D34" s="24">
        <f t="shared" ref="D34:L34" si="6">IF(((D32="")*AND(D33="")),"",(D32-D33)*2)</f>
        <v>2900.9399999999987</v>
      </c>
      <c r="E34" s="24">
        <f t="shared" si="6"/>
        <v>2780.1200000000008</v>
      </c>
      <c r="F34" s="24">
        <f t="shared" si="6"/>
        <v>2793.6800000000003</v>
      </c>
      <c r="G34" s="24">
        <f t="shared" si="6"/>
        <v>2777.4600000000009</v>
      </c>
      <c r="H34" s="24">
        <f t="shared" si="6"/>
        <v>2841.26</v>
      </c>
      <c r="I34" s="24">
        <f t="shared" si="6"/>
        <v>2901.8199999999997</v>
      </c>
      <c r="J34" s="24">
        <f t="shared" si="6"/>
        <v>2771.2000000000007</v>
      </c>
      <c r="K34" s="24">
        <f t="shared" si="6"/>
        <v>2782.76</v>
      </c>
      <c r="L34" s="24">
        <f t="shared" si="6"/>
        <v>2868.619999999999</v>
      </c>
      <c r="M34" s="24"/>
      <c r="N34" s="24"/>
      <c r="O34" s="24"/>
      <c r="P34" s="24"/>
      <c r="Q34" s="61"/>
      <c r="R34" s="61"/>
      <c r="S34" s="95"/>
      <c r="T34" s="51"/>
      <c r="U34" s="51"/>
      <c r="V34" s="60"/>
      <c r="W34" s="89"/>
      <c r="X34" s="102"/>
      <c r="Z34" s="8"/>
      <c r="AA34" s="8"/>
      <c r="AB34" s="8"/>
      <c r="AC34" s="8"/>
      <c r="AD34" s="8"/>
      <c r="AE34" s="8"/>
    </row>
    <row r="35" spans="1:31">
      <c r="A35" s="200">
        <v>42536</v>
      </c>
      <c r="B35" s="57" t="s">
        <v>158</v>
      </c>
      <c r="C35" s="51" t="s">
        <v>156</v>
      </c>
      <c r="D35" s="8">
        <v>1910.46</v>
      </c>
      <c r="E35" s="8">
        <v>1902.85</v>
      </c>
      <c r="F35" s="8">
        <v>1898.02</v>
      </c>
      <c r="G35" s="8">
        <v>1901.93</v>
      </c>
      <c r="H35" s="8">
        <v>1908.43</v>
      </c>
      <c r="I35" s="8">
        <v>1909.23</v>
      </c>
      <c r="J35" s="8">
        <v>1900.58</v>
      </c>
      <c r="K35" s="8">
        <v>1903.38</v>
      </c>
      <c r="L35" s="8">
        <v>1911.8</v>
      </c>
      <c r="M35" s="93"/>
      <c r="N35" s="93"/>
      <c r="O35" s="93"/>
      <c r="P35" s="93"/>
      <c r="Q35" s="57">
        <f>IF((L36=""),"",MAX(D37:L37))</f>
        <v>2535.7199999999993</v>
      </c>
      <c r="R35" s="57">
        <f>IF(L36="","",MIN(D37:L37))</f>
        <v>2344.6000000000004</v>
      </c>
      <c r="S35" s="51">
        <f>IF((L37=""),"",AVERAGE(D37:L37))</f>
        <v>2464.2711111111107</v>
      </c>
      <c r="T35" s="51">
        <f>IF((L36=""),"",((Q35-R35)/(Q35+R35))*100)</f>
        <v>3.91613664677724</v>
      </c>
      <c r="U35" s="51">
        <f>STDEV(D35:L35)</f>
        <v>4.8775557403308341</v>
      </c>
      <c r="V35" s="64" t="str">
        <f>IF(L36="","",(IF(T35&lt;12,IF(S35&gt;2200,IF(S35&lt;3280,"Pass","Fail"),"Fail"),"Fail")))</f>
        <v>Pass</v>
      </c>
      <c r="W35" s="105">
        <v>1335</v>
      </c>
      <c r="X35" s="237"/>
      <c r="Z35" s="37">
        <v>2000</v>
      </c>
      <c r="AA35" s="37">
        <v>3000</v>
      </c>
      <c r="AB35" s="37">
        <v>2200</v>
      </c>
      <c r="AC35" s="37">
        <v>3280</v>
      </c>
      <c r="AD35" s="39">
        <v>12</v>
      </c>
      <c r="AE35" s="39">
        <v>12</v>
      </c>
    </row>
    <row r="36" spans="1:31" ht="16.5" customHeight="1">
      <c r="A36" s="199"/>
      <c r="B36" s="48"/>
      <c r="C36" s="51" t="s">
        <v>155</v>
      </c>
      <c r="D36" s="8">
        <v>1286.08</v>
      </c>
      <c r="E36" s="8">
        <v>1270.73</v>
      </c>
      <c r="F36" s="8">
        <v>1285.06</v>
      </c>
      <c r="G36" s="8">
        <v>1285.77</v>
      </c>
      <c r="H36" s="8">
        <v>1322.28</v>
      </c>
      <c r="I36" s="8">
        <v>1285.29</v>
      </c>
      <c r="J36" s="8">
        <v>1266.6500000000001</v>
      </c>
      <c r="K36" s="8">
        <v>1286.31</v>
      </c>
      <c r="L36" s="8">
        <v>1313.9</v>
      </c>
      <c r="M36" s="93"/>
      <c r="N36" s="93"/>
      <c r="O36" s="93"/>
      <c r="P36" s="93"/>
      <c r="Q36" s="48"/>
      <c r="R36" s="48"/>
      <c r="S36" s="51"/>
      <c r="T36" s="51"/>
      <c r="U36" s="51"/>
      <c r="V36" s="47"/>
      <c r="W36" s="90"/>
      <c r="X36" s="102"/>
    </row>
    <row r="37" spans="1:31" ht="24.75" customHeight="1" thickBot="1">
      <c r="A37" s="199"/>
      <c r="B37" s="42"/>
      <c r="C37" s="45" t="s">
        <v>154</v>
      </c>
      <c r="D37" s="44">
        <f t="shared" ref="D37:L37" si="7">IF(((D35="")*AND(D36="")),"",(D35-D36)*4)</f>
        <v>2497.5200000000004</v>
      </c>
      <c r="E37" s="44">
        <f t="shared" si="7"/>
        <v>2528.4799999999996</v>
      </c>
      <c r="F37" s="44">
        <f t="shared" si="7"/>
        <v>2451.84</v>
      </c>
      <c r="G37" s="44">
        <f t="shared" si="7"/>
        <v>2464.6400000000003</v>
      </c>
      <c r="H37" s="44">
        <f t="shared" si="7"/>
        <v>2344.6000000000004</v>
      </c>
      <c r="I37" s="44">
        <f t="shared" si="7"/>
        <v>2495.7600000000002</v>
      </c>
      <c r="J37" s="44">
        <f t="shared" si="7"/>
        <v>2535.7199999999993</v>
      </c>
      <c r="K37" s="44">
        <f t="shared" si="7"/>
        <v>2468.2800000000007</v>
      </c>
      <c r="L37" s="44">
        <f t="shared" si="7"/>
        <v>2391.5999999999995</v>
      </c>
      <c r="M37" s="44"/>
      <c r="N37" s="44"/>
      <c r="O37" s="44"/>
      <c r="P37" s="44" t="str">
        <f>IF(((P35="")*AND(P36="")),"",(P35-P36)*4)</f>
        <v/>
      </c>
      <c r="Q37" s="42"/>
      <c r="R37" s="42"/>
      <c r="S37" s="45"/>
      <c r="T37" s="45"/>
      <c r="U37" s="45"/>
      <c r="V37" s="41"/>
      <c r="W37" s="92"/>
      <c r="X37" s="104"/>
    </row>
    <row r="38" spans="1:31">
      <c r="A38" s="198">
        <v>42542</v>
      </c>
      <c r="B38" s="63" t="s">
        <v>157</v>
      </c>
      <c r="C38" s="56" t="s">
        <v>156</v>
      </c>
      <c r="D38" s="8">
        <v>7033.44</v>
      </c>
      <c r="E38" s="8">
        <v>6869.26</v>
      </c>
      <c r="F38" s="8">
        <v>6830.29</v>
      </c>
      <c r="G38" s="8">
        <v>6878.47</v>
      </c>
      <c r="H38" s="8">
        <v>7039.04</v>
      </c>
      <c r="I38" s="8">
        <v>7066.68</v>
      </c>
      <c r="J38" s="8">
        <v>6891.51</v>
      </c>
      <c r="K38" s="8">
        <v>6847.07</v>
      </c>
      <c r="L38" s="8">
        <v>6968.85</v>
      </c>
      <c r="M38" s="99"/>
      <c r="N38" s="99"/>
      <c r="O38" s="99"/>
      <c r="P38" s="99"/>
      <c r="Q38" s="63">
        <f>IF((L39=""),"",MAX(D40:L40))</f>
        <v>2894.3999999999996</v>
      </c>
      <c r="R38" s="63">
        <f>IF(L39="","",MIN(D40:L40))</f>
        <v>2750.76</v>
      </c>
      <c r="S38" s="98">
        <f>IF((L40=""),"",AVERAGE(D40:L40))</f>
        <v>2809.6733333333336</v>
      </c>
      <c r="T38" s="56">
        <f>IF((L39=""),"",((Q38-R38)/(Q38+R38))*100)</f>
        <v>2.5444805815955513</v>
      </c>
      <c r="U38" s="56">
        <f>STDEV(D38:L38)</f>
        <v>91.579594039499938</v>
      </c>
      <c r="V38" s="55" t="str">
        <f>IF(L39="","",(IF(T38&lt;7,IF(S38&gt;2800,IF(S38&lt;3800,"Pass","Fail"),"Fail"),"Fail")))</f>
        <v>Pass</v>
      </c>
      <c r="W38" s="91">
        <v>1400</v>
      </c>
      <c r="Y38" s="103" t="s">
        <v>213</v>
      </c>
      <c r="Z38" s="53">
        <v>2800</v>
      </c>
      <c r="AA38" s="53">
        <v>3800</v>
      </c>
      <c r="AB38" s="53">
        <v>3100</v>
      </c>
      <c r="AC38" s="53">
        <v>3760</v>
      </c>
      <c r="AD38" s="52">
        <v>6</v>
      </c>
      <c r="AE38" s="52">
        <v>6</v>
      </c>
    </row>
    <row r="39" spans="1:31" ht="15.75" customHeight="1">
      <c r="A39" s="199"/>
      <c r="B39" s="48"/>
      <c r="C39" s="51" t="s">
        <v>155</v>
      </c>
      <c r="D39" s="8">
        <v>5607.94</v>
      </c>
      <c r="E39" s="8">
        <v>5493.55</v>
      </c>
      <c r="F39" s="8">
        <v>5448.92</v>
      </c>
      <c r="G39" s="8">
        <v>5496.63</v>
      </c>
      <c r="H39" s="8">
        <v>5591.84</v>
      </c>
      <c r="I39" s="8">
        <v>5634.41</v>
      </c>
      <c r="J39" s="8">
        <v>5516.13</v>
      </c>
      <c r="K39" s="8">
        <v>5469.67</v>
      </c>
      <c r="L39" s="8">
        <v>5521.99</v>
      </c>
      <c r="M39" s="93"/>
      <c r="N39" s="93"/>
      <c r="O39" s="93"/>
      <c r="P39" s="93"/>
      <c r="Q39" s="48"/>
      <c r="R39" s="48"/>
      <c r="S39" s="95"/>
      <c r="T39" s="51"/>
      <c r="U39" s="51"/>
      <c r="V39" s="47"/>
      <c r="W39" s="90"/>
      <c r="X39" s="8"/>
      <c r="Y39" s="102"/>
      <c r="Z39" s="8"/>
      <c r="AA39" s="8"/>
      <c r="AB39" s="8"/>
      <c r="AC39" s="8"/>
      <c r="AD39" s="8"/>
      <c r="AE39" s="8"/>
    </row>
    <row r="40" spans="1:31" ht="24" customHeight="1">
      <c r="A40" s="199"/>
      <c r="B40" s="61"/>
      <c r="C40" s="51" t="s">
        <v>154</v>
      </c>
      <c r="D40" s="24">
        <f t="shared" ref="D40:L40" si="8">IF(((D38="")*AND(D39="")),"",(D38-D39)*2)</f>
        <v>2851</v>
      </c>
      <c r="E40" s="24">
        <f t="shared" si="8"/>
        <v>2751.42</v>
      </c>
      <c r="F40" s="24">
        <f t="shared" si="8"/>
        <v>2762.74</v>
      </c>
      <c r="G40" s="24">
        <f t="shared" si="8"/>
        <v>2763.6800000000003</v>
      </c>
      <c r="H40" s="24">
        <f t="shared" si="8"/>
        <v>2894.3999999999996</v>
      </c>
      <c r="I40" s="24">
        <f t="shared" si="8"/>
        <v>2864.5400000000009</v>
      </c>
      <c r="J40" s="24">
        <f t="shared" si="8"/>
        <v>2750.76</v>
      </c>
      <c r="K40" s="24">
        <f t="shared" si="8"/>
        <v>2754.7999999999993</v>
      </c>
      <c r="L40" s="24">
        <f t="shared" si="8"/>
        <v>2893.7200000000012</v>
      </c>
      <c r="M40" s="24"/>
      <c r="N40" s="24"/>
      <c r="O40" s="24"/>
      <c r="P40" s="24"/>
      <c r="Q40" s="61"/>
      <c r="R40" s="61"/>
      <c r="S40" s="95"/>
      <c r="T40" s="51"/>
      <c r="U40" s="51"/>
      <c r="V40" s="60"/>
      <c r="W40" s="89"/>
      <c r="X40" s="8"/>
      <c r="Y40" s="102"/>
      <c r="Z40" s="8"/>
      <c r="AA40" s="8"/>
      <c r="AB40" s="8"/>
      <c r="AC40" s="8"/>
      <c r="AD40" s="8"/>
      <c r="AE40" s="8"/>
    </row>
    <row r="41" spans="1:31">
      <c r="A41" s="200">
        <v>42542</v>
      </c>
      <c r="B41" s="57" t="s">
        <v>158</v>
      </c>
      <c r="C41" s="51" t="s">
        <v>156</v>
      </c>
      <c r="D41" s="8">
        <v>1914.09</v>
      </c>
      <c r="E41" s="8">
        <v>1905.8</v>
      </c>
      <c r="F41" s="8">
        <v>1892.49</v>
      </c>
      <c r="G41" s="8">
        <v>1903.66</v>
      </c>
      <c r="H41" s="8">
        <v>1915.76</v>
      </c>
      <c r="I41" s="8">
        <v>1910.95</v>
      </c>
      <c r="J41" s="8">
        <v>1905.07</v>
      </c>
      <c r="K41" s="8">
        <v>1904.95</v>
      </c>
      <c r="L41" s="8">
        <v>1919.89</v>
      </c>
      <c r="M41" s="93"/>
      <c r="N41" s="93"/>
      <c r="O41" s="93"/>
      <c r="P41" s="93"/>
      <c r="Q41" s="57">
        <f>IF((L42=""),"",MAX(D43:L43))</f>
        <v>2644.16</v>
      </c>
      <c r="R41" s="57">
        <f>IF(L42="","",MIN(D43:L43))</f>
        <v>2486.6000000000004</v>
      </c>
      <c r="S41" s="51">
        <f>IF((L43=""),"",AVERAGE(D43:L43))</f>
        <v>2559.2266666666669</v>
      </c>
      <c r="T41" s="51">
        <f>IF((L42=""),"",((Q41-R41)/(Q41+R41))*100)</f>
        <v>3.070890082560858</v>
      </c>
      <c r="U41" s="51">
        <f>STDEV(D41:L41)</f>
        <v>8.1352243361963996</v>
      </c>
      <c r="V41" s="64" t="str">
        <f>IF(L42="","",(IF(T41&lt;12,IF(S41&gt;2200,IF(S41&lt;3280,"Pass","Fail"),"Fail"),"Fail")))</f>
        <v>Pass</v>
      </c>
      <c r="W41" s="105">
        <v>1400</v>
      </c>
      <c r="Y41" s="102"/>
      <c r="Z41" s="37">
        <v>2000</v>
      </c>
      <c r="AA41" s="37">
        <v>3000</v>
      </c>
      <c r="AB41" s="37">
        <v>2200</v>
      </c>
      <c r="AC41" s="37">
        <v>3280</v>
      </c>
      <c r="AD41" s="39">
        <v>12</v>
      </c>
      <c r="AE41" s="39">
        <v>12</v>
      </c>
    </row>
    <row r="42" spans="1:31" ht="16.5" customHeight="1">
      <c r="A42" s="199"/>
      <c r="B42" s="48"/>
      <c r="C42" s="51" t="s">
        <v>155</v>
      </c>
      <c r="D42" s="8">
        <v>1255.05</v>
      </c>
      <c r="E42" s="8">
        <v>1259.53</v>
      </c>
      <c r="F42" s="8">
        <v>1266.0999999999999</v>
      </c>
      <c r="G42" s="8">
        <v>1272.76</v>
      </c>
      <c r="H42" s="8">
        <v>1294.1099999999999</v>
      </c>
      <c r="I42" s="8">
        <v>1249.9100000000001</v>
      </c>
      <c r="J42" s="8">
        <v>1255.6300000000001</v>
      </c>
      <c r="K42" s="8">
        <v>1274.5</v>
      </c>
      <c r="L42" s="8">
        <v>1286.81</v>
      </c>
      <c r="M42" s="93"/>
      <c r="N42" s="93"/>
      <c r="O42" s="93"/>
      <c r="P42" s="93"/>
      <c r="Q42" s="48"/>
      <c r="R42" s="48"/>
      <c r="S42" s="51"/>
      <c r="T42" s="51"/>
      <c r="U42" s="51"/>
      <c r="V42" s="47"/>
      <c r="W42" s="90"/>
      <c r="X42" s="8"/>
      <c r="Y42" s="102"/>
    </row>
    <row r="43" spans="1:31" ht="24.75" customHeight="1" thickBot="1">
      <c r="A43" s="199"/>
      <c r="B43" s="42"/>
      <c r="C43" s="45" t="s">
        <v>154</v>
      </c>
      <c r="D43" s="44">
        <f t="shared" ref="D43:L43" si="9">IF(((D41="")*AND(D42="")),"",(D41-D42)*4)</f>
        <v>2636.16</v>
      </c>
      <c r="E43" s="44">
        <f t="shared" si="9"/>
        <v>2585.08</v>
      </c>
      <c r="F43" s="44">
        <f t="shared" si="9"/>
        <v>2505.5600000000004</v>
      </c>
      <c r="G43" s="44">
        <f t="shared" si="9"/>
        <v>2523.6000000000004</v>
      </c>
      <c r="H43" s="44">
        <f t="shared" si="9"/>
        <v>2486.6000000000004</v>
      </c>
      <c r="I43" s="44">
        <f t="shared" si="9"/>
        <v>2644.16</v>
      </c>
      <c r="J43" s="44">
        <f t="shared" si="9"/>
        <v>2597.7599999999993</v>
      </c>
      <c r="K43" s="44">
        <f t="shared" si="9"/>
        <v>2521.8000000000002</v>
      </c>
      <c r="L43" s="44">
        <f t="shared" si="9"/>
        <v>2532.3200000000006</v>
      </c>
      <c r="M43" s="44"/>
      <c r="N43" s="44"/>
      <c r="O43" s="44"/>
      <c r="P43" s="44" t="str">
        <f>IF(((P41="")*AND(P42="")),"",(P41-P42)*4)</f>
        <v/>
      </c>
      <c r="Q43" s="42"/>
      <c r="R43" s="42"/>
      <c r="S43" s="45"/>
      <c r="T43" s="45"/>
      <c r="U43" s="45"/>
      <c r="V43" s="41"/>
      <c r="W43" s="92"/>
      <c r="X43" s="8"/>
      <c r="Y43" s="104"/>
    </row>
    <row r="44" spans="1:31">
      <c r="A44" s="198">
        <v>42555</v>
      </c>
      <c r="B44" s="63" t="s">
        <v>157</v>
      </c>
      <c r="C44" s="56" t="s">
        <v>38</v>
      </c>
      <c r="D44" s="8">
        <v>5627.93</v>
      </c>
      <c r="E44" s="8">
        <v>5510.9</v>
      </c>
      <c r="F44" s="8">
        <v>5466.62</v>
      </c>
      <c r="G44" s="8">
        <v>5513.94</v>
      </c>
      <c r="H44" s="8">
        <v>5612.02</v>
      </c>
      <c r="I44" s="8">
        <v>5652.22</v>
      </c>
      <c r="J44" s="8">
        <v>5534.92</v>
      </c>
      <c r="K44" s="8">
        <v>5486.85</v>
      </c>
      <c r="L44" s="8">
        <v>5541.58</v>
      </c>
      <c r="M44" s="99"/>
      <c r="N44" s="99"/>
      <c r="O44" s="99"/>
      <c r="P44" s="99"/>
      <c r="Q44" s="63">
        <f>IF((L45=""),"",MAX(D46:L46))</f>
        <v>2908.9399999999996</v>
      </c>
      <c r="R44" s="63">
        <f>IF(L45="","",MIN(D46:L46))</f>
        <v>2747.58</v>
      </c>
      <c r="S44" s="98">
        <f>IF((L46=""),"",AVERAGE(D46:L46))</f>
        <v>2811.8422222222221</v>
      </c>
      <c r="T44" s="56">
        <f>IF((L45=""),"",((Q44-R44)/(Q44+R44))*100)</f>
        <v>2.8526373105725726</v>
      </c>
      <c r="U44" s="56">
        <f>STDEV(D44:L44)</f>
        <v>65.60779643294677</v>
      </c>
      <c r="V44" s="55" t="str">
        <f>IF(L45="","",(IF(T44&lt;7,IF(S44&gt;2800,IF(S44&lt;3800,"Pass","Fail"),"Fail"),"Fail")))</f>
        <v>Pass</v>
      </c>
      <c r="W44" s="91">
        <v>1400</v>
      </c>
      <c r="Y44" s="103" t="s">
        <v>213</v>
      </c>
      <c r="Z44" s="53">
        <v>2800</v>
      </c>
      <c r="AA44" s="53">
        <v>3800</v>
      </c>
      <c r="AB44" s="53">
        <v>3100</v>
      </c>
      <c r="AC44" s="53">
        <v>3760</v>
      </c>
      <c r="AD44" s="52">
        <v>6</v>
      </c>
      <c r="AE44" s="52">
        <v>6</v>
      </c>
    </row>
    <row r="45" spans="1:31" ht="16.5" customHeight="1">
      <c r="A45" s="199"/>
      <c r="B45" s="48"/>
      <c r="C45" s="51" t="s">
        <v>155</v>
      </c>
      <c r="D45" s="8">
        <v>4192.79</v>
      </c>
      <c r="E45" s="8">
        <v>4132.6000000000004</v>
      </c>
      <c r="F45" s="8">
        <v>4086.96</v>
      </c>
      <c r="G45" s="8">
        <v>4134.8</v>
      </c>
      <c r="H45" s="8">
        <v>4166.8900000000003</v>
      </c>
      <c r="I45" s="8">
        <v>4221.9399999999996</v>
      </c>
      <c r="J45" s="8">
        <v>4161.13</v>
      </c>
      <c r="K45" s="8">
        <v>4109.47</v>
      </c>
      <c r="L45" s="8">
        <v>4087.11</v>
      </c>
      <c r="M45" s="93"/>
      <c r="N45" s="93"/>
      <c r="O45" s="93"/>
      <c r="P45" s="93"/>
      <c r="Q45" s="48"/>
      <c r="R45" s="48"/>
      <c r="S45" s="95"/>
      <c r="T45" s="51"/>
      <c r="U45" s="51"/>
      <c r="V45" s="47"/>
      <c r="W45" s="90"/>
      <c r="X45" s="102"/>
      <c r="Z45" s="8"/>
      <c r="AA45" s="8"/>
      <c r="AB45" s="8"/>
      <c r="AC45" s="8"/>
      <c r="AD45" s="8"/>
      <c r="AE45" s="8"/>
    </row>
    <row r="46" spans="1:31" ht="24.75" customHeight="1" thickBot="1">
      <c r="A46" s="199"/>
      <c r="B46" s="61"/>
      <c r="C46" s="51" t="s">
        <v>154</v>
      </c>
      <c r="D46" s="24">
        <f t="shared" ref="D46:L46" si="10">IF(((D44="")*AND(D45="")),"",(D44-D45)*2)</f>
        <v>2870.2800000000007</v>
      </c>
      <c r="E46" s="24">
        <f t="shared" si="10"/>
        <v>2756.5999999999985</v>
      </c>
      <c r="F46" s="24">
        <f t="shared" si="10"/>
        <v>2759.3199999999997</v>
      </c>
      <c r="G46" s="24">
        <f t="shared" si="10"/>
        <v>2758.2799999999988</v>
      </c>
      <c r="H46" s="24">
        <f t="shared" si="10"/>
        <v>2890.26</v>
      </c>
      <c r="I46" s="24">
        <f t="shared" si="10"/>
        <v>2860.5600000000013</v>
      </c>
      <c r="J46" s="24">
        <f t="shared" si="10"/>
        <v>2747.58</v>
      </c>
      <c r="K46" s="24">
        <f t="shared" si="10"/>
        <v>2754.76</v>
      </c>
      <c r="L46" s="24">
        <f t="shared" si="10"/>
        <v>2908.9399999999996</v>
      </c>
      <c r="M46" s="24"/>
      <c r="N46" s="24"/>
      <c r="O46" s="24"/>
      <c r="P46" s="24"/>
      <c r="Q46" s="61"/>
      <c r="R46" s="61"/>
      <c r="S46" s="95"/>
      <c r="T46" s="51"/>
      <c r="U46" s="51"/>
      <c r="V46" s="60"/>
      <c r="W46" s="89"/>
      <c r="X46" s="102"/>
      <c r="Z46" s="8"/>
      <c r="AA46" s="8"/>
      <c r="AB46" s="8"/>
      <c r="AC46" s="8"/>
      <c r="AD46" s="8"/>
      <c r="AE46" s="8"/>
    </row>
    <row r="47" spans="1:31">
      <c r="A47" s="198">
        <v>42555</v>
      </c>
      <c r="B47" s="57" t="s">
        <v>158</v>
      </c>
      <c r="C47" s="51" t="s">
        <v>156</v>
      </c>
      <c r="D47" s="8">
        <v>1904.49</v>
      </c>
      <c r="E47" s="8">
        <v>1899.18</v>
      </c>
      <c r="F47" s="8">
        <v>1896.73</v>
      </c>
      <c r="G47" s="8">
        <v>1900.2</v>
      </c>
      <c r="H47" s="8">
        <v>1909.26</v>
      </c>
      <c r="I47" s="8">
        <v>1906.83</v>
      </c>
      <c r="J47" s="8">
        <v>1901.57</v>
      </c>
      <c r="K47" s="8">
        <v>1901.34</v>
      </c>
      <c r="L47" s="8">
        <v>1906.78</v>
      </c>
      <c r="M47" s="93"/>
      <c r="N47" s="93"/>
      <c r="O47" s="93"/>
      <c r="P47" s="93"/>
      <c r="Q47" s="57">
        <f>IF((L48=""),"",MAX(D49:L49))</f>
        <v>2658.7199999999993</v>
      </c>
      <c r="R47" s="57">
        <f>IF(L48="","",MIN(D49:L49))</f>
        <v>2495.5600000000004</v>
      </c>
      <c r="S47" s="51">
        <f>IF((L49=""),"",AVERAGE(D49:L49))</f>
        <v>2570.2044444444446</v>
      </c>
      <c r="T47" s="51">
        <f>IF((L48=""),"",((Q47-R47)/(Q47+R47))*100)</f>
        <v>3.1655245737522786</v>
      </c>
      <c r="U47" s="51">
        <f>STDEV(D47:L47)</f>
        <v>4.1362435991729312</v>
      </c>
      <c r="V47" s="64" t="str">
        <f>IF(L48="","",(IF(T47&lt;12,IF(S47&gt;2200,IF(S47&lt;3280,"Pass","Fail"),"Fail"),"Fail")))</f>
        <v>Pass</v>
      </c>
      <c r="W47" s="105">
        <v>1400</v>
      </c>
      <c r="X47" s="237"/>
      <c r="Z47" s="37">
        <v>2000</v>
      </c>
      <c r="AA47" s="37">
        <v>3000</v>
      </c>
      <c r="AB47" s="37">
        <v>2200</v>
      </c>
      <c r="AC47" s="37">
        <v>3280</v>
      </c>
      <c r="AD47" s="39">
        <v>12</v>
      </c>
      <c r="AE47" s="39">
        <v>12</v>
      </c>
    </row>
    <row r="48" spans="1:31" ht="16.5" customHeight="1">
      <c r="A48" s="199"/>
      <c r="B48" s="48"/>
      <c r="C48" s="51" t="s">
        <v>155</v>
      </c>
      <c r="D48" s="8">
        <v>1239.83</v>
      </c>
      <c r="E48" s="8">
        <v>1252.01</v>
      </c>
      <c r="F48" s="8">
        <v>1272.8399999999999</v>
      </c>
      <c r="G48" s="8">
        <v>1268.06</v>
      </c>
      <c r="H48" s="8">
        <v>1281.97</v>
      </c>
      <c r="I48" s="8">
        <v>1242.1500000000001</v>
      </c>
      <c r="J48" s="8">
        <v>1254.31</v>
      </c>
      <c r="K48" s="8">
        <v>1267.1300000000001</v>
      </c>
      <c r="L48" s="8">
        <v>1265.1199999999999</v>
      </c>
      <c r="M48" s="93"/>
      <c r="N48" s="93"/>
      <c r="O48" s="93"/>
      <c r="P48" s="93"/>
      <c r="Q48" s="48"/>
      <c r="R48" s="48"/>
      <c r="S48" s="51"/>
      <c r="T48" s="51"/>
      <c r="U48" s="51"/>
      <c r="V48" s="47"/>
      <c r="W48" s="90"/>
      <c r="X48" s="102"/>
    </row>
    <row r="49" spans="1:31" ht="24.75" customHeight="1" thickBot="1">
      <c r="A49" s="199"/>
      <c r="B49" s="42"/>
      <c r="C49" s="45" t="s">
        <v>154</v>
      </c>
      <c r="D49" s="44">
        <f t="shared" ref="D49:L49" si="11">IF(((D47="")*AND(D48="")),"",(D47-D48)*4)</f>
        <v>2658.6400000000003</v>
      </c>
      <c r="E49" s="44">
        <f t="shared" si="11"/>
        <v>2588.6800000000003</v>
      </c>
      <c r="F49" s="44">
        <f t="shared" si="11"/>
        <v>2495.5600000000004</v>
      </c>
      <c r="G49" s="44">
        <f t="shared" si="11"/>
        <v>2528.5600000000004</v>
      </c>
      <c r="H49" s="44">
        <f t="shared" si="11"/>
        <v>2509.16</v>
      </c>
      <c r="I49" s="44">
        <f t="shared" si="11"/>
        <v>2658.7199999999993</v>
      </c>
      <c r="J49" s="44">
        <f t="shared" si="11"/>
        <v>2589.04</v>
      </c>
      <c r="K49" s="44">
        <f t="shared" si="11"/>
        <v>2536.8399999999992</v>
      </c>
      <c r="L49" s="44">
        <f t="shared" si="11"/>
        <v>2566.6400000000003</v>
      </c>
      <c r="M49" s="44"/>
      <c r="N49" s="44"/>
      <c r="O49" s="44"/>
      <c r="P49" s="44" t="str">
        <f>IF(((P47="")*AND(P48="")),"",(P47-P48)*4)</f>
        <v/>
      </c>
      <c r="Q49" s="42"/>
      <c r="R49" s="42"/>
      <c r="S49" s="45"/>
      <c r="T49" s="45"/>
      <c r="U49" s="45"/>
      <c r="V49" s="41"/>
      <c r="W49" s="92"/>
      <c r="X49" s="104"/>
    </row>
    <row r="50" spans="1:31">
      <c r="A50" s="198">
        <v>42564</v>
      </c>
      <c r="B50" s="63" t="s">
        <v>157</v>
      </c>
      <c r="C50" s="51" t="s">
        <v>156</v>
      </c>
      <c r="D50" s="8">
        <v>7105.14</v>
      </c>
      <c r="E50" s="8">
        <v>6946</v>
      </c>
      <c r="F50" s="8">
        <v>6888</v>
      </c>
      <c r="G50" s="8">
        <v>6893.18</v>
      </c>
      <c r="H50" s="8">
        <v>6982.33</v>
      </c>
      <c r="I50" s="8">
        <v>7069.16</v>
      </c>
      <c r="J50" s="8">
        <v>6927.73</v>
      </c>
      <c r="K50" s="8">
        <v>6926.82</v>
      </c>
      <c r="L50" s="8">
        <v>7093.27</v>
      </c>
      <c r="M50" s="99"/>
      <c r="N50" s="99"/>
      <c r="O50" s="99"/>
      <c r="P50" s="99"/>
      <c r="Q50" s="63">
        <f>IF((L51=""),"",MAX(D52:L52))</f>
        <v>2881.9400000000005</v>
      </c>
      <c r="R50" s="63">
        <f>IF(L51="","",MIN(D52:L52))</f>
        <v>2727.8199999999997</v>
      </c>
      <c r="S50" s="98">
        <f>IF((L52=""),"",AVERAGE(D52:L52))</f>
        <v>2785.4266666666663</v>
      </c>
      <c r="T50" s="56">
        <f>IF((L51=""),"",((Q50-R50)/(Q50+R50))*100)</f>
        <v>2.747354610535937</v>
      </c>
      <c r="U50" s="56">
        <f>STDEV(D50:L50)</f>
        <v>85.985461093488951</v>
      </c>
      <c r="V50" s="55" t="str">
        <f>IF(L51="","",(IF(T50&lt;7,IF(S50&gt;2800,IF(S50&lt;3800,"Pass","Fail"),"Fail"),"Fail")))</f>
        <v>Fail</v>
      </c>
      <c r="W50" s="91">
        <v>1159</v>
      </c>
      <c r="Y50" s="103" t="s">
        <v>213</v>
      </c>
      <c r="Z50" s="53">
        <v>2800</v>
      </c>
      <c r="AA50" s="53">
        <v>3800</v>
      </c>
      <c r="AB50" s="53">
        <v>3100</v>
      </c>
      <c r="AC50" s="53">
        <v>3760</v>
      </c>
      <c r="AD50" s="52">
        <v>6</v>
      </c>
      <c r="AE50" s="52">
        <v>6</v>
      </c>
    </row>
    <row r="51" spans="1:31" ht="16.5" customHeight="1">
      <c r="A51" s="199"/>
      <c r="B51" s="48"/>
      <c r="C51" s="51" t="s">
        <v>155</v>
      </c>
      <c r="D51" s="8">
        <v>5693.61</v>
      </c>
      <c r="E51" s="8">
        <v>5581.13</v>
      </c>
      <c r="F51" s="8">
        <v>5516.51</v>
      </c>
      <c r="G51" s="8">
        <v>5526.07</v>
      </c>
      <c r="H51" s="8">
        <v>5552.59</v>
      </c>
      <c r="I51" s="8">
        <v>5648.74</v>
      </c>
      <c r="J51" s="8">
        <v>5563.35</v>
      </c>
      <c r="K51" s="8">
        <v>5562.91</v>
      </c>
      <c r="L51" s="8">
        <v>5652.3</v>
      </c>
      <c r="M51" s="93"/>
      <c r="N51" s="93"/>
      <c r="O51" s="93"/>
      <c r="P51" s="93"/>
      <c r="Q51" s="48"/>
      <c r="R51" s="48"/>
      <c r="S51" s="95"/>
      <c r="T51" s="51"/>
      <c r="U51" s="51"/>
      <c r="V51" s="47"/>
      <c r="W51" s="90"/>
      <c r="X51" s="102"/>
      <c r="Z51" s="8"/>
      <c r="AA51" s="8"/>
      <c r="AB51" s="8"/>
      <c r="AC51" s="8"/>
      <c r="AD51" s="8"/>
      <c r="AE51" s="8"/>
    </row>
    <row r="52" spans="1:31" ht="24.75" customHeight="1" thickBot="1">
      <c r="A52" s="199"/>
      <c r="B52" s="61"/>
      <c r="C52" s="51" t="s">
        <v>154</v>
      </c>
      <c r="D52" s="24">
        <f t="shared" ref="D52:L52" si="12">IF(((D50="")*AND(D51="")),"",(D50-D51)*2)</f>
        <v>2823.0600000000013</v>
      </c>
      <c r="E52" s="24">
        <f t="shared" si="12"/>
        <v>2729.74</v>
      </c>
      <c r="F52" s="24">
        <f t="shared" si="12"/>
        <v>2742.9799999999996</v>
      </c>
      <c r="G52" s="24">
        <f t="shared" si="12"/>
        <v>2734.2200000000012</v>
      </c>
      <c r="H52" s="24">
        <f t="shared" si="12"/>
        <v>2859.4799999999996</v>
      </c>
      <c r="I52" s="24">
        <f t="shared" si="12"/>
        <v>2840.84</v>
      </c>
      <c r="J52" s="24">
        <f t="shared" si="12"/>
        <v>2728.7599999999984</v>
      </c>
      <c r="K52" s="24">
        <f t="shared" si="12"/>
        <v>2727.8199999999997</v>
      </c>
      <c r="L52" s="24">
        <f t="shared" si="12"/>
        <v>2881.9400000000005</v>
      </c>
      <c r="M52" s="24"/>
      <c r="N52" s="24"/>
      <c r="O52" s="24"/>
      <c r="P52" s="24"/>
      <c r="Q52" s="61"/>
      <c r="R52" s="61"/>
      <c r="S52" s="95"/>
      <c r="T52" s="51"/>
      <c r="U52" s="51"/>
      <c r="V52" s="60"/>
      <c r="W52" s="89"/>
      <c r="X52" s="102"/>
      <c r="Z52" s="8"/>
      <c r="AA52" s="8"/>
      <c r="AB52" s="8"/>
      <c r="AC52" s="8"/>
      <c r="AD52" s="8"/>
      <c r="AE52" s="8"/>
    </row>
    <row r="53" spans="1:31">
      <c r="A53" s="198">
        <v>42564</v>
      </c>
      <c r="B53" s="57" t="s">
        <v>158</v>
      </c>
      <c r="C53" s="51" t="s">
        <v>156</v>
      </c>
      <c r="D53" s="8">
        <v>2050.81</v>
      </c>
      <c r="E53" s="8">
        <v>2034.6</v>
      </c>
      <c r="F53" s="8">
        <v>2015.87</v>
      </c>
      <c r="G53" s="8">
        <v>2037.1</v>
      </c>
      <c r="H53" s="8">
        <v>2069.7800000000002</v>
      </c>
      <c r="I53" s="8">
        <v>2057.94</v>
      </c>
      <c r="J53" s="8">
        <v>2036.99</v>
      </c>
      <c r="K53" s="8">
        <v>2036.93</v>
      </c>
      <c r="L53" s="8">
        <v>2064.8000000000002</v>
      </c>
      <c r="M53" s="93"/>
      <c r="N53" s="93"/>
      <c r="O53" s="93"/>
      <c r="P53" s="93"/>
      <c r="Q53" s="57">
        <f>IF((L54=""),"",MAX(D55:L55))</f>
        <v>3213.5600000000004</v>
      </c>
      <c r="R53" s="57">
        <f>IF(L54="","",MIN(D55:L55))</f>
        <v>2937.6799999999994</v>
      </c>
      <c r="S53" s="51">
        <f>IF((L55=""),"",AVERAGE(D55:L55))</f>
        <v>3067.2488888888893</v>
      </c>
      <c r="T53" s="51">
        <f>IF((L54=""),"",((Q53-R53)/(Q53+R53))*100)</f>
        <v>4.4849493760607784</v>
      </c>
      <c r="U53" s="51">
        <f>STDEV(D53:L53)</f>
        <v>17.159896561465796</v>
      </c>
      <c r="V53" s="64" t="str">
        <f>IF(L54="","",(IF(T53&lt;12,IF(S53&gt;2200,IF(S53&lt;3280,"Pass","Fail"),"Fail"),"Fail")))</f>
        <v>Pass</v>
      </c>
      <c r="W53" s="105">
        <v>1159</v>
      </c>
      <c r="X53" s="237"/>
      <c r="Z53" s="37">
        <v>2000</v>
      </c>
      <c r="AA53" s="37">
        <v>3000</v>
      </c>
      <c r="AB53" s="37">
        <v>2200</v>
      </c>
      <c r="AC53" s="37">
        <v>3280</v>
      </c>
      <c r="AD53" s="39">
        <v>12</v>
      </c>
      <c r="AE53" s="39">
        <v>12</v>
      </c>
    </row>
    <row r="54" spans="1:31" ht="16.5" customHeight="1">
      <c r="A54" s="199"/>
      <c r="B54" s="48"/>
      <c r="C54" s="51" t="s">
        <v>155</v>
      </c>
      <c r="D54" s="8">
        <v>1252.98</v>
      </c>
      <c r="E54" s="8">
        <v>1273.51</v>
      </c>
      <c r="F54" s="8">
        <v>1281.45</v>
      </c>
      <c r="G54" s="8">
        <v>1289.8699999999999</v>
      </c>
      <c r="H54" s="8">
        <v>1301.79</v>
      </c>
      <c r="I54" s="8">
        <v>1254.55</v>
      </c>
      <c r="J54" s="8">
        <v>1270.3599999999999</v>
      </c>
      <c r="K54" s="8">
        <v>1289.1600000000001</v>
      </c>
      <c r="L54" s="8">
        <v>1289.8399999999999</v>
      </c>
      <c r="M54" s="93"/>
      <c r="N54" s="93"/>
      <c r="O54" s="93"/>
      <c r="P54" s="93"/>
      <c r="Q54" s="48"/>
      <c r="R54" s="48"/>
      <c r="S54" s="51"/>
      <c r="T54" s="51"/>
      <c r="U54" s="51"/>
      <c r="V54" s="47"/>
      <c r="W54" s="90"/>
      <c r="X54" s="102"/>
    </row>
    <row r="55" spans="1:31" ht="24.75" customHeight="1" thickBot="1">
      <c r="A55" s="199"/>
      <c r="B55" s="42"/>
      <c r="C55" s="45" t="s">
        <v>154</v>
      </c>
      <c r="D55" s="44">
        <f t="shared" ref="D55:L55" si="13">IF(((D53="")*AND(D54="")),"",(D53-D54)*4)</f>
        <v>3191.3199999999997</v>
      </c>
      <c r="E55" s="44">
        <f t="shared" si="13"/>
        <v>3044.3599999999997</v>
      </c>
      <c r="F55" s="44">
        <f t="shared" si="13"/>
        <v>2937.6799999999994</v>
      </c>
      <c r="G55" s="44">
        <f t="shared" si="13"/>
        <v>2988.92</v>
      </c>
      <c r="H55" s="44">
        <f t="shared" si="13"/>
        <v>3071.9600000000009</v>
      </c>
      <c r="I55" s="44">
        <f t="shared" si="13"/>
        <v>3213.5600000000004</v>
      </c>
      <c r="J55" s="44">
        <f t="shared" si="13"/>
        <v>3066.5200000000004</v>
      </c>
      <c r="K55" s="44">
        <f t="shared" si="13"/>
        <v>2991.08</v>
      </c>
      <c r="L55" s="44">
        <f t="shared" si="13"/>
        <v>3099.8400000000011</v>
      </c>
      <c r="M55" s="44"/>
      <c r="N55" s="44"/>
      <c r="O55" s="44"/>
      <c r="P55" s="44" t="str">
        <f>IF(((P53="")*AND(P54="")),"",(P53-P54)*4)</f>
        <v/>
      </c>
      <c r="Q55" s="42"/>
      <c r="R55" s="42"/>
      <c r="S55" s="45"/>
      <c r="T55" s="45"/>
      <c r="U55" s="45"/>
      <c r="V55" s="41"/>
      <c r="W55" s="92"/>
      <c r="X55" s="104"/>
    </row>
    <row r="56" spans="1:31">
      <c r="A56" s="198">
        <v>42566</v>
      </c>
      <c r="B56" s="63" t="s">
        <v>158</v>
      </c>
      <c r="C56" s="51" t="s">
        <v>156</v>
      </c>
      <c r="D56" s="8">
        <v>1812.06</v>
      </c>
      <c r="E56" s="8">
        <v>1839.67</v>
      </c>
      <c r="F56" s="8">
        <v>1848.6</v>
      </c>
      <c r="G56" s="8">
        <v>1837.52</v>
      </c>
      <c r="H56" s="8">
        <v>1860.84</v>
      </c>
      <c r="I56" s="8">
        <v>1858.45</v>
      </c>
      <c r="J56" s="8">
        <v>1867.78</v>
      </c>
      <c r="K56" s="8">
        <v>1828.15</v>
      </c>
      <c r="L56" s="8">
        <v>1832.11</v>
      </c>
      <c r="M56" s="93"/>
      <c r="N56" s="93"/>
      <c r="O56" s="93"/>
      <c r="P56" s="93"/>
      <c r="Q56" s="63">
        <f>IF((L57=""),"",MAX(D58:L58))</f>
        <v>2370.04</v>
      </c>
      <c r="R56" s="63">
        <f>IF(L57="","",MIN(D58:L58))</f>
        <v>2120.2799999999997</v>
      </c>
      <c r="S56" s="51">
        <f>IF((L58=""),"",AVERAGE(D58:L58))</f>
        <v>2236.3688888888887</v>
      </c>
      <c r="T56" s="51">
        <f>IF((L57=""),"",((Q56-R56)/(Q56+R56))*100)</f>
        <v>5.562187104705238</v>
      </c>
      <c r="U56" s="51">
        <f>STDEV(D56:L56)</f>
        <v>17.816866852601525</v>
      </c>
      <c r="V56" s="64" t="str">
        <f>IF(L57="","",(IF(T56&lt;12,IF(S56&gt;2200,IF(S56&lt;3280,"Pass","Fail"),"Fail"),"Fail")))</f>
        <v>Pass</v>
      </c>
      <c r="W56" s="91">
        <v>1159</v>
      </c>
      <c r="X56" s="236"/>
      <c r="Z56" s="37">
        <v>2000</v>
      </c>
      <c r="AA56" s="37">
        <v>3000</v>
      </c>
      <c r="AB56" s="37">
        <v>2200</v>
      </c>
      <c r="AC56" s="37">
        <v>3280</v>
      </c>
      <c r="AD56" s="39">
        <v>12</v>
      </c>
      <c r="AE56" s="39">
        <v>12</v>
      </c>
    </row>
    <row r="57" spans="1:31" ht="16.5" customHeight="1">
      <c r="A57" s="199"/>
      <c r="B57" s="48"/>
      <c r="C57" s="51" t="s">
        <v>155</v>
      </c>
      <c r="D57" s="8">
        <v>1262.8699999999999</v>
      </c>
      <c r="E57" s="8">
        <v>1269.27</v>
      </c>
      <c r="F57" s="8">
        <v>1290.33</v>
      </c>
      <c r="G57" s="8">
        <v>1286.01</v>
      </c>
      <c r="H57" s="8">
        <v>1305.8499999999999</v>
      </c>
      <c r="I57" s="8">
        <v>1273.92</v>
      </c>
      <c r="J57" s="8">
        <v>1275.27</v>
      </c>
      <c r="K57" s="8">
        <v>1287.79</v>
      </c>
      <c r="L57" s="8">
        <v>1302.04</v>
      </c>
      <c r="M57" s="93"/>
      <c r="N57" s="93"/>
      <c r="O57" s="93"/>
      <c r="P57" s="93"/>
      <c r="Q57" s="48"/>
      <c r="R57" s="48"/>
      <c r="S57" s="51"/>
      <c r="T57" s="51"/>
      <c r="U57" s="51"/>
      <c r="V57" s="47"/>
      <c r="W57" s="90"/>
      <c r="X57" s="102"/>
      <c r="Z57" s="8"/>
      <c r="AA57" s="8"/>
      <c r="AB57" s="8"/>
      <c r="AC57" s="8"/>
      <c r="AD57" s="8"/>
      <c r="AE57" s="8"/>
    </row>
    <row r="58" spans="1:31" ht="24.75" customHeight="1" thickBot="1">
      <c r="A58" s="199"/>
      <c r="B58" s="42"/>
      <c r="C58" s="45" t="s">
        <v>154</v>
      </c>
      <c r="D58" s="44">
        <f t="shared" ref="D58:L58" si="14">IF(((D56="")*AND(D57="")),"",(D56-D57)*4)</f>
        <v>2196.7600000000002</v>
      </c>
      <c r="E58" s="44">
        <f t="shared" si="14"/>
        <v>2281.6000000000004</v>
      </c>
      <c r="F58" s="44">
        <f t="shared" si="14"/>
        <v>2233.08</v>
      </c>
      <c r="G58" s="44">
        <f t="shared" si="14"/>
        <v>2206.04</v>
      </c>
      <c r="H58" s="44">
        <f t="shared" si="14"/>
        <v>2219.96</v>
      </c>
      <c r="I58" s="44">
        <f t="shared" si="14"/>
        <v>2338.12</v>
      </c>
      <c r="J58" s="44">
        <f t="shared" si="14"/>
        <v>2370.04</v>
      </c>
      <c r="K58" s="44">
        <f t="shared" si="14"/>
        <v>2161.4400000000005</v>
      </c>
      <c r="L58" s="44">
        <f t="shared" si="14"/>
        <v>2120.2799999999997</v>
      </c>
      <c r="M58" s="44"/>
      <c r="N58" s="44"/>
      <c r="O58" s="44"/>
      <c r="P58" s="44" t="str">
        <f>IF(((P56="")*AND(P57="")),"",(P56-P57)*4)</f>
        <v/>
      </c>
      <c r="Q58" s="42"/>
      <c r="R58" s="42"/>
      <c r="S58" s="45"/>
      <c r="T58" s="45"/>
      <c r="U58" s="45"/>
      <c r="V58" s="41"/>
      <c r="W58" s="92"/>
      <c r="X58" s="102"/>
      <c r="Z58" s="8"/>
      <c r="AA58" s="8"/>
      <c r="AB58" s="8"/>
      <c r="AC58" s="8"/>
      <c r="AD58" s="8"/>
      <c r="AE58" s="8"/>
    </row>
    <row r="59" spans="1:31">
      <c r="A59" s="198">
        <v>42577</v>
      </c>
      <c r="B59" s="63" t="s">
        <v>158</v>
      </c>
      <c r="C59" s="51" t="s">
        <v>156</v>
      </c>
      <c r="D59" s="8">
        <v>1911.11</v>
      </c>
      <c r="E59" s="8">
        <v>1904.11</v>
      </c>
      <c r="F59" s="8">
        <v>1889.83</v>
      </c>
      <c r="G59" s="8">
        <v>1901.51</v>
      </c>
      <c r="H59" s="8">
        <v>1916.14</v>
      </c>
      <c r="I59" s="8">
        <v>1909.29</v>
      </c>
      <c r="J59" s="8">
        <v>1900.71</v>
      </c>
      <c r="K59" s="8">
        <v>1903.51</v>
      </c>
      <c r="L59" s="8">
        <v>1916.18</v>
      </c>
      <c r="M59" s="93"/>
      <c r="N59" s="93"/>
      <c r="O59" s="93"/>
      <c r="P59" s="93"/>
      <c r="Q59" s="63">
        <f>IF((L60=""),"",MAX(D61:L61))</f>
        <v>2699.4799999999996</v>
      </c>
      <c r="R59" s="63">
        <f>IF(L60="","",MIN(D61:L61))</f>
        <v>2502.6799999999994</v>
      </c>
      <c r="S59" s="51">
        <f>IF((L61=""),"",AVERAGE(D61:L61))</f>
        <v>2585.7999999999997</v>
      </c>
      <c r="T59" s="51">
        <f>IF((L60=""),"",((Q59-R59)/(Q59+R59))*100)</f>
        <v>3.7830439663524422</v>
      </c>
      <c r="U59" s="51">
        <f>STDEV(D59:L59)</f>
        <v>8.385146755593917</v>
      </c>
      <c r="V59" s="64" t="str">
        <f>IF(L60="","",(IF(T59&lt;12,IF(S59&gt;2200,IF(S59&lt;3280,"Pass","Fail"),"Fail"),"Fail")))</f>
        <v>Pass</v>
      </c>
      <c r="W59" s="91">
        <v>1335</v>
      </c>
      <c r="X59" s="237"/>
      <c r="Z59" s="37">
        <v>2000</v>
      </c>
      <c r="AA59" s="37">
        <v>3000</v>
      </c>
      <c r="AB59" s="37">
        <v>2200</v>
      </c>
      <c r="AC59" s="37">
        <v>3280</v>
      </c>
      <c r="AD59" s="39">
        <v>12</v>
      </c>
      <c r="AE59" s="39">
        <v>12</v>
      </c>
    </row>
    <row r="60" spans="1:31" ht="16.5" customHeight="1">
      <c r="A60" s="199"/>
      <c r="B60" s="48"/>
      <c r="C60" s="51" t="s">
        <v>155</v>
      </c>
      <c r="D60" s="8">
        <v>1247.33</v>
      </c>
      <c r="E60" s="8">
        <v>1259.9000000000001</v>
      </c>
      <c r="F60" s="8">
        <v>1264.1600000000001</v>
      </c>
      <c r="G60" s="8">
        <v>1263.53</v>
      </c>
      <c r="H60" s="8">
        <v>1272.7</v>
      </c>
      <c r="I60" s="8">
        <v>1234.42</v>
      </c>
      <c r="J60" s="8">
        <v>1249.78</v>
      </c>
      <c r="K60" s="8">
        <v>1271.45</v>
      </c>
      <c r="L60" s="8">
        <v>1271.07</v>
      </c>
      <c r="M60" s="93"/>
      <c r="N60" s="93"/>
      <c r="O60" s="93"/>
      <c r="P60" s="93"/>
      <c r="Q60" s="48"/>
      <c r="R60" s="48"/>
      <c r="S60" s="51"/>
      <c r="T60" s="51"/>
      <c r="U60" s="51"/>
      <c r="V60" s="47"/>
      <c r="W60" s="90"/>
      <c r="X60" s="102"/>
    </row>
    <row r="61" spans="1:31" ht="24.75" customHeight="1" thickBot="1">
      <c r="A61" s="199"/>
      <c r="B61" s="42"/>
      <c r="C61" s="45" t="s">
        <v>154</v>
      </c>
      <c r="D61" s="44">
        <f t="shared" ref="D61:L61" si="15">IF(((D59="")*AND(D60="")),"",(D59-D60)*4)</f>
        <v>2655.12</v>
      </c>
      <c r="E61" s="44">
        <f t="shared" si="15"/>
        <v>2576.8399999999992</v>
      </c>
      <c r="F61" s="44">
        <f t="shared" si="15"/>
        <v>2502.6799999999994</v>
      </c>
      <c r="G61" s="44">
        <f t="shared" si="15"/>
        <v>2551.92</v>
      </c>
      <c r="H61" s="44">
        <f t="shared" si="15"/>
        <v>2573.7600000000002</v>
      </c>
      <c r="I61" s="44">
        <f t="shared" si="15"/>
        <v>2699.4799999999996</v>
      </c>
      <c r="J61" s="44">
        <f t="shared" si="15"/>
        <v>2603.7200000000003</v>
      </c>
      <c r="K61" s="44">
        <f t="shared" si="15"/>
        <v>2528.2399999999998</v>
      </c>
      <c r="L61" s="44">
        <f t="shared" si="15"/>
        <v>2580.4400000000005</v>
      </c>
      <c r="M61" s="44"/>
      <c r="N61" s="44"/>
      <c r="O61" s="44"/>
      <c r="P61" s="44" t="str">
        <f>IF(((P59="")*AND(P60="")),"",(P59-P60)*4)</f>
        <v/>
      </c>
      <c r="Q61" s="42"/>
      <c r="R61" s="42"/>
      <c r="S61" s="45"/>
      <c r="T61" s="45"/>
      <c r="U61" s="45"/>
      <c r="V61" s="41"/>
      <c r="W61" s="92"/>
      <c r="X61" s="101"/>
    </row>
    <row r="62" spans="1:31">
      <c r="A62" s="198">
        <v>42577</v>
      </c>
      <c r="B62" s="63" t="s">
        <v>157</v>
      </c>
      <c r="C62" s="51" t="s">
        <v>156</v>
      </c>
      <c r="D62" s="8">
        <v>7242.32</v>
      </c>
      <c r="E62" s="8">
        <v>6985.85</v>
      </c>
      <c r="F62" s="8">
        <v>6926.83</v>
      </c>
      <c r="G62" s="8">
        <v>6993.45</v>
      </c>
      <c r="H62" s="8">
        <v>7240.1</v>
      </c>
      <c r="I62" s="8">
        <v>7195.32</v>
      </c>
      <c r="J62" s="8">
        <v>6986.72</v>
      </c>
      <c r="K62" s="8">
        <v>6974.99</v>
      </c>
      <c r="L62" s="8">
        <v>7201.36</v>
      </c>
      <c r="M62" s="99"/>
      <c r="N62" s="99"/>
      <c r="O62" s="99"/>
      <c r="P62" s="99"/>
      <c r="Q62" s="63">
        <f>IF((L63=""),"",MAX(D64:L64))</f>
        <v>2914.16</v>
      </c>
      <c r="R62" s="63">
        <f>IF(L63="","",MIN(D64:L64))</f>
        <v>2703.2200000000012</v>
      </c>
      <c r="S62" s="98">
        <f>IF((L64=""),"",AVERAGE(D64:L64))</f>
        <v>2791.1977777777779</v>
      </c>
      <c r="T62" s="56">
        <f>IF((L63=""),"",((Q62-R62)/(Q62+R62))*100)</f>
        <v>3.7551313957752304</v>
      </c>
      <c r="U62" s="56">
        <f>STDEV(D62:L62)</f>
        <v>132.03718055912324</v>
      </c>
      <c r="V62" s="55" t="str">
        <f>IF(L63="","",(IF(T62&lt;7,IF(S62&gt;2800,IF(S62&lt;3800,"Pass","Fail"),"Fail"),"Fail")))</f>
        <v>Fail</v>
      </c>
      <c r="W62" s="91">
        <v>1335</v>
      </c>
      <c r="Y62" s="97" t="s">
        <v>213</v>
      </c>
      <c r="Z62" s="53">
        <v>2800</v>
      </c>
      <c r="AA62" s="53">
        <v>3800</v>
      </c>
      <c r="AB62" s="53">
        <v>3100</v>
      </c>
      <c r="AC62" s="53">
        <v>3760</v>
      </c>
      <c r="AD62" s="52">
        <v>6</v>
      </c>
      <c r="AE62" s="52">
        <v>6</v>
      </c>
    </row>
    <row r="63" spans="1:31" ht="16.5" customHeight="1">
      <c r="A63" s="199"/>
      <c r="B63" s="48"/>
      <c r="C63" s="51" t="s">
        <v>155</v>
      </c>
      <c r="D63" s="8">
        <v>5806.75</v>
      </c>
      <c r="E63" s="8">
        <v>5626.98</v>
      </c>
      <c r="F63" s="8">
        <v>5565.62</v>
      </c>
      <c r="G63" s="8">
        <v>5634.29</v>
      </c>
      <c r="H63" s="8">
        <v>5792.71</v>
      </c>
      <c r="I63" s="8">
        <v>5763.89</v>
      </c>
      <c r="J63" s="8">
        <v>5635.11</v>
      </c>
      <c r="K63" s="8">
        <v>5616.92</v>
      </c>
      <c r="L63" s="8">
        <v>5744.28</v>
      </c>
      <c r="M63" s="93"/>
      <c r="N63" s="93"/>
      <c r="O63" s="93"/>
      <c r="P63" s="93"/>
      <c r="Q63" s="48"/>
      <c r="R63" s="48"/>
      <c r="S63" s="95"/>
      <c r="T63" s="51"/>
      <c r="U63" s="51"/>
      <c r="V63" s="47"/>
      <c r="W63" s="90"/>
      <c r="X63" s="96"/>
      <c r="Z63" s="8"/>
      <c r="AA63" s="8"/>
      <c r="AB63" s="8"/>
      <c r="AC63" s="8"/>
      <c r="AD63" s="8"/>
      <c r="AE63" s="8"/>
    </row>
    <row r="64" spans="1:31" ht="24.75" customHeight="1" thickBot="1">
      <c r="A64" s="199"/>
      <c r="B64" s="42"/>
      <c r="C64" s="51" t="s">
        <v>154</v>
      </c>
      <c r="D64" s="24">
        <f t="shared" ref="D64:L64" si="16">IF(((D62="")*AND(D63="")),"",(D62-D63)*2)</f>
        <v>2871.1399999999994</v>
      </c>
      <c r="E64" s="24">
        <f t="shared" si="16"/>
        <v>2717.7400000000016</v>
      </c>
      <c r="F64" s="24">
        <f t="shared" si="16"/>
        <v>2722.42</v>
      </c>
      <c r="G64" s="24">
        <f t="shared" si="16"/>
        <v>2718.3199999999997</v>
      </c>
      <c r="H64" s="24">
        <f t="shared" si="16"/>
        <v>2894.7800000000007</v>
      </c>
      <c r="I64" s="24">
        <f t="shared" si="16"/>
        <v>2862.8599999999988</v>
      </c>
      <c r="J64" s="24">
        <f t="shared" si="16"/>
        <v>2703.2200000000012</v>
      </c>
      <c r="K64" s="24">
        <f t="shared" si="16"/>
        <v>2716.1399999999994</v>
      </c>
      <c r="L64" s="24">
        <f t="shared" si="16"/>
        <v>2914.16</v>
      </c>
      <c r="M64" s="24"/>
      <c r="N64" s="24"/>
      <c r="O64" s="24"/>
      <c r="P64" s="24"/>
      <c r="Q64" s="42"/>
      <c r="R64" s="42"/>
      <c r="S64" s="95"/>
      <c r="T64" s="51"/>
      <c r="U64" s="51"/>
      <c r="V64" s="41"/>
      <c r="W64" s="92"/>
      <c r="X64" s="100"/>
      <c r="Z64" s="8"/>
      <c r="AA64" s="8"/>
      <c r="AB64" s="8"/>
      <c r="AC64" s="8"/>
      <c r="AD64" s="8"/>
      <c r="AE64" s="8"/>
    </row>
    <row r="65" spans="1:31">
      <c r="A65" s="198">
        <v>42584</v>
      </c>
      <c r="B65" s="63" t="s">
        <v>157</v>
      </c>
      <c r="C65" s="51" t="s">
        <v>156</v>
      </c>
      <c r="D65" s="8">
        <v>5809.85</v>
      </c>
      <c r="E65" s="8">
        <v>5631.68</v>
      </c>
      <c r="F65" s="8">
        <v>5570.22</v>
      </c>
      <c r="G65" s="8">
        <v>5637.79</v>
      </c>
      <c r="H65" s="8">
        <v>5799.8</v>
      </c>
      <c r="I65" s="8">
        <v>5768.18</v>
      </c>
      <c r="J65" s="8">
        <v>5639.38</v>
      </c>
      <c r="K65" s="8">
        <v>5618.77</v>
      </c>
      <c r="L65" s="8">
        <v>5749.06</v>
      </c>
      <c r="M65" s="99"/>
      <c r="N65" s="99"/>
      <c r="O65" s="99"/>
      <c r="P65" s="99"/>
      <c r="Q65" s="63">
        <f>IF((L66=""),"",MAX(D67:L67))</f>
        <v>3398.880000000001</v>
      </c>
      <c r="R65" s="63">
        <f>IF(L66="","",MIN(D67:L67))</f>
        <v>3105.46</v>
      </c>
      <c r="S65" s="98">
        <f>IF((L67=""),"",AVERAGE(D67:L67))</f>
        <v>3223.3511111111115</v>
      </c>
      <c r="T65" s="56">
        <f>IF((L66=""),"",((Q65-R65)/(Q65+R65))*100)</f>
        <v>4.511141791480779</v>
      </c>
      <c r="U65" s="56">
        <f>STDEV(D65:L65)</f>
        <v>89.517178937926531</v>
      </c>
      <c r="V65" s="55" t="str">
        <f>IF(L66="","",(IF(T65&lt;7,IF(S65&gt;2800,IF(S65&lt;3800,"Pass","Fail"),"Fail"),"Fail")))</f>
        <v>Pass</v>
      </c>
      <c r="W65" s="91">
        <v>1159</v>
      </c>
      <c r="X65" s="239" t="s">
        <v>274</v>
      </c>
      <c r="Y65" s="37" t="s">
        <v>275</v>
      </c>
      <c r="Z65" s="53">
        <v>2800</v>
      </c>
      <c r="AA65" s="53">
        <v>3800</v>
      </c>
      <c r="AB65" s="53">
        <v>3100</v>
      </c>
      <c r="AC65" s="53">
        <v>3760</v>
      </c>
      <c r="AD65" s="52">
        <v>6</v>
      </c>
      <c r="AE65" s="52">
        <v>6</v>
      </c>
    </row>
    <row r="66" spans="1:31" ht="16.5" customHeight="1">
      <c r="A66" s="199"/>
      <c r="B66" s="48"/>
      <c r="C66" s="51" t="s">
        <v>155</v>
      </c>
      <c r="D66" s="8">
        <v>4122.46</v>
      </c>
      <c r="E66" s="8">
        <v>4065.06</v>
      </c>
      <c r="F66" s="8">
        <v>4016.35</v>
      </c>
      <c r="G66" s="8">
        <v>4085.06</v>
      </c>
      <c r="H66" s="8">
        <v>4139.6099999999997</v>
      </c>
      <c r="I66" s="8">
        <v>4103.13</v>
      </c>
      <c r="J66" s="8">
        <v>4085.76</v>
      </c>
      <c r="K66" s="8">
        <v>4052.6</v>
      </c>
      <c r="L66" s="8">
        <v>4049.62</v>
      </c>
      <c r="M66" s="93"/>
      <c r="N66" s="93"/>
      <c r="O66" s="93"/>
      <c r="P66" s="93"/>
      <c r="Q66" s="48"/>
      <c r="R66" s="48"/>
      <c r="S66" s="95"/>
      <c r="T66" s="51"/>
      <c r="U66" s="51"/>
      <c r="V66" s="47"/>
      <c r="W66" s="90"/>
      <c r="X66" s="96"/>
    </row>
    <row r="67" spans="1:31" ht="24.75" customHeight="1" thickBot="1">
      <c r="A67" s="199"/>
      <c r="B67" s="42"/>
      <c r="C67" s="51" t="s">
        <v>154</v>
      </c>
      <c r="D67" s="24">
        <f t="shared" ref="D67:L67" si="17">IF(((D65="")*AND(D66="")),"",(D65-D66)*2)</f>
        <v>3374.7800000000007</v>
      </c>
      <c r="E67" s="24">
        <f t="shared" si="17"/>
        <v>3133.2400000000007</v>
      </c>
      <c r="F67" s="24">
        <f t="shared" si="17"/>
        <v>3107.7400000000007</v>
      </c>
      <c r="G67" s="24">
        <f t="shared" si="17"/>
        <v>3105.46</v>
      </c>
      <c r="H67" s="24">
        <f t="shared" si="17"/>
        <v>3320.380000000001</v>
      </c>
      <c r="I67" s="24">
        <f t="shared" si="17"/>
        <v>3330.1000000000004</v>
      </c>
      <c r="J67" s="24">
        <f t="shared" si="17"/>
        <v>3107.24</v>
      </c>
      <c r="K67" s="24">
        <f t="shared" si="17"/>
        <v>3132.3400000000011</v>
      </c>
      <c r="L67" s="24">
        <f t="shared" si="17"/>
        <v>3398.880000000001</v>
      </c>
      <c r="M67" s="24"/>
      <c r="N67" s="24"/>
      <c r="O67" s="24"/>
      <c r="P67" s="24"/>
      <c r="Q67" s="42"/>
      <c r="R67" s="42"/>
      <c r="S67" s="95"/>
      <c r="T67" s="51"/>
      <c r="U67" s="51"/>
      <c r="V67" s="41"/>
      <c r="W67" s="89"/>
      <c r="X67" s="94"/>
    </row>
    <row r="68" spans="1:31">
      <c r="A68" s="198">
        <v>42584</v>
      </c>
      <c r="B68" s="63" t="s">
        <v>158</v>
      </c>
      <c r="C68" s="56" t="s">
        <v>156</v>
      </c>
      <c r="D68" s="8">
        <v>1935.18</v>
      </c>
      <c r="E68" s="8">
        <v>1926.47</v>
      </c>
      <c r="F68" s="8">
        <v>1921.51</v>
      </c>
      <c r="G68" s="8">
        <v>1924.71</v>
      </c>
      <c r="H68" s="8">
        <v>1939.29</v>
      </c>
      <c r="I68" s="8">
        <v>1932.12</v>
      </c>
      <c r="J68" s="8">
        <v>1926.65</v>
      </c>
      <c r="K68" s="8">
        <v>1927.94</v>
      </c>
      <c r="L68" s="8">
        <v>1938.43</v>
      </c>
      <c r="M68" s="80"/>
      <c r="N68" s="80"/>
      <c r="O68" s="80"/>
      <c r="P68" s="80"/>
      <c r="Q68" s="63">
        <f>IF((L69=""),"",MAX(D70:L70))</f>
        <v>2691.9599999999991</v>
      </c>
      <c r="R68" s="63">
        <f>IF(L69="","",MIN(D70:L70))</f>
        <v>2531.08</v>
      </c>
      <c r="S68" s="63">
        <f>IF((L70=""),"",AVERAGE(D70:L70))</f>
        <v>2601.6844444444446</v>
      </c>
      <c r="T68" s="63">
        <f>IF((L69=""),"",((Q68-R68)/(Q68+R68))*100)</f>
        <v>3.0801985050851464</v>
      </c>
      <c r="U68" s="51">
        <f>STDEV(D68:L68)</f>
        <v>6.2858891795851539</v>
      </c>
      <c r="V68" s="64" t="str">
        <f>IF(L69="","",(IF(T68&lt;12,IF(S68&gt;2200,IF(S68&lt;3280,"Pass","Fail"),"Fail"),"Fail")))</f>
        <v>Pass</v>
      </c>
      <c r="W68" s="57">
        <v>1159</v>
      </c>
      <c r="X68" s="239" t="s">
        <v>274</v>
      </c>
      <c r="Y68" s="81" t="s">
        <v>213</v>
      </c>
      <c r="Z68" s="37">
        <v>2000</v>
      </c>
      <c r="AA68" s="37">
        <v>3000</v>
      </c>
      <c r="AB68" s="37">
        <v>2200</v>
      </c>
      <c r="AC68" s="37">
        <v>3280</v>
      </c>
      <c r="AD68" s="39">
        <v>12</v>
      </c>
      <c r="AE68" s="39">
        <v>12</v>
      </c>
    </row>
    <row r="69" spans="1:31" ht="16.5" customHeight="1">
      <c r="A69" s="199"/>
      <c r="B69" s="48"/>
      <c r="C69" s="51" t="s">
        <v>155</v>
      </c>
      <c r="D69" s="8">
        <v>1265.93</v>
      </c>
      <c r="E69" s="8">
        <v>1273.53</v>
      </c>
      <c r="F69" s="8">
        <v>1288.74</v>
      </c>
      <c r="G69" s="8">
        <v>1281.57</v>
      </c>
      <c r="H69" s="8">
        <v>1299.56</v>
      </c>
      <c r="I69" s="8">
        <v>1259.1300000000001</v>
      </c>
      <c r="J69" s="8">
        <v>1266</v>
      </c>
      <c r="K69" s="8">
        <v>1287.32</v>
      </c>
      <c r="L69" s="8">
        <v>1296.73</v>
      </c>
      <c r="M69" s="80"/>
      <c r="N69" s="80"/>
      <c r="O69" s="80"/>
      <c r="P69" s="80"/>
      <c r="Q69" s="48"/>
      <c r="R69" s="48"/>
      <c r="S69" s="48"/>
      <c r="T69" s="48"/>
      <c r="U69" s="48"/>
      <c r="V69" s="47"/>
      <c r="W69" s="48"/>
      <c r="X69" s="79"/>
      <c r="Z69" s="8"/>
      <c r="AA69" s="8"/>
      <c r="AB69" s="8"/>
      <c r="AC69" s="8"/>
      <c r="AD69" s="8"/>
      <c r="AE69" s="8"/>
    </row>
    <row r="70" spans="1:31" ht="24.75" customHeight="1" thickBot="1">
      <c r="A70" s="199"/>
      <c r="B70" s="61"/>
      <c r="C70" s="51" t="s">
        <v>154</v>
      </c>
      <c r="D70" s="24">
        <f t="shared" ref="D70:L70" si="18">IF(((D68="")*AND(D69="")),"",(D68-D69)*4)</f>
        <v>2677</v>
      </c>
      <c r="E70" s="24">
        <f t="shared" si="18"/>
        <v>2611.7600000000002</v>
      </c>
      <c r="F70" s="24">
        <f t="shared" si="18"/>
        <v>2531.08</v>
      </c>
      <c r="G70" s="24">
        <f t="shared" si="18"/>
        <v>2572.5600000000004</v>
      </c>
      <c r="H70" s="24">
        <f t="shared" si="18"/>
        <v>2558.92</v>
      </c>
      <c r="I70" s="24">
        <f t="shared" si="18"/>
        <v>2691.9599999999991</v>
      </c>
      <c r="J70" s="24">
        <f t="shared" si="18"/>
        <v>2642.6000000000004</v>
      </c>
      <c r="K70" s="24">
        <f t="shared" si="18"/>
        <v>2562.4800000000005</v>
      </c>
      <c r="L70" s="24">
        <f t="shared" si="18"/>
        <v>2566.8000000000002</v>
      </c>
      <c r="M70" s="24"/>
      <c r="N70" s="24"/>
      <c r="O70" s="24"/>
      <c r="P70" s="24" t="str">
        <f>IF(((P68="")*AND(P69="")),"",(P68-P69)*4)</f>
        <v/>
      </c>
      <c r="Q70" s="61"/>
      <c r="R70" s="61"/>
      <c r="S70" s="61"/>
      <c r="T70" s="61"/>
      <c r="U70" s="61"/>
      <c r="V70" s="60"/>
      <c r="W70" s="42"/>
      <c r="X70" s="79"/>
      <c r="Z70" s="8"/>
      <c r="AA70" s="8"/>
      <c r="AB70" s="8"/>
      <c r="AC70" s="8"/>
      <c r="AD70" s="8"/>
      <c r="AE70" s="8"/>
    </row>
    <row r="71" spans="1:31">
      <c r="A71" s="198">
        <v>42587</v>
      </c>
      <c r="B71" s="57" t="s">
        <v>157</v>
      </c>
      <c r="C71" s="51" t="s">
        <v>156</v>
      </c>
      <c r="D71" s="8">
        <v>4131.66</v>
      </c>
      <c r="E71" s="8">
        <v>4071.69</v>
      </c>
      <c r="F71" s="8">
        <v>4022.77</v>
      </c>
      <c r="G71" s="8">
        <v>4093.04</v>
      </c>
      <c r="H71" s="8">
        <v>4148.28</v>
      </c>
      <c r="I71" s="8">
        <v>4107.9799999999996</v>
      </c>
      <c r="J71" s="8">
        <v>4093.88</v>
      </c>
      <c r="K71" s="8">
        <v>4061.3</v>
      </c>
      <c r="L71" s="8">
        <v>4059.97</v>
      </c>
      <c r="M71" s="80"/>
      <c r="N71" s="80"/>
      <c r="O71" s="80"/>
      <c r="P71" s="80"/>
      <c r="Q71" s="57">
        <f>IF((L72=""),"",MAX(D73:L73))</f>
        <v>2941.7999999999993</v>
      </c>
      <c r="R71" s="57">
        <f>IF(L72="","",MIN(D73:L73))</f>
        <v>2800.84</v>
      </c>
      <c r="S71" s="58">
        <f>IF((L73=""),"",AVERAGE(D73:L73))</f>
        <v>2860.7977777777774</v>
      </c>
      <c r="T71" s="57">
        <f>IF((L72=""),"",((Q71-R71)/(Q71+R71))*100)</f>
        <v>2.4546201746931575</v>
      </c>
      <c r="U71" s="56">
        <f>STDEV(D71:L71)</f>
        <v>38.759455441343611</v>
      </c>
      <c r="V71" s="55" t="str">
        <f>IF(L72="","",(IF(T71&lt;7,IF(S71&gt;2800,IF(S71&lt;3800,"Pass","Fail"),"Fail"),"Fail")))</f>
        <v>Pass</v>
      </c>
      <c r="W71" s="63">
        <v>1159</v>
      </c>
      <c r="X71" s="26" t="s">
        <v>214</v>
      </c>
      <c r="Z71" s="53">
        <v>2800</v>
      </c>
      <c r="AA71" s="53">
        <v>3800</v>
      </c>
      <c r="AB71" s="53">
        <v>3100</v>
      </c>
      <c r="AC71" s="53">
        <v>3760</v>
      </c>
      <c r="AD71" s="52">
        <v>6</v>
      </c>
      <c r="AE71" s="52">
        <v>6</v>
      </c>
    </row>
    <row r="72" spans="1:31" ht="16.5" customHeight="1">
      <c r="A72" s="199"/>
      <c r="B72" s="48"/>
      <c r="C72" s="51" t="s">
        <v>155</v>
      </c>
      <c r="D72" s="8">
        <v>2672.22</v>
      </c>
      <c r="E72" s="8">
        <v>2669.68</v>
      </c>
      <c r="F72" s="8">
        <v>2613.5100000000002</v>
      </c>
      <c r="G72" s="8">
        <v>2685.53</v>
      </c>
      <c r="H72" s="8">
        <v>2677.38</v>
      </c>
      <c r="I72" s="8">
        <v>2652.4</v>
      </c>
      <c r="J72" s="8">
        <v>2693.46</v>
      </c>
      <c r="K72" s="8">
        <v>2658.16</v>
      </c>
      <c r="L72" s="8">
        <v>2594.64</v>
      </c>
      <c r="M72" s="80"/>
      <c r="N72" s="80"/>
      <c r="O72" s="80"/>
      <c r="P72" s="80"/>
      <c r="Q72" s="48"/>
      <c r="R72" s="48"/>
      <c r="S72" s="49"/>
      <c r="T72" s="48"/>
      <c r="U72" s="48"/>
      <c r="V72" s="47"/>
      <c r="W72" s="48"/>
      <c r="X72" s="79"/>
    </row>
    <row r="73" spans="1:31" ht="24.75" customHeight="1" thickBot="1">
      <c r="A73" s="199"/>
      <c r="B73" s="42"/>
      <c r="C73" s="45" t="s">
        <v>154</v>
      </c>
      <c r="D73" s="44">
        <f t="shared" ref="D73:L73" si="19">IF(((D71="")*AND(D72="")),"",(D71-D72)*2)</f>
        <v>2918.88</v>
      </c>
      <c r="E73" s="44">
        <f t="shared" si="19"/>
        <v>2804.0200000000004</v>
      </c>
      <c r="F73" s="44">
        <f t="shared" si="19"/>
        <v>2818.5199999999995</v>
      </c>
      <c r="G73" s="44">
        <f t="shared" si="19"/>
        <v>2815.0199999999995</v>
      </c>
      <c r="H73" s="44">
        <f t="shared" si="19"/>
        <v>2941.7999999999993</v>
      </c>
      <c r="I73" s="44">
        <f t="shared" si="19"/>
        <v>2911.1599999999989</v>
      </c>
      <c r="J73" s="44">
        <f t="shared" si="19"/>
        <v>2800.84</v>
      </c>
      <c r="K73" s="44">
        <f t="shared" si="19"/>
        <v>2806.2800000000007</v>
      </c>
      <c r="L73" s="44">
        <f t="shared" si="19"/>
        <v>2930.66</v>
      </c>
      <c r="M73" s="44"/>
      <c r="N73" s="44"/>
      <c r="O73" s="44"/>
      <c r="P73" s="44"/>
      <c r="Q73" s="42"/>
      <c r="R73" s="42"/>
      <c r="S73" s="43"/>
      <c r="T73" s="42"/>
      <c r="U73" s="42"/>
      <c r="V73" s="41"/>
      <c r="W73" s="42"/>
      <c r="X73" s="78"/>
    </row>
    <row r="74" spans="1:31">
      <c r="A74" s="198">
        <v>42587</v>
      </c>
      <c r="B74" s="63" t="s">
        <v>158</v>
      </c>
      <c r="C74" s="51" t="s">
        <v>156</v>
      </c>
      <c r="D74" s="8">
        <v>1912.72</v>
      </c>
      <c r="E74" s="8">
        <v>1908.12</v>
      </c>
      <c r="F74" s="8">
        <v>1892.98</v>
      </c>
      <c r="G74" s="8">
        <v>1905.14</v>
      </c>
      <c r="H74" s="8">
        <v>1911.86</v>
      </c>
      <c r="I74" s="8">
        <v>1912.61</v>
      </c>
      <c r="J74" s="8">
        <v>1906.51</v>
      </c>
      <c r="K74" s="8">
        <v>1907.96</v>
      </c>
      <c r="L74" s="8">
        <v>1916.51</v>
      </c>
      <c r="M74" s="93"/>
      <c r="N74" s="93"/>
      <c r="O74" s="93"/>
      <c r="P74" s="93"/>
      <c r="Q74" s="63">
        <f>IF((L75=""),"",MAX(D76:L76))</f>
        <v>2613.08</v>
      </c>
      <c r="R74" s="63">
        <f>IF(L75="","",MIN(D76:L76))</f>
        <v>2423.7199999999993</v>
      </c>
      <c r="S74" s="51">
        <f>IF((L76=""),"",AVERAGE(D76:L76))</f>
        <v>2519.7377777777774</v>
      </c>
      <c r="T74" s="51">
        <f>IF((L75=""),"",((Q74-R74)/(Q74+R74))*100)</f>
        <v>3.7595298602287288</v>
      </c>
      <c r="U74" s="51">
        <f>STDEV(D74:L74)</f>
        <v>6.7659160092554718</v>
      </c>
      <c r="V74" s="64" t="str">
        <f>IF(L75="","",(IF(T74&lt;12,IF(S74&gt;2200,IF(S74&lt;3280,"Pass","Fail"),"Fail"),"Fail")))</f>
        <v>Pass</v>
      </c>
      <c r="W74" s="91">
        <v>1159</v>
      </c>
      <c r="X74" s="26" t="s">
        <v>214</v>
      </c>
      <c r="Z74" s="37">
        <v>2000</v>
      </c>
      <c r="AA74" s="37">
        <v>3000</v>
      </c>
      <c r="AB74" s="37">
        <v>2200</v>
      </c>
      <c r="AC74" s="37">
        <v>3280</v>
      </c>
      <c r="AD74" s="39">
        <v>12</v>
      </c>
      <c r="AE74" s="39">
        <v>12</v>
      </c>
    </row>
    <row r="75" spans="1:31" ht="16.5" customHeight="1">
      <c r="A75" s="199"/>
      <c r="B75" s="48"/>
      <c r="C75" s="51" t="s">
        <v>155</v>
      </c>
      <c r="D75" s="8">
        <v>1259.45</v>
      </c>
      <c r="E75" s="8">
        <v>1269.78</v>
      </c>
      <c r="F75" s="8">
        <v>1278.74</v>
      </c>
      <c r="G75" s="8">
        <v>1281.71</v>
      </c>
      <c r="H75" s="8">
        <v>1305.93</v>
      </c>
      <c r="I75" s="8">
        <v>1262.23</v>
      </c>
      <c r="J75" s="8">
        <v>1267.1400000000001</v>
      </c>
      <c r="K75" s="8">
        <v>1282.6199999999999</v>
      </c>
      <c r="L75" s="8">
        <v>1297.4000000000001</v>
      </c>
      <c r="M75" s="93"/>
      <c r="N75" s="93"/>
      <c r="O75" s="93"/>
      <c r="P75" s="93"/>
      <c r="Q75" s="48"/>
      <c r="R75" s="48"/>
      <c r="S75" s="51"/>
      <c r="T75" s="51"/>
      <c r="U75" s="51"/>
      <c r="V75" s="47"/>
      <c r="W75" s="90"/>
      <c r="X75" s="8"/>
      <c r="Z75" s="8"/>
      <c r="AA75" s="8"/>
      <c r="AB75" s="8"/>
      <c r="AC75" s="8"/>
      <c r="AD75" s="8"/>
      <c r="AE75" s="8"/>
    </row>
    <row r="76" spans="1:31" ht="24.75" customHeight="1" thickBot="1">
      <c r="A76" s="199"/>
      <c r="B76" s="42"/>
      <c r="C76" s="45" t="s">
        <v>154</v>
      </c>
      <c r="D76" s="44">
        <f t="shared" ref="D76:L76" si="20">IF(((D74="")*AND(D75="")),"",(D74-D75)*4)</f>
        <v>2613.08</v>
      </c>
      <c r="E76" s="44">
        <f t="shared" si="20"/>
        <v>2553.3599999999997</v>
      </c>
      <c r="F76" s="44">
        <f t="shared" si="20"/>
        <v>2456.96</v>
      </c>
      <c r="G76" s="44">
        <f t="shared" si="20"/>
        <v>2493.7200000000003</v>
      </c>
      <c r="H76" s="44">
        <f t="shared" si="20"/>
        <v>2423.7199999999993</v>
      </c>
      <c r="I76" s="44">
        <f t="shared" si="20"/>
        <v>2601.5199999999995</v>
      </c>
      <c r="J76" s="44">
        <f t="shared" si="20"/>
        <v>2557.4799999999996</v>
      </c>
      <c r="K76" s="44">
        <f t="shared" si="20"/>
        <v>2501.3600000000006</v>
      </c>
      <c r="L76" s="44">
        <f t="shared" si="20"/>
        <v>2476.4399999999996</v>
      </c>
      <c r="M76" s="44"/>
      <c r="N76" s="44"/>
      <c r="O76" s="44"/>
      <c r="P76" s="44" t="str">
        <f>IF(((P74="")*AND(P75="")),"",(P74-P75)*4)</f>
        <v/>
      </c>
      <c r="Q76" s="42"/>
      <c r="R76" s="42"/>
      <c r="S76" s="45"/>
      <c r="T76" s="45"/>
      <c r="U76" s="45"/>
      <c r="V76" s="41"/>
      <c r="W76" s="92"/>
      <c r="X76" s="8"/>
      <c r="Z76" s="8"/>
      <c r="AA76" s="8"/>
      <c r="AB76" s="8"/>
      <c r="AC76" s="8"/>
      <c r="AD76" s="8"/>
      <c r="AE76" s="8"/>
    </row>
    <row r="77" spans="1:31">
      <c r="A77" s="198">
        <v>42590</v>
      </c>
      <c r="B77" s="63" t="s">
        <v>158</v>
      </c>
      <c r="C77" s="56" t="s">
        <v>156</v>
      </c>
      <c r="D77" s="8">
        <v>1946.91</v>
      </c>
      <c r="E77" s="8">
        <v>1933.6</v>
      </c>
      <c r="F77" s="8">
        <v>1932.74</v>
      </c>
      <c r="G77" s="8">
        <v>1932.52</v>
      </c>
      <c r="H77" s="8">
        <v>1947.39</v>
      </c>
      <c r="I77" s="8">
        <v>1944.59</v>
      </c>
      <c r="J77" s="8">
        <v>1933.44</v>
      </c>
      <c r="K77" s="8">
        <v>1934.98</v>
      </c>
      <c r="L77" s="8">
        <v>1948.6</v>
      </c>
      <c r="M77" s="80"/>
      <c r="N77" s="80"/>
      <c r="O77" s="80"/>
      <c r="P77" s="80"/>
      <c r="Q77" s="63">
        <f>IF((L78=""),"",MAX(D79:L79))</f>
        <v>2841.2400000000007</v>
      </c>
      <c r="R77" s="63">
        <f>IF(L78="","",MIN(D79:L79))</f>
        <v>2609.92</v>
      </c>
      <c r="S77" s="63">
        <f>IF((L79=""),"",AVERAGE(D79:L79))</f>
        <v>2713.3777777777777</v>
      </c>
      <c r="T77" s="63">
        <f>IF((L78=""),"",((Q77-R77)/(Q77+R77))*100)</f>
        <v>4.243500465955881</v>
      </c>
      <c r="U77" s="51">
        <f>STDEV(D77:L77)</f>
        <v>7.1781011494199607</v>
      </c>
      <c r="V77" s="64" t="str">
        <f>IF(L78="","",(IF(T77&lt;12,IF(S77&gt;2200,IF(S77&lt;3280,"Pass","Fail"),"Fail"),"Fail")))</f>
        <v>Pass</v>
      </c>
      <c r="W77" s="63">
        <v>1159</v>
      </c>
      <c r="Y77" s="81" t="s">
        <v>213</v>
      </c>
      <c r="Z77" s="37">
        <v>2000</v>
      </c>
      <c r="AA77" s="37">
        <v>3000</v>
      </c>
      <c r="AB77" s="37">
        <v>2200</v>
      </c>
      <c r="AC77" s="37">
        <v>3280</v>
      </c>
      <c r="AD77" s="39">
        <v>12</v>
      </c>
      <c r="AE77" s="39">
        <v>12</v>
      </c>
    </row>
    <row r="78" spans="1:31" ht="16.5" customHeight="1">
      <c r="A78" s="199"/>
      <c r="B78" s="48"/>
      <c r="C78" s="51" t="s">
        <v>155</v>
      </c>
      <c r="D78" s="8">
        <v>1236.5999999999999</v>
      </c>
      <c r="E78" s="8">
        <v>1255.67</v>
      </c>
      <c r="F78" s="8">
        <v>1280.26</v>
      </c>
      <c r="G78" s="8">
        <v>1271.6099999999999</v>
      </c>
      <c r="H78" s="8">
        <v>1277.32</v>
      </c>
      <c r="I78" s="8">
        <v>1236.3499999999999</v>
      </c>
      <c r="J78" s="8">
        <v>1254.02</v>
      </c>
      <c r="K78" s="8">
        <v>1269.95</v>
      </c>
      <c r="L78" s="8">
        <v>1267.8900000000001</v>
      </c>
      <c r="M78" s="80"/>
      <c r="N78" s="80"/>
      <c r="O78" s="80"/>
      <c r="P78" s="80"/>
      <c r="Q78" s="48"/>
      <c r="R78" s="48"/>
      <c r="S78" s="48"/>
      <c r="T78" s="48"/>
      <c r="U78" s="48"/>
      <c r="V78" s="47"/>
      <c r="W78" s="48"/>
      <c r="X78" s="79"/>
    </row>
    <row r="79" spans="1:31" ht="24.75" customHeight="1" thickBot="1">
      <c r="A79" s="199"/>
      <c r="B79" s="61"/>
      <c r="C79" s="51" t="s">
        <v>154</v>
      </c>
      <c r="D79" s="24">
        <f t="shared" ref="D79:L79" si="21">IF(((D77="")*AND(D78="")),"",(D77-D78)*4)</f>
        <v>2841.2400000000007</v>
      </c>
      <c r="E79" s="24">
        <f t="shared" si="21"/>
        <v>2711.7199999999993</v>
      </c>
      <c r="F79" s="24">
        <f t="shared" si="21"/>
        <v>2609.92</v>
      </c>
      <c r="G79" s="24">
        <f t="shared" si="21"/>
        <v>2643.6400000000003</v>
      </c>
      <c r="H79" s="24">
        <f t="shared" si="21"/>
        <v>2680.2800000000007</v>
      </c>
      <c r="I79" s="24">
        <f t="shared" si="21"/>
        <v>2832.96</v>
      </c>
      <c r="J79" s="24">
        <f t="shared" si="21"/>
        <v>2717.6800000000003</v>
      </c>
      <c r="K79" s="24">
        <f t="shared" si="21"/>
        <v>2660.12</v>
      </c>
      <c r="L79" s="24">
        <f t="shared" si="21"/>
        <v>2722.8399999999992</v>
      </c>
      <c r="M79" s="24"/>
      <c r="N79" s="24"/>
      <c r="O79" s="24"/>
      <c r="P79" s="24" t="str">
        <f>IF(((P77="")*AND(P78="")),"",(P77-P78)*4)</f>
        <v/>
      </c>
      <c r="Q79" s="61"/>
      <c r="R79" s="61"/>
      <c r="S79" s="61"/>
      <c r="T79" s="61"/>
      <c r="U79" s="61"/>
      <c r="V79" s="60"/>
      <c r="W79" s="42"/>
      <c r="X79" s="79"/>
    </row>
    <row r="80" spans="1:31">
      <c r="A80" s="198">
        <v>42590</v>
      </c>
      <c r="B80" s="57" t="s">
        <v>157</v>
      </c>
      <c r="C80" s="51" t="s">
        <v>156</v>
      </c>
      <c r="D80" s="8">
        <v>7229.25</v>
      </c>
      <c r="E80" s="8">
        <v>7102.74</v>
      </c>
      <c r="F80" s="8">
        <v>7058.57</v>
      </c>
      <c r="G80" s="8">
        <v>7088.7</v>
      </c>
      <c r="H80" s="8">
        <v>7211.88</v>
      </c>
      <c r="I80" s="8">
        <v>7253.91</v>
      </c>
      <c r="J80" s="8">
        <v>7114.75</v>
      </c>
      <c r="K80" s="8">
        <v>7040.42</v>
      </c>
      <c r="L80" s="8">
        <v>7054.55</v>
      </c>
      <c r="M80" s="80"/>
      <c r="N80" s="80"/>
      <c r="O80" s="80"/>
      <c r="P80" s="80"/>
      <c r="Q80" s="57">
        <f>IF((L81=""),"",MAX(D82:L82))</f>
        <v>2867.58</v>
      </c>
      <c r="R80" s="57">
        <f>IF(L81="","",MIN(D82:L82))</f>
        <v>2690.8799999999992</v>
      </c>
      <c r="S80" s="58">
        <f>IF((L82=""),"",AVERAGE(D82:L82))</f>
        <v>2761.5622222222219</v>
      </c>
      <c r="T80" s="57">
        <f>IF((L81=""),"",((Q80-R80)/(Q80+R80))*100)</f>
        <v>3.1789380511868535</v>
      </c>
      <c r="U80" s="56">
        <f>STDEV(D80:L80)</f>
        <v>81.688200154246331</v>
      </c>
      <c r="V80" s="55" t="str">
        <f>IF(L81="","",(IF(T80&lt;7,IF(S80&gt;2800,IF(S80&lt;3800,"Pass","Fail"),"Fail"),"Fail")))</f>
        <v>Fail</v>
      </c>
      <c r="W80" s="63">
        <v>1159</v>
      </c>
      <c r="X80" s="240"/>
      <c r="Z80" s="53">
        <v>2800</v>
      </c>
      <c r="AA80" s="53">
        <v>3800</v>
      </c>
      <c r="AB80" s="53">
        <v>3100</v>
      </c>
      <c r="AC80" s="53">
        <v>3760</v>
      </c>
      <c r="AD80" s="52">
        <v>6</v>
      </c>
      <c r="AE80" s="52">
        <v>6</v>
      </c>
    </row>
    <row r="81" spans="1:31" ht="16.5" customHeight="1">
      <c r="A81" s="199"/>
      <c r="B81" s="48"/>
      <c r="C81" s="51" t="s">
        <v>155</v>
      </c>
      <c r="D81" s="8">
        <v>5824.29</v>
      </c>
      <c r="E81" s="8">
        <v>5753.24</v>
      </c>
      <c r="F81" s="8">
        <v>5703.63</v>
      </c>
      <c r="G81" s="8">
        <v>5734.89</v>
      </c>
      <c r="H81" s="8">
        <v>5786.81</v>
      </c>
      <c r="I81" s="8">
        <v>5844.32</v>
      </c>
      <c r="J81" s="8">
        <v>5769.31</v>
      </c>
      <c r="K81" s="8">
        <v>5690.49</v>
      </c>
      <c r="L81" s="8">
        <v>5620.76</v>
      </c>
      <c r="M81" s="80"/>
      <c r="N81" s="80"/>
      <c r="O81" s="80"/>
      <c r="P81" s="80"/>
      <c r="Q81" s="48"/>
      <c r="R81" s="48"/>
      <c r="S81" s="49"/>
      <c r="T81" s="48"/>
      <c r="U81" s="48"/>
      <c r="V81" s="47"/>
      <c r="W81" s="48"/>
      <c r="X81" s="79"/>
      <c r="Z81" s="8"/>
      <c r="AA81" s="8"/>
      <c r="AB81" s="8"/>
      <c r="AC81" s="8"/>
      <c r="AD81" s="8"/>
      <c r="AE81" s="8"/>
    </row>
    <row r="82" spans="1:31" ht="24.75" customHeight="1" thickBot="1">
      <c r="A82" s="199"/>
      <c r="B82" s="42"/>
      <c r="C82" s="45" t="s">
        <v>154</v>
      </c>
      <c r="D82" s="44">
        <f t="shared" ref="D82:L82" si="22">IF(((D80="")*AND(D81="")),"",(D80-D81)*2)</f>
        <v>2809.92</v>
      </c>
      <c r="E82" s="44">
        <f t="shared" si="22"/>
        <v>2699</v>
      </c>
      <c r="F82" s="44">
        <f t="shared" si="22"/>
        <v>2709.8799999999992</v>
      </c>
      <c r="G82" s="44">
        <f t="shared" si="22"/>
        <v>2707.619999999999</v>
      </c>
      <c r="H82" s="44">
        <f t="shared" si="22"/>
        <v>2850.1399999999994</v>
      </c>
      <c r="I82" s="44">
        <f t="shared" si="22"/>
        <v>2819.1800000000003</v>
      </c>
      <c r="J82" s="44">
        <f t="shared" si="22"/>
        <v>2690.8799999999992</v>
      </c>
      <c r="K82" s="44">
        <f t="shared" si="22"/>
        <v>2699.8600000000006</v>
      </c>
      <c r="L82" s="44">
        <f t="shared" si="22"/>
        <v>2867.58</v>
      </c>
      <c r="M82" s="44"/>
      <c r="N82" s="44"/>
      <c r="O82" s="44"/>
      <c r="P82" s="44"/>
      <c r="Q82" s="42"/>
      <c r="R82" s="42"/>
      <c r="S82" s="43"/>
      <c r="T82" s="42"/>
      <c r="U82" s="42"/>
      <c r="V82" s="41"/>
      <c r="W82" s="42"/>
      <c r="X82" s="78"/>
      <c r="Z82" s="8"/>
      <c r="AA82" s="8"/>
      <c r="AB82" s="8"/>
      <c r="AC82" s="8"/>
      <c r="AD82" s="8"/>
      <c r="AE82" s="8"/>
    </row>
    <row r="83" spans="1:31">
      <c r="A83" s="198">
        <v>42593</v>
      </c>
      <c r="B83" s="63" t="s">
        <v>158</v>
      </c>
      <c r="C83" s="56" t="s">
        <v>156</v>
      </c>
      <c r="D83" s="8">
        <v>1922.66</v>
      </c>
      <c r="E83" s="8">
        <v>1916.27</v>
      </c>
      <c r="F83" s="8">
        <v>1898.93</v>
      </c>
      <c r="G83" s="8">
        <v>1910.66</v>
      </c>
      <c r="H83" s="8">
        <v>1924.79</v>
      </c>
      <c r="I83" s="8">
        <v>1915.17</v>
      </c>
      <c r="J83" s="8">
        <v>1914.55</v>
      </c>
      <c r="K83" s="8">
        <v>1915.17</v>
      </c>
      <c r="L83" s="8">
        <v>1925.15</v>
      </c>
      <c r="M83" s="80"/>
      <c r="N83" s="80"/>
      <c r="O83" s="80"/>
      <c r="P83" s="80"/>
      <c r="Q83" s="63">
        <f>IF((L84=""),"",MAX(D85:L85))</f>
        <v>2697.8</v>
      </c>
      <c r="R83" s="63">
        <f>IF(L84="","",MIN(D85:L85))</f>
        <v>2501.5600000000004</v>
      </c>
      <c r="S83" s="63">
        <f>IF((L85=""),"",AVERAGE(D85:L85))</f>
        <v>2587.1733333333341</v>
      </c>
      <c r="T83" s="63">
        <f>IF((L84=""),"",((Q83-R83)/(Q83+R83))*100)</f>
        <v>3.7743106843919203</v>
      </c>
      <c r="U83" s="51">
        <f>STDEV(D83:L83)</f>
        <v>8.1297982412527432</v>
      </c>
      <c r="V83" s="64" t="str">
        <f>IF(L84="","",(IF(T83&lt;12,IF(S83&gt;2200,IF(S83&lt;3280,"Pass","Fail"),"Fail"),"Fail")))</f>
        <v>Pass</v>
      </c>
      <c r="W83" s="63">
        <v>1159</v>
      </c>
      <c r="Y83" s="81" t="s">
        <v>213</v>
      </c>
      <c r="Z83" s="37">
        <v>2000</v>
      </c>
      <c r="AA83" s="37">
        <v>3000</v>
      </c>
      <c r="AB83" s="37">
        <v>2200</v>
      </c>
      <c r="AC83" s="37">
        <v>3280</v>
      </c>
      <c r="AD83" s="39">
        <v>12</v>
      </c>
      <c r="AE83" s="39">
        <v>12</v>
      </c>
    </row>
    <row r="84" spans="1:31" ht="16.5" customHeight="1">
      <c r="A84" s="199"/>
      <c r="B84" s="48"/>
      <c r="C84" s="51" t="s">
        <v>155</v>
      </c>
      <c r="D84" s="8">
        <v>1248.21</v>
      </c>
      <c r="E84" s="8">
        <v>1262.93</v>
      </c>
      <c r="F84" s="8">
        <v>1273.54</v>
      </c>
      <c r="G84" s="8">
        <v>1274.32</v>
      </c>
      <c r="H84" s="8">
        <v>1296.1099999999999</v>
      </c>
      <c r="I84" s="8">
        <v>1243.79</v>
      </c>
      <c r="J84" s="8">
        <v>1262.0899999999999</v>
      </c>
      <c r="K84" s="8">
        <v>1277.6400000000001</v>
      </c>
      <c r="L84" s="8">
        <v>1283.58</v>
      </c>
      <c r="M84" s="80"/>
      <c r="N84" s="80"/>
      <c r="O84" s="80"/>
      <c r="P84" s="80"/>
      <c r="Q84" s="48"/>
      <c r="R84" s="48"/>
      <c r="S84" s="48"/>
      <c r="T84" s="48"/>
      <c r="U84" s="48"/>
      <c r="V84" s="47"/>
      <c r="W84" s="48"/>
      <c r="X84" s="8"/>
      <c r="Y84" s="79"/>
    </row>
    <row r="85" spans="1:31" ht="24.75" customHeight="1" thickBot="1">
      <c r="A85" s="199"/>
      <c r="B85" s="61"/>
      <c r="C85" s="51" t="s">
        <v>154</v>
      </c>
      <c r="D85" s="24">
        <f t="shared" ref="D85:L85" si="23">IF(((D83="")*AND(D84="")),"",(D83-D84)*4)</f>
        <v>2697.8</v>
      </c>
      <c r="E85" s="24">
        <f t="shared" si="23"/>
        <v>2613.3599999999997</v>
      </c>
      <c r="F85" s="24">
        <f t="shared" si="23"/>
        <v>2501.5600000000004</v>
      </c>
      <c r="G85" s="24">
        <f t="shared" si="23"/>
        <v>2545.3600000000006</v>
      </c>
      <c r="H85" s="24">
        <f t="shared" si="23"/>
        <v>2514.7200000000003</v>
      </c>
      <c r="I85" s="24">
        <f t="shared" si="23"/>
        <v>2685.5200000000004</v>
      </c>
      <c r="J85" s="24">
        <f t="shared" si="23"/>
        <v>2609.84</v>
      </c>
      <c r="K85" s="24">
        <f t="shared" si="23"/>
        <v>2550.12</v>
      </c>
      <c r="L85" s="24">
        <f t="shared" si="23"/>
        <v>2566.2800000000007</v>
      </c>
      <c r="M85" s="24"/>
      <c r="N85" s="24"/>
      <c r="O85" s="24"/>
      <c r="P85" s="24" t="str">
        <f>IF(((P83="")*AND(P84="")),"",(P83-P84)*4)</f>
        <v/>
      </c>
      <c r="Q85" s="61"/>
      <c r="R85" s="61"/>
      <c r="S85" s="61"/>
      <c r="T85" s="61"/>
      <c r="U85" s="61"/>
      <c r="V85" s="60"/>
      <c r="W85" s="42"/>
      <c r="X85" s="8"/>
      <c r="Y85" s="79"/>
    </row>
    <row r="86" spans="1:31">
      <c r="A86" s="198">
        <v>42593</v>
      </c>
      <c r="B86" s="57" t="s">
        <v>157</v>
      </c>
      <c r="C86" s="51" t="s">
        <v>156</v>
      </c>
      <c r="D86" s="8">
        <v>5825.27</v>
      </c>
      <c r="E86" s="8">
        <v>5753.37</v>
      </c>
      <c r="F86" s="8">
        <v>5704.11</v>
      </c>
      <c r="G86" s="8">
        <v>5736.1</v>
      </c>
      <c r="H86" s="8">
        <v>5788.58</v>
      </c>
      <c r="I86" s="8">
        <v>5846.61</v>
      </c>
      <c r="J86" s="8">
        <v>5768.76</v>
      </c>
      <c r="K86" s="8">
        <v>5691.37</v>
      </c>
      <c r="L86" s="8">
        <v>5620.27</v>
      </c>
      <c r="M86" s="80"/>
      <c r="N86" s="80"/>
      <c r="O86" s="80"/>
      <c r="P86" s="80"/>
      <c r="Q86" s="57">
        <f>IF((L87=""),"",MAX(D88:L88))</f>
        <v>2878.4000000000015</v>
      </c>
      <c r="R86" s="57">
        <f>IF(L87="","",MIN(D88:L88))</f>
        <v>2739.66</v>
      </c>
      <c r="S86" s="58">
        <f>IF((L88=""),"",AVERAGE(D88:L88))</f>
        <v>2797.0777777777785</v>
      </c>
      <c r="T86" s="57">
        <f>IF((L87=""),"",((Q86-R86)/(Q86+R86))*100)</f>
        <v>2.469535747215259</v>
      </c>
      <c r="U86" s="56">
        <f>STDEV(D86:L86)</f>
        <v>70.169728416959586</v>
      </c>
      <c r="V86" s="55" t="str">
        <f>IF(L87="","",(IF(T86&lt;7,IF(S86&gt;2800,IF(S86&lt;3800,"Pass","Fail"),"Fail"),"Fail")))</f>
        <v>Fail</v>
      </c>
      <c r="W86" s="63">
        <v>1159</v>
      </c>
      <c r="Y86" s="79"/>
      <c r="Z86" s="53">
        <v>2800</v>
      </c>
      <c r="AA86" s="53">
        <v>3800</v>
      </c>
      <c r="AB86" s="53">
        <v>3100</v>
      </c>
      <c r="AC86" s="53">
        <v>3760</v>
      </c>
      <c r="AD86" s="52">
        <v>6</v>
      </c>
      <c r="AE86" s="52">
        <v>6</v>
      </c>
    </row>
    <row r="87" spans="1:31" ht="16.5" customHeight="1">
      <c r="A87" s="199"/>
      <c r="B87" s="48"/>
      <c r="C87" s="51" t="s">
        <v>155</v>
      </c>
      <c r="D87" s="8">
        <v>4408.58</v>
      </c>
      <c r="E87" s="8">
        <v>4381.18</v>
      </c>
      <c r="F87" s="8">
        <v>4323.49</v>
      </c>
      <c r="G87" s="8">
        <v>4356.6499999999996</v>
      </c>
      <c r="H87" s="8">
        <v>4354.21</v>
      </c>
      <c r="I87" s="8">
        <v>4426.83</v>
      </c>
      <c r="J87" s="8">
        <v>4398.93</v>
      </c>
      <c r="K87" s="8">
        <v>4316.6499999999996</v>
      </c>
      <c r="L87" s="8">
        <v>4181.07</v>
      </c>
      <c r="M87" s="80"/>
      <c r="N87" s="80"/>
      <c r="O87" s="80"/>
      <c r="P87" s="80"/>
      <c r="Q87" s="48"/>
      <c r="R87" s="48"/>
      <c r="S87" s="49"/>
      <c r="T87" s="48"/>
      <c r="U87" s="48"/>
      <c r="V87" s="47"/>
      <c r="W87" s="48"/>
      <c r="X87" s="8"/>
      <c r="Y87" s="79"/>
      <c r="Z87" s="8"/>
      <c r="AA87" s="8"/>
      <c r="AB87" s="8"/>
      <c r="AC87" s="8"/>
      <c r="AD87" s="8"/>
      <c r="AE87" s="8"/>
    </row>
    <row r="88" spans="1:31" ht="24.75" customHeight="1" thickBot="1">
      <c r="A88" s="199"/>
      <c r="B88" s="42"/>
      <c r="C88" s="45" t="s">
        <v>154</v>
      </c>
      <c r="D88" s="44">
        <f t="shared" ref="D88:L88" si="24">IF(((D86="")*AND(D87="")),"",(D86-D87)*2)</f>
        <v>2833.380000000001</v>
      </c>
      <c r="E88" s="44">
        <f t="shared" si="24"/>
        <v>2744.3799999999992</v>
      </c>
      <c r="F88" s="44">
        <f t="shared" si="24"/>
        <v>2761.24</v>
      </c>
      <c r="G88" s="44">
        <f t="shared" si="24"/>
        <v>2758.9000000000015</v>
      </c>
      <c r="H88" s="44">
        <f t="shared" si="24"/>
        <v>2868.74</v>
      </c>
      <c r="I88" s="44">
        <f t="shared" si="24"/>
        <v>2839.5599999999995</v>
      </c>
      <c r="J88" s="44">
        <f t="shared" si="24"/>
        <v>2739.66</v>
      </c>
      <c r="K88" s="44">
        <f t="shared" si="24"/>
        <v>2749.4400000000005</v>
      </c>
      <c r="L88" s="44">
        <f t="shared" si="24"/>
        <v>2878.4000000000015</v>
      </c>
      <c r="M88" s="44"/>
      <c r="N88" s="44"/>
      <c r="O88" s="44"/>
      <c r="P88" s="44"/>
      <c r="Q88" s="42"/>
      <c r="R88" s="42"/>
      <c r="S88" s="43"/>
      <c r="T88" s="42"/>
      <c r="U88" s="42"/>
      <c r="V88" s="41"/>
      <c r="W88" s="42"/>
      <c r="X88" s="8"/>
      <c r="Y88" s="78"/>
      <c r="Z88" s="8"/>
      <c r="AA88" s="8"/>
      <c r="AB88" s="8"/>
      <c r="AC88" s="8"/>
      <c r="AD88" s="8"/>
      <c r="AE88" s="8"/>
    </row>
    <row r="89" spans="1:31">
      <c r="A89" s="198">
        <v>42598</v>
      </c>
      <c r="B89" s="63" t="s">
        <v>158</v>
      </c>
      <c r="C89" s="56" t="s">
        <v>156</v>
      </c>
      <c r="D89" s="8">
        <v>2165.58</v>
      </c>
      <c r="E89" s="8">
        <v>2136.92</v>
      </c>
      <c r="F89" s="8">
        <v>2126.5100000000002</v>
      </c>
      <c r="G89" s="8">
        <v>2128.65</v>
      </c>
      <c r="H89" s="8">
        <v>2166.4899999999998</v>
      </c>
      <c r="I89" s="8">
        <v>2170.23</v>
      </c>
      <c r="J89" s="8">
        <v>2135.83</v>
      </c>
      <c r="K89" s="8">
        <v>2130.14</v>
      </c>
      <c r="L89" s="8">
        <v>2164.61</v>
      </c>
      <c r="M89" s="80"/>
      <c r="N89" s="80"/>
      <c r="O89" s="80"/>
      <c r="P89" s="80"/>
      <c r="Q89" s="63">
        <f>IF((L90=""),"",MAX(D91:L91))</f>
        <v>2870.7200000000003</v>
      </c>
      <c r="R89" s="63">
        <f>IF(L90="","",MIN(D91:L91))</f>
        <v>2642.2000000000007</v>
      </c>
      <c r="S89" s="63">
        <f>IF((L91=""),"",AVERAGE(D91:L91))</f>
        <v>2741.0888888888894</v>
      </c>
      <c r="T89" s="63">
        <f>IF((L90=""),"",((Q89-R89)/(Q89+R89))*100)</f>
        <v>4.1451717057385107</v>
      </c>
      <c r="U89" s="51">
        <f>STDEV(D89:L89)</f>
        <v>18.846724369107392</v>
      </c>
      <c r="V89" s="64" t="str">
        <f>IF(L90="","",(IF(T89&lt;12,IF(S89&gt;2200,IF(S89&lt;3280,"Pass","Fail"),"Fail"),"Fail")))</f>
        <v>Pass</v>
      </c>
      <c r="W89" s="63">
        <v>1428</v>
      </c>
      <c r="Y89" s="81" t="s">
        <v>213</v>
      </c>
      <c r="Z89" s="37">
        <v>2000</v>
      </c>
      <c r="AA89" s="37">
        <v>3000</v>
      </c>
      <c r="AB89" s="37">
        <v>2200</v>
      </c>
      <c r="AC89" s="37">
        <v>3280</v>
      </c>
      <c r="AD89" s="39">
        <v>12</v>
      </c>
      <c r="AE89" s="39">
        <v>12</v>
      </c>
    </row>
    <row r="90" spans="1:31" ht="16.5" customHeight="1">
      <c r="A90" s="199"/>
      <c r="B90" s="48"/>
      <c r="C90" s="51" t="s">
        <v>155</v>
      </c>
      <c r="D90" s="8">
        <v>1449.36</v>
      </c>
      <c r="E90" s="8">
        <v>1446.67</v>
      </c>
      <c r="F90" s="8">
        <v>1465.96</v>
      </c>
      <c r="G90" s="8">
        <v>1459.7</v>
      </c>
      <c r="H90" s="8">
        <v>1496.35</v>
      </c>
      <c r="I90" s="8">
        <v>1452.55</v>
      </c>
      <c r="J90" s="8">
        <v>1447.19</v>
      </c>
      <c r="K90" s="8">
        <v>1458.9</v>
      </c>
      <c r="L90" s="8">
        <v>1480.83</v>
      </c>
      <c r="M90" s="80"/>
      <c r="N90" s="80"/>
      <c r="O90" s="80"/>
      <c r="P90" s="80"/>
      <c r="Q90" s="48"/>
      <c r="R90" s="48"/>
      <c r="S90" s="48"/>
      <c r="T90" s="48"/>
      <c r="U90" s="48"/>
      <c r="V90" s="47"/>
      <c r="W90" s="48"/>
      <c r="X90" s="8"/>
      <c r="Y90" s="79"/>
    </row>
    <row r="91" spans="1:31" ht="24.75" customHeight="1" thickBot="1">
      <c r="A91" s="199"/>
      <c r="B91" s="61"/>
      <c r="C91" s="51" t="s">
        <v>154</v>
      </c>
      <c r="D91" s="24">
        <f t="shared" ref="D91:L91" si="25">IF(((D89="")*AND(D90="")),"",(D89-D90)*4)</f>
        <v>2864.88</v>
      </c>
      <c r="E91" s="24">
        <f t="shared" si="25"/>
        <v>2761</v>
      </c>
      <c r="F91" s="24">
        <f t="shared" si="25"/>
        <v>2642.2000000000007</v>
      </c>
      <c r="G91" s="24">
        <f t="shared" si="25"/>
        <v>2675.8</v>
      </c>
      <c r="H91" s="24">
        <f t="shared" si="25"/>
        <v>2680.5599999999995</v>
      </c>
      <c r="I91" s="24">
        <f t="shared" si="25"/>
        <v>2870.7200000000003</v>
      </c>
      <c r="J91" s="24">
        <f t="shared" si="25"/>
        <v>2754.5599999999995</v>
      </c>
      <c r="K91" s="24">
        <f t="shared" si="25"/>
        <v>2684.9599999999991</v>
      </c>
      <c r="L91" s="24">
        <f t="shared" si="25"/>
        <v>2735.1200000000008</v>
      </c>
      <c r="M91" s="24"/>
      <c r="N91" s="24"/>
      <c r="O91" s="24"/>
      <c r="P91" s="24" t="str">
        <f>IF(((P89="")*AND(P90="")),"",(P89-P90)*4)</f>
        <v/>
      </c>
      <c r="Q91" s="61"/>
      <c r="R91" s="61"/>
      <c r="S91" s="61"/>
      <c r="T91" s="61"/>
      <c r="U91" s="61"/>
      <c r="V91" s="60"/>
      <c r="W91" s="42"/>
      <c r="X91" s="8"/>
      <c r="Y91" s="79"/>
    </row>
    <row r="92" spans="1:31">
      <c r="A92" s="198">
        <v>42598</v>
      </c>
      <c r="B92" s="57" t="s">
        <v>157</v>
      </c>
      <c r="C92" s="51" t="s">
        <v>156</v>
      </c>
      <c r="D92" s="8">
        <v>4417.6899999999996</v>
      </c>
      <c r="E92" s="8">
        <v>4389.8999999999996</v>
      </c>
      <c r="F92" s="8">
        <v>4331.59</v>
      </c>
      <c r="G92" s="8">
        <v>4366.34</v>
      </c>
      <c r="H92" s="8">
        <v>4361.05</v>
      </c>
      <c r="I92" s="8">
        <v>4431.96</v>
      </c>
      <c r="J92" s="8">
        <v>4407.33</v>
      </c>
      <c r="K92" s="8">
        <v>4324.28</v>
      </c>
      <c r="L92" s="8">
        <v>4196.18</v>
      </c>
      <c r="M92" s="80"/>
      <c r="N92" s="80"/>
      <c r="O92" s="80"/>
      <c r="P92" s="80"/>
      <c r="Q92" s="57">
        <f>IF((L93=""),"",MAX(D94:L94))</f>
        <v>2906.76</v>
      </c>
      <c r="R92" s="57">
        <f>IF(L93="","",MIN(D94:L94))</f>
        <v>2781.8999999999996</v>
      </c>
      <c r="S92" s="58">
        <f>IF((L94=""),"",AVERAGE(D94:L94))</f>
        <v>2832.2999999999997</v>
      </c>
      <c r="T92" s="57">
        <f>IF((L93=""),"",((Q92-R92)/(Q92+R92))*100)</f>
        <v>2.1948929976479628</v>
      </c>
      <c r="U92" s="56">
        <f>STDEV(D92:L92)</f>
        <v>71.222415713034465</v>
      </c>
      <c r="V92" s="55" t="str">
        <f>IF(L93="","",(IF(T92&lt;7,IF(S92&gt;2800,IF(S92&lt;3800,"Pass","Fail"),"Fail"),"Fail")))</f>
        <v>Pass</v>
      </c>
      <c r="W92" s="63">
        <v>1428</v>
      </c>
      <c r="Y92" s="79"/>
      <c r="Z92" s="53">
        <v>2800</v>
      </c>
      <c r="AA92" s="53">
        <v>3800</v>
      </c>
      <c r="AB92" s="53">
        <v>3100</v>
      </c>
      <c r="AC92" s="53">
        <v>3760</v>
      </c>
      <c r="AD92" s="52">
        <v>6</v>
      </c>
      <c r="AE92" s="52">
        <v>6</v>
      </c>
    </row>
    <row r="93" spans="1:31" ht="16.5" customHeight="1">
      <c r="A93" s="199"/>
      <c r="B93" s="48"/>
      <c r="C93" s="51" t="s">
        <v>155</v>
      </c>
      <c r="D93" s="8">
        <v>2976.84</v>
      </c>
      <c r="E93" s="8">
        <v>2996.4</v>
      </c>
      <c r="F93" s="8">
        <v>2932.78</v>
      </c>
      <c r="G93" s="8">
        <v>2970.15</v>
      </c>
      <c r="H93" s="8">
        <v>2916.21</v>
      </c>
      <c r="I93" s="8">
        <v>2998.22</v>
      </c>
      <c r="J93" s="8">
        <v>3016.38</v>
      </c>
      <c r="K93" s="8">
        <v>2931.19</v>
      </c>
      <c r="L93" s="8">
        <v>2742.8</v>
      </c>
      <c r="M93" s="80"/>
      <c r="N93" s="80"/>
      <c r="O93" s="80"/>
      <c r="P93" s="80"/>
      <c r="Q93" s="48"/>
      <c r="R93" s="48"/>
      <c r="S93" s="49"/>
      <c r="T93" s="48"/>
      <c r="U93" s="48"/>
      <c r="V93" s="47"/>
      <c r="W93" s="48"/>
      <c r="X93" s="8"/>
      <c r="Y93" s="79"/>
      <c r="Z93" s="8"/>
      <c r="AA93" s="8"/>
      <c r="AB93" s="8"/>
      <c r="AC93" s="8"/>
      <c r="AD93" s="8"/>
      <c r="AE93" s="8"/>
    </row>
    <row r="94" spans="1:31" ht="24.75" customHeight="1" thickBot="1">
      <c r="A94" s="199"/>
      <c r="B94" s="42"/>
      <c r="C94" s="45" t="s">
        <v>154</v>
      </c>
      <c r="D94" s="44">
        <f t="shared" ref="D94:L94" si="26">IF(((D92="")*AND(D93="")),"",(D92-D93)*2)</f>
        <v>2881.6999999999989</v>
      </c>
      <c r="E94" s="44">
        <f t="shared" si="26"/>
        <v>2786.9999999999991</v>
      </c>
      <c r="F94" s="44">
        <f t="shared" si="26"/>
        <v>2797.62</v>
      </c>
      <c r="G94" s="44">
        <f t="shared" si="26"/>
        <v>2792.38</v>
      </c>
      <c r="H94" s="44">
        <f t="shared" si="26"/>
        <v>2889.6800000000003</v>
      </c>
      <c r="I94" s="44">
        <f t="shared" si="26"/>
        <v>2867.4800000000005</v>
      </c>
      <c r="J94" s="44">
        <f t="shared" si="26"/>
        <v>2781.8999999999996</v>
      </c>
      <c r="K94" s="44">
        <f t="shared" si="26"/>
        <v>2786.1799999999994</v>
      </c>
      <c r="L94" s="44">
        <f t="shared" si="26"/>
        <v>2906.76</v>
      </c>
      <c r="M94" s="44"/>
      <c r="N94" s="44"/>
      <c r="O94" s="44"/>
      <c r="P94" s="44"/>
      <c r="Q94" s="42"/>
      <c r="R94" s="42"/>
      <c r="S94" s="43"/>
      <c r="T94" s="42"/>
      <c r="U94" s="42"/>
      <c r="V94" s="41"/>
      <c r="W94" s="42"/>
      <c r="X94" s="8"/>
      <c r="Y94" s="78"/>
      <c r="Z94" s="8"/>
      <c r="AA94" s="8"/>
      <c r="AB94" s="8"/>
      <c r="AC94" s="8"/>
      <c r="AD94" s="8"/>
      <c r="AE94" s="8"/>
    </row>
    <row r="95" spans="1:31">
      <c r="A95" s="198">
        <v>42601</v>
      </c>
      <c r="B95" s="63" t="s">
        <v>158</v>
      </c>
      <c r="C95" s="56" t="s">
        <v>156</v>
      </c>
      <c r="D95" s="8">
        <v>1909.24</v>
      </c>
      <c r="E95" s="8">
        <v>1904.25</v>
      </c>
      <c r="F95" s="8">
        <v>1898.19</v>
      </c>
      <c r="G95" s="8">
        <v>1904.57</v>
      </c>
      <c r="H95" s="8">
        <v>1913.14</v>
      </c>
      <c r="I95" s="8">
        <v>1911.84</v>
      </c>
      <c r="J95" s="8">
        <v>1904.87</v>
      </c>
      <c r="K95" s="8">
        <v>1905.29</v>
      </c>
      <c r="L95" s="8">
        <v>1913.25</v>
      </c>
      <c r="M95" s="80"/>
      <c r="N95" s="80"/>
      <c r="O95" s="80"/>
      <c r="P95" s="80"/>
      <c r="Q95" s="63">
        <f>IF((L96=""),"",MAX(D97:L97))</f>
        <v>2653.08</v>
      </c>
      <c r="R95" s="63">
        <f>IF(L96="","",MIN(D97:L97))</f>
        <v>2495.6000000000004</v>
      </c>
      <c r="S95" s="63">
        <f>IF((L97=""),"",AVERAGE(D97:L97))</f>
        <v>2566.56</v>
      </c>
      <c r="T95" s="63">
        <f>IF((L96=""),"",((Q95-R95)/(Q95+R95))*100)</f>
        <v>3.0586480418281878</v>
      </c>
      <c r="U95" s="51">
        <f>STDEV(D95:L95)</f>
        <v>5.0429524531126972</v>
      </c>
      <c r="V95" s="64" t="str">
        <f>IF(L96="","",(IF(T95&lt;12,IF(S95&gt;2200,IF(S95&lt;3280,"Pass","Fail"),"Fail"),"Fail")))</f>
        <v>Pass</v>
      </c>
      <c r="W95" s="63">
        <v>1335</v>
      </c>
      <c r="Y95" s="81" t="s">
        <v>213</v>
      </c>
      <c r="Z95" s="37">
        <v>2000</v>
      </c>
      <c r="AA95" s="37">
        <v>3000</v>
      </c>
      <c r="AB95" s="37">
        <v>2200</v>
      </c>
      <c r="AC95" s="37">
        <v>3280</v>
      </c>
      <c r="AD95" s="39">
        <v>12</v>
      </c>
      <c r="AE95" s="39">
        <v>12</v>
      </c>
    </row>
    <row r="96" spans="1:31" ht="16.5" customHeight="1">
      <c r="A96" s="199"/>
      <c r="B96" s="48"/>
      <c r="C96" s="51" t="s">
        <v>155</v>
      </c>
      <c r="D96" s="8">
        <v>1247.74</v>
      </c>
      <c r="E96" s="8">
        <v>1254.04</v>
      </c>
      <c r="F96" s="8">
        <v>1273.0899999999999</v>
      </c>
      <c r="G96" s="8">
        <v>1273.46</v>
      </c>
      <c r="H96" s="8">
        <v>1289.24</v>
      </c>
      <c r="I96" s="8">
        <v>1248.57</v>
      </c>
      <c r="J96" s="8">
        <v>1255.1400000000001</v>
      </c>
      <c r="K96" s="8">
        <v>1270.27</v>
      </c>
      <c r="L96" s="8">
        <v>1278.33</v>
      </c>
      <c r="M96" s="80"/>
      <c r="N96" s="80"/>
      <c r="O96" s="80"/>
      <c r="P96" s="80"/>
      <c r="Q96" s="48"/>
      <c r="R96" s="48"/>
      <c r="S96" s="48"/>
      <c r="T96" s="48"/>
      <c r="U96" s="48"/>
      <c r="V96" s="47"/>
      <c r="W96" s="48"/>
      <c r="X96" s="8"/>
      <c r="Y96" s="79"/>
    </row>
    <row r="97" spans="1:31" ht="24.75" customHeight="1" thickBot="1">
      <c r="A97" s="199"/>
      <c r="B97" s="61"/>
      <c r="C97" s="51" t="s">
        <v>154</v>
      </c>
      <c r="D97" s="24">
        <f t="shared" ref="D97:L97" si="27">IF(((D95="")*AND(D96="")),"",(D95-D96)*4)</f>
        <v>2646</v>
      </c>
      <c r="E97" s="24">
        <f t="shared" si="27"/>
        <v>2600.84</v>
      </c>
      <c r="F97" s="24">
        <f t="shared" si="27"/>
        <v>2500.4000000000005</v>
      </c>
      <c r="G97" s="24">
        <f t="shared" si="27"/>
        <v>2524.4399999999996</v>
      </c>
      <c r="H97" s="24">
        <f t="shared" si="27"/>
        <v>2495.6000000000004</v>
      </c>
      <c r="I97" s="24">
        <f t="shared" si="27"/>
        <v>2653.08</v>
      </c>
      <c r="J97" s="24">
        <f t="shared" si="27"/>
        <v>2598.9199999999992</v>
      </c>
      <c r="K97" s="24">
        <f t="shared" si="27"/>
        <v>2540.08</v>
      </c>
      <c r="L97" s="24">
        <f t="shared" si="27"/>
        <v>2539.6800000000003</v>
      </c>
      <c r="M97" s="24"/>
      <c r="N97" s="24"/>
      <c r="O97" s="24"/>
      <c r="P97" s="24" t="str">
        <f>IF(((P95="")*AND(P96="")),"",(P95-P96)*4)</f>
        <v/>
      </c>
      <c r="Q97" s="61"/>
      <c r="R97" s="61"/>
      <c r="S97" s="61"/>
      <c r="T97" s="61"/>
      <c r="U97" s="61"/>
      <c r="V97" s="60"/>
      <c r="W97" s="42"/>
      <c r="X97" s="8"/>
      <c r="Y97" s="79"/>
    </row>
    <row r="98" spans="1:31">
      <c r="A98" s="198">
        <v>42601</v>
      </c>
      <c r="B98" s="57" t="s">
        <v>157</v>
      </c>
      <c r="C98" s="51" t="s">
        <v>156</v>
      </c>
      <c r="D98" s="8">
        <v>6850.47</v>
      </c>
      <c r="E98" s="8">
        <v>6863.75</v>
      </c>
      <c r="F98" s="8">
        <v>6863.22</v>
      </c>
      <c r="G98" s="8">
        <v>6859.25</v>
      </c>
      <c r="H98" s="8">
        <v>6960.76</v>
      </c>
      <c r="I98" s="8">
        <v>6887.13</v>
      </c>
      <c r="J98" s="8">
        <v>6859.51</v>
      </c>
      <c r="K98" s="8">
        <v>6883.92</v>
      </c>
      <c r="L98" s="8">
        <v>7017.85</v>
      </c>
      <c r="M98" s="80"/>
      <c r="N98" s="80"/>
      <c r="O98" s="80"/>
      <c r="P98" s="80"/>
      <c r="Q98" s="57">
        <f>IF((L99=""),"",MAX(D100:L100))</f>
        <v>2649.5200000000004</v>
      </c>
      <c r="R98" s="57">
        <f>IF(L99="","",MIN(D100:L100))</f>
        <v>2586.5</v>
      </c>
      <c r="S98" s="58">
        <f>IF((L100=""),"",AVERAGE(D100:L100))</f>
        <v>2633.7044444444446</v>
      </c>
      <c r="T98" s="57">
        <f>IF((L99=""),"",((Q98-R98)/(Q98+R98))*100)</f>
        <v>1.2035859297710938</v>
      </c>
      <c r="U98" s="56">
        <f>STDEV(D98:L98)</f>
        <v>57.117177388064192</v>
      </c>
      <c r="V98" s="55" t="str">
        <f>IF(L99="","",(IF(T98&lt;7,IF(S98&gt;2800,IF(S98&lt;3800,"Pass","Fail"),"Fail"),"Fail")))</f>
        <v>Fail</v>
      </c>
      <c r="W98" s="63">
        <v>1335</v>
      </c>
      <c r="Y98" s="79"/>
      <c r="Z98" s="53">
        <v>2800</v>
      </c>
      <c r="AA98" s="53">
        <v>3800</v>
      </c>
      <c r="AB98" s="53">
        <v>3100</v>
      </c>
      <c r="AC98" s="53">
        <v>3760</v>
      </c>
      <c r="AD98" s="52">
        <v>6</v>
      </c>
      <c r="AE98" s="52">
        <v>6</v>
      </c>
    </row>
    <row r="99" spans="1:31" ht="16.5" customHeight="1">
      <c r="A99" s="199"/>
      <c r="B99" s="48"/>
      <c r="C99" s="51" t="s">
        <v>155</v>
      </c>
      <c r="D99" s="8">
        <v>5557.22</v>
      </c>
      <c r="E99" s="8">
        <v>5542.35</v>
      </c>
      <c r="F99" s="8">
        <v>5540.34</v>
      </c>
      <c r="G99" s="8">
        <v>5536.66</v>
      </c>
      <c r="H99" s="8">
        <v>5651.96</v>
      </c>
      <c r="I99" s="8">
        <v>5566.05</v>
      </c>
      <c r="J99" s="8">
        <v>5542.91</v>
      </c>
      <c r="K99" s="8">
        <v>5563.61</v>
      </c>
      <c r="L99" s="8">
        <v>5693.09</v>
      </c>
      <c r="M99" s="80"/>
      <c r="N99" s="80"/>
      <c r="O99" s="80"/>
      <c r="P99" s="80"/>
      <c r="Q99" s="48"/>
      <c r="R99" s="48"/>
      <c r="S99" s="49"/>
      <c r="T99" s="48"/>
      <c r="U99" s="48"/>
      <c r="V99" s="47"/>
      <c r="W99" s="48"/>
      <c r="X99" s="8"/>
      <c r="Y99" s="79"/>
      <c r="Z99" s="8"/>
      <c r="AA99" s="8"/>
      <c r="AB99" s="8"/>
      <c r="AC99" s="8"/>
      <c r="AD99" s="8"/>
      <c r="AE99" s="8"/>
    </row>
    <row r="100" spans="1:31" ht="24.75" customHeight="1" thickBot="1">
      <c r="A100" s="199"/>
      <c r="B100" s="42"/>
      <c r="C100" s="45" t="s">
        <v>154</v>
      </c>
      <c r="D100" s="44">
        <f t="shared" ref="D100:L100" si="28">IF(((D98="")*AND(D99="")),"",(D98-D99)*2)</f>
        <v>2586.5</v>
      </c>
      <c r="E100" s="44">
        <f t="shared" si="28"/>
        <v>2642.7999999999993</v>
      </c>
      <c r="F100" s="44">
        <f t="shared" si="28"/>
        <v>2645.76</v>
      </c>
      <c r="G100" s="44">
        <f t="shared" si="28"/>
        <v>2645.1800000000003</v>
      </c>
      <c r="H100" s="44">
        <f t="shared" si="28"/>
        <v>2617.6000000000004</v>
      </c>
      <c r="I100" s="44">
        <f t="shared" si="28"/>
        <v>2642.16</v>
      </c>
      <c r="J100" s="44">
        <f t="shared" si="28"/>
        <v>2633.2000000000007</v>
      </c>
      <c r="K100" s="44">
        <f t="shared" si="28"/>
        <v>2640.6200000000008</v>
      </c>
      <c r="L100" s="44">
        <f t="shared" si="28"/>
        <v>2649.5200000000004</v>
      </c>
      <c r="M100" s="44"/>
      <c r="N100" s="44"/>
      <c r="O100" s="44"/>
      <c r="P100" s="44"/>
      <c r="Q100" s="42"/>
      <c r="R100" s="42"/>
      <c r="S100" s="43"/>
      <c r="T100" s="42"/>
      <c r="U100" s="42"/>
      <c r="V100" s="41"/>
      <c r="W100" s="42"/>
      <c r="X100" s="8"/>
      <c r="Y100" s="78"/>
      <c r="Z100" s="8"/>
      <c r="AA100" s="8"/>
      <c r="AB100" s="8"/>
      <c r="AC100" s="8"/>
      <c r="AD100" s="8"/>
      <c r="AE100" s="8"/>
    </row>
    <row r="101" spans="1:31">
      <c r="A101" s="198">
        <v>42606</v>
      </c>
      <c r="B101" s="63" t="s">
        <v>158</v>
      </c>
      <c r="C101" s="56" t="s">
        <v>156</v>
      </c>
      <c r="D101" s="8">
        <v>1912.86</v>
      </c>
      <c r="E101" s="8">
        <v>1905.94</v>
      </c>
      <c r="F101" s="8">
        <v>1891.17</v>
      </c>
      <c r="G101" s="8">
        <v>1902.18</v>
      </c>
      <c r="H101" s="8">
        <v>1917.06</v>
      </c>
      <c r="I101" s="8">
        <v>1907.9</v>
      </c>
      <c r="J101" s="8">
        <v>1900.9</v>
      </c>
      <c r="K101" s="8">
        <v>1903.36</v>
      </c>
      <c r="L101" s="8">
        <v>1916.25</v>
      </c>
      <c r="M101" s="80"/>
      <c r="N101" s="80"/>
      <c r="O101" s="80"/>
      <c r="P101" s="80"/>
      <c r="Q101" s="63">
        <f>IF((L102=""),"",MAX(D103:L103))</f>
        <v>2618.5599999999995</v>
      </c>
      <c r="R101" s="63">
        <f>IF(L102="","",MIN(D103:L103))</f>
        <v>2448.8000000000002</v>
      </c>
      <c r="S101" s="63">
        <f>IF((L103=""),"",AVERAGE(D103:L103))</f>
        <v>2530.5644444444442</v>
      </c>
      <c r="T101" s="63">
        <f>IF((L102=""),"",((Q101-R101)/(Q101+R101))*100)</f>
        <v>3.350067885447241</v>
      </c>
      <c r="U101" s="51">
        <f>STDEV(D101:L101)</f>
        <v>8.2470006331972154</v>
      </c>
      <c r="V101" s="64" t="str">
        <f>IF(L102="","",(IF(T101&lt;12,IF(S101&gt;2200,IF(S101&lt;3280,"Pass","Fail"),"Fail"),"Fail")))</f>
        <v>Pass</v>
      </c>
      <c r="W101" s="63">
        <v>1335</v>
      </c>
      <c r="Y101" s="81" t="s">
        <v>213</v>
      </c>
      <c r="Z101" s="37">
        <v>2000</v>
      </c>
      <c r="AA101" s="37">
        <v>3000</v>
      </c>
      <c r="AB101" s="37">
        <v>2200</v>
      </c>
      <c r="AC101" s="37">
        <v>3280</v>
      </c>
      <c r="AD101" s="39">
        <v>12</v>
      </c>
      <c r="AE101" s="39">
        <v>12</v>
      </c>
    </row>
    <row r="102" spans="1:31" ht="16.5" customHeight="1">
      <c r="A102" s="199"/>
      <c r="B102" s="48"/>
      <c r="C102" s="51" t="s">
        <v>155</v>
      </c>
      <c r="D102" s="8">
        <v>1258.22</v>
      </c>
      <c r="E102" s="8">
        <v>1264.72</v>
      </c>
      <c r="F102" s="8">
        <v>1274.69</v>
      </c>
      <c r="G102" s="8">
        <v>1277.3</v>
      </c>
      <c r="H102" s="8">
        <v>1304.8599999999999</v>
      </c>
      <c r="I102" s="8">
        <v>1254.24</v>
      </c>
      <c r="J102" s="8">
        <v>1259.6400000000001</v>
      </c>
      <c r="K102" s="8">
        <v>1276.75</v>
      </c>
      <c r="L102" s="8">
        <v>1293.43</v>
      </c>
      <c r="M102" s="80"/>
      <c r="N102" s="80"/>
      <c r="O102" s="80"/>
      <c r="P102" s="80"/>
      <c r="Q102" s="48"/>
      <c r="R102" s="48"/>
      <c r="S102" s="48"/>
      <c r="T102" s="48"/>
      <c r="U102" s="48"/>
      <c r="V102" s="47"/>
      <c r="W102" s="48"/>
      <c r="X102" s="8"/>
      <c r="Y102" s="79"/>
    </row>
    <row r="103" spans="1:31" ht="24.75" customHeight="1" thickBot="1">
      <c r="A103" s="199"/>
      <c r="B103" s="61"/>
      <c r="C103" s="51" t="s">
        <v>154</v>
      </c>
      <c r="D103" s="24">
        <f t="shared" ref="D103:L103" si="29">IF(((D101="")*AND(D102="")),"",(D101-D102)*4)</f>
        <v>2618.5599999999995</v>
      </c>
      <c r="E103" s="24">
        <f t="shared" si="29"/>
        <v>2564.88</v>
      </c>
      <c r="F103" s="24">
        <f t="shared" si="29"/>
        <v>2465.92</v>
      </c>
      <c r="G103" s="24">
        <f t="shared" si="29"/>
        <v>2499.5200000000004</v>
      </c>
      <c r="H103" s="24">
        <f t="shared" si="29"/>
        <v>2448.8000000000002</v>
      </c>
      <c r="I103" s="24">
        <f t="shared" si="29"/>
        <v>2614.6400000000003</v>
      </c>
      <c r="J103" s="24">
        <f t="shared" si="29"/>
        <v>2565.04</v>
      </c>
      <c r="K103" s="24">
        <f t="shared" si="29"/>
        <v>2506.4399999999996</v>
      </c>
      <c r="L103" s="24">
        <f t="shared" si="29"/>
        <v>2491.2799999999997</v>
      </c>
      <c r="M103" s="24"/>
      <c r="N103" s="24"/>
      <c r="O103" s="24"/>
      <c r="P103" s="24" t="str">
        <f>IF(((P101="")*AND(P102="")),"",(P101-P102)*4)</f>
        <v/>
      </c>
      <c r="Q103" s="61"/>
      <c r="R103" s="61"/>
      <c r="S103" s="61"/>
      <c r="T103" s="61"/>
      <c r="U103" s="61"/>
      <c r="V103" s="60"/>
      <c r="W103" s="42"/>
      <c r="X103" s="8"/>
      <c r="Y103" s="79"/>
    </row>
    <row r="104" spans="1:31">
      <c r="A104" s="198">
        <v>42606</v>
      </c>
      <c r="B104" s="57" t="s">
        <v>157</v>
      </c>
      <c r="C104" s="51" t="s">
        <v>156</v>
      </c>
      <c r="D104" s="8">
        <v>5567.87</v>
      </c>
      <c r="E104" s="8">
        <v>5552.01</v>
      </c>
      <c r="F104" s="8">
        <v>5549.57</v>
      </c>
      <c r="G104" s="8">
        <v>5544.66</v>
      </c>
      <c r="H104" s="8">
        <v>5660.88</v>
      </c>
      <c r="I104" s="8">
        <v>5575.69</v>
      </c>
      <c r="J104" s="8">
        <v>5551.27</v>
      </c>
      <c r="K104" s="8">
        <v>5573.51</v>
      </c>
      <c r="L104" s="8">
        <v>5702.67</v>
      </c>
      <c r="M104" s="80"/>
      <c r="N104" s="80"/>
      <c r="O104" s="80"/>
      <c r="P104" s="80"/>
      <c r="Q104" s="57">
        <f>IF((L105=""),"",MAX(D106:L106))</f>
        <v>2654.5200000000004</v>
      </c>
      <c r="R104" s="57">
        <f>IF(L105="","",MIN(D106:L106))</f>
        <v>2575.2600000000002</v>
      </c>
      <c r="S104" s="58">
        <f>IF((L106=""),"",AVERAGE(D106:L106))</f>
        <v>2634.3000000000006</v>
      </c>
      <c r="T104" s="57">
        <f>IF((L105=""),"",((Q104-R104)/(Q104+R104))*100)</f>
        <v>1.5155513233826321</v>
      </c>
      <c r="U104" s="56">
        <f>STDEV(D104:L104)</f>
        <v>56.13113517571356</v>
      </c>
      <c r="V104" s="55" t="str">
        <f>IF(L105="","",(IF(T104&lt;7,IF(S104&gt;2800,IF(S104&lt;3800,"Pass","Fail"),"Fail"),"Fail")))</f>
        <v>Fail</v>
      </c>
      <c r="W104" s="63">
        <v>1335</v>
      </c>
      <c r="Y104" s="79"/>
      <c r="Z104" s="53">
        <v>2800</v>
      </c>
      <c r="AA104" s="53">
        <v>3800</v>
      </c>
      <c r="AB104" s="53">
        <v>3100</v>
      </c>
      <c r="AC104" s="53">
        <v>3760</v>
      </c>
      <c r="AD104" s="52">
        <v>6</v>
      </c>
      <c r="AE104" s="52">
        <v>6</v>
      </c>
    </row>
    <row r="105" spans="1:31" ht="16.5" customHeight="1">
      <c r="A105" s="199"/>
      <c r="B105" s="48"/>
      <c r="C105" s="51" t="s">
        <v>155</v>
      </c>
      <c r="D105" s="8">
        <v>4280.24</v>
      </c>
      <c r="E105" s="8">
        <v>4227.82</v>
      </c>
      <c r="F105" s="8">
        <v>4223.7299999999996</v>
      </c>
      <c r="G105" s="8">
        <v>4217.3999999999996</v>
      </c>
      <c r="H105" s="8">
        <v>4350.1899999999996</v>
      </c>
      <c r="I105" s="8">
        <v>4257.32</v>
      </c>
      <c r="J105" s="8">
        <v>4232.5200000000004</v>
      </c>
      <c r="K105" s="8">
        <v>4251.2</v>
      </c>
      <c r="L105" s="8">
        <v>4383.3599999999997</v>
      </c>
      <c r="M105" s="80"/>
      <c r="N105" s="80"/>
      <c r="O105" s="80"/>
      <c r="P105" s="80"/>
      <c r="Q105" s="48"/>
      <c r="R105" s="48"/>
      <c r="S105" s="49"/>
      <c r="T105" s="48"/>
      <c r="U105" s="48"/>
      <c r="V105" s="47"/>
      <c r="W105" s="48"/>
      <c r="X105" s="8"/>
      <c r="Y105" s="79"/>
      <c r="Z105" s="8"/>
      <c r="AA105" s="8"/>
      <c r="AB105" s="8"/>
      <c r="AC105" s="8"/>
      <c r="AD105" s="8"/>
      <c r="AE105" s="8"/>
    </row>
    <row r="106" spans="1:31" ht="24.75" customHeight="1" thickBot="1">
      <c r="A106" s="199"/>
      <c r="B106" s="42"/>
      <c r="C106" s="45" t="s">
        <v>154</v>
      </c>
      <c r="D106" s="44">
        <f t="shared" ref="D106:L106" si="30">IF(((D104="")*AND(D105="")),"",(D104-D105)*2)</f>
        <v>2575.2600000000002</v>
      </c>
      <c r="E106" s="44">
        <f t="shared" si="30"/>
        <v>2648.380000000001</v>
      </c>
      <c r="F106" s="44">
        <f t="shared" si="30"/>
        <v>2651.6800000000003</v>
      </c>
      <c r="G106" s="44">
        <f t="shared" si="30"/>
        <v>2654.5200000000004</v>
      </c>
      <c r="H106" s="44">
        <f t="shared" si="30"/>
        <v>2621.380000000001</v>
      </c>
      <c r="I106" s="44">
        <f t="shared" si="30"/>
        <v>2636.74</v>
      </c>
      <c r="J106" s="44">
        <f t="shared" si="30"/>
        <v>2637.5</v>
      </c>
      <c r="K106" s="44">
        <f t="shared" si="30"/>
        <v>2644.6200000000008</v>
      </c>
      <c r="L106" s="44">
        <f t="shared" si="30"/>
        <v>2638.6200000000008</v>
      </c>
      <c r="M106" s="44"/>
      <c r="N106" s="44"/>
      <c r="O106" s="44"/>
      <c r="P106" s="44"/>
      <c r="Q106" s="42"/>
      <c r="R106" s="42"/>
      <c r="S106" s="43"/>
      <c r="T106" s="42"/>
      <c r="U106" s="42"/>
      <c r="V106" s="41"/>
      <c r="W106" s="42"/>
      <c r="X106" s="8"/>
      <c r="Y106" s="78"/>
      <c r="Z106" s="8"/>
      <c r="AA106" s="8"/>
      <c r="AB106" s="8"/>
      <c r="AC106" s="8"/>
      <c r="AD106" s="8"/>
      <c r="AE106" s="8"/>
    </row>
    <row r="107" spans="1:31">
      <c r="A107" s="198">
        <v>42610</v>
      </c>
      <c r="B107" s="63" t="s">
        <v>158</v>
      </c>
      <c r="C107" s="56" t="s">
        <v>156</v>
      </c>
      <c r="D107" s="8">
        <v>1917.98</v>
      </c>
      <c r="E107" s="8">
        <v>1913</v>
      </c>
      <c r="F107" s="8">
        <v>1911.46</v>
      </c>
      <c r="G107" s="8">
        <v>1911.31</v>
      </c>
      <c r="H107" s="8">
        <v>1918.09</v>
      </c>
      <c r="I107" s="8">
        <v>1915.03</v>
      </c>
      <c r="J107" s="8">
        <v>1911.82</v>
      </c>
      <c r="K107" s="8">
        <v>1915.19</v>
      </c>
      <c r="L107" s="8">
        <v>1916.31</v>
      </c>
      <c r="M107" s="80"/>
      <c r="N107" s="80"/>
      <c r="O107" s="80"/>
      <c r="P107" s="80"/>
      <c r="Q107" s="63">
        <f>IF((L108=""),"",MAX(D109:L109))</f>
        <v>2626.08</v>
      </c>
      <c r="R107" s="63">
        <f>IF(L108="","",MIN(D109:L109))</f>
        <v>2446.7199999999993</v>
      </c>
      <c r="S107" s="63">
        <f>IF((L109=""),"",AVERAGE(D109:L109))</f>
        <v>2553.2666666666664</v>
      </c>
      <c r="T107" s="63">
        <f>IF((L108=""),"",((Q107-R107)/(Q107+R107))*100)</f>
        <v>3.5357199179940193</v>
      </c>
      <c r="U107" s="51">
        <f>STDEV(D107:L107)</f>
        <v>2.6895869155300853</v>
      </c>
      <c r="V107" s="64" t="str">
        <f>IF(L108="","",(IF(T107&lt;12,IF(S107&gt;2200,IF(S107&lt;3280,"Pass","Fail"),"Fail"),"Fail")))</f>
        <v>Pass</v>
      </c>
      <c r="W107" s="63">
        <v>1400</v>
      </c>
      <c r="Y107" s="81" t="s">
        <v>213</v>
      </c>
      <c r="Z107" s="37">
        <v>2000</v>
      </c>
      <c r="AA107" s="37">
        <v>3000</v>
      </c>
      <c r="AB107" s="37">
        <v>2200</v>
      </c>
      <c r="AC107" s="37">
        <v>3280</v>
      </c>
      <c r="AD107" s="39">
        <v>12</v>
      </c>
      <c r="AE107" s="39">
        <v>12</v>
      </c>
    </row>
    <row r="108" spans="1:31" ht="16.5" customHeight="1">
      <c r="A108" s="199"/>
      <c r="B108" s="48"/>
      <c r="C108" s="51" t="s">
        <v>155</v>
      </c>
      <c r="D108" s="8">
        <v>1261.46</v>
      </c>
      <c r="E108" s="8">
        <v>1264.79</v>
      </c>
      <c r="F108" s="8">
        <v>1283.31</v>
      </c>
      <c r="G108" s="8">
        <v>1278.46</v>
      </c>
      <c r="H108" s="8">
        <v>1306.4100000000001</v>
      </c>
      <c r="I108" s="8">
        <v>1259.1199999999999</v>
      </c>
      <c r="J108" s="8">
        <v>1263.1600000000001</v>
      </c>
      <c r="K108" s="8">
        <v>1279.19</v>
      </c>
      <c r="L108" s="8">
        <v>1289.44</v>
      </c>
      <c r="M108" s="80"/>
      <c r="N108" s="80"/>
      <c r="O108" s="80"/>
      <c r="P108" s="80"/>
      <c r="Q108" s="48"/>
      <c r="R108" s="48"/>
      <c r="S108" s="48"/>
      <c r="T108" s="48"/>
      <c r="U108" s="48"/>
      <c r="V108" s="47"/>
      <c r="W108" s="48"/>
      <c r="X108" s="79"/>
    </row>
    <row r="109" spans="1:31" ht="24.75" customHeight="1" thickBot="1">
      <c r="A109" s="199"/>
      <c r="B109" s="61"/>
      <c r="C109" s="51" t="s">
        <v>154</v>
      </c>
      <c r="D109" s="24">
        <f t="shared" ref="D109:L109" si="31">IF(((D107="")*AND(D108="")),"",(D107-D108)*4)</f>
        <v>2626.08</v>
      </c>
      <c r="E109" s="24">
        <f t="shared" si="31"/>
        <v>2592.84</v>
      </c>
      <c r="F109" s="24">
        <f t="shared" si="31"/>
        <v>2512.6000000000004</v>
      </c>
      <c r="G109" s="24">
        <f t="shared" si="31"/>
        <v>2531.3999999999996</v>
      </c>
      <c r="H109" s="24">
        <f t="shared" si="31"/>
        <v>2446.7199999999993</v>
      </c>
      <c r="I109" s="24">
        <f t="shared" si="31"/>
        <v>2623.6400000000003</v>
      </c>
      <c r="J109" s="24">
        <f t="shared" si="31"/>
        <v>2594.6399999999994</v>
      </c>
      <c r="K109" s="24">
        <f t="shared" si="31"/>
        <v>2544</v>
      </c>
      <c r="L109" s="24">
        <f t="shared" si="31"/>
        <v>2507.4799999999996</v>
      </c>
      <c r="M109" s="24"/>
      <c r="N109" s="24"/>
      <c r="O109" s="24"/>
      <c r="P109" s="24" t="str">
        <f>IF(((P107="")*AND(P108="")),"",(P107-P108)*4)</f>
        <v/>
      </c>
      <c r="Q109" s="61"/>
      <c r="R109" s="61"/>
      <c r="S109" s="61"/>
      <c r="T109" s="61"/>
      <c r="U109" s="61"/>
      <c r="V109" s="41"/>
      <c r="W109" s="42"/>
      <c r="X109" s="79"/>
    </row>
    <row r="110" spans="1:31">
      <c r="A110" s="198">
        <v>42610</v>
      </c>
      <c r="B110" s="57" t="s">
        <v>157</v>
      </c>
      <c r="C110" s="51" t="s">
        <v>156</v>
      </c>
      <c r="D110" s="8">
        <v>4292.97</v>
      </c>
      <c r="E110" s="8">
        <v>4240.3999999999996</v>
      </c>
      <c r="F110" s="8">
        <v>4235.97</v>
      </c>
      <c r="G110" s="8">
        <v>4229.78</v>
      </c>
      <c r="H110" s="8">
        <v>4363.3900000000003</v>
      </c>
      <c r="I110" s="8">
        <v>4271.13</v>
      </c>
      <c r="J110" s="8">
        <v>4244.63</v>
      </c>
      <c r="K110" s="8">
        <v>4263.26</v>
      </c>
      <c r="L110" s="8">
        <v>4395.12</v>
      </c>
      <c r="M110" s="80"/>
      <c r="N110" s="80"/>
      <c r="O110" s="80"/>
      <c r="P110" s="80"/>
      <c r="Q110" s="57">
        <f>IF((L111=""),"",MAX(D112:L112))</f>
        <v>2700.2800000000007</v>
      </c>
      <c r="R110" s="57">
        <f>IF(L111="","",MIN(D112:L112))</f>
        <v>2608.6400000000003</v>
      </c>
      <c r="S110" s="58">
        <f>IF((L112=""),"",AVERAGE(D112:L112))</f>
        <v>2671.3</v>
      </c>
      <c r="T110" s="57">
        <f>IF((L111=""),"",((Q110-R110)/(Q110+R110))*100)</f>
        <v>1.7261514583003759</v>
      </c>
      <c r="U110" s="56">
        <f>STDEV(D110:L110)</f>
        <v>59.142535031887085</v>
      </c>
      <c r="V110" s="55" t="str">
        <f>IF(L111="","",(IF(T110&lt;7,IF(S110&gt;2800,IF(S110&lt;3800,"Pass","Fail"),"Fail"),"Fail")))</f>
        <v>Fail</v>
      </c>
      <c r="W110" s="63">
        <v>1400</v>
      </c>
      <c r="X110" s="240"/>
      <c r="Z110" s="53">
        <v>2800</v>
      </c>
      <c r="AA110" s="53">
        <v>3800</v>
      </c>
      <c r="AB110" s="53">
        <v>3100</v>
      </c>
      <c r="AC110" s="53">
        <v>3760</v>
      </c>
      <c r="AD110" s="52">
        <v>6</v>
      </c>
      <c r="AE110" s="52">
        <v>6</v>
      </c>
    </row>
    <row r="111" spans="1:31" ht="16.5" customHeight="1">
      <c r="A111" s="199"/>
      <c r="B111" s="48"/>
      <c r="C111" s="51" t="s">
        <v>155</v>
      </c>
      <c r="D111" s="8">
        <v>2975.51</v>
      </c>
      <c r="E111" s="8">
        <v>2892.42</v>
      </c>
      <c r="F111" s="8">
        <v>2885.83</v>
      </c>
      <c r="G111" s="8">
        <v>2883.09</v>
      </c>
      <c r="H111" s="8">
        <v>3059.07</v>
      </c>
      <c r="I111" s="8">
        <v>2946.78</v>
      </c>
      <c r="J111" s="8">
        <v>2905.2</v>
      </c>
      <c r="K111" s="8">
        <v>2919.02</v>
      </c>
      <c r="L111" s="8">
        <v>3048.88</v>
      </c>
      <c r="M111" s="80"/>
      <c r="N111" s="80"/>
      <c r="O111" s="80"/>
      <c r="P111" s="80"/>
      <c r="Q111" s="48"/>
      <c r="R111" s="48"/>
      <c r="S111" s="49"/>
      <c r="T111" s="48"/>
      <c r="U111" s="48"/>
      <c r="V111" s="47"/>
      <c r="W111" s="48"/>
      <c r="X111" s="79"/>
      <c r="Z111" s="8"/>
      <c r="AA111" s="8"/>
      <c r="AB111" s="8"/>
      <c r="AC111" s="8"/>
      <c r="AD111" s="8"/>
      <c r="AE111" s="8"/>
    </row>
    <row r="112" spans="1:31" ht="24.75" customHeight="1" thickBot="1">
      <c r="A112" s="199"/>
      <c r="B112" s="42"/>
      <c r="C112" s="45" t="s">
        <v>154</v>
      </c>
      <c r="D112" s="44">
        <f t="shared" ref="D112:L112" si="32">IF(((D110="")*AND(D111="")),"",(D110-D111)*2)</f>
        <v>2634.92</v>
      </c>
      <c r="E112" s="44">
        <f t="shared" si="32"/>
        <v>2695.9599999999991</v>
      </c>
      <c r="F112" s="44">
        <f t="shared" si="32"/>
        <v>2700.2800000000007</v>
      </c>
      <c r="G112" s="44">
        <f t="shared" si="32"/>
        <v>2693.3799999999992</v>
      </c>
      <c r="H112" s="44">
        <f t="shared" si="32"/>
        <v>2608.6400000000003</v>
      </c>
      <c r="I112" s="44">
        <f t="shared" si="32"/>
        <v>2648.7</v>
      </c>
      <c r="J112" s="44">
        <f t="shared" si="32"/>
        <v>2678.8600000000006</v>
      </c>
      <c r="K112" s="44">
        <f t="shared" si="32"/>
        <v>2688.4800000000005</v>
      </c>
      <c r="L112" s="44">
        <f t="shared" si="32"/>
        <v>2692.4799999999996</v>
      </c>
      <c r="M112" s="44"/>
      <c r="N112" s="44"/>
      <c r="O112" s="44"/>
      <c r="P112" s="44"/>
      <c r="Q112" s="42"/>
      <c r="R112" s="42"/>
      <c r="S112" s="43"/>
      <c r="T112" s="42"/>
      <c r="U112" s="48"/>
      <c r="V112" s="41"/>
      <c r="W112" s="42"/>
      <c r="X112" s="78"/>
      <c r="Z112" s="8"/>
      <c r="AA112" s="8"/>
      <c r="AB112" s="8"/>
      <c r="AC112" s="8"/>
      <c r="AD112" s="8"/>
      <c r="AE112" s="8"/>
    </row>
    <row r="113" spans="1:31">
      <c r="A113" s="198">
        <v>42614</v>
      </c>
      <c r="B113" s="63" t="s">
        <v>158</v>
      </c>
      <c r="C113" s="56" t="s">
        <v>156</v>
      </c>
      <c r="D113" s="8">
        <v>1913.08</v>
      </c>
      <c r="E113" s="8">
        <v>1905.21</v>
      </c>
      <c r="F113" s="8">
        <v>1894.67</v>
      </c>
      <c r="G113" s="8">
        <v>1901.48</v>
      </c>
      <c r="H113" s="8">
        <v>1916.61</v>
      </c>
      <c r="I113" s="8">
        <v>1908.91</v>
      </c>
      <c r="J113" s="8">
        <v>1903.63</v>
      </c>
      <c r="K113" s="8">
        <v>1905.25</v>
      </c>
      <c r="L113" s="8">
        <v>1914.37</v>
      </c>
      <c r="M113" s="80"/>
      <c r="N113" s="80"/>
      <c r="O113" s="80"/>
      <c r="P113" s="80"/>
      <c r="Q113" s="63">
        <f>IF((L114=""),"",MAX(D115:L115))</f>
        <v>2702.88</v>
      </c>
      <c r="R113" s="63">
        <f>IF(L114="","",MIN(D115:L115))</f>
        <v>2526.5200000000004</v>
      </c>
      <c r="S113" s="63">
        <f>IF((L115=""),"",AVERAGE(D115:L115))</f>
        <v>2596.1466666666665</v>
      </c>
      <c r="T113" s="63">
        <f>IF((L114=""),"",((Q113-R113)/(Q113+R113))*100)</f>
        <v>3.3724710291811615</v>
      </c>
      <c r="U113" s="51">
        <f>STDEV(D113:L113)</f>
        <v>6.9588199430972333</v>
      </c>
      <c r="V113" s="64" t="str">
        <f>IF(L114="","",(IF(T113&lt;12,IF(S113&gt;2200,IF(S113&lt;3280,"Pass","Fail"),"Fail"),"Fail")))</f>
        <v>Pass</v>
      </c>
      <c r="W113" s="63">
        <v>1159</v>
      </c>
      <c r="X113" s="241" t="s">
        <v>272</v>
      </c>
      <c r="Y113" s="37" t="s">
        <v>273</v>
      </c>
      <c r="Z113" s="37">
        <v>2000</v>
      </c>
      <c r="AA113" s="37">
        <v>3000</v>
      </c>
      <c r="AB113" s="37">
        <v>2200</v>
      </c>
      <c r="AC113" s="37">
        <v>3280</v>
      </c>
      <c r="AD113" s="39">
        <v>12</v>
      </c>
      <c r="AE113" s="39">
        <v>12</v>
      </c>
    </row>
    <row r="114" spans="1:31" ht="16.5" customHeight="1">
      <c r="A114" s="199"/>
      <c r="B114" s="48"/>
      <c r="C114" s="51" t="s">
        <v>155</v>
      </c>
      <c r="D114" s="8">
        <v>1241.29</v>
      </c>
      <c r="E114" s="8">
        <v>1254.49</v>
      </c>
      <c r="F114" s="8">
        <v>1263.04</v>
      </c>
      <c r="G114" s="8">
        <v>1266.25</v>
      </c>
      <c r="H114" s="8">
        <v>1277.1500000000001</v>
      </c>
      <c r="I114" s="8">
        <v>1233.19</v>
      </c>
      <c r="J114" s="8">
        <v>1249.42</v>
      </c>
      <c r="K114" s="8">
        <v>1267.8399999999999</v>
      </c>
      <c r="L114" s="8">
        <v>1269.21</v>
      </c>
      <c r="M114" s="80"/>
      <c r="N114" s="80"/>
      <c r="O114" s="80"/>
      <c r="P114" s="80"/>
      <c r="Q114" s="48"/>
      <c r="R114" s="48"/>
      <c r="S114" s="48"/>
      <c r="T114" s="48"/>
      <c r="U114" s="48"/>
      <c r="V114" s="47"/>
      <c r="W114" s="48"/>
      <c r="X114" s="79"/>
    </row>
    <row r="115" spans="1:31" ht="24.75" customHeight="1" thickBot="1">
      <c r="A115" s="199"/>
      <c r="B115" s="61"/>
      <c r="C115" s="51" t="s">
        <v>154</v>
      </c>
      <c r="D115" s="24">
        <f t="shared" ref="D115:L115" si="33">IF(((D113="")*AND(D114="")),"",(D113-D114)*4)</f>
        <v>2687.16</v>
      </c>
      <c r="E115" s="24">
        <f t="shared" si="33"/>
        <v>2602.88</v>
      </c>
      <c r="F115" s="24">
        <f t="shared" si="33"/>
        <v>2526.5200000000004</v>
      </c>
      <c r="G115" s="24">
        <f t="shared" si="33"/>
        <v>2540.92</v>
      </c>
      <c r="H115" s="24">
        <f t="shared" si="33"/>
        <v>2557.8399999999992</v>
      </c>
      <c r="I115" s="24">
        <f t="shared" si="33"/>
        <v>2702.88</v>
      </c>
      <c r="J115" s="24">
        <f t="shared" si="33"/>
        <v>2616.84</v>
      </c>
      <c r="K115" s="24">
        <f t="shared" si="33"/>
        <v>2549.6400000000003</v>
      </c>
      <c r="L115" s="24">
        <f t="shared" si="33"/>
        <v>2580.6399999999994</v>
      </c>
      <c r="M115" s="24"/>
      <c r="N115" s="24"/>
      <c r="O115" s="24"/>
      <c r="P115" s="24" t="str">
        <f>IF(((P113="")*AND(P114="")),"",(P113-P114)*4)</f>
        <v/>
      </c>
      <c r="Q115" s="61"/>
      <c r="R115" s="61"/>
      <c r="S115" s="61"/>
      <c r="T115" s="61"/>
      <c r="U115" s="61"/>
      <c r="V115" s="60"/>
      <c r="W115" s="42"/>
      <c r="X115" s="79"/>
    </row>
    <row r="116" spans="1:31">
      <c r="A116" s="198">
        <v>42614</v>
      </c>
      <c r="B116" s="57" t="s">
        <v>157</v>
      </c>
      <c r="C116" s="51" t="s">
        <v>156</v>
      </c>
      <c r="D116" s="8">
        <v>6730.52</v>
      </c>
      <c r="E116" s="8">
        <v>6760.3</v>
      </c>
      <c r="F116" s="8">
        <v>6773.73</v>
      </c>
      <c r="G116" s="8">
        <v>6759.74</v>
      </c>
      <c r="H116" s="8">
        <v>6795.38</v>
      </c>
      <c r="I116" s="8">
        <v>6789.21</v>
      </c>
      <c r="J116" s="8">
        <v>6762.48</v>
      </c>
      <c r="K116" s="8">
        <v>6781.24</v>
      </c>
      <c r="L116" s="8">
        <v>6868.37</v>
      </c>
      <c r="M116" s="80"/>
      <c r="N116" s="80"/>
      <c r="O116" s="80"/>
      <c r="P116" s="80"/>
      <c r="Q116" s="57">
        <f>IF((L117=""),"",MAX(D118:L118))</f>
        <v>3284.619999999999</v>
      </c>
      <c r="R116" s="57">
        <f>IF(L117="","",MIN(D118:L118))</f>
        <v>3215.6400000000012</v>
      </c>
      <c r="S116" s="58">
        <f>IF((L118=""),"",AVERAGE(D118:L118))</f>
        <v>3260.1622222222218</v>
      </c>
      <c r="T116" s="57">
        <f>IF((L117=""),"",((Q116-R116)/(Q116+R116))*100)</f>
        <v>1.0611883216978666</v>
      </c>
      <c r="U116" s="56">
        <f>STDEV(D116:L116)</f>
        <v>38.283726561584736</v>
      </c>
      <c r="V116" s="55" t="str">
        <f>IF(L117="","",(IF(T116&lt;7,IF(S116&gt;2800,IF(S116&lt;3800,"Pass","Fail"),"Fail"),"Fail")))</f>
        <v>Pass</v>
      </c>
      <c r="W116" s="91">
        <v>1159</v>
      </c>
      <c r="X116" s="241" t="s">
        <v>272</v>
      </c>
      <c r="Z116" s="53">
        <v>2800</v>
      </c>
      <c r="AA116" s="53">
        <v>3800</v>
      </c>
      <c r="AB116" s="53">
        <v>3100</v>
      </c>
      <c r="AC116" s="53">
        <v>3760</v>
      </c>
      <c r="AD116" s="52">
        <v>6</v>
      </c>
      <c r="AE116" s="52">
        <v>6</v>
      </c>
    </row>
    <row r="117" spans="1:31" ht="16.5" customHeight="1">
      <c r="A117" s="199"/>
      <c r="B117" s="48"/>
      <c r="C117" s="51" t="s">
        <v>155</v>
      </c>
      <c r="D117" s="8">
        <v>5122.7</v>
      </c>
      <c r="E117" s="8">
        <v>5121.71</v>
      </c>
      <c r="F117" s="8">
        <v>5140.04</v>
      </c>
      <c r="G117" s="8">
        <v>5128.47</v>
      </c>
      <c r="H117" s="8">
        <v>5174.72</v>
      </c>
      <c r="I117" s="8">
        <v>5161.5600000000004</v>
      </c>
      <c r="J117" s="8">
        <v>5131.79</v>
      </c>
      <c r="K117" s="8">
        <v>5143.1899999999996</v>
      </c>
      <c r="L117" s="8">
        <v>5226.0600000000004</v>
      </c>
      <c r="M117" s="80"/>
      <c r="N117" s="80"/>
      <c r="O117" s="80"/>
      <c r="P117" s="80"/>
      <c r="Q117" s="48"/>
      <c r="R117" s="48"/>
      <c r="S117" s="49"/>
      <c r="T117" s="48"/>
      <c r="U117" s="48"/>
      <c r="V117" s="47"/>
      <c r="W117" s="90"/>
      <c r="X117" s="79"/>
      <c r="Z117" s="8"/>
      <c r="AA117" s="8"/>
      <c r="AB117" s="8"/>
      <c r="AC117" s="8"/>
      <c r="AD117" s="8"/>
      <c r="AE117" s="8"/>
    </row>
    <row r="118" spans="1:31" ht="24.75" customHeight="1" thickBot="1">
      <c r="A118" s="199"/>
      <c r="B118" s="42"/>
      <c r="C118" s="45" t="s">
        <v>154</v>
      </c>
      <c r="D118" s="44">
        <f t="shared" ref="D118:L118" si="34">IF(((D116="")*AND(D117="")),"",(D116-D117)*2)</f>
        <v>3215.6400000000012</v>
      </c>
      <c r="E118" s="44">
        <f t="shared" si="34"/>
        <v>3277.1800000000003</v>
      </c>
      <c r="F118" s="44">
        <f t="shared" si="34"/>
        <v>3267.3799999999992</v>
      </c>
      <c r="G118" s="44">
        <f t="shared" si="34"/>
        <v>3262.5399999999991</v>
      </c>
      <c r="H118" s="44">
        <f t="shared" si="34"/>
        <v>3241.3199999999997</v>
      </c>
      <c r="I118" s="44">
        <f t="shared" si="34"/>
        <v>3255.2999999999993</v>
      </c>
      <c r="J118" s="44">
        <f t="shared" si="34"/>
        <v>3261.3799999999992</v>
      </c>
      <c r="K118" s="44">
        <f t="shared" si="34"/>
        <v>3276.1000000000004</v>
      </c>
      <c r="L118" s="44">
        <f t="shared" si="34"/>
        <v>3284.619999999999</v>
      </c>
      <c r="M118" s="44"/>
      <c r="N118" s="44"/>
      <c r="O118" s="44"/>
      <c r="P118" s="44"/>
      <c r="Q118" s="42"/>
      <c r="R118" s="42"/>
      <c r="S118" s="43"/>
      <c r="T118" s="42"/>
      <c r="U118" s="42"/>
      <c r="V118" s="41"/>
      <c r="W118" s="89"/>
      <c r="X118" s="78"/>
      <c r="Z118" s="8"/>
      <c r="AA118" s="8"/>
      <c r="AB118" s="8"/>
      <c r="AC118" s="8"/>
      <c r="AD118" s="8"/>
      <c r="AE118" s="8"/>
    </row>
    <row r="119" spans="1:31">
      <c r="A119" s="198">
        <v>42624</v>
      </c>
      <c r="B119" s="63" t="s">
        <v>158</v>
      </c>
      <c r="C119" s="56" t="s">
        <v>156</v>
      </c>
      <c r="D119" s="8">
        <v>1956.76</v>
      </c>
      <c r="E119" s="8">
        <v>1946.8</v>
      </c>
      <c r="F119" s="8">
        <v>1950.33</v>
      </c>
      <c r="G119" s="8">
        <v>1947.74</v>
      </c>
      <c r="H119" s="8">
        <v>1958.21</v>
      </c>
      <c r="I119" s="8">
        <v>1955.46</v>
      </c>
      <c r="J119" s="8">
        <v>1948.03</v>
      </c>
      <c r="K119" s="8">
        <v>1947.62</v>
      </c>
      <c r="L119" s="8">
        <v>1956.65</v>
      </c>
      <c r="M119" s="80"/>
      <c r="N119" s="80"/>
      <c r="O119" s="80"/>
      <c r="P119" s="80"/>
      <c r="Q119" s="63">
        <f>IF((L120=""),"",MAX(D121:L121))</f>
        <v>2733.5199999999995</v>
      </c>
      <c r="R119" s="63">
        <f>IF(L120="","",MIN(D121:L121))</f>
        <v>2554.5600000000004</v>
      </c>
      <c r="S119" s="63">
        <f>IF((L121=""),"",AVERAGE(D121:L121))</f>
        <v>2670.5111111111109</v>
      </c>
      <c r="T119" s="63">
        <f>IF((L120=""),"",((Q119-R119)/(Q119+R119))*100)</f>
        <v>3.3842150648250238</v>
      </c>
      <c r="U119" s="51">
        <f>STDEV(D119:L119)</f>
        <v>4.7132767557859054</v>
      </c>
      <c r="V119" s="64" t="str">
        <f>IF(L120="","",(IF(T119&lt;12,IF(S119&gt;2200,IF(S119&lt;3280,"Pass","Fail"),"Fail"),"Fail")))</f>
        <v>Pass</v>
      </c>
      <c r="W119" s="57">
        <v>1159</v>
      </c>
      <c r="X119" s="241" t="s">
        <v>276</v>
      </c>
      <c r="Y119" s="37" t="s">
        <v>273</v>
      </c>
      <c r="Z119" s="37">
        <v>2000</v>
      </c>
      <c r="AA119" s="37">
        <v>3000</v>
      </c>
      <c r="AB119" s="37">
        <v>2200</v>
      </c>
      <c r="AC119" s="37">
        <v>3280</v>
      </c>
      <c r="AD119" s="39">
        <v>12</v>
      </c>
      <c r="AE119" s="39">
        <v>12</v>
      </c>
    </row>
    <row r="120" spans="1:31" ht="16.5" customHeight="1">
      <c r="A120" s="199"/>
      <c r="B120" s="48"/>
      <c r="C120" s="51" t="s">
        <v>155</v>
      </c>
      <c r="D120" s="8">
        <v>1273.49</v>
      </c>
      <c r="E120" s="8">
        <v>1263.93</v>
      </c>
      <c r="F120" s="8">
        <v>1296.81</v>
      </c>
      <c r="G120" s="8">
        <v>1283.21</v>
      </c>
      <c r="H120" s="8">
        <v>1319.57</v>
      </c>
      <c r="I120" s="8">
        <v>1272.1500000000001</v>
      </c>
      <c r="J120" s="8">
        <v>1264.6500000000001</v>
      </c>
      <c r="K120" s="8">
        <v>1282.3699999999999</v>
      </c>
      <c r="L120" s="8">
        <v>1302.77</v>
      </c>
      <c r="M120" s="80"/>
      <c r="N120" s="80"/>
      <c r="O120" s="80"/>
      <c r="P120" s="80"/>
      <c r="Q120" s="48"/>
      <c r="R120" s="48"/>
      <c r="S120" s="48"/>
      <c r="T120" s="48"/>
      <c r="U120" s="48"/>
      <c r="V120" s="47"/>
      <c r="W120" s="48"/>
      <c r="X120" s="79"/>
    </row>
    <row r="121" spans="1:31" ht="24.75" customHeight="1" thickBot="1">
      <c r="A121" s="199"/>
      <c r="B121" s="61"/>
      <c r="C121" s="51" t="s">
        <v>154</v>
      </c>
      <c r="D121" s="24">
        <f t="shared" ref="D121:L121" si="35">IF(((D119="")*AND(D120="")),"",(D119-D120)*4)</f>
        <v>2733.08</v>
      </c>
      <c r="E121" s="24">
        <f t="shared" si="35"/>
        <v>2731.4799999999996</v>
      </c>
      <c r="F121" s="24">
        <f t="shared" si="35"/>
        <v>2614.08</v>
      </c>
      <c r="G121" s="24">
        <f t="shared" si="35"/>
        <v>2658.12</v>
      </c>
      <c r="H121" s="24">
        <f t="shared" si="35"/>
        <v>2554.5600000000004</v>
      </c>
      <c r="I121" s="24">
        <f t="shared" si="35"/>
        <v>2733.24</v>
      </c>
      <c r="J121" s="24">
        <f t="shared" si="35"/>
        <v>2733.5199999999995</v>
      </c>
      <c r="K121" s="24">
        <f t="shared" si="35"/>
        <v>2661</v>
      </c>
      <c r="L121" s="24">
        <f t="shared" si="35"/>
        <v>2615.5200000000004</v>
      </c>
      <c r="M121" s="24"/>
      <c r="N121" s="24"/>
      <c r="O121" s="24"/>
      <c r="P121" s="24" t="str">
        <f>IF(((P119="")*AND(P120="")),"",(P119-P120)*4)</f>
        <v/>
      </c>
      <c r="Q121" s="61"/>
      <c r="R121" s="61"/>
      <c r="S121" s="61"/>
      <c r="T121" s="61"/>
      <c r="U121" s="61"/>
      <c r="V121" s="60"/>
      <c r="W121" s="42"/>
      <c r="X121" s="79"/>
    </row>
    <row r="122" spans="1:31">
      <c r="A122" s="198">
        <v>42624</v>
      </c>
      <c r="B122" s="57" t="s">
        <v>157</v>
      </c>
      <c r="C122" s="51" t="s">
        <v>156</v>
      </c>
      <c r="D122" s="8">
        <v>6850.8</v>
      </c>
      <c r="E122" s="8">
        <v>6880.28</v>
      </c>
      <c r="F122" s="8">
        <v>6893.19</v>
      </c>
      <c r="G122" s="8">
        <v>6881.22</v>
      </c>
      <c r="H122" s="8">
        <v>6919.22</v>
      </c>
      <c r="I122" s="8">
        <v>6908.81</v>
      </c>
      <c r="J122" s="8">
        <v>6882.86</v>
      </c>
      <c r="K122" s="8">
        <v>6900.4</v>
      </c>
      <c r="L122" s="8">
        <v>6971.33</v>
      </c>
      <c r="M122" s="80"/>
      <c r="N122" s="80"/>
      <c r="O122" s="80"/>
      <c r="P122" s="80"/>
      <c r="Q122" s="57">
        <f>IF((L123=""),"",MAX(D124:L124))</f>
        <v>3291.3199999999997</v>
      </c>
      <c r="R122" s="57">
        <f>IF(L123="","",MIN(D124:L124))</f>
        <v>3239.92</v>
      </c>
      <c r="S122" s="58">
        <f>IF((L124=""),"",AVERAGE(D124:L124))</f>
        <v>3269.8533333333335</v>
      </c>
      <c r="T122" s="57">
        <f>IF((L123=""),"",((Q122-R122)/(Q122+R122))*100)</f>
        <v>0.78698685088895282</v>
      </c>
      <c r="U122" s="56">
        <f>STDEV(D122:L122)</f>
        <v>33.581631677275361</v>
      </c>
      <c r="V122" s="55" t="str">
        <f>IF(L123="","",(IF(T122&lt;7,IF(S122&gt;2800,IF(S122&lt;3800,"Pass","Fail"),"Fail"),"Fail")))</f>
        <v>Pass</v>
      </c>
      <c r="W122" s="91">
        <v>1159</v>
      </c>
      <c r="X122" s="241" t="s">
        <v>276</v>
      </c>
      <c r="Z122" s="53">
        <v>2800</v>
      </c>
      <c r="AA122" s="53">
        <v>3800</v>
      </c>
      <c r="AB122" s="53">
        <v>3100</v>
      </c>
      <c r="AC122" s="53">
        <v>3760</v>
      </c>
      <c r="AD122" s="52">
        <v>6</v>
      </c>
      <c r="AE122" s="52">
        <v>6</v>
      </c>
    </row>
    <row r="123" spans="1:31" ht="16.5" customHeight="1">
      <c r="A123" s="199"/>
      <c r="B123" s="48"/>
      <c r="C123" s="51" t="s">
        <v>155</v>
      </c>
      <c r="D123" s="8">
        <v>5230.84</v>
      </c>
      <c r="E123" s="8">
        <v>5234.62</v>
      </c>
      <c r="F123" s="8">
        <v>5251.87</v>
      </c>
      <c r="G123" s="8">
        <v>5242.29</v>
      </c>
      <c r="H123" s="8">
        <v>5298.06</v>
      </c>
      <c r="I123" s="8">
        <v>5278.85</v>
      </c>
      <c r="J123" s="8">
        <v>5244.81</v>
      </c>
      <c r="K123" s="8">
        <v>5255.39</v>
      </c>
      <c r="L123" s="8">
        <v>5337.04</v>
      </c>
      <c r="M123" s="80"/>
      <c r="N123" s="80"/>
      <c r="O123" s="80"/>
      <c r="P123" s="80"/>
      <c r="Q123" s="48"/>
      <c r="R123" s="48"/>
      <c r="S123" s="49"/>
      <c r="T123" s="48"/>
      <c r="U123" s="48"/>
      <c r="V123" s="47"/>
      <c r="W123" s="90"/>
      <c r="X123" s="79"/>
    </row>
    <row r="124" spans="1:31" ht="24.75" customHeight="1" thickBot="1">
      <c r="A124" s="199"/>
      <c r="B124" s="42"/>
      <c r="C124" s="45" t="s">
        <v>154</v>
      </c>
      <c r="D124" s="44">
        <f t="shared" ref="D124:L124" si="36">IF(((D122="")*AND(D123="")),"",(D122-D123)*2)</f>
        <v>3239.92</v>
      </c>
      <c r="E124" s="44">
        <f t="shared" si="36"/>
        <v>3291.3199999999997</v>
      </c>
      <c r="F124" s="44">
        <f t="shared" si="36"/>
        <v>3282.6399999999994</v>
      </c>
      <c r="G124" s="44">
        <f t="shared" si="36"/>
        <v>3277.8600000000006</v>
      </c>
      <c r="H124" s="44">
        <f t="shared" si="36"/>
        <v>3242.3199999999997</v>
      </c>
      <c r="I124" s="44">
        <f t="shared" si="36"/>
        <v>3259.92</v>
      </c>
      <c r="J124" s="44">
        <f t="shared" si="36"/>
        <v>3276.0999999999985</v>
      </c>
      <c r="K124" s="44">
        <f t="shared" si="36"/>
        <v>3290.0199999999986</v>
      </c>
      <c r="L124" s="44">
        <f t="shared" si="36"/>
        <v>3268.58</v>
      </c>
      <c r="M124" s="44"/>
      <c r="N124" s="44"/>
      <c r="O124" s="44"/>
      <c r="P124" s="44"/>
      <c r="Q124" s="42"/>
      <c r="R124" s="42"/>
      <c r="S124" s="43"/>
      <c r="T124" s="42"/>
      <c r="U124" s="42"/>
      <c r="V124" s="41"/>
      <c r="W124" s="89"/>
      <c r="X124" s="78"/>
    </row>
    <row r="125" spans="1:31">
      <c r="A125" s="198">
        <v>42628</v>
      </c>
      <c r="B125" s="63" t="s">
        <v>158</v>
      </c>
      <c r="C125" s="56" t="s">
        <v>156</v>
      </c>
      <c r="D125" s="8">
        <v>1278.1600000000001</v>
      </c>
      <c r="E125" s="8">
        <v>1265.21</v>
      </c>
      <c r="F125" s="8">
        <v>1297.72</v>
      </c>
      <c r="G125" s="8">
        <v>1285.1300000000001</v>
      </c>
      <c r="H125" s="8">
        <v>1322.54</v>
      </c>
      <c r="I125" s="8">
        <v>1273.95</v>
      </c>
      <c r="J125" s="8">
        <v>1267.75</v>
      </c>
      <c r="K125" s="8">
        <v>1283.07</v>
      </c>
      <c r="L125" s="8">
        <v>1305.1400000000001</v>
      </c>
      <c r="M125" s="80"/>
      <c r="N125" s="80"/>
      <c r="O125" s="80"/>
      <c r="P125" s="80"/>
      <c r="Q125" s="63">
        <f>IF((L126=""),"",MAX(D127:L127))</f>
        <v>2581.4000000000005</v>
      </c>
      <c r="R125" s="63">
        <f>IF(L126="","",MIN(D127:L127))</f>
        <v>2437.3999999999996</v>
      </c>
      <c r="S125" s="63">
        <f>IF((L127=""),"",AVERAGE(D127:L127))</f>
        <v>2522.8844444444449</v>
      </c>
      <c r="T125" s="63">
        <f>IF((L126=""),"",((Q125-R125)/(Q125+R125))*100)</f>
        <v>2.8692117637682495</v>
      </c>
      <c r="U125" s="51">
        <f>STDEV(D125:L125)</f>
        <v>18.767468159337358</v>
      </c>
      <c r="V125" s="64" t="str">
        <f>IF(L126="","",(IF(T125&lt;12,IF(S125&gt;2200,IF(S125&lt;3280,"Pass","Fail"),"Fail"),"Fail")))</f>
        <v>Pass</v>
      </c>
      <c r="W125" s="57">
        <v>1428</v>
      </c>
      <c r="X125" s="241"/>
      <c r="Z125" s="37">
        <v>2000</v>
      </c>
      <c r="AA125" s="37">
        <v>3000</v>
      </c>
      <c r="AB125" s="37">
        <v>2200</v>
      </c>
      <c r="AC125" s="37">
        <v>3280</v>
      </c>
      <c r="AD125" s="39">
        <v>12</v>
      </c>
      <c r="AE125" s="39">
        <v>12</v>
      </c>
    </row>
    <row r="126" spans="1:31" ht="16.5" customHeight="1">
      <c r="A126" s="199"/>
      <c r="B126" s="48"/>
      <c r="C126" s="51" t="s">
        <v>155</v>
      </c>
      <c r="D126" s="8">
        <v>632.80999999999995</v>
      </c>
      <c r="E126" s="8">
        <v>624.05999999999995</v>
      </c>
      <c r="F126" s="8">
        <v>678.6</v>
      </c>
      <c r="G126" s="8">
        <v>656.87</v>
      </c>
      <c r="H126" s="8">
        <v>713.19</v>
      </c>
      <c r="I126" s="8">
        <v>630.37</v>
      </c>
      <c r="J126" s="8">
        <v>623.07000000000005</v>
      </c>
      <c r="K126" s="8">
        <v>656.7</v>
      </c>
      <c r="L126" s="8">
        <v>686.51</v>
      </c>
      <c r="M126" s="80"/>
      <c r="N126" s="80"/>
      <c r="O126" s="80"/>
      <c r="P126" s="80"/>
      <c r="Q126" s="48"/>
      <c r="R126" s="48"/>
      <c r="S126" s="48"/>
      <c r="T126" s="48"/>
      <c r="U126" s="48"/>
      <c r="V126" s="47"/>
      <c r="W126" s="48"/>
      <c r="X126" s="79"/>
    </row>
    <row r="127" spans="1:31" ht="24.75" customHeight="1" thickBot="1">
      <c r="A127" s="199"/>
      <c r="B127" s="42"/>
      <c r="C127" s="51" t="s">
        <v>154</v>
      </c>
      <c r="D127" s="24">
        <f t="shared" ref="D127:L127" si="37">IF(((D125="")*AND(D126="")),"",(D125-D126)*4)</f>
        <v>2581.4000000000005</v>
      </c>
      <c r="E127" s="24">
        <f t="shared" si="37"/>
        <v>2564.6000000000004</v>
      </c>
      <c r="F127" s="24">
        <f t="shared" si="37"/>
        <v>2476.48</v>
      </c>
      <c r="G127" s="24">
        <f t="shared" si="37"/>
        <v>2513.0400000000004</v>
      </c>
      <c r="H127" s="24">
        <f t="shared" si="37"/>
        <v>2437.3999999999996</v>
      </c>
      <c r="I127" s="24">
        <f t="shared" si="37"/>
        <v>2574.3200000000002</v>
      </c>
      <c r="J127" s="24">
        <f t="shared" si="37"/>
        <v>2578.7199999999998</v>
      </c>
      <c r="K127" s="24">
        <f t="shared" si="37"/>
        <v>2505.4799999999996</v>
      </c>
      <c r="L127" s="24">
        <f t="shared" si="37"/>
        <v>2474.5200000000004</v>
      </c>
      <c r="M127" s="24"/>
      <c r="N127" s="24"/>
      <c r="O127" s="24"/>
      <c r="P127" s="24" t="str">
        <f>IF(((P125="")*AND(P126="")),"",(P125-P126)*4)</f>
        <v/>
      </c>
      <c r="Q127" s="42"/>
      <c r="R127" s="42"/>
      <c r="S127" s="61"/>
      <c r="T127" s="61"/>
      <c r="U127" s="61"/>
      <c r="V127" s="41"/>
      <c r="W127" s="42"/>
      <c r="X127" s="78"/>
    </row>
    <row r="128" spans="1:31">
      <c r="A128" s="198">
        <v>42633</v>
      </c>
      <c r="B128" s="63" t="s">
        <v>158</v>
      </c>
      <c r="C128" s="56" t="s">
        <v>156</v>
      </c>
      <c r="D128" s="8">
        <v>1925.62</v>
      </c>
      <c r="E128" s="8">
        <v>1920.03</v>
      </c>
      <c r="F128" s="8">
        <v>1910.5</v>
      </c>
      <c r="G128" s="8">
        <v>1919.08</v>
      </c>
      <c r="H128" s="8">
        <v>1927.12</v>
      </c>
      <c r="I128" s="8">
        <v>1920.45</v>
      </c>
      <c r="J128" s="8">
        <v>1921.76</v>
      </c>
      <c r="K128" s="8">
        <v>1921.65</v>
      </c>
      <c r="L128" s="8">
        <v>1928.67</v>
      </c>
      <c r="M128" s="80"/>
      <c r="N128" s="80"/>
      <c r="O128" s="80"/>
      <c r="P128" s="80"/>
      <c r="Q128" s="63">
        <f>IF((L129=""),"",MAX(D130:L130))</f>
        <v>2617.16</v>
      </c>
      <c r="R128" s="63">
        <f>IF(L129="","",MIN(D130:L130))</f>
        <v>2363.4399999999996</v>
      </c>
      <c r="S128" s="63">
        <f>IF((L130=""),"",AVERAGE(D130:L130))</f>
        <v>2528.0177777777776</v>
      </c>
      <c r="T128" s="63">
        <f>IF((L129=""),"",((Q128-R128)/(Q128+R128))*100)</f>
        <v>5.0941653616030251</v>
      </c>
      <c r="U128" s="51">
        <f>STDEV(D128:L128)</f>
        <v>5.3615063182126992</v>
      </c>
      <c r="V128" s="64" t="str">
        <f>IF(L129="","",(IF(T128&lt;12,IF(S128&gt;2200,IF(S128&lt;3280,"Pass","Fail"),"Fail"),"Fail")))</f>
        <v>Pass</v>
      </c>
      <c r="W128" s="63">
        <v>1159</v>
      </c>
      <c r="X128" s="241" t="s">
        <v>212</v>
      </c>
      <c r="Z128" s="37">
        <v>2000</v>
      </c>
      <c r="AA128" s="37">
        <v>3000</v>
      </c>
      <c r="AB128" s="37">
        <v>2200</v>
      </c>
      <c r="AC128" s="37">
        <v>3280</v>
      </c>
      <c r="AD128" s="39">
        <v>12</v>
      </c>
      <c r="AE128" s="39">
        <v>12</v>
      </c>
    </row>
    <row r="129" spans="1:31" ht="16.5" customHeight="1">
      <c r="A129" s="199"/>
      <c r="B129" s="48"/>
      <c r="C129" s="51" t="s">
        <v>155</v>
      </c>
      <c r="D129" s="8">
        <v>1288.1600000000001</v>
      </c>
      <c r="E129" s="8">
        <v>1266.43</v>
      </c>
      <c r="F129" s="8">
        <v>1286.24</v>
      </c>
      <c r="G129" s="8">
        <v>1285.27</v>
      </c>
      <c r="H129" s="8">
        <v>1336.26</v>
      </c>
      <c r="I129" s="8">
        <v>1275.6600000000001</v>
      </c>
      <c r="J129" s="8">
        <v>1267.47</v>
      </c>
      <c r="K129" s="8">
        <v>1284.19</v>
      </c>
      <c r="L129" s="8">
        <v>1317.16</v>
      </c>
      <c r="M129" s="80"/>
      <c r="N129" s="80"/>
      <c r="O129" s="80"/>
      <c r="P129" s="80"/>
      <c r="Q129" s="48"/>
      <c r="R129" s="48"/>
      <c r="S129" s="48"/>
      <c r="T129" s="48"/>
      <c r="U129" s="48"/>
      <c r="V129" s="47"/>
      <c r="W129" s="48"/>
      <c r="X129" s="79"/>
    </row>
    <row r="130" spans="1:31" ht="24.75" customHeight="1" thickBot="1">
      <c r="A130" s="199"/>
      <c r="B130" s="61"/>
      <c r="C130" s="51" t="s">
        <v>154</v>
      </c>
      <c r="D130" s="24">
        <f t="shared" ref="D130:L130" si="38">IF(((D128="")*AND(D129="")),"",(D128-D129)*4)</f>
        <v>2549.8399999999992</v>
      </c>
      <c r="E130" s="24">
        <f t="shared" si="38"/>
        <v>2614.3999999999996</v>
      </c>
      <c r="F130" s="24">
        <f t="shared" si="38"/>
        <v>2497.04</v>
      </c>
      <c r="G130" s="24">
        <f t="shared" si="38"/>
        <v>2535.2399999999998</v>
      </c>
      <c r="H130" s="24">
        <f t="shared" si="38"/>
        <v>2363.4399999999996</v>
      </c>
      <c r="I130" s="24">
        <f t="shared" si="38"/>
        <v>2579.16</v>
      </c>
      <c r="J130" s="24">
        <f t="shared" si="38"/>
        <v>2617.16</v>
      </c>
      <c r="K130" s="24">
        <f t="shared" si="38"/>
        <v>2549.84</v>
      </c>
      <c r="L130" s="24">
        <f t="shared" si="38"/>
        <v>2446.04</v>
      </c>
      <c r="M130" s="24"/>
      <c r="N130" s="24"/>
      <c r="O130" s="24"/>
      <c r="P130" s="24" t="str">
        <f>IF(((P128="")*AND(P129="")),"",(P128-P129)*4)</f>
        <v/>
      </c>
      <c r="Q130" s="61"/>
      <c r="R130" s="61"/>
      <c r="S130" s="61"/>
      <c r="T130" s="61"/>
      <c r="U130" s="61"/>
      <c r="V130" s="60"/>
      <c r="W130" s="42"/>
      <c r="X130" s="79"/>
    </row>
    <row r="131" spans="1:31">
      <c r="A131" s="198">
        <v>42633</v>
      </c>
      <c r="B131" s="57" t="s">
        <v>157</v>
      </c>
      <c r="C131" s="51" t="s">
        <v>156</v>
      </c>
      <c r="D131" s="8">
        <v>6852.37</v>
      </c>
      <c r="E131" s="8">
        <v>6880.23</v>
      </c>
      <c r="F131" s="8">
        <v>6892.08</v>
      </c>
      <c r="G131" s="8">
        <v>6878.18</v>
      </c>
      <c r="H131" s="8">
        <v>6910.91</v>
      </c>
      <c r="I131" s="8">
        <v>6904.05</v>
      </c>
      <c r="J131" s="8">
        <v>6880.68</v>
      </c>
      <c r="K131" s="8">
        <v>6897.97</v>
      </c>
      <c r="L131" s="8">
        <v>6976.26</v>
      </c>
      <c r="M131" s="80"/>
      <c r="N131" s="80"/>
      <c r="O131" s="80"/>
      <c r="P131" s="80"/>
      <c r="Q131" s="57">
        <f>IF((L132=""),"",MAX(D133:L133))</f>
        <v>3312.9800000000014</v>
      </c>
      <c r="R131" s="57">
        <f>IF(L132="","",MIN(D133:L133))</f>
        <v>3165.5399999999991</v>
      </c>
      <c r="S131" s="58">
        <f>IF((L133=""),"",AVERAGE(D133:L133))</f>
        <v>3242.74</v>
      </c>
      <c r="T131" s="57">
        <f>IF((L132=""),"",((Q131-R131)/(Q131+R131))*100)</f>
        <v>2.2758284299500864</v>
      </c>
      <c r="U131" s="56">
        <f>STDEV(D131:L131)</f>
        <v>34.358554247628703</v>
      </c>
      <c r="V131" s="55" t="str">
        <f>IF(L132="","",(IF(T131&lt;7,IF(S131&gt;2800,IF(S131&lt;3800,"Pass","Fail"),"Fail"),"Fail")))</f>
        <v>Pass</v>
      </c>
      <c r="W131" s="91">
        <v>1159</v>
      </c>
      <c r="X131" s="241" t="s">
        <v>212</v>
      </c>
      <c r="Z131" s="53">
        <v>2800</v>
      </c>
      <c r="AA131" s="53">
        <v>3800</v>
      </c>
      <c r="AB131" s="53">
        <v>3100</v>
      </c>
      <c r="AC131" s="53">
        <v>3760</v>
      </c>
      <c r="AD131" s="52">
        <v>6</v>
      </c>
      <c r="AE131" s="52">
        <v>6</v>
      </c>
    </row>
    <row r="132" spans="1:31" ht="16.5" customHeight="1">
      <c r="A132" s="199"/>
      <c r="B132" s="48"/>
      <c r="C132" s="51" t="s">
        <v>155</v>
      </c>
      <c r="D132" s="8">
        <v>5254.15</v>
      </c>
      <c r="E132" s="8">
        <v>5259.91</v>
      </c>
      <c r="F132" s="8">
        <v>5265.24</v>
      </c>
      <c r="G132" s="8">
        <v>5221.6899999999996</v>
      </c>
      <c r="H132" s="8">
        <v>5328.14</v>
      </c>
      <c r="I132" s="8">
        <v>5303.01</v>
      </c>
      <c r="J132" s="8">
        <v>5236.04</v>
      </c>
      <c r="K132" s="8">
        <v>5259.64</v>
      </c>
      <c r="L132" s="8">
        <v>5352.58</v>
      </c>
      <c r="M132" s="80"/>
      <c r="N132" s="80"/>
      <c r="O132" s="80"/>
      <c r="P132" s="80"/>
      <c r="Q132" s="48"/>
      <c r="R132" s="48"/>
      <c r="S132" s="49"/>
      <c r="T132" s="48"/>
      <c r="U132" s="48"/>
      <c r="V132" s="47"/>
      <c r="W132" s="90"/>
      <c r="X132" s="79"/>
    </row>
    <row r="133" spans="1:31" ht="24.75" customHeight="1" thickBot="1">
      <c r="A133" s="199"/>
      <c r="B133" s="42"/>
      <c r="C133" s="45" t="s">
        <v>154</v>
      </c>
      <c r="D133" s="44">
        <f t="shared" ref="D133:L133" si="39">IF(((D131="")*AND(D132="")),"",(D131-D132)*2)</f>
        <v>3196.4400000000005</v>
      </c>
      <c r="E133" s="44">
        <f t="shared" si="39"/>
        <v>3240.6399999999994</v>
      </c>
      <c r="F133" s="44">
        <f t="shared" si="39"/>
        <v>3253.6800000000003</v>
      </c>
      <c r="G133" s="44">
        <f t="shared" si="39"/>
        <v>3312.9800000000014</v>
      </c>
      <c r="H133" s="44">
        <f t="shared" si="39"/>
        <v>3165.5399999999991</v>
      </c>
      <c r="I133" s="44">
        <f t="shared" si="39"/>
        <v>3202.08</v>
      </c>
      <c r="J133" s="44">
        <f t="shared" si="39"/>
        <v>3289.2800000000007</v>
      </c>
      <c r="K133" s="44">
        <f t="shared" si="39"/>
        <v>3276.66</v>
      </c>
      <c r="L133" s="44">
        <f t="shared" si="39"/>
        <v>3247.3600000000006</v>
      </c>
      <c r="M133" s="44"/>
      <c r="N133" s="44"/>
      <c r="O133" s="44"/>
      <c r="P133" s="44"/>
      <c r="Q133" s="42"/>
      <c r="R133" s="42"/>
      <c r="S133" s="43"/>
      <c r="T133" s="42"/>
      <c r="U133" s="42"/>
      <c r="V133" s="41"/>
      <c r="W133" s="89"/>
      <c r="X133" s="78"/>
    </row>
    <row r="134" spans="1:31">
      <c r="A134" s="198">
        <v>42641</v>
      </c>
      <c r="B134" s="63" t="s">
        <v>158</v>
      </c>
      <c r="C134" s="56" t="s">
        <v>156</v>
      </c>
      <c r="D134" s="8">
        <v>1916.26</v>
      </c>
      <c r="E134" s="8">
        <v>1908.38</v>
      </c>
      <c r="F134" s="8">
        <v>1899.71</v>
      </c>
      <c r="G134" s="8">
        <v>1908.13</v>
      </c>
      <c r="H134" s="8">
        <v>1917.9</v>
      </c>
      <c r="I134" s="8">
        <v>1916.04</v>
      </c>
      <c r="J134" s="8">
        <v>1908.69</v>
      </c>
      <c r="K134" s="8">
        <v>1909.05</v>
      </c>
      <c r="L134" s="8">
        <v>1917</v>
      </c>
      <c r="M134" s="80"/>
      <c r="N134" s="80"/>
      <c r="O134" s="80"/>
      <c r="P134" s="80"/>
      <c r="Q134" s="63">
        <f>IF((L135=""),"",MAX(D136:L136))</f>
        <v>2721.4399999999996</v>
      </c>
      <c r="R134" s="63">
        <f>IF(L135="","",MIN(D136:L136))</f>
        <v>2524.5600000000004</v>
      </c>
      <c r="S134" s="63">
        <f>IF((L136=""),"",AVERAGE(D136:L136))</f>
        <v>2608.6444444444442</v>
      </c>
      <c r="T134" s="63">
        <f>IF((L135=""),"",((Q134-R134)/(Q134+R134))*100)</f>
        <v>3.7529546321006331</v>
      </c>
      <c r="U134" s="51">
        <f>STDEV(D134:L134)</f>
        <v>5.9985915012143138</v>
      </c>
      <c r="V134" s="64" t="str">
        <f>IF(L135="","",(IF(T134&lt;12,IF(S134&gt;2200,IF(S134&lt;3280,"Pass","Fail"),"Fail"),"Fail")))</f>
        <v>Pass</v>
      </c>
      <c r="W134" s="54">
        <v>1400</v>
      </c>
      <c r="X134" s="242" t="s">
        <v>210</v>
      </c>
      <c r="Y134" s="88" t="s">
        <v>211</v>
      </c>
      <c r="Z134" s="37">
        <v>2000</v>
      </c>
      <c r="AA134" s="37">
        <v>3000</v>
      </c>
      <c r="AB134" s="37">
        <v>2200</v>
      </c>
      <c r="AC134" s="37">
        <v>3280</v>
      </c>
      <c r="AD134" s="39">
        <v>12</v>
      </c>
      <c r="AE134" s="39">
        <v>12</v>
      </c>
    </row>
    <row r="135" spans="1:31" ht="16.5" customHeight="1">
      <c r="A135" s="199"/>
      <c r="B135" s="48"/>
      <c r="C135" s="51" t="s">
        <v>155</v>
      </c>
      <c r="D135" s="8">
        <v>1235.9000000000001</v>
      </c>
      <c r="E135" s="8">
        <v>1255.27</v>
      </c>
      <c r="F135" s="8">
        <v>1268.57</v>
      </c>
      <c r="G135" s="8">
        <v>1271.8800000000001</v>
      </c>
      <c r="H135" s="8">
        <v>1275.48</v>
      </c>
      <c r="I135" s="8">
        <v>1237.8399999999999</v>
      </c>
      <c r="J135" s="8">
        <v>1254.17</v>
      </c>
      <c r="K135" s="8">
        <v>1268.8900000000001</v>
      </c>
      <c r="L135" s="8">
        <v>1263.71</v>
      </c>
      <c r="M135" s="80"/>
      <c r="N135" s="80"/>
      <c r="O135" s="80"/>
      <c r="P135" s="80"/>
      <c r="Q135" s="48"/>
      <c r="R135" s="48"/>
      <c r="S135" s="48"/>
      <c r="T135" s="48"/>
      <c r="U135" s="48"/>
      <c r="V135" s="47"/>
      <c r="W135" s="46"/>
      <c r="X135" s="8"/>
      <c r="Y135" s="8"/>
    </row>
    <row r="136" spans="1:31" ht="24.75" customHeight="1" thickBot="1">
      <c r="A136" s="199"/>
      <c r="B136" s="61"/>
      <c r="C136" s="51" t="s">
        <v>154</v>
      </c>
      <c r="D136" s="24">
        <f t="shared" ref="D136:L136" si="40">IF(((D134="")*AND(D135="")),"",(D134-D135)*4)</f>
        <v>2721.4399999999996</v>
      </c>
      <c r="E136" s="24">
        <f t="shared" si="40"/>
        <v>2612.4400000000005</v>
      </c>
      <c r="F136" s="24">
        <f t="shared" si="40"/>
        <v>2524.5600000000004</v>
      </c>
      <c r="G136" s="24">
        <f t="shared" si="40"/>
        <v>2545</v>
      </c>
      <c r="H136" s="24">
        <f t="shared" si="40"/>
        <v>2569.6800000000003</v>
      </c>
      <c r="I136" s="24">
        <f t="shared" si="40"/>
        <v>2712.8</v>
      </c>
      <c r="J136" s="24">
        <f t="shared" si="40"/>
        <v>2618.08</v>
      </c>
      <c r="K136" s="24">
        <f t="shared" si="40"/>
        <v>2560.6399999999994</v>
      </c>
      <c r="L136" s="24">
        <f t="shared" si="40"/>
        <v>2613.16</v>
      </c>
      <c r="M136" s="24"/>
      <c r="N136" s="24"/>
      <c r="O136" s="24"/>
      <c r="P136" s="24" t="str">
        <f>IF(((P134="")*AND(P135="")),"",(P134-P135)*4)</f>
        <v/>
      </c>
      <c r="Q136" s="61"/>
      <c r="R136" s="61"/>
      <c r="S136" s="61"/>
      <c r="T136" s="61"/>
      <c r="U136" s="61"/>
      <c r="V136" s="60"/>
      <c r="W136" s="40"/>
      <c r="X136" s="87"/>
    </row>
    <row r="137" spans="1:31">
      <c r="A137" s="198">
        <v>42641</v>
      </c>
      <c r="B137" s="57" t="s">
        <v>157</v>
      </c>
      <c r="C137" s="51" t="s">
        <v>156</v>
      </c>
      <c r="D137" s="8">
        <v>6772.95</v>
      </c>
      <c r="E137" s="8">
        <v>6789.39</v>
      </c>
      <c r="F137" s="8">
        <v>6793.55</v>
      </c>
      <c r="G137" s="8">
        <v>6749.57</v>
      </c>
      <c r="H137" s="8">
        <v>6822.78</v>
      </c>
      <c r="I137" s="8">
        <v>6791.71</v>
      </c>
      <c r="J137" s="8">
        <v>6764.87</v>
      </c>
      <c r="K137" s="8">
        <v>6789.84</v>
      </c>
      <c r="L137" s="8">
        <v>6884.02</v>
      </c>
      <c r="M137" s="80"/>
      <c r="N137" s="80"/>
      <c r="O137" s="80"/>
      <c r="P137" s="80"/>
      <c r="Q137" s="57">
        <f>IF((L138=""),"",MAX(D139:L139))</f>
        <v>3252.0200000000004</v>
      </c>
      <c r="R137" s="57">
        <f>IF(L138="","",MIN(D139:L139))</f>
        <v>3173.5400000000009</v>
      </c>
      <c r="S137" s="58">
        <f>IF((L139=""),"",AVERAGE(D139:L139))</f>
        <v>3232.5022222222228</v>
      </c>
      <c r="T137" s="57">
        <f>IF((L138=""),"",((Q137-R137)/(Q137+R137))*100)</f>
        <v>1.2213721449959156</v>
      </c>
      <c r="U137" s="56">
        <f>STDEV(D137:L137)</f>
        <v>39.089181189851097</v>
      </c>
      <c r="V137" s="55" t="str">
        <f>IF(L138="","",(IF(T137&lt;7,IF(S137&gt;2800,IF(S137&lt;3800,"Pass","Fail"),"Fail"),"Fail")))</f>
        <v>Pass</v>
      </c>
      <c r="W137" s="86">
        <v>1400</v>
      </c>
      <c r="X137" s="242" t="s">
        <v>210</v>
      </c>
      <c r="Z137" s="53">
        <v>2800</v>
      </c>
      <c r="AA137" s="53">
        <v>3800</v>
      </c>
      <c r="AB137" s="53">
        <v>3100</v>
      </c>
      <c r="AC137" s="53">
        <v>3760</v>
      </c>
      <c r="AD137" s="52">
        <v>6</v>
      </c>
      <c r="AE137" s="52">
        <v>6</v>
      </c>
    </row>
    <row r="138" spans="1:31" ht="16.5" customHeight="1">
      <c r="A138" s="199"/>
      <c r="B138" s="48"/>
      <c r="C138" s="51" t="s">
        <v>155</v>
      </c>
      <c r="D138" s="8">
        <v>5154.75</v>
      </c>
      <c r="E138" s="8">
        <v>5164.3</v>
      </c>
      <c r="F138" s="8">
        <v>5169.5</v>
      </c>
      <c r="G138" s="8">
        <v>5125.3599999999997</v>
      </c>
      <c r="H138" s="8">
        <v>5227.99</v>
      </c>
      <c r="I138" s="8">
        <v>5204.9399999999996</v>
      </c>
      <c r="J138" s="8">
        <v>5142.1899999999996</v>
      </c>
      <c r="K138" s="8">
        <v>5163.83</v>
      </c>
      <c r="L138" s="8">
        <v>5259.56</v>
      </c>
      <c r="M138" s="80"/>
      <c r="N138" s="80"/>
      <c r="O138" s="80"/>
      <c r="P138" s="80"/>
      <c r="Q138" s="48"/>
      <c r="R138" s="48"/>
      <c r="S138" s="49"/>
      <c r="T138" s="48"/>
      <c r="U138" s="48"/>
      <c r="V138" s="47"/>
      <c r="W138" s="85"/>
      <c r="X138" s="79"/>
    </row>
    <row r="139" spans="1:31" ht="24.75" customHeight="1" thickBot="1">
      <c r="A139" s="199"/>
      <c r="B139" s="42"/>
      <c r="C139" s="45" t="s">
        <v>154</v>
      </c>
      <c r="D139" s="44">
        <f t="shared" ref="D139:L139" si="41">IF(((D137="")*AND(D138="")),"",(D137-D138)*2)</f>
        <v>3236.3999999999996</v>
      </c>
      <c r="E139" s="44">
        <f t="shared" si="41"/>
        <v>3250.1800000000003</v>
      </c>
      <c r="F139" s="44">
        <f t="shared" si="41"/>
        <v>3248.1000000000004</v>
      </c>
      <c r="G139" s="44">
        <f t="shared" si="41"/>
        <v>3248.42</v>
      </c>
      <c r="H139" s="44">
        <f t="shared" si="41"/>
        <v>3189.58</v>
      </c>
      <c r="I139" s="44">
        <f t="shared" si="41"/>
        <v>3173.5400000000009</v>
      </c>
      <c r="J139" s="44">
        <f t="shared" si="41"/>
        <v>3245.3600000000006</v>
      </c>
      <c r="K139" s="44">
        <f t="shared" si="41"/>
        <v>3252.0200000000004</v>
      </c>
      <c r="L139" s="44">
        <f t="shared" si="41"/>
        <v>3248.92</v>
      </c>
      <c r="M139" s="44"/>
      <c r="N139" s="44"/>
      <c r="O139" s="44"/>
      <c r="P139" s="44"/>
      <c r="Q139" s="42"/>
      <c r="R139" s="42"/>
      <c r="S139" s="43"/>
      <c r="T139" s="42"/>
      <c r="U139" s="42"/>
      <c r="V139" s="41"/>
      <c r="W139" s="84"/>
      <c r="X139" s="78"/>
    </row>
    <row r="140" spans="1:31">
      <c r="A140" s="198">
        <v>42646</v>
      </c>
      <c r="B140" s="63" t="s">
        <v>158</v>
      </c>
      <c r="C140" s="56" t="s">
        <v>156</v>
      </c>
      <c r="D140" s="8">
        <v>1915.2</v>
      </c>
      <c r="E140" s="8">
        <v>1913.49</v>
      </c>
      <c r="F140" s="8">
        <v>1916.38</v>
      </c>
      <c r="G140" s="8">
        <v>1912.68</v>
      </c>
      <c r="H140" s="8">
        <v>1917.93</v>
      </c>
      <c r="I140" s="8">
        <v>1917.92</v>
      </c>
      <c r="J140" s="8">
        <v>1916.39</v>
      </c>
      <c r="K140" s="8">
        <v>1914.15</v>
      </c>
      <c r="L140" s="8">
        <v>1917.4</v>
      </c>
      <c r="M140" s="80"/>
      <c r="N140" s="80"/>
      <c r="O140" s="80"/>
      <c r="P140" s="80"/>
      <c r="Q140" s="63">
        <f>IF((L141=""),"",MAX(D142:L142))</f>
        <v>2668.92</v>
      </c>
      <c r="R140" s="63">
        <f>IF(L141="","",MIN(D142:L142))</f>
        <v>2506.04</v>
      </c>
      <c r="S140" s="63">
        <f>IF((L142=""),"",AVERAGE(D142:L142))</f>
        <v>2582.3200000000002</v>
      </c>
      <c r="T140" s="63">
        <f>IF((L141=""),"",((Q140-R140)/(Q140+R140))*100)</f>
        <v>3.1474639417502766</v>
      </c>
      <c r="U140" s="51">
        <f>STDEV(D140:L140)</f>
        <v>1.9487303559626559</v>
      </c>
      <c r="V140" s="64" t="str">
        <f>IF(L141="","",(IF(T140&lt;12,IF(S140&gt;2200,IF(S140&lt;3280,"Pass","Fail"),"Fail"),"Fail")))</f>
        <v>Pass</v>
      </c>
      <c r="W140" s="57">
        <v>1400</v>
      </c>
      <c r="X140" s="241"/>
      <c r="Z140" s="37">
        <v>2000</v>
      </c>
      <c r="AA140" s="37">
        <v>3000</v>
      </c>
      <c r="AB140" s="37">
        <v>2200</v>
      </c>
      <c r="AC140" s="37">
        <v>3280</v>
      </c>
      <c r="AD140" s="39">
        <v>12</v>
      </c>
      <c r="AE140" s="39">
        <v>12</v>
      </c>
    </row>
    <row r="141" spans="1:31" ht="16.5" customHeight="1">
      <c r="A141" s="199"/>
      <c r="B141" s="48"/>
      <c r="C141" s="51" t="s">
        <v>155</v>
      </c>
      <c r="D141" s="8">
        <v>1247.97</v>
      </c>
      <c r="E141" s="8">
        <v>1258.8499999999999</v>
      </c>
      <c r="F141" s="8">
        <v>1284.6600000000001</v>
      </c>
      <c r="G141" s="8">
        <v>1276.97</v>
      </c>
      <c r="H141" s="8">
        <v>1291.42</v>
      </c>
      <c r="I141" s="8">
        <v>1252.71</v>
      </c>
      <c r="J141" s="8">
        <v>1262.8499999999999</v>
      </c>
      <c r="K141" s="8">
        <v>1275.4000000000001</v>
      </c>
      <c r="L141" s="8">
        <v>1280.49</v>
      </c>
      <c r="M141" s="80"/>
      <c r="N141" s="80"/>
      <c r="O141" s="80"/>
      <c r="P141" s="80"/>
      <c r="Q141" s="48"/>
      <c r="R141" s="48"/>
      <c r="S141" s="48"/>
      <c r="T141" s="48"/>
      <c r="U141" s="48"/>
      <c r="V141" s="47"/>
      <c r="W141" s="48"/>
      <c r="X141" s="79"/>
    </row>
    <row r="142" spans="1:31" ht="24.75" customHeight="1" thickBot="1">
      <c r="A142" s="199"/>
      <c r="B142" s="61"/>
      <c r="C142" s="51" t="s">
        <v>154</v>
      </c>
      <c r="D142" s="24">
        <f t="shared" ref="D142:L142" si="42">IF(((D140="")*AND(D141="")),"",(D140-D141)*4)</f>
        <v>2668.92</v>
      </c>
      <c r="E142" s="24">
        <f t="shared" si="42"/>
        <v>2618.5600000000004</v>
      </c>
      <c r="F142" s="24">
        <f t="shared" si="42"/>
        <v>2526.88</v>
      </c>
      <c r="G142" s="24">
        <f t="shared" si="42"/>
        <v>2542.84</v>
      </c>
      <c r="H142" s="24">
        <f t="shared" si="42"/>
        <v>2506.04</v>
      </c>
      <c r="I142" s="24">
        <f t="shared" si="42"/>
        <v>2660.84</v>
      </c>
      <c r="J142" s="24">
        <f t="shared" si="42"/>
        <v>2614.1600000000008</v>
      </c>
      <c r="K142" s="24">
        <f t="shared" si="42"/>
        <v>2555</v>
      </c>
      <c r="L142" s="24">
        <f t="shared" si="42"/>
        <v>2547.6400000000003</v>
      </c>
      <c r="M142" s="24"/>
      <c r="N142" s="24"/>
      <c r="O142" s="24"/>
      <c r="P142" s="24" t="str">
        <f>IF(((P140="")*AND(P141="")),"",(P140-P141)*4)</f>
        <v/>
      </c>
      <c r="Q142" s="61"/>
      <c r="R142" s="61"/>
      <c r="S142" s="61"/>
      <c r="T142" s="61"/>
      <c r="U142" s="61"/>
      <c r="V142" s="60"/>
      <c r="W142" s="61"/>
      <c r="X142" s="79"/>
    </row>
    <row r="143" spans="1:31">
      <c r="A143" s="198">
        <v>42646</v>
      </c>
      <c r="B143" s="57" t="s">
        <v>157</v>
      </c>
      <c r="C143" s="51" t="s">
        <v>156</v>
      </c>
      <c r="D143" s="8">
        <v>5163.04</v>
      </c>
      <c r="E143" s="8">
        <v>5172.3900000000003</v>
      </c>
      <c r="F143" s="8">
        <v>5177.6499999999996</v>
      </c>
      <c r="G143" s="8">
        <v>5133.38</v>
      </c>
      <c r="H143" s="8">
        <v>5235.96</v>
      </c>
      <c r="I143" s="8">
        <v>5213</v>
      </c>
      <c r="J143" s="8">
        <v>5150.1000000000004</v>
      </c>
      <c r="K143" s="8">
        <v>5171.93</v>
      </c>
      <c r="L143" s="8">
        <v>5268.46</v>
      </c>
      <c r="M143" s="80"/>
      <c r="N143" s="80"/>
      <c r="O143" s="80"/>
      <c r="P143" s="80"/>
      <c r="Q143" s="57">
        <f>IF((L144=""),"",MAX(D145:L145))</f>
        <v>3266.1400000000003</v>
      </c>
      <c r="R143" s="57">
        <f>IF(L144="","",MIN(D145:L145))</f>
        <v>3161.1800000000003</v>
      </c>
      <c r="S143" s="58">
        <f>IF((L145=""),"",AVERAGE(D145:L145))</f>
        <v>3238.6888888888884</v>
      </c>
      <c r="T143" s="57">
        <f>IF((L144=""),"",((Q143-R143)/(Q143+R143))*100)</f>
        <v>1.6330290074245568</v>
      </c>
      <c r="U143" s="56">
        <f>STDEV(D143:L143)</f>
        <v>43.368548223464792</v>
      </c>
      <c r="V143" s="55" t="str">
        <f>IF(L144="","",(IF(T143&lt;7,IF(S143&gt;2800,IF(S143&lt;3800,"Pass","Fail"),"Fail"),"Fail")))</f>
        <v>Pass</v>
      </c>
      <c r="W143" s="57">
        <v>1400</v>
      </c>
      <c r="X143" s="240"/>
      <c r="Z143" s="53">
        <v>2800</v>
      </c>
      <c r="AA143" s="53">
        <v>3800</v>
      </c>
      <c r="AB143" s="53">
        <v>3100</v>
      </c>
      <c r="AC143" s="53">
        <v>3760</v>
      </c>
      <c r="AD143" s="52">
        <v>6</v>
      </c>
      <c r="AE143" s="52">
        <v>6</v>
      </c>
    </row>
    <row r="144" spans="1:31" ht="16.5" customHeight="1">
      <c r="A144" s="199"/>
      <c r="B144" s="48"/>
      <c r="C144" s="51" t="s">
        <v>155</v>
      </c>
      <c r="D144" s="8">
        <v>3542.8</v>
      </c>
      <c r="E144" s="8">
        <v>3541.32</v>
      </c>
      <c r="F144" s="8">
        <v>3547.42</v>
      </c>
      <c r="G144" s="8">
        <v>3504.25</v>
      </c>
      <c r="H144" s="8">
        <v>3644.46</v>
      </c>
      <c r="I144" s="8">
        <v>3632.41</v>
      </c>
      <c r="J144" s="8">
        <v>3523.17</v>
      </c>
      <c r="K144" s="8">
        <v>3538.86</v>
      </c>
      <c r="L144" s="8">
        <v>3637.12</v>
      </c>
      <c r="M144" s="80"/>
      <c r="N144" s="80"/>
      <c r="O144" s="80"/>
      <c r="P144" s="80"/>
      <c r="Q144" s="48"/>
      <c r="R144" s="48"/>
      <c r="S144" s="49"/>
      <c r="T144" s="48"/>
      <c r="U144" s="48"/>
      <c r="V144" s="47"/>
      <c r="W144" s="48"/>
      <c r="X144" s="79"/>
    </row>
    <row r="145" spans="1:31" ht="24.75" customHeight="1" thickBot="1">
      <c r="A145" s="199"/>
      <c r="B145" s="42"/>
      <c r="C145" s="45" t="s">
        <v>154</v>
      </c>
      <c r="D145" s="44">
        <f t="shared" ref="D145:L145" si="43">IF(((D143="")*AND(D144="")),"",(D143-D144)*2)</f>
        <v>3240.4799999999996</v>
      </c>
      <c r="E145" s="44">
        <f t="shared" si="43"/>
        <v>3262.1400000000003</v>
      </c>
      <c r="F145" s="44">
        <f t="shared" si="43"/>
        <v>3260.4599999999991</v>
      </c>
      <c r="G145" s="44">
        <f t="shared" si="43"/>
        <v>3258.26</v>
      </c>
      <c r="H145" s="44">
        <f t="shared" si="43"/>
        <v>3183</v>
      </c>
      <c r="I145" s="44">
        <f t="shared" si="43"/>
        <v>3161.1800000000003</v>
      </c>
      <c r="J145" s="44">
        <f t="shared" si="43"/>
        <v>3253.8600000000006</v>
      </c>
      <c r="K145" s="44">
        <f t="shared" si="43"/>
        <v>3266.1400000000003</v>
      </c>
      <c r="L145" s="44">
        <f t="shared" si="43"/>
        <v>3262.6800000000003</v>
      </c>
      <c r="M145" s="44"/>
      <c r="N145" s="44"/>
      <c r="O145" s="44"/>
      <c r="P145" s="44"/>
      <c r="Q145" s="42"/>
      <c r="R145" s="42"/>
      <c r="S145" s="43"/>
      <c r="T145" s="42"/>
      <c r="U145" s="42"/>
      <c r="V145" s="41"/>
      <c r="W145" s="42"/>
      <c r="X145" s="78"/>
    </row>
    <row r="146" spans="1:31">
      <c r="A146" s="198">
        <v>42662</v>
      </c>
      <c r="B146" s="63" t="s">
        <v>158</v>
      </c>
      <c r="C146" s="56" t="s">
        <v>156</v>
      </c>
      <c r="D146" s="8">
        <v>1915.96</v>
      </c>
      <c r="E146" s="8">
        <v>1913.82</v>
      </c>
      <c r="F146" s="8">
        <v>1895.95</v>
      </c>
      <c r="G146" s="8">
        <v>1906.27</v>
      </c>
      <c r="H146" s="8">
        <v>1915.85</v>
      </c>
      <c r="I146" s="8">
        <v>1913.82</v>
      </c>
      <c r="J146" s="8">
        <v>1912.34</v>
      </c>
      <c r="K146" s="8">
        <v>1910.46</v>
      </c>
      <c r="L146" s="8">
        <v>1922.18</v>
      </c>
      <c r="M146" s="80"/>
      <c r="N146" s="80"/>
      <c r="O146" s="80"/>
      <c r="P146" s="80"/>
      <c r="Q146" s="63">
        <f>IF((L147=""),"",MAX(D148:L148))</f>
        <v>2645.2</v>
      </c>
      <c r="R146" s="63">
        <f>IF(L147="","",MIN(D148:L148))</f>
        <v>2468.4399999999996</v>
      </c>
      <c r="S146" s="63">
        <f>IF((L148=""),"",AVERAGE(D148:L148))</f>
        <v>2559.0044444444447</v>
      </c>
      <c r="T146" s="63">
        <f>IF((L147=""),"",((Q146-R146)/(Q146+R146))*100)</f>
        <v>3.4566375419466415</v>
      </c>
      <c r="U146" s="51">
        <f>STDEV(D146:L146)</f>
        <v>7.3610580081778059</v>
      </c>
      <c r="V146" s="64" t="str">
        <f>IF(L147="","",(IF(T146&lt;12,IF(S146&gt;2200,IF(S146&lt;3280,"Pass","Fail"),"Fail"),"Fail")))</f>
        <v>Pass</v>
      </c>
      <c r="W146" s="63">
        <v>1400</v>
      </c>
      <c r="X146" s="241" t="s">
        <v>209</v>
      </c>
      <c r="Z146" s="37">
        <v>2000</v>
      </c>
      <c r="AA146" s="37">
        <v>3000</v>
      </c>
      <c r="AB146" s="37">
        <v>2200</v>
      </c>
      <c r="AC146" s="37">
        <v>3280</v>
      </c>
      <c r="AD146" s="39">
        <v>12</v>
      </c>
      <c r="AE146" s="39">
        <v>12</v>
      </c>
    </row>
    <row r="147" spans="1:31" ht="16.5" customHeight="1">
      <c r="A147" s="199"/>
      <c r="B147" s="48"/>
      <c r="C147" s="51" t="s">
        <v>155</v>
      </c>
      <c r="D147" s="8">
        <v>1254.6600000000001</v>
      </c>
      <c r="E147" s="8">
        <v>1262.69</v>
      </c>
      <c r="F147" s="8">
        <v>1272.74</v>
      </c>
      <c r="G147" s="8">
        <v>1275.52</v>
      </c>
      <c r="H147" s="8">
        <v>1298.74</v>
      </c>
      <c r="I147" s="8">
        <v>1253.45</v>
      </c>
      <c r="J147" s="8">
        <v>1262.2</v>
      </c>
      <c r="K147" s="8">
        <v>1276.4100000000001</v>
      </c>
      <c r="L147" s="8">
        <v>1292.48</v>
      </c>
      <c r="M147" s="80"/>
      <c r="N147" s="80"/>
      <c r="O147" s="80"/>
      <c r="P147" s="80"/>
      <c r="Q147" s="48"/>
      <c r="R147" s="48"/>
      <c r="S147" s="48"/>
      <c r="T147" s="48"/>
      <c r="U147" s="48"/>
      <c r="V147" s="47"/>
      <c r="W147" s="48"/>
      <c r="X147" s="79"/>
    </row>
    <row r="148" spans="1:31" ht="24.75" customHeight="1" thickBot="1">
      <c r="A148" s="199"/>
      <c r="B148" s="61"/>
      <c r="C148" s="51" t="s">
        <v>154</v>
      </c>
      <c r="D148" s="24">
        <f t="shared" ref="D148:L148" si="44">IF(((D146="")*AND(D147="")),"",(D146-D147)*4)</f>
        <v>2645.2</v>
      </c>
      <c r="E148" s="24">
        <f t="shared" si="44"/>
        <v>2604.5199999999995</v>
      </c>
      <c r="F148" s="24">
        <f t="shared" si="44"/>
        <v>2492.84</v>
      </c>
      <c r="G148" s="24">
        <f t="shared" si="44"/>
        <v>2523</v>
      </c>
      <c r="H148" s="24">
        <f t="shared" si="44"/>
        <v>2468.4399999999996</v>
      </c>
      <c r="I148" s="24">
        <f t="shared" si="44"/>
        <v>2641.4799999999996</v>
      </c>
      <c r="J148" s="24">
        <f t="shared" si="44"/>
        <v>2600.5599999999995</v>
      </c>
      <c r="K148" s="24">
        <f t="shared" si="44"/>
        <v>2536.1999999999998</v>
      </c>
      <c r="L148" s="24">
        <f t="shared" si="44"/>
        <v>2518.8000000000002</v>
      </c>
      <c r="M148" s="24"/>
      <c r="N148" s="24"/>
      <c r="O148" s="24"/>
      <c r="P148" s="24" t="str">
        <f>IF(((P146="")*AND(P147="")),"",(P146-P147)*4)</f>
        <v/>
      </c>
      <c r="Q148" s="61"/>
      <c r="R148" s="61"/>
      <c r="S148" s="61"/>
      <c r="T148" s="61"/>
      <c r="U148" s="61"/>
      <c r="V148" s="60"/>
      <c r="W148" s="61"/>
      <c r="X148" s="79"/>
    </row>
    <row r="149" spans="1:31">
      <c r="A149" s="198">
        <v>42662</v>
      </c>
      <c r="B149" s="57" t="s">
        <v>157</v>
      </c>
      <c r="C149" s="51" t="s">
        <v>156</v>
      </c>
      <c r="D149" s="8">
        <v>3566</v>
      </c>
      <c r="E149" s="8">
        <v>3564.55</v>
      </c>
      <c r="F149" s="8">
        <v>3570.77</v>
      </c>
      <c r="G149" s="8">
        <v>3527.7</v>
      </c>
      <c r="H149" s="8">
        <v>3663.08</v>
      </c>
      <c r="I149" s="8">
        <v>3650.69</v>
      </c>
      <c r="J149" s="8">
        <v>3546.29</v>
      </c>
      <c r="K149" s="8">
        <v>3561.97</v>
      </c>
      <c r="L149" s="8">
        <v>3657.58</v>
      </c>
      <c r="M149" s="80"/>
      <c r="N149" s="80"/>
      <c r="O149" s="80"/>
      <c r="P149" s="80"/>
      <c r="Q149" s="57">
        <f>IF((L150=""),"",MAX(D151:L151))</f>
        <v>3336.1399999999994</v>
      </c>
      <c r="R149" s="57">
        <f>IF(L150="","",MIN(D151:L151))</f>
        <v>3249.52</v>
      </c>
      <c r="S149" s="58">
        <f>IF((L151=""),"",AVERAGE(D151:L151))</f>
        <v>3314.2355555555559</v>
      </c>
      <c r="T149" s="57">
        <f>IF((L150=""),"",((Q149-R149)/(Q149+R149))*100)</f>
        <v>1.3152819914784462</v>
      </c>
      <c r="U149" s="56">
        <f>STDEV(D149:L149)</f>
        <v>52.155825124772683</v>
      </c>
      <c r="V149" s="55" t="str">
        <f>IF(L150="","",(IF(T149&lt;7,IF(S149&gt;2800,IF(S149&lt;3800,"Pass","Fail"),"Fail"),"Fail")))</f>
        <v>Pass</v>
      </c>
      <c r="W149" s="57">
        <v>1400</v>
      </c>
      <c r="X149" s="241" t="s">
        <v>209</v>
      </c>
      <c r="Z149" s="53">
        <v>2800</v>
      </c>
      <c r="AA149" s="53">
        <v>3800</v>
      </c>
      <c r="AB149" s="53">
        <v>3100</v>
      </c>
      <c r="AC149" s="53">
        <v>3760</v>
      </c>
      <c r="AD149" s="52">
        <v>6</v>
      </c>
      <c r="AE149" s="52">
        <v>6</v>
      </c>
    </row>
    <row r="150" spans="1:31" ht="16.5" customHeight="1">
      <c r="A150" s="199"/>
      <c r="B150" s="48"/>
      <c r="C150" s="51" t="s">
        <v>155</v>
      </c>
      <c r="D150" s="8">
        <v>1906.72</v>
      </c>
      <c r="E150" s="8">
        <v>1897.78</v>
      </c>
      <c r="F150" s="8">
        <v>1904.55</v>
      </c>
      <c r="G150" s="8">
        <v>1859.63</v>
      </c>
      <c r="H150" s="8">
        <v>2031.51</v>
      </c>
      <c r="I150" s="8">
        <v>2025.93</v>
      </c>
      <c r="J150" s="8">
        <v>1880.96</v>
      </c>
      <c r="K150" s="8">
        <v>1894.45</v>
      </c>
      <c r="L150" s="8">
        <v>1993.04</v>
      </c>
      <c r="M150" s="80"/>
      <c r="N150" s="80"/>
      <c r="O150" s="80"/>
      <c r="P150" s="80"/>
      <c r="Q150" s="48"/>
      <c r="R150" s="48"/>
      <c r="S150" s="49"/>
      <c r="T150" s="48"/>
      <c r="U150" s="48"/>
      <c r="V150" s="47"/>
      <c r="W150" s="48"/>
      <c r="X150" s="79"/>
    </row>
    <row r="151" spans="1:31" ht="24.75" customHeight="1" thickBot="1">
      <c r="A151" s="199"/>
      <c r="B151" s="42"/>
      <c r="C151" s="45" t="s">
        <v>154</v>
      </c>
      <c r="D151" s="44">
        <f t="shared" ref="D151:L151" si="45">IF(((D149="")*AND(D150="")),"",(D149-D150)*2)</f>
        <v>3318.56</v>
      </c>
      <c r="E151" s="44">
        <f t="shared" si="45"/>
        <v>3333.5400000000004</v>
      </c>
      <c r="F151" s="44">
        <f t="shared" si="45"/>
        <v>3332.44</v>
      </c>
      <c r="G151" s="44">
        <f t="shared" si="45"/>
        <v>3336.1399999999994</v>
      </c>
      <c r="H151" s="44">
        <f t="shared" si="45"/>
        <v>3263.14</v>
      </c>
      <c r="I151" s="44">
        <f t="shared" si="45"/>
        <v>3249.52</v>
      </c>
      <c r="J151" s="44">
        <f t="shared" si="45"/>
        <v>3330.66</v>
      </c>
      <c r="K151" s="44">
        <f t="shared" si="45"/>
        <v>3335.0399999999995</v>
      </c>
      <c r="L151" s="44">
        <f t="shared" si="45"/>
        <v>3329.08</v>
      </c>
      <c r="M151" s="44"/>
      <c r="N151" s="44"/>
      <c r="O151" s="44"/>
      <c r="P151" s="44"/>
      <c r="Q151" s="42"/>
      <c r="R151" s="42"/>
      <c r="S151" s="43"/>
      <c r="T151" s="42"/>
      <c r="U151" s="42"/>
      <c r="V151" s="41"/>
      <c r="W151" s="42"/>
      <c r="X151" s="78"/>
    </row>
    <row r="152" spans="1:31">
      <c r="A152" s="198">
        <v>42669</v>
      </c>
      <c r="B152" s="63" t="s">
        <v>158</v>
      </c>
      <c r="C152" s="56" t="s">
        <v>156</v>
      </c>
      <c r="D152" s="8">
        <v>1916.67</v>
      </c>
      <c r="E152" s="8">
        <v>1907.8</v>
      </c>
      <c r="F152" s="8">
        <v>1915.42</v>
      </c>
      <c r="G152" s="8">
        <v>1909.39</v>
      </c>
      <c r="H152" s="8">
        <v>1911.9</v>
      </c>
      <c r="I152" s="8">
        <v>1910.39</v>
      </c>
      <c r="J152" s="8">
        <v>1906.29</v>
      </c>
      <c r="K152" s="8">
        <v>1909.79</v>
      </c>
      <c r="L152" s="8">
        <v>1915.97</v>
      </c>
      <c r="M152" s="80"/>
      <c r="N152" s="80"/>
      <c r="O152" s="80"/>
      <c r="P152" s="80"/>
      <c r="Q152" s="63">
        <f>IF((L153=""),"",MAX(D154:L154))</f>
        <v>2699.4400000000005</v>
      </c>
      <c r="R152" s="63">
        <f>IF(L153="","",MIN(D154:L154))</f>
        <v>2511.08</v>
      </c>
      <c r="S152" s="63">
        <f>IF((L154=""),"",AVERAGE(D154:L154))</f>
        <v>2590.7644444444445</v>
      </c>
      <c r="T152" s="63">
        <f>IF((L153=""),"",((Q152-R152)/(Q152+R152))*100)</f>
        <v>3.6149942808011595</v>
      </c>
      <c r="U152" s="51">
        <f>STDEV(D152:L152)</f>
        <v>3.7362581547234028</v>
      </c>
      <c r="V152" s="64" t="str">
        <f>IF(L153="","",(IF(T152&lt;12,IF(S152&gt;2200,IF(S152&lt;3280,"Pass","Fail"),"Fail"),"Fail")))</f>
        <v>Pass</v>
      </c>
      <c r="W152" s="63">
        <v>1335</v>
      </c>
      <c r="X152" s="241" t="s">
        <v>208</v>
      </c>
      <c r="Z152" s="37">
        <v>2000</v>
      </c>
      <c r="AA152" s="37">
        <v>3000</v>
      </c>
      <c r="AB152" s="37">
        <v>2200</v>
      </c>
      <c r="AC152" s="37">
        <v>3280</v>
      </c>
      <c r="AD152" s="39">
        <v>12</v>
      </c>
      <c r="AE152" s="39">
        <v>12</v>
      </c>
    </row>
    <row r="153" spans="1:31" ht="16.5" customHeight="1">
      <c r="A153" s="199"/>
      <c r="B153" s="48"/>
      <c r="C153" s="51" t="s">
        <v>155</v>
      </c>
      <c r="D153" s="8">
        <v>1241.81</v>
      </c>
      <c r="E153" s="8">
        <v>1251.8499999999999</v>
      </c>
      <c r="F153" s="8">
        <v>1281.25</v>
      </c>
      <c r="G153" s="8">
        <v>1272.3399999999999</v>
      </c>
      <c r="H153" s="8">
        <v>1284.1300000000001</v>
      </c>
      <c r="I153" s="8">
        <v>1244.6199999999999</v>
      </c>
      <c r="J153" s="8">
        <v>1252.24</v>
      </c>
      <c r="K153" s="8">
        <v>1269.3900000000001</v>
      </c>
      <c r="L153" s="8">
        <v>1276.77</v>
      </c>
      <c r="M153" s="80"/>
      <c r="N153" s="80"/>
      <c r="O153" s="80"/>
      <c r="P153" s="80"/>
      <c r="Q153" s="48"/>
      <c r="R153" s="48"/>
      <c r="S153" s="48"/>
      <c r="T153" s="48"/>
      <c r="U153" s="48"/>
      <c r="V153" s="47"/>
      <c r="W153" s="48"/>
      <c r="X153" s="79"/>
    </row>
    <row r="154" spans="1:31" ht="24.75" customHeight="1" thickBot="1">
      <c r="A154" s="199"/>
      <c r="B154" s="61"/>
      <c r="C154" s="51" t="s">
        <v>154</v>
      </c>
      <c r="D154" s="24">
        <f t="shared" ref="D154:L154" si="46">IF(((D152="")*AND(D153="")),"",(D152-D153)*4)</f>
        <v>2699.4400000000005</v>
      </c>
      <c r="E154" s="24">
        <f t="shared" si="46"/>
        <v>2623.8</v>
      </c>
      <c r="F154" s="24">
        <f t="shared" si="46"/>
        <v>2536.6800000000003</v>
      </c>
      <c r="G154" s="24">
        <f t="shared" si="46"/>
        <v>2548.2000000000007</v>
      </c>
      <c r="H154" s="24">
        <f t="shared" si="46"/>
        <v>2511.08</v>
      </c>
      <c r="I154" s="24">
        <f t="shared" si="46"/>
        <v>2663.0800000000008</v>
      </c>
      <c r="J154" s="24">
        <f t="shared" si="46"/>
        <v>2616.1999999999998</v>
      </c>
      <c r="K154" s="24">
        <f t="shared" si="46"/>
        <v>2561.5999999999995</v>
      </c>
      <c r="L154" s="24">
        <f t="shared" si="46"/>
        <v>2556.8000000000002</v>
      </c>
      <c r="M154" s="24"/>
      <c r="N154" s="24"/>
      <c r="O154" s="24"/>
      <c r="P154" s="24" t="str">
        <f>IF(((P152="")*AND(P153="")),"",(P152-P153)*4)</f>
        <v/>
      </c>
      <c r="Q154" s="61"/>
      <c r="R154" s="61"/>
      <c r="S154" s="61"/>
      <c r="T154" s="61"/>
      <c r="U154" s="61"/>
      <c r="V154" s="60"/>
      <c r="W154" s="61"/>
      <c r="X154" s="79"/>
    </row>
    <row r="155" spans="1:31">
      <c r="A155" s="198">
        <v>42669</v>
      </c>
      <c r="B155" s="57" t="s">
        <v>157</v>
      </c>
      <c r="C155" s="51" t="s">
        <v>156</v>
      </c>
      <c r="D155" s="8">
        <v>6794.58</v>
      </c>
      <c r="E155" s="8">
        <v>6811.76</v>
      </c>
      <c r="F155" s="8">
        <v>6814.97</v>
      </c>
      <c r="G155" s="8">
        <v>6770.09</v>
      </c>
      <c r="H155" s="8">
        <v>6838.51</v>
      </c>
      <c r="I155" s="8">
        <v>6807.3</v>
      </c>
      <c r="J155" s="8">
        <v>6785.73</v>
      </c>
      <c r="K155" s="8">
        <v>6812.26</v>
      </c>
      <c r="L155" s="8">
        <v>6906.36</v>
      </c>
      <c r="M155" s="80"/>
      <c r="N155" s="80"/>
      <c r="O155" s="80"/>
      <c r="P155" s="80"/>
      <c r="Q155" s="57">
        <f>IF((L156=""),"",MAX(D157:L157))</f>
        <v>3266.6399999999994</v>
      </c>
      <c r="R155" s="57">
        <f>IF(L156="","",MIN(D157:L157))</f>
        <v>3183.7800000000007</v>
      </c>
      <c r="S155" s="58">
        <f>IF((L157=""),"",AVERAGE(D157:L157))</f>
        <v>3245.1222222222223</v>
      </c>
      <c r="T155" s="57">
        <f>IF((L156=""),"",((Q155-R155)/(Q155+R155))*100)</f>
        <v>1.284567516533788</v>
      </c>
      <c r="U155" s="56">
        <f>STDEV(D155:L155)</f>
        <v>39.151152104341705</v>
      </c>
      <c r="V155" s="55" t="str">
        <f>IF(L156="","",(IF(T155&lt;7,IF(S155&gt;2800,IF(S155&lt;3800,"Pass","Fail"),"Fail"),"Fail")))</f>
        <v>Pass</v>
      </c>
      <c r="W155" s="57">
        <v>1335</v>
      </c>
      <c r="X155" s="241" t="s">
        <v>208</v>
      </c>
      <c r="Z155" s="53">
        <v>2800</v>
      </c>
      <c r="AA155" s="53">
        <v>3800</v>
      </c>
      <c r="AB155" s="53">
        <v>3100</v>
      </c>
      <c r="AC155" s="53">
        <v>3760</v>
      </c>
      <c r="AD155" s="52">
        <v>6</v>
      </c>
      <c r="AE155" s="52">
        <v>6</v>
      </c>
    </row>
    <row r="156" spans="1:31" ht="16.5" customHeight="1">
      <c r="A156" s="199"/>
      <c r="B156" s="48"/>
      <c r="C156" s="51" t="s">
        <v>155</v>
      </c>
      <c r="D156" s="8">
        <v>5169.92</v>
      </c>
      <c r="E156" s="8">
        <v>5182.42</v>
      </c>
      <c r="F156" s="8">
        <v>5186.09</v>
      </c>
      <c r="G156" s="8">
        <v>5139.84</v>
      </c>
      <c r="H156" s="8">
        <v>5234.3599999999997</v>
      </c>
      <c r="I156" s="8">
        <v>5215.41</v>
      </c>
      <c r="J156" s="8">
        <v>5157.66</v>
      </c>
      <c r="K156" s="8">
        <v>5179.7700000000004</v>
      </c>
      <c r="L156" s="8">
        <v>5273.04</v>
      </c>
      <c r="M156" s="80"/>
      <c r="N156" s="80"/>
      <c r="O156" s="80"/>
      <c r="P156" s="80"/>
      <c r="Q156" s="48"/>
      <c r="R156" s="48"/>
      <c r="S156" s="49"/>
      <c r="T156" s="48"/>
      <c r="U156" s="48"/>
      <c r="V156" s="47"/>
      <c r="W156" s="48"/>
      <c r="X156" s="79"/>
    </row>
    <row r="157" spans="1:31" ht="24.75" customHeight="1" thickBot="1">
      <c r="A157" s="199"/>
      <c r="B157" s="42"/>
      <c r="C157" s="45" t="s">
        <v>154</v>
      </c>
      <c r="D157" s="44">
        <f t="shared" ref="D157:L157" si="47">IF(((D155="")*AND(D156="")),"",(D155-D156)*2)</f>
        <v>3249.3199999999997</v>
      </c>
      <c r="E157" s="44">
        <f t="shared" si="47"/>
        <v>3258.6800000000003</v>
      </c>
      <c r="F157" s="44">
        <f t="shared" si="47"/>
        <v>3257.76</v>
      </c>
      <c r="G157" s="44">
        <f t="shared" si="47"/>
        <v>3260.5</v>
      </c>
      <c r="H157" s="44">
        <f t="shared" si="47"/>
        <v>3208.3000000000011</v>
      </c>
      <c r="I157" s="44">
        <f t="shared" si="47"/>
        <v>3183.7800000000007</v>
      </c>
      <c r="J157" s="44">
        <f t="shared" si="47"/>
        <v>3256.1399999999994</v>
      </c>
      <c r="K157" s="44">
        <f t="shared" si="47"/>
        <v>3264.9799999999996</v>
      </c>
      <c r="L157" s="44">
        <f t="shared" si="47"/>
        <v>3266.6399999999994</v>
      </c>
      <c r="M157" s="44"/>
      <c r="N157" s="44"/>
      <c r="O157" s="44"/>
      <c r="P157" s="44"/>
      <c r="Q157" s="42"/>
      <c r="R157" s="42"/>
      <c r="S157" s="43"/>
      <c r="T157" s="42"/>
      <c r="U157" s="42"/>
      <c r="V157" s="41"/>
      <c r="W157" s="42"/>
      <c r="X157" s="78"/>
    </row>
    <row r="158" spans="1:31">
      <c r="A158" s="198">
        <v>42675</v>
      </c>
      <c r="B158" s="63" t="s">
        <v>158</v>
      </c>
      <c r="C158" s="56" t="s">
        <v>156</v>
      </c>
      <c r="D158" s="8">
        <v>2169.59</v>
      </c>
      <c r="E158" s="8">
        <v>2140.67</v>
      </c>
      <c r="F158" s="8">
        <v>2115.89</v>
      </c>
      <c r="G158" s="8">
        <v>2134.84</v>
      </c>
      <c r="H158" s="8">
        <v>2170.84</v>
      </c>
      <c r="I158" s="8">
        <v>2169.19</v>
      </c>
      <c r="J158" s="8">
        <v>2140</v>
      </c>
      <c r="K158" s="8">
        <v>2132.87</v>
      </c>
      <c r="L158" s="8">
        <v>2169.04</v>
      </c>
      <c r="M158" s="80"/>
      <c r="N158" s="80"/>
      <c r="O158" s="80"/>
      <c r="P158" s="80"/>
      <c r="Q158" s="63">
        <f>IF((L159=""),"",MAX(D160:L160))</f>
        <v>2999.12</v>
      </c>
      <c r="R158" s="63">
        <f>IF(L159="","",MIN(D160:L160))</f>
        <v>2712.08</v>
      </c>
      <c r="S158" s="63">
        <f>IF((L160=""),"",AVERAGE(D160:L160))</f>
        <v>2844.5822222222218</v>
      </c>
      <c r="T158" s="63">
        <f>IF((L159=""),"",((Q158-R158)/(Q158+R158))*100)</f>
        <v>5.0259139935565207</v>
      </c>
      <c r="U158" s="51">
        <f>STDEV(D158:L158)</f>
        <v>20.667308188964608</v>
      </c>
      <c r="V158" s="64" t="str">
        <f>IF(L159="","",(IF(T158&lt;12,IF(S158&gt;2200,IF(S158&lt;3280,"Pass","Fail"),"Fail"),"Fail")))</f>
        <v>Pass</v>
      </c>
      <c r="W158" s="63">
        <v>1335</v>
      </c>
      <c r="X158" s="241" t="s">
        <v>207</v>
      </c>
      <c r="Z158" s="37">
        <v>2000</v>
      </c>
      <c r="AA158" s="37">
        <v>3000</v>
      </c>
      <c r="AB158" s="37">
        <v>2200</v>
      </c>
      <c r="AC158" s="37">
        <v>3280</v>
      </c>
      <c r="AD158" s="39">
        <v>12</v>
      </c>
      <c r="AE158" s="39">
        <v>12</v>
      </c>
    </row>
    <row r="159" spans="1:31" ht="16.5" customHeight="1">
      <c r="A159" s="199"/>
      <c r="B159" s="48"/>
      <c r="C159" s="51" t="s">
        <v>155</v>
      </c>
      <c r="D159" s="8">
        <v>1425.41</v>
      </c>
      <c r="E159" s="8">
        <v>1434.8</v>
      </c>
      <c r="F159" s="8">
        <v>1437.87</v>
      </c>
      <c r="G159" s="8">
        <v>1443.41</v>
      </c>
      <c r="H159" s="8">
        <v>1455.44</v>
      </c>
      <c r="I159" s="8">
        <v>1419.41</v>
      </c>
      <c r="J159" s="8">
        <v>1430.18</v>
      </c>
      <c r="K159" s="8">
        <v>1445.16</v>
      </c>
      <c r="L159" s="8">
        <v>1450.94</v>
      </c>
      <c r="M159" s="80"/>
      <c r="N159" s="80"/>
      <c r="O159" s="80"/>
      <c r="P159" s="80"/>
      <c r="Q159" s="48"/>
      <c r="R159" s="48"/>
      <c r="S159" s="48"/>
      <c r="T159" s="48"/>
      <c r="U159" s="48"/>
      <c r="V159" s="47"/>
      <c r="W159" s="48"/>
      <c r="X159" s="79"/>
    </row>
    <row r="160" spans="1:31" ht="24.75" customHeight="1" thickBot="1">
      <c r="A160" s="199"/>
      <c r="B160" s="61"/>
      <c r="C160" s="51" t="s">
        <v>154</v>
      </c>
      <c r="D160" s="24">
        <f t="shared" ref="D160:L160" si="48">IF(((D158="")*AND(D159="")),"",(D158-D159)*4)</f>
        <v>2976.7200000000003</v>
      </c>
      <c r="E160" s="24">
        <f t="shared" si="48"/>
        <v>2823.4800000000005</v>
      </c>
      <c r="F160" s="24">
        <f t="shared" si="48"/>
        <v>2712.08</v>
      </c>
      <c r="G160" s="24">
        <f t="shared" si="48"/>
        <v>2765.7200000000003</v>
      </c>
      <c r="H160" s="24">
        <f t="shared" si="48"/>
        <v>2861.6000000000004</v>
      </c>
      <c r="I160" s="24">
        <f t="shared" si="48"/>
        <v>2999.12</v>
      </c>
      <c r="J160" s="24">
        <f t="shared" si="48"/>
        <v>2839.2799999999997</v>
      </c>
      <c r="K160" s="24">
        <f t="shared" si="48"/>
        <v>2750.8399999999992</v>
      </c>
      <c r="L160" s="24">
        <f t="shared" si="48"/>
        <v>2872.3999999999996</v>
      </c>
      <c r="M160" s="24"/>
      <c r="N160" s="24"/>
      <c r="O160" s="24"/>
      <c r="P160" s="24" t="str">
        <f>IF(((P158="")*AND(P159="")),"",(P158-P159)*4)</f>
        <v/>
      </c>
      <c r="Q160" s="61"/>
      <c r="R160" s="61"/>
      <c r="S160" s="61"/>
      <c r="T160" s="61"/>
      <c r="U160" s="61"/>
      <c r="V160" s="60"/>
      <c r="W160" s="61"/>
      <c r="X160" s="79"/>
    </row>
    <row r="161" spans="1:31">
      <c r="A161" s="198">
        <v>42675</v>
      </c>
      <c r="B161" s="57" t="s">
        <v>157</v>
      </c>
      <c r="C161" s="51" t="s">
        <v>156</v>
      </c>
      <c r="D161" s="8">
        <v>6811.92</v>
      </c>
      <c r="E161" s="8">
        <v>6843.5</v>
      </c>
      <c r="F161" s="8">
        <v>6850.42</v>
      </c>
      <c r="G161" s="8">
        <v>6797.31</v>
      </c>
      <c r="H161" s="8">
        <v>6841.64</v>
      </c>
      <c r="I161" s="8">
        <v>6807.06</v>
      </c>
      <c r="J161" s="8">
        <v>6810.18</v>
      </c>
      <c r="K161" s="8">
        <v>6849.63</v>
      </c>
      <c r="L161" s="8">
        <v>6918.39</v>
      </c>
      <c r="M161" s="80"/>
      <c r="N161" s="80"/>
      <c r="O161" s="80"/>
      <c r="P161" s="80"/>
      <c r="Q161" s="57">
        <f>IF((L162=""),"",MAX(D163:L163))</f>
        <v>3256.1800000000003</v>
      </c>
      <c r="R161" s="57">
        <f>IF(L162="","",MIN(D163:L163))</f>
        <v>3194.9000000000015</v>
      </c>
      <c r="S161" s="58">
        <f>IF((L163=""),"",AVERAGE(D163:L163))</f>
        <v>3236.626666666667</v>
      </c>
      <c r="T161" s="57">
        <f>IF((L162=""),"",((Q161-R161)/(Q161+R161))*100)</f>
        <v>0.94991846326504747</v>
      </c>
      <c r="U161" s="56">
        <f>STDEV(D161:L161)</f>
        <v>36.821828708758794</v>
      </c>
      <c r="V161" s="55" t="str">
        <f>IF(L162="","",(IF(T161&lt;7,IF(S161&gt;2800,IF(S161&lt;3800,"Pass","Fail"),"Fail"),"Fail")))</f>
        <v>Pass</v>
      </c>
      <c r="W161" s="57">
        <v>1335</v>
      </c>
      <c r="X161" s="241" t="s">
        <v>207</v>
      </c>
      <c r="Z161" s="53">
        <v>2800</v>
      </c>
      <c r="AA161" s="53">
        <v>3800</v>
      </c>
      <c r="AB161" s="53">
        <v>3100</v>
      </c>
      <c r="AC161" s="53">
        <v>3760</v>
      </c>
      <c r="AD161" s="52">
        <v>6</v>
      </c>
      <c r="AE161" s="52">
        <v>6</v>
      </c>
    </row>
    <row r="162" spans="1:31" ht="16.5" customHeight="1">
      <c r="A162" s="199"/>
      <c r="B162" s="48"/>
      <c r="C162" s="51" t="s">
        <v>155</v>
      </c>
      <c r="D162" s="8">
        <v>5189.07</v>
      </c>
      <c r="E162" s="8">
        <v>5218.12</v>
      </c>
      <c r="F162" s="8">
        <v>5227.38</v>
      </c>
      <c r="G162" s="8">
        <v>5173.76</v>
      </c>
      <c r="H162" s="8">
        <v>5244.19</v>
      </c>
      <c r="I162" s="8">
        <v>5209.6099999999997</v>
      </c>
      <c r="J162" s="8">
        <v>5187.58</v>
      </c>
      <c r="K162" s="8">
        <v>5225.22</v>
      </c>
      <c r="L162" s="8">
        <v>5290.3</v>
      </c>
      <c r="M162" s="80"/>
      <c r="N162" s="80"/>
      <c r="O162" s="80"/>
      <c r="P162" s="80"/>
      <c r="Q162" s="48"/>
      <c r="R162" s="48"/>
      <c r="S162" s="49"/>
      <c r="T162" s="48"/>
      <c r="U162" s="48"/>
      <c r="V162" s="47"/>
      <c r="W162" s="48"/>
      <c r="X162" s="79"/>
    </row>
    <row r="163" spans="1:31" ht="24.75" customHeight="1" thickBot="1">
      <c r="A163" s="199"/>
      <c r="B163" s="42"/>
      <c r="C163" s="45" t="s">
        <v>154</v>
      </c>
      <c r="D163" s="44">
        <f t="shared" ref="D163:L163" si="49">IF(((D161="")*AND(D162="")),"",(D161-D162)*2)</f>
        <v>3245.7000000000007</v>
      </c>
      <c r="E163" s="44">
        <f t="shared" si="49"/>
        <v>3250.76</v>
      </c>
      <c r="F163" s="44">
        <f t="shared" si="49"/>
        <v>3246.08</v>
      </c>
      <c r="G163" s="44">
        <f t="shared" si="49"/>
        <v>3247.1000000000004</v>
      </c>
      <c r="H163" s="44">
        <f t="shared" si="49"/>
        <v>3194.9000000000015</v>
      </c>
      <c r="I163" s="44">
        <f t="shared" si="49"/>
        <v>3194.9000000000015</v>
      </c>
      <c r="J163" s="44">
        <f t="shared" si="49"/>
        <v>3245.2000000000007</v>
      </c>
      <c r="K163" s="44">
        <f t="shared" si="49"/>
        <v>3248.8199999999997</v>
      </c>
      <c r="L163" s="44">
        <f t="shared" si="49"/>
        <v>3256.1800000000003</v>
      </c>
      <c r="M163" s="44"/>
      <c r="N163" s="44"/>
      <c r="O163" s="44"/>
      <c r="P163" s="44"/>
      <c r="Q163" s="42"/>
      <c r="R163" s="42"/>
      <c r="S163" s="43"/>
      <c r="T163" s="42"/>
      <c r="U163" s="42"/>
      <c r="V163" s="41"/>
      <c r="W163" s="42"/>
      <c r="X163" s="78"/>
    </row>
    <row r="164" spans="1:31">
      <c r="A164" s="198">
        <v>42682</v>
      </c>
      <c r="B164" s="63" t="s">
        <v>158</v>
      </c>
      <c r="C164" s="56" t="s">
        <v>156</v>
      </c>
      <c r="D164" s="8">
        <v>1915.76</v>
      </c>
      <c r="E164" s="8">
        <v>1909.98</v>
      </c>
      <c r="F164" s="8">
        <v>1912.48</v>
      </c>
      <c r="G164" s="8">
        <v>1909.6</v>
      </c>
      <c r="H164" s="8">
        <v>1917.14</v>
      </c>
      <c r="I164" s="8">
        <v>1915</v>
      </c>
      <c r="J164" s="8">
        <v>1912.64</v>
      </c>
      <c r="K164" s="8">
        <v>1912.08</v>
      </c>
      <c r="L164" s="8">
        <v>1918.99</v>
      </c>
      <c r="M164" s="80"/>
      <c r="N164" s="80"/>
      <c r="O164" s="80"/>
      <c r="P164" s="80"/>
      <c r="Q164" s="63">
        <f>IF((L165=""),"",MAX(D166:L166))</f>
        <v>2729.3999999999996</v>
      </c>
      <c r="R164" s="63">
        <f>IF(L165="","",MIN(D166:L166))</f>
        <v>2528.7200000000003</v>
      </c>
      <c r="S164" s="63">
        <f>IF((L166=""),"",AVERAGE(D166:L166))</f>
        <v>2611.5555555555552</v>
      </c>
      <c r="T164" s="63">
        <f>IF((L165=""),"",((Q164-R164)/(Q164+R164))*100)</f>
        <v>3.8165732238898955</v>
      </c>
      <c r="U164" s="51">
        <f>STDEV(D164:L164)</f>
        <v>3.1941526438221155</v>
      </c>
      <c r="V164" s="64" t="str">
        <f>IF(L165="","",(IF(T164&lt;12,IF(S164&gt;2200,IF(S164&lt;3280,"Pass","Fail"),"Fail"),"Fail")))</f>
        <v>Pass</v>
      </c>
      <c r="W164" s="63">
        <v>1428</v>
      </c>
      <c r="X164" s="241" t="s">
        <v>206</v>
      </c>
      <c r="Z164" s="37">
        <v>2000</v>
      </c>
      <c r="AA164" s="37">
        <v>3000</v>
      </c>
      <c r="AB164" s="37">
        <v>2200</v>
      </c>
      <c r="AC164" s="37">
        <v>3280</v>
      </c>
      <c r="AD164" s="39">
        <v>12</v>
      </c>
      <c r="AE164" s="39">
        <v>12</v>
      </c>
    </row>
    <row r="165" spans="1:31" ht="16.5" customHeight="1">
      <c r="A165" s="199"/>
      <c r="B165" s="48"/>
      <c r="C165" s="51" t="s">
        <v>155</v>
      </c>
      <c r="D165" s="8">
        <v>1233.4100000000001</v>
      </c>
      <c r="E165" s="8">
        <v>1253.1400000000001</v>
      </c>
      <c r="F165" s="8">
        <v>1280.3</v>
      </c>
      <c r="G165" s="8">
        <v>1269.31</v>
      </c>
      <c r="H165" s="8">
        <v>1281.78</v>
      </c>
      <c r="I165" s="8">
        <v>1237.94</v>
      </c>
      <c r="J165" s="8">
        <v>1254.6500000000001</v>
      </c>
      <c r="K165" s="8">
        <v>1268.93</v>
      </c>
      <c r="L165" s="8">
        <v>1268.21</v>
      </c>
      <c r="M165" s="80"/>
      <c r="N165" s="80"/>
      <c r="O165" s="80"/>
      <c r="P165" s="80"/>
      <c r="Q165" s="48"/>
      <c r="R165" s="48"/>
      <c r="S165" s="48"/>
      <c r="T165" s="48"/>
      <c r="U165" s="48"/>
      <c r="V165" s="47"/>
      <c r="W165" s="48"/>
      <c r="X165" s="79"/>
    </row>
    <row r="166" spans="1:31" ht="24.75" customHeight="1" thickBot="1">
      <c r="A166" s="199"/>
      <c r="B166" s="61"/>
      <c r="C166" s="51" t="s">
        <v>154</v>
      </c>
      <c r="D166" s="24">
        <f t="shared" ref="D166:L166" si="50">IF(((D164="")*AND(D165="")),"",(D164-D165)*4)</f>
        <v>2729.3999999999996</v>
      </c>
      <c r="E166" s="24">
        <f t="shared" si="50"/>
        <v>2627.3599999999997</v>
      </c>
      <c r="F166" s="24">
        <f t="shared" si="50"/>
        <v>2528.7200000000003</v>
      </c>
      <c r="G166" s="24">
        <f t="shared" si="50"/>
        <v>2561.16</v>
      </c>
      <c r="H166" s="24">
        <f t="shared" si="50"/>
        <v>2541.4400000000005</v>
      </c>
      <c r="I166" s="24">
        <f t="shared" si="50"/>
        <v>2708.24</v>
      </c>
      <c r="J166" s="24">
        <f t="shared" si="50"/>
        <v>2631.96</v>
      </c>
      <c r="K166" s="24">
        <f t="shared" si="50"/>
        <v>2572.5999999999995</v>
      </c>
      <c r="L166" s="24">
        <f t="shared" si="50"/>
        <v>2603.12</v>
      </c>
      <c r="M166" s="24"/>
      <c r="N166" s="24"/>
      <c r="O166" s="24"/>
      <c r="P166" s="24" t="str">
        <f>IF(((P164="")*AND(P165="")),"",(P164-P165)*4)</f>
        <v/>
      </c>
      <c r="Q166" s="61"/>
      <c r="R166" s="61"/>
      <c r="S166" s="61"/>
      <c r="T166" s="61"/>
      <c r="U166" s="61"/>
      <c r="V166" s="60"/>
      <c r="W166" s="61"/>
      <c r="X166" s="79"/>
    </row>
    <row r="167" spans="1:31">
      <c r="A167" s="198">
        <v>42682</v>
      </c>
      <c r="B167" s="57" t="s">
        <v>157</v>
      </c>
      <c r="C167" s="51" t="s">
        <v>156</v>
      </c>
      <c r="D167" s="8">
        <v>2944.22</v>
      </c>
      <c r="E167" s="8">
        <v>3214.33</v>
      </c>
      <c r="F167" s="8">
        <v>3310.93</v>
      </c>
      <c r="G167" s="8">
        <v>3157.16</v>
      </c>
      <c r="H167" s="8">
        <v>3016.45</v>
      </c>
      <c r="I167" s="8">
        <v>2549.48</v>
      </c>
      <c r="J167" s="8">
        <v>3143.87</v>
      </c>
      <c r="K167" s="8">
        <v>3295.53</v>
      </c>
      <c r="L167" s="8">
        <v>3124.4</v>
      </c>
      <c r="M167" s="80"/>
      <c r="N167" s="80"/>
      <c r="O167" s="80"/>
      <c r="P167" s="80"/>
      <c r="Q167" s="57">
        <f>IF((L168=""),"",MAX(D169:L169))</f>
        <v>3317.4</v>
      </c>
      <c r="R167" s="57">
        <f>IF(L168="","",MIN(D169:L169))</f>
        <v>3224.2</v>
      </c>
      <c r="S167" s="58">
        <f>IF((L169=""),"",AVERAGE(D169:L169))</f>
        <v>3292.6200000000003</v>
      </c>
      <c r="T167" s="57">
        <f>IF((L168=""),"",((Q167-R167)/(Q167+R167))*100)</f>
        <v>1.4247278953161346</v>
      </c>
      <c r="U167" s="56">
        <f>STDEV(D167:L167)</f>
        <v>232.81164685451438</v>
      </c>
      <c r="V167" s="55" t="str">
        <f>IF(L168="","",(IF(T167&lt;7,IF(S167&gt;2800,IF(S167&lt;3800,"Pass","Fail"),"Fail"),"Fail")))</f>
        <v>Pass</v>
      </c>
      <c r="W167" s="57">
        <v>1428</v>
      </c>
      <c r="X167" s="241" t="s">
        <v>206</v>
      </c>
      <c r="Z167" s="53">
        <v>2800</v>
      </c>
      <c r="AA167" s="53">
        <v>3800</v>
      </c>
      <c r="AB167" s="53">
        <v>3100</v>
      </c>
      <c r="AC167" s="53">
        <v>3760</v>
      </c>
      <c r="AD167" s="52">
        <v>6</v>
      </c>
      <c r="AE167" s="52">
        <v>6</v>
      </c>
    </row>
    <row r="168" spans="1:31" ht="16.5" customHeight="1">
      <c r="A168" s="199"/>
      <c r="B168" s="48"/>
      <c r="C168" s="51" t="s">
        <v>155</v>
      </c>
      <c r="D168" s="8">
        <v>1285.6099999999999</v>
      </c>
      <c r="E168" s="8">
        <v>1564.85</v>
      </c>
      <c r="F168" s="8">
        <v>1663.62</v>
      </c>
      <c r="G168" s="8">
        <v>1502.8</v>
      </c>
      <c r="H168" s="8">
        <v>1382.21</v>
      </c>
      <c r="I168" s="8">
        <v>937.38</v>
      </c>
      <c r="J168" s="8">
        <v>1490.05</v>
      </c>
      <c r="K168" s="8">
        <v>1647.36</v>
      </c>
      <c r="L168" s="8">
        <v>1465.7</v>
      </c>
      <c r="M168" s="80"/>
      <c r="N168" s="80"/>
      <c r="O168" s="80"/>
      <c r="P168" s="80"/>
      <c r="Q168" s="48"/>
      <c r="R168" s="48"/>
      <c r="S168" s="49"/>
      <c r="T168" s="48"/>
      <c r="U168" s="48"/>
      <c r="V168" s="47"/>
      <c r="W168" s="48"/>
      <c r="X168" s="79"/>
    </row>
    <row r="169" spans="1:31" ht="24.75" customHeight="1" thickBot="1">
      <c r="A169" s="199"/>
      <c r="B169" s="42"/>
      <c r="C169" s="45" t="s">
        <v>154</v>
      </c>
      <c r="D169" s="44">
        <f t="shared" ref="D169:L169" si="51">IF(((D167="")*AND(D168="")),"",(D167-D168)*2)</f>
        <v>3317.22</v>
      </c>
      <c r="E169" s="44">
        <f t="shared" si="51"/>
        <v>3298.96</v>
      </c>
      <c r="F169" s="44">
        <f t="shared" si="51"/>
        <v>3294.62</v>
      </c>
      <c r="G169" s="44">
        <f t="shared" si="51"/>
        <v>3308.72</v>
      </c>
      <c r="H169" s="44">
        <f t="shared" si="51"/>
        <v>3268.4799999999996</v>
      </c>
      <c r="I169" s="44">
        <f t="shared" si="51"/>
        <v>3224.2</v>
      </c>
      <c r="J169" s="44">
        <f t="shared" si="51"/>
        <v>3307.64</v>
      </c>
      <c r="K169" s="44">
        <f t="shared" si="51"/>
        <v>3296.3400000000006</v>
      </c>
      <c r="L169" s="44">
        <f t="shared" si="51"/>
        <v>3317.4</v>
      </c>
      <c r="M169" s="44"/>
      <c r="N169" s="44"/>
      <c r="O169" s="44"/>
      <c r="P169" s="44"/>
      <c r="Q169" s="42"/>
      <c r="R169" s="42"/>
      <c r="S169" s="43"/>
      <c r="T169" s="42"/>
      <c r="U169" s="42"/>
      <c r="V169" s="41"/>
      <c r="W169" s="42"/>
      <c r="X169" s="78"/>
    </row>
    <row r="170" spans="1:31">
      <c r="A170" s="198">
        <v>42699</v>
      </c>
      <c r="B170" s="63" t="s">
        <v>158</v>
      </c>
      <c r="C170" s="56" t="s">
        <v>156</v>
      </c>
      <c r="D170" s="8">
        <v>1947.92</v>
      </c>
      <c r="E170" s="8">
        <v>1937.04</v>
      </c>
      <c r="F170" s="8">
        <v>1921.7</v>
      </c>
      <c r="G170" s="8">
        <v>1932.22</v>
      </c>
      <c r="H170" s="8">
        <v>1946.1</v>
      </c>
      <c r="I170" s="8">
        <v>1950.12</v>
      </c>
      <c r="J170" s="8">
        <v>1936.89</v>
      </c>
      <c r="K170" s="8">
        <v>1933.34</v>
      </c>
      <c r="L170" s="8">
        <v>1946.22</v>
      </c>
      <c r="M170" s="80"/>
      <c r="N170" s="80"/>
      <c r="O170" s="80"/>
      <c r="P170" s="80"/>
      <c r="Q170" s="63">
        <f>IF((L171=""),"",MAX(D172:L172))</f>
        <v>2762.2000000000007</v>
      </c>
      <c r="R170" s="63">
        <f>IF(L171="","",MIN(D172:L172))</f>
        <v>2569.1999999999998</v>
      </c>
      <c r="S170" s="63">
        <f>IF((L172=""),"",AVERAGE(D172:L172))</f>
        <v>2649.8444444444449</v>
      </c>
      <c r="T170" s="63">
        <f>IF((L171=""),"",((Q170-R170)/(Q170+R170))*100)</f>
        <v>3.6200622725738247</v>
      </c>
      <c r="U170" s="51">
        <f>STDEV(D170:L170)</f>
        <v>9.2959217461867745</v>
      </c>
      <c r="V170" s="64" t="str">
        <f>IF(L171="","",(IF(T170&lt;12,IF(S170&gt;2200,IF(S170&lt;3280,"Pass","Fail"),"Fail"),"Fail")))</f>
        <v>Pass</v>
      </c>
      <c r="W170" s="63">
        <v>1335</v>
      </c>
      <c r="X170" s="241" t="s">
        <v>205</v>
      </c>
      <c r="Z170" s="37">
        <v>2000</v>
      </c>
      <c r="AA170" s="37">
        <v>3000</v>
      </c>
      <c r="AB170" s="37">
        <v>2200</v>
      </c>
      <c r="AC170" s="37">
        <v>3280</v>
      </c>
      <c r="AD170" s="39">
        <v>12</v>
      </c>
      <c r="AE170" s="39">
        <v>12</v>
      </c>
    </row>
    <row r="171" spans="1:31" ht="16.5" customHeight="1">
      <c r="A171" s="199"/>
      <c r="B171" s="48"/>
      <c r="C171" s="51" t="s">
        <v>155</v>
      </c>
      <c r="D171" s="8">
        <v>1257.3699999999999</v>
      </c>
      <c r="E171" s="8">
        <v>1267.8800000000001</v>
      </c>
      <c r="F171" s="8">
        <v>1279.4000000000001</v>
      </c>
      <c r="G171" s="8">
        <v>1281.7</v>
      </c>
      <c r="H171" s="8">
        <v>1302.5899999999999</v>
      </c>
      <c r="I171" s="8">
        <v>1260.02</v>
      </c>
      <c r="J171" s="8">
        <v>1267.95</v>
      </c>
      <c r="K171" s="8">
        <v>1282.6600000000001</v>
      </c>
      <c r="L171" s="8">
        <v>1289.83</v>
      </c>
      <c r="M171" s="80"/>
      <c r="N171" s="80"/>
      <c r="O171" s="80"/>
      <c r="P171" s="80"/>
      <c r="Q171" s="48"/>
      <c r="R171" s="48"/>
      <c r="S171" s="48"/>
      <c r="T171" s="48"/>
      <c r="U171" s="48"/>
      <c r="V171" s="47"/>
      <c r="W171" s="48"/>
      <c r="X171" s="79"/>
    </row>
    <row r="172" spans="1:31" ht="24.75" customHeight="1" thickBot="1">
      <c r="A172" s="199"/>
      <c r="B172" s="61"/>
      <c r="C172" s="51" t="s">
        <v>154</v>
      </c>
      <c r="D172" s="24">
        <f t="shared" ref="D172:L172" si="52">IF(((D170="")*AND(D171="")),"",(D170-D171)*4)</f>
        <v>2762.2000000000007</v>
      </c>
      <c r="E172" s="24">
        <f t="shared" si="52"/>
        <v>2676.6399999999994</v>
      </c>
      <c r="F172" s="24">
        <f t="shared" si="52"/>
        <v>2569.1999999999998</v>
      </c>
      <c r="G172" s="24">
        <f t="shared" si="52"/>
        <v>2602.08</v>
      </c>
      <c r="H172" s="24">
        <f t="shared" si="52"/>
        <v>2574.04</v>
      </c>
      <c r="I172" s="24">
        <f t="shared" si="52"/>
        <v>2760.3999999999996</v>
      </c>
      <c r="J172" s="24">
        <f t="shared" si="52"/>
        <v>2675.76</v>
      </c>
      <c r="K172" s="24">
        <f t="shared" si="52"/>
        <v>2602.7199999999993</v>
      </c>
      <c r="L172" s="24">
        <f t="shared" si="52"/>
        <v>2625.5600000000004</v>
      </c>
      <c r="M172" s="24"/>
      <c r="N172" s="24"/>
      <c r="O172" s="24"/>
      <c r="P172" s="24" t="str">
        <f>IF(((P170="")*AND(P171="")),"",(P170-P171)*4)</f>
        <v/>
      </c>
      <c r="Q172" s="61"/>
      <c r="R172" s="61"/>
      <c r="S172" s="61"/>
      <c r="T172" s="61"/>
      <c r="U172" s="61"/>
      <c r="V172" s="60"/>
      <c r="W172" s="61"/>
      <c r="X172" s="79"/>
    </row>
    <row r="173" spans="1:31">
      <c r="A173" s="198">
        <v>42699</v>
      </c>
      <c r="B173" s="57" t="s">
        <v>157</v>
      </c>
      <c r="C173" s="51" t="s">
        <v>156</v>
      </c>
      <c r="D173" s="8">
        <v>6842.56</v>
      </c>
      <c r="E173" s="8">
        <v>6847.96</v>
      </c>
      <c r="F173" s="8">
        <v>6861.01</v>
      </c>
      <c r="G173" s="8">
        <v>6817.85</v>
      </c>
      <c r="H173" s="8">
        <v>6856.42</v>
      </c>
      <c r="I173" s="8">
        <v>6807.69</v>
      </c>
      <c r="J173" s="8">
        <v>6819.21</v>
      </c>
      <c r="K173" s="8">
        <v>6856.45</v>
      </c>
      <c r="L173" s="8">
        <v>6931.31</v>
      </c>
      <c r="M173" s="80"/>
      <c r="N173" s="80"/>
      <c r="O173" s="80"/>
      <c r="P173" s="80"/>
      <c r="Q173" s="57">
        <f>IF((L174=""),"",MAX(D175:L175))</f>
        <v>3360.42</v>
      </c>
      <c r="R173" s="57">
        <f>IF(L174="","",MIN(D175:L175))</f>
        <v>3284.7599999999984</v>
      </c>
      <c r="S173" s="58">
        <f>IF((L175=""),"",AVERAGE(D175:L175))</f>
        <v>3333.4822222222219</v>
      </c>
      <c r="T173" s="57">
        <f>IF((L174=""),"",((Q173-R173)/(Q173+R173))*100)</f>
        <v>1.1385696098525804</v>
      </c>
      <c r="U173" s="56">
        <f>STDEV(D173:L173)</f>
        <v>36.463235937244072</v>
      </c>
      <c r="V173" s="55" t="str">
        <f>IF(L174="","",(IF(T173&lt;7,IF(S173&gt;2800,IF(S173&lt;3800,"Pass","Fail"),"Fail"),"Fail")))</f>
        <v>Pass</v>
      </c>
      <c r="W173" s="57">
        <v>1335</v>
      </c>
      <c r="X173" s="241" t="s">
        <v>205</v>
      </c>
      <c r="Z173" s="53">
        <v>2800</v>
      </c>
      <c r="AA173" s="53">
        <v>3800</v>
      </c>
      <c r="AB173" s="53">
        <v>3100</v>
      </c>
      <c r="AC173" s="53">
        <v>3760</v>
      </c>
      <c r="AD173" s="52">
        <v>6</v>
      </c>
      <c r="AE173" s="52">
        <v>6</v>
      </c>
    </row>
    <row r="174" spans="1:31" ht="16.5" customHeight="1">
      <c r="A174" s="199"/>
      <c r="B174" s="48"/>
      <c r="C174" s="51" t="s">
        <v>155</v>
      </c>
      <c r="D174" s="8">
        <v>5175.53</v>
      </c>
      <c r="E174" s="8">
        <v>5174.93</v>
      </c>
      <c r="F174" s="8">
        <v>5191.17</v>
      </c>
      <c r="G174" s="8">
        <v>5146.47</v>
      </c>
      <c r="H174" s="8">
        <v>5204.32</v>
      </c>
      <c r="I174" s="8">
        <v>5165.3100000000004</v>
      </c>
      <c r="J174" s="8">
        <v>5147.21</v>
      </c>
      <c r="K174" s="8">
        <v>5183.75</v>
      </c>
      <c r="L174" s="8">
        <v>5251.1</v>
      </c>
      <c r="M174" s="80"/>
      <c r="N174" s="80"/>
      <c r="O174" s="80"/>
      <c r="P174" s="80"/>
      <c r="Q174" s="48"/>
      <c r="R174" s="48"/>
      <c r="S174" s="49"/>
      <c r="T174" s="48"/>
      <c r="U174" s="48"/>
      <c r="V174" s="47"/>
      <c r="W174" s="48"/>
      <c r="X174" s="79"/>
    </row>
    <row r="175" spans="1:31" ht="24.75" customHeight="1" thickBot="1">
      <c r="A175" s="199"/>
      <c r="B175" s="42"/>
      <c r="C175" s="45" t="s">
        <v>154</v>
      </c>
      <c r="D175" s="44">
        <f t="shared" ref="D175:L175" si="53">IF(((D173="")*AND(D174="")),"",(D173-D174)*2)</f>
        <v>3334.0600000000013</v>
      </c>
      <c r="E175" s="44">
        <f t="shared" si="53"/>
        <v>3346.0599999999995</v>
      </c>
      <c r="F175" s="44">
        <f t="shared" si="53"/>
        <v>3339.6800000000003</v>
      </c>
      <c r="G175" s="44">
        <f t="shared" si="53"/>
        <v>3342.76</v>
      </c>
      <c r="H175" s="44">
        <f t="shared" si="53"/>
        <v>3304.2000000000007</v>
      </c>
      <c r="I175" s="44">
        <f t="shared" si="53"/>
        <v>3284.7599999999984</v>
      </c>
      <c r="J175" s="44">
        <f t="shared" si="53"/>
        <v>3344</v>
      </c>
      <c r="K175" s="44">
        <f t="shared" si="53"/>
        <v>3345.3999999999996</v>
      </c>
      <c r="L175" s="44">
        <f t="shared" si="53"/>
        <v>3360.42</v>
      </c>
      <c r="M175" s="44"/>
      <c r="N175" s="44"/>
      <c r="O175" s="44"/>
      <c r="P175" s="44"/>
      <c r="Q175" s="42"/>
      <c r="R175" s="42"/>
      <c r="S175" s="43"/>
      <c r="T175" s="42"/>
      <c r="U175" s="42"/>
      <c r="V175" s="41"/>
      <c r="W175" s="42"/>
      <c r="X175" s="78"/>
    </row>
    <row r="176" spans="1:31">
      <c r="A176" s="198">
        <v>42709</v>
      </c>
      <c r="B176" s="63" t="s">
        <v>158</v>
      </c>
      <c r="C176" s="56" t="s">
        <v>156</v>
      </c>
      <c r="D176" s="8">
        <v>1911.61</v>
      </c>
      <c r="E176" s="8">
        <v>1907.52</v>
      </c>
      <c r="F176" s="8">
        <v>1909.81</v>
      </c>
      <c r="G176" s="8">
        <v>1907.87</v>
      </c>
      <c r="H176" s="8">
        <v>1913.81</v>
      </c>
      <c r="I176" s="8">
        <v>1910.33</v>
      </c>
      <c r="J176" s="8">
        <v>1907.95</v>
      </c>
      <c r="K176" s="8">
        <v>1906.9</v>
      </c>
      <c r="L176" s="8">
        <v>1914.46</v>
      </c>
      <c r="M176" s="80"/>
      <c r="N176" s="80"/>
      <c r="O176" s="80"/>
      <c r="P176" s="80"/>
      <c r="Q176" s="63">
        <f>IF((L177=""),"",MAX(D178:L178))</f>
        <v>2691.88</v>
      </c>
      <c r="R176" s="63">
        <f>IF(L177="","",MIN(D178:L178))</f>
        <v>2495.4399999999996</v>
      </c>
      <c r="S176" s="63">
        <f>IF((L178=""),"",AVERAGE(D178:L178))</f>
        <v>2584.4488888888882</v>
      </c>
      <c r="T176" s="63">
        <f>IF((L177=""),"",((Q176-R176)/(Q176+R176))*100)</f>
        <v>3.7869265825127529</v>
      </c>
      <c r="U176" s="51">
        <f>STDEV(D176:L176)</f>
        <v>2.7757226284326144</v>
      </c>
      <c r="V176" s="64" t="str">
        <f>IF(L177="","",(IF(T176&lt;12,IF(S176&gt;2200,IF(S176&lt;3280,"Pass","Fail"),"Fail"),"Fail")))</f>
        <v>Pass</v>
      </c>
      <c r="W176" s="63">
        <v>102</v>
      </c>
      <c r="X176" s="243" t="s">
        <v>204</v>
      </c>
      <c r="Z176" s="37">
        <v>2000</v>
      </c>
      <c r="AA176" s="37">
        <v>3000</v>
      </c>
      <c r="AB176" s="37">
        <v>2200</v>
      </c>
      <c r="AC176" s="37">
        <v>3280</v>
      </c>
      <c r="AD176" s="39">
        <v>12</v>
      </c>
      <c r="AE176" s="39">
        <v>12</v>
      </c>
    </row>
    <row r="177" spans="1:31" ht="16.5" customHeight="1">
      <c r="A177" s="199"/>
      <c r="B177" s="48"/>
      <c r="C177" s="51" t="s">
        <v>155</v>
      </c>
      <c r="D177" s="8">
        <v>1244.94</v>
      </c>
      <c r="E177" s="8">
        <v>1261.3499999999999</v>
      </c>
      <c r="F177" s="8">
        <v>1285.95</v>
      </c>
      <c r="G177" s="8">
        <v>1270.93</v>
      </c>
      <c r="H177" s="8">
        <v>1275.26</v>
      </c>
      <c r="I177" s="8">
        <v>1237.3599999999999</v>
      </c>
      <c r="J177" s="8">
        <v>1256.3900000000001</v>
      </c>
      <c r="K177" s="8">
        <v>1272.92</v>
      </c>
      <c r="L177" s="8">
        <v>1270.1500000000001</v>
      </c>
      <c r="M177" s="80"/>
      <c r="N177" s="80"/>
      <c r="O177" s="80"/>
      <c r="P177" s="80"/>
      <c r="Q177" s="48"/>
      <c r="R177" s="48"/>
      <c r="S177" s="48"/>
      <c r="T177" s="48"/>
      <c r="U177" s="48"/>
      <c r="V177" s="47"/>
      <c r="W177" s="48"/>
      <c r="X177" s="83"/>
    </row>
    <row r="178" spans="1:31" ht="24.75" customHeight="1" thickBot="1">
      <c r="A178" s="199"/>
      <c r="B178" s="61"/>
      <c r="C178" s="51" t="s">
        <v>154</v>
      </c>
      <c r="D178" s="24">
        <f t="shared" ref="D178:L178" si="54">IF(((D176="")*AND(D177="")),"",(D176-D177)*4)</f>
        <v>2666.6799999999994</v>
      </c>
      <c r="E178" s="24">
        <f t="shared" si="54"/>
        <v>2584.6800000000003</v>
      </c>
      <c r="F178" s="24">
        <f t="shared" si="54"/>
        <v>2495.4399999999996</v>
      </c>
      <c r="G178" s="24">
        <f t="shared" si="54"/>
        <v>2547.7599999999993</v>
      </c>
      <c r="H178" s="24">
        <f t="shared" si="54"/>
        <v>2554.1999999999998</v>
      </c>
      <c r="I178" s="24">
        <f t="shared" si="54"/>
        <v>2691.88</v>
      </c>
      <c r="J178" s="24">
        <f t="shared" si="54"/>
        <v>2606.2399999999998</v>
      </c>
      <c r="K178" s="24">
        <f t="shared" si="54"/>
        <v>2535.92</v>
      </c>
      <c r="L178" s="24">
        <f t="shared" si="54"/>
        <v>2577.2399999999998</v>
      </c>
      <c r="M178" s="24"/>
      <c r="N178" s="24"/>
      <c r="O178" s="24"/>
      <c r="P178" s="24" t="str">
        <f>IF(((P176="")*AND(P177="")),"",(P176-P177)*4)</f>
        <v/>
      </c>
      <c r="Q178" s="61"/>
      <c r="R178" s="61"/>
      <c r="S178" s="61"/>
      <c r="T178" s="61"/>
      <c r="U178" s="61"/>
      <c r="V178" s="60"/>
      <c r="W178" s="61"/>
      <c r="X178" s="83"/>
    </row>
    <row r="179" spans="1:31">
      <c r="A179" s="198">
        <v>42709</v>
      </c>
      <c r="B179" s="57" t="s">
        <v>157</v>
      </c>
      <c r="C179" s="51" t="s">
        <v>156</v>
      </c>
      <c r="D179" s="8">
        <v>6850.09</v>
      </c>
      <c r="E179" s="8">
        <v>6878.52</v>
      </c>
      <c r="F179" s="8">
        <v>6906.25</v>
      </c>
      <c r="G179" s="8">
        <v>6853.2</v>
      </c>
      <c r="H179" s="8">
        <v>6854.97</v>
      </c>
      <c r="I179" s="8">
        <v>6804.41</v>
      </c>
      <c r="J179" s="8">
        <v>6850.68</v>
      </c>
      <c r="K179" s="8">
        <v>6898.43</v>
      </c>
      <c r="L179" s="8">
        <v>6934.5</v>
      </c>
      <c r="M179" s="80"/>
      <c r="N179" s="80"/>
      <c r="O179" s="80"/>
      <c r="P179" s="80"/>
      <c r="Q179" s="57">
        <f>IF((L180=""),"",MAX(D181:L181))</f>
        <v>3432.2999999999993</v>
      </c>
      <c r="R179" s="57">
        <f>IF(L180="","",MIN(D181:L181))</f>
        <v>3359.1400000000012</v>
      </c>
      <c r="S179" s="58">
        <f>IF((L181=""),"",AVERAGE(D181:L181))</f>
        <v>3376.5422222222228</v>
      </c>
      <c r="T179" s="57">
        <f>IF((L180=""),"",((Q179-R179)/(Q179+R179))*100)</f>
        <v>1.0772384059933982</v>
      </c>
      <c r="U179" s="56">
        <f>STDEV(D179:L179)</f>
        <v>38.624643687673363</v>
      </c>
      <c r="V179" s="55" t="str">
        <f>IF(L180="","",(IF(T179&lt;7,IF(S179&gt;2800,IF(S179&lt;3800,"Pass","Fail"),"Fail"),"Fail")))</f>
        <v>Pass</v>
      </c>
      <c r="W179" s="57">
        <v>102</v>
      </c>
      <c r="X179" s="243" t="s">
        <v>204</v>
      </c>
      <c r="Z179" s="53">
        <v>2800</v>
      </c>
      <c r="AA179" s="53">
        <v>3800</v>
      </c>
      <c r="AB179" s="53">
        <v>3100</v>
      </c>
      <c r="AC179" s="53">
        <v>3760</v>
      </c>
      <c r="AD179" s="52">
        <v>6</v>
      </c>
      <c r="AE179" s="52">
        <v>6</v>
      </c>
    </row>
    <row r="180" spans="1:31" ht="16.5" customHeight="1">
      <c r="A180" s="199"/>
      <c r="B180" s="48"/>
      <c r="C180" s="51" t="s">
        <v>155</v>
      </c>
      <c r="D180" s="8">
        <v>5158.1499999999996</v>
      </c>
      <c r="E180" s="8">
        <v>5198.95</v>
      </c>
      <c r="F180" s="8">
        <v>5226.46</v>
      </c>
      <c r="G180" s="8">
        <v>5173.42</v>
      </c>
      <c r="H180" s="8">
        <v>5164.62</v>
      </c>
      <c r="I180" s="8">
        <v>5088.26</v>
      </c>
      <c r="J180" s="8">
        <v>5170.07</v>
      </c>
      <c r="K180" s="8">
        <v>5215.54</v>
      </c>
      <c r="L180" s="8">
        <v>5241.1400000000003</v>
      </c>
      <c r="M180" s="80"/>
      <c r="N180" s="80"/>
      <c r="O180" s="80"/>
      <c r="P180" s="80"/>
      <c r="Q180" s="48"/>
      <c r="R180" s="48"/>
      <c r="S180" s="49"/>
      <c r="T180" s="48"/>
      <c r="U180" s="48"/>
      <c r="V180" s="47"/>
      <c r="W180" s="48"/>
      <c r="X180" s="83"/>
    </row>
    <row r="181" spans="1:31" ht="24.75" customHeight="1" thickBot="1">
      <c r="A181" s="199"/>
      <c r="B181" s="42"/>
      <c r="C181" s="45" t="s">
        <v>154</v>
      </c>
      <c r="D181" s="44">
        <f t="shared" ref="D181:L181" si="55">IF(((D179="")*AND(D180="")),"",(D179-D180)*2)</f>
        <v>3383.880000000001</v>
      </c>
      <c r="E181" s="44">
        <f t="shared" si="55"/>
        <v>3359.1400000000012</v>
      </c>
      <c r="F181" s="44">
        <f t="shared" si="55"/>
        <v>3359.58</v>
      </c>
      <c r="G181" s="44">
        <f t="shared" si="55"/>
        <v>3359.5599999999995</v>
      </c>
      <c r="H181" s="44">
        <f t="shared" si="55"/>
        <v>3380.7000000000007</v>
      </c>
      <c r="I181" s="44">
        <f t="shared" si="55"/>
        <v>3432.2999999999993</v>
      </c>
      <c r="J181" s="44">
        <f t="shared" si="55"/>
        <v>3361.2200000000012</v>
      </c>
      <c r="K181" s="44">
        <f t="shared" si="55"/>
        <v>3365.7800000000007</v>
      </c>
      <c r="L181" s="44">
        <f t="shared" si="55"/>
        <v>3386.7199999999993</v>
      </c>
      <c r="M181" s="44"/>
      <c r="N181" s="44"/>
      <c r="O181" s="44"/>
      <c r="P181" s="44"/>
      <c r="Q181" s="42"/>
      <c r="R181" s="42"/>
      <c r="S181" s="43"/>
      <c r="T181" s="42"/>
      <c r="U181" s="42"/>
      <c r="V181" s="41"/>
      <c r="W181" s="42"/>
      <c r="X181" s="82"/>
    </row>
    <row r="182" spans="1:31">
      <c r="A182" s="198">
        <v>42717</v>
      </c>
      <c r="B182" s="63" t="s">
        <v>158</v>
      </c>
      <c r="C182" s="56" t="s">
        <v>156</v>
      </c>
      <c r="D182" s="8">
        <v>1939.1</v>
      </c>
      <c r="E182" s="8">
        <v>1931.44</v>
      </c>
      <c r="F182" s="8">
        <v>1915.56</v>
      </c>
      <c r="G182" s="8">
        <v>1926.71</v>
      </c>
      <c r="H182" s="8">
        <v>1939.99</v>
      </c>
      <c r="I182" s="8">
        <v>1935.31</v>
      </c>
      <c r="J182" s="8">
        <v>1931.62</v>
      </c>
      <c r="K182" s="8">
        <v>1930.83</v>
      </c>
      <c r="L182" s="8">
        <v>1943.06</v>
      </c>
      <c r="M182" s="80"/>
      <c r="N182" s="80"/>
      <c r="O182" s="80"/>
      <c r="P182" s="80"/>
      <c r="Q182" s="63">
        <f>IF((L183=""),"",MAX(D184:L184))</f>
        <v>2710.8799999999992</v>
      </c>
      <c r="R182" s="63">
        <f>IF(L183="","",MIN(D184:L184))</f>
        <v>2531.3999999999996</v>
      </c>
      <c r="S182" s="63">
        <f>IF((L184=""),"",AVERAGE(D184:L184))</f>
        <v>2612.1066666666661</v>
      </c>
      <c r="T182" s="63">
        <f>IF((L183=""),"",((Q182-R182)/(Q182+R182))*100)</f>
        <v>3.4237011376729134</v>
      </c>
      <c r="U182" s="51">
        <f>STDEV(D182:L182)</f>
        <v>8.2470072013219919</v>
      </c>
      <c r="V182" s="64" t="str">
        <f>IF(L183="","",(IF(T182&lt;12,IF(S182&gt;2200,IF(S182&lt;3280,"Pass","Fail"),"Fail"),"Fail")))</f>
        <v>Pass</v>
      </c>
      <c r="W182" s="63">
        <v>1159</v>
      </c>
      <c r="X182" s="241" t="s">
        <v>203</v>
      </c>
      <c r="Z182" s="37">
        <v>2000</v>
      </c>
      <c r="AA182" s="37">
        <v>3000</v>
      </c>
      <c r="AB182" s="37">
        <v>2200</v>
      </c>
      <c r="AC182" s="37">
        <v>3280</v>
      </c>
      <c r="AD182" s="39">
        <v>12</v>
      </c>
      <c r="AE182" s="39">
        <v>12</v>
      </c>
    </row>
    <row r="183" spans="1:31" ht="16.5" customHeight="1">
      <c r="A183" s="199"/>
      <c r="B183" s="48"/>
      <c r="C183" s="51" t="s">
        <v>155</v>
      </c>
      <c r="D183" s="8">
        <v>1261.3800000000001</v>
      </c>
      <c r="E183" s="8">
        <v>1271.51</v>
      </c>
      <c r="F183" s="8">
        <v>1278.76</v>
      </c>
      <c r="G183" s="8">
        <v>1284.04</v>
      </c>
      <c r="H183" s="8">
        <v>1307.1400000000001</v>
      </c>
      <c r="I183" s="8">
        <v>1264.6500000000001</v>
      </c>
      <c r="J183" s="8">
        <v>1268.31</v>
      </c>
      <c r="K183" s="8">
        <v>1283.9000000000001</v>
      </c>
      <c r="L183" s="8">
        <v>1296.69</v>
      </c>
      <c r="M183" s="80"/>
      <c r="N183" s="80"/>
      <c r="O183" s="80"/>
      <c r="P183" s="80"/>
      <c r="Q183" s="48"/>
      <c r="R183" s="48"/>
      <c r="S183" s="48"/>
      <c r="T183" s="48"/>
      <c r="U183" s="48"/>
      <c r="V183" s="47"/>
      <c r="W183" s="48"/>
      <c r="X183" s="79"/>
    </row>
    <row r="184" spans="1:31" ht="24.75" customHeight="1" thickBot="1">
      <c r="A184" s="199"/>
      <c r="B184" s="61"/>
      <c r="C184" s="51" t="s">
        <v>154</v>
      </c>
      <c r="D184" s="24">
        <f t="shared" ref="D184:L184" si="56">IF(((D182="")*AND(D183="")),"",(D182-D183)*4)</f>
        <v>2710.8799999999992</v>
      </c>
      <c r="E184" s="24">
        <f t="shared" si="56"/>
        <v>2639.7200000000003</v>
      </c>
      <c r="F184" s="24">
        <f t="shared" si="56"/>
        <v>2547.1999999999998</v>
      </c>
      <c r="G184" s="24">
        <f t="shared" si="56"/>
        <v>2570.6800000000003</v>
      </c>
      <c r="H184" s="24">
        <f t="shared" si="56"/>
        <v>2531.3999999999996</v>
      </c>
      <c r="I184" s="24">
        <f t="shared" si="56"/>
        <v>2682.6399999999994</v>
      </c>
      <c r="J184" s="24">
        <f t="shared" si="56"/>
        <v>2653.24</v>
      </c>
      <c r="K184" s="24">
        <f t="shared" si="56"/>
        <v>2587.7199999999993</v>
      </c>
      <c r="L184" s="24">
        <f t="shared" si="56"/>
        <v>2585.4799999999996</v>
      </c>
      <c r="M184" s="24"/>
      <c r="N184" s="24"/>
      <c r="O184" s="24"/>
      <c r="P184" s="24" t="str">
        <f>IF(((P182="")*AND(P183="")),"",(P182-P183)*4)</f>
        <v/>
      </c>
      <c r="Q184" s="61"/>
      <c r="R184" s="61"/>
      <c r="S184" s="61"/>
      <c r="T184" s="61"/>
      <c r="U184" s="61"/>
      <c r="V184" s="60"/>
      <c r="W184" s="61"/>
      <c r="X184" s="79"/>
    </row>
    <row r="185" spans="1:31">
      <c r="A185" s="200">
        <v>42717</v>
      </c>
      <c r="B185" s="57" t="s">
        <v>157</v>
      </c>
      <c r="C185" s="51" t="s">
        <v>156</v>
      </c>
      <c r="D185" s="8">
        <v>6806.94</v>
      </c>
      <c r="E185" s="8">
        <v>6812.43</v>
      </c>
      <c r="F185" s="8">
        <v>6836.93</v>
      </c>
      <c r="G185" s="8">
        <v>6793.25</v>
      </c>
      <c r="H185" s="8">
        <v>6825.65</v>
      </c>
      <c r="I185" s="8">
        <v>6773.56</v>
      </c>
      <c r="J185" s="8">
        <v>6792.02</v>
      </c>
      <c r="K185" s="8">
        <v>6828.68</v>
      </c>
      <c r="L185" s="8">
        <v>6896.99</v>
      </c>
      <c r="M185" s="80"/>
      <c r="N185" s="80"/>
      <c r="O185" s="80"/>
      <c r="P185" s="80"/>
      <c r="Q185" s="57">
        <f>IF((L186=""),"",MAX(D187:L187))</f>
        <v>3411.34</v>
      </c>
      <c r="R185" s="57">
        <f>IF(L186="","",MIN(D187:L187))</f>
        <v>3356.3000000000011</v>
      </c>
      <c r="S185" s="58">
        <f>IF((L187=""),"",AVERAGE(D187:L187))</f>
        <v>3372.028888888889</v>
      </c>
      <c r="T185" s="57">
        <f>IF((L186=""),"",((Q185-R185)/(Q185+R185))*100)</f>
        <v>0.81328203036803137</v>
      </c>
      <c r="U185" s="56">
        <f>STDEV(D185:L185)</f>
        <v>35.679011025895448</v>
      </c>
      <c r="V185" s="55" t="str">
        <f>IF(L186="","",(IF(T185&lt;7,IF(S185&gt;2800,IF(S185&lt;3800,"Pass","Fail"),"Fail"),"Fail")))</f>
        <v>Pass</v>
      </c>
      <c r="W185" s="57">
        <v>1159</v>
      </c>
      <c r="X185" s="241" t="s">
        <v>203</v>
      </c>
      <c r="Z185" s="53">
        <v>2800</v>
      </c>
      <c r="AA185" s="53">
        <v>3800</v>
      </c>
      <c r="AB185" s="53">
        <v>3100</v>
      </c>
      <c r="AC185" s="53">
        <v>3760</v>
      </c>
      <c r="AD185" s="52">
        <v>6</v>
      </c>
      <c r="AE185" s="52">
        <v>6</v>
      </c>
    </row>
    <row r="186" spans="1:31" ht="16.5" customHeight="1">
      <c r="A186" s="199"/>
      <c r="B186" s="48"/>
      <c r="C186" s="51" t="s">
        <v>155</v>
      </c>
      <c r="D186" s="8">
        <v>5114.42</v>
      </c>
      <c r="E186" s="8">
        <v>5132.38</v>
      </c>
      <c r="F186" s="8">
        <v>5157.74</v>
      </c>
      <c r="G186" s="8">
        <v>5113.68</v>
      </c>
      <c r="H186" s="8">
        <v>5142.21</v>
      </c>
      <c r="I186" s="8">
        <v>5067.8900000000003</v>
      </c>
      <c r="J186" s="8">
        <v>5113.87</v>
      </c>
      <c r="K186" s="8">
        <v>5145.83</v>
      </c>
      <c r="L186" s="8">
        <v>5204.3</v>
      </c>
      <c r="M186" s="80"/>
      <c r="N186" s="80"/>
      <c r="O186" s="80"/>
      <c r="P186" s="80"/>
      <c r="Q186" s="48"/>
      <c r="R186" s="48"/>
      <c r="S186" s="49"/>
      <c r="T186" s="48"/>
      <c r="U186" s="48"/>
      <c r="V186" s="47"/>
      <c r="W186" s="48"/>
      <c r="X186" s="79"/>
    </row>
    <row r="187" spans="1:31" ht="24.75" customHeight="1" thickBot="1">
      <c r="A187" s="199"/>
      <c r="B187" s="42"/>
      <c r="C187" s="45" t="s">
        <v>154</v>
      </c>
      <c r="D187" s="44">
        <f t="shared" ref="D187:L187" si="57">IF(((D185="")*AND(D186="")),"",(D185-D186)*2)</f>
        <v>3385.0399999999991</v>
      </c>
      <c r="E187" s="44">
        <f t="shared" si="57"/>
        <v>3360.1000000000004</v>
      </c>
      <c r="F187" s="44">
        <f t="shared" si="57"/>
        <v>3358.380000000001</v>
      </c>
      <c r="G187" s="44">
        <f t="shared" si="57"/>
        <v>3359.1399999999994</v>
      </c>
      <c r="H187" s="44">
        <f t="shared" si="57"/>
        <v>3366.8799999999992</v>
      </c>
      <c r="I187" s="44">
        <f t="shared" si="57"/>
        <v>3411.34</v>
      </c>
      <c r="J187" s="44">
        <f t="shared" si="57"/>
        <v>3356.3000000000011</v>
      </c>
      <c r="K187" s="44">
        <f t="shared" si="57"/>
        <v>3365.7000000000007</v>
      </c>
      <c r="L187" s="44">
        <f t="shared" si="57"/>
        <v>3385.3799999999992</v>
      </c>
      <c r="M187" s="44"/>
      <c r="N187" s="44"/>
      <c r="O187" s="44"/>
      <c r="P187" s="44"/>
      <c r="Q187" s="42"/>
      <c r="R187" s="42"/>
      <c r="S187" s="43"/>
      <c r="T187" s="42"/>
      <c r="U187" s="42"/>
      <c r="V187" s="41"/>
      <c r="W187" s="42"/>
      <c r="X187" s="78"/>
    </row>
    <row r="188" spans="1:31">
      <c r="A188" s="198">
        <v>42720</v>
      </c>
      <c r="B188" s="63" t="s">
        <v>158</v>
      </c>
      <c r="C188" s="56" t="s">
        <v>156</v>
      </c>
      <c r="D188" s="8">
        <v>1916.21</v>
      </c>
      <c r="E188" s="8">
        <v>1910.36</v>
      </c>
      <c r="F188" s="8">
        <v>1910.76</v>
      </c>
      <c r="G188" s="8">
        <v>1904.02</v>
      </c>
      <c r="H188" s="8">
        <v>1913.73</v>
      </c>
      <c r="I188" s="8">
        <v>1913.19</v>
      </c>
      <c r="J188" s="8">
        <v>1908.79</v>
      </c>
      <c r="K188" s="8">
        <v>1906.92</v>
      </c>
      <c r="L188" s="8">
        <v>1916.19</v>
      </c>
      <c r="M188" s="80"/>
      <c r="N188" s="80"/>
      <c r="O188" s="80"/>
      <c r="P188" s="80"/>
      <c r="Q188" s="63">
        <f>IF((L189=""),"",MAX(D190:L190))</f>
        <v>2658.2</v>
      </c>
      <c r="R188" s="63">
        <f>IF(L189="","",MIN(D190:L190))</f>
        <v>2488</v>
      </c>
      <c r="S188" s="63">
        <f>IF((L190=""),"",AVERAGE(D190:L190))</f>
        <v>2564.7511111111112</v>
      </c>
      <c r="T188" s="63">
        <f>IF((L189=""),"",((Q188-R188)/(Q188+R188))*100)</f>
        <v>3.3072947028875643</v>
      </c>
      <c r="U188" s="51">
        <f>STDEV(D188:L188)</f>
        <v>4.1366532364345776</v>
      </c>
      <c r="V188" s="64" t="str">
        <f>IF(L189="","",(IF(T188&lt;12,IF(S188&gt;2200,IF(S188&lt;3280,"Pass","Fail"),"Fail"),"Fail")))</f>
        <v>Pass</v>
      </c>
      <c r="W188" s="63">
        <v>1400</v>
      </c>
      <c r="X188" s="241" t="s">
        <v>202</v>
      </c>
      <c r="Z188" s="37">
        <v>2000</v>
      </c>
      <c r="AA188" s="37">
        <v>3000</v>
      </c>
      <c r="AB188" s="37">
        <v>2200</v>
      </c>
      <c r="AC188" s="37">
        <v>3280</v>
      </c>
      <c r="AD188" s="39">
        <v>12</v>
      </c>
      <c r="AE188" s="39">
        <v>12</v>
      </c>
    </row>
    <row r="189" spans="1:31" ht="16.5" customHeight="1">
      <c r="A189" s="199"/>
      <c r="B189" s="48"/>
      <c r="C189" s="51" t="s">
        <v>155</v>
      </c>
      <c r="D189" s="8">
        <v>1251.6600000000001</v>
      </c>
      <c r="E189" s="8">
        <v>1261.07</v>
      </c>
      <c r="F189" s="8">
        <v>1281.29</v>
      </c>
      <c r="G189" s="8">
        <v>1274.1300000000001</v>
      </c>
      <c r="H189" s="8">
        <v>1291.73</v>
      </c>
      <c r="I189" s="8">
        <v>1253.8800000000001</v>
      </c>
      <c r="J189" s="8">
        <v>1259.3499999999999</v>
      </c>
      <c r="K189" s="8">
        <v>1272.75</v>
      </c>
      <c r="L189" s="8">
        <v>1283.6199999999999</v>
      </c>
      <c r="M189" s="80"/>
      <c r="N189" s="80"/>
      <c r="O189" s="80"/>
      <c r="P189" s="80"/>
      <c r="Q189" s="48"/>
      <c r="R189" s="48"/>
      <c r="S189" s="48"/>
      <c r="T189" s="48"/>
      <c r="U189" s="48"/>
      <c r="V189" s="47"/>
      <c r="W189" s="48"/>
      <c r="X189" s="79"/>
    </row>
    <row r="190" spans="1:31" ht="24.75" customHeight="1" thickBot="1">
      <c r="A190" s="199"/>
      <c r="B190" s="61"/>
      <c r="C190" s="51" t="s">
        <v>154</v>
      </c>
      <c r="D190" s="24">
        <f t="shared" ref="D190:L190" si="58">IF(((D188="")*AND(D189="")),"",(D188-D189)*4)</f>
        <v>2658.2</v>
      </c>
      <c r="E190" s="24">
        <f t="shared" si="58"/>
        <v>2597.16</v>
      </c>
      <c r="F190" s="24">
        <f t="shared" si="58"/>
        <v>2517.88</v>
      </c>
      <c r="G190" s="24">
        <f t="shared" si="58"/>
        <v>2519.5599999999995</v>
      </c>
      <c r="H190" s="24">
        <f t="shared" si="58"/>
        <v>2488</v>
      </c>
      <c r="I190" s="24">
        <f t="shared" si="58"/>
        <v>2637.24</v>
      </c>
      <c r="J190" s="24">
        <f t="shared" si="58"/>
        <v>2597.7600000000002</v>
      </c>
      <c r="K190" s="24">
        <f t="shared" si="58"/>
        <v>2536.6800000000003</v>
      </c>
      <c r="L190" s="24">
        <f t="shared" si="58"/>
        <v>2530.2800000000007</v>
      </c>
      <c r="M190" s="24"/>
      <c r="N190" s="24"/>
      <c r="O190" s="24"/>
      <c r="P190" s="24" t="str">
        <f>IF(((P188="")*AND(P189="")),"",(P188-P189)*4)</f>
        <v/>
      </c>
      <c r="Q190" s="61"/>
      <c r="R190" s="61"/>
      <c r="S190" s="61"/>
      <c r="T190" s="61"/>
      <c r="U190" s="61"/>
      <c r="V190" s="60"/>
      <c r="W190" s="61"/>
      <c r="X190" s="79"/>
    </row>
    <row r="191" spans="1:31">
      <c r="A191" s="200">
        <v>42720</v>
      </c>
      <c r="B191" s="57" t="s">
        <v>157</v>
      </c>
      <c r="C191" s="51" t="s">
        <v>156</v>
      </c>
      <c r="D191" s="8">
        <v>5118.1499999999996</v>
      </c>
      <c r="E191" s="8">
        <v>5136.1899999999996</v>
      </c>
      <c r="F191" s="8">
        <v>5161.71</v>
      </c>
      <c r="G191" s="8">
        <v>5117.6099999999997</v>
      </c>
      <c r="H191" s="8">
        <v>5146.2299999999996</v>
      </c>
      <c r="I191" s="8">
        <v>5071.9399999999996</v>
      </c>
      <c r="J191" s="8">
        <v>5117.9799999999996</v>
      </c>
      <c r="K191" s="8">
        <v>5149.8999999999996</v>
      </c>
      <c r="L191" s="8">
        <v>5208.8999999999996</v>
      </c>
      <c r="M191" s="80"/>
      <c r="N191" s="80"/>
      <c r="O191" s="80"/>
      <c r="P191" s="80"/>
      <c r="Q191" s="57">
        <f>IF((L192=""),"",MAX(D193:L193))</f>
        <v>3374.7799999999988</v>
      </c>
      <c r="R191" s="57">
        <f>IF(L192="","",MIN(D193:L193))</f>
        <v>3317.0399999999991</v>
      </c>
      <c r="S191" s="58">
        <f>IF((L193=""),"",AVERAGE(D193:L193))</f>
        <v>3332.3111111111107</v>
      </c>
      <c r="T191" s="57">
        <f>IF((L192=""),"",((Q191-R191)/(Q191+R191))*100)</f>
        <v>0.86284448774772482</v>
      </c>
      <c r="U191" s="56">
        <f>STDEV(D191:L191)</f>
        <v>37.67653506421204</v>
      </c>
      <c r="V191" s="55" t="str">
        <f>IF(L192="","",(IF(T191&lt;7,IF(S191&gt;2800,IF(S191&lt;3800,"Pass","Fail"),"Fail"),"Fail")))</f>
        <v>Pass</v>
      </c>
      <c r="W191" s="57">
        <v>1400</v>
      </c>
      <c r="X191" s="241" t="s">
        <v>202</v>
      </c>
      <c r="Z191" s="53">
        <v>2800</v>
      </c>
      <c r="AA191" s="53">
        <v>3800</v>
      </c>
      <c r="AB191" s="53">
        <v>3100</v>
      </c>
      <c r="AC191" s="53">
        <v>3760</v>
      </c>
      <c r="AD191" s="52">
        <v>6</v>
      </c>
      <c r="AE191" s="52">
        <v>6</v>
      </c>
    </row>
    <row r="192" spans="1:31" ht="16.5" customHeight="1">
      <c r="A192" s="199"/>
      <c r="B192" s="48"/>
      <c r="C192" s="51" t="s">
        <v>155</v>
      </c>
      <c r="D192" s="8">
        <v>3446.6</v>
      </c>
      <c r="E192" s="8">
        <v>3475.19</v>
      </c>
      <c r="F192" s="8">
        <v>3502.24</v>
      </c>
      <c r="G192" s="8">
        <v>3457.21</v>
      </c>
      <c r="H192" s="8">
        <v>3482.21</v>
      </c>
      <c r="I192" s="8">
        <v>3384.55</v>
      </c>
      <c r="J192" s="8">
        <v>3459.46</v>
      </c>
      <c r="K192" s="8">
        <v>3486.61</v>
      </c>
      <c r="L192" s="8">
        <v>3539.14</v>
      </c>
      <c r="M192" s="80"/>
      <c r="N192" s="80"/>
      <c r="O192" s="80"/>
      <c r="P192" s="80"/>
      <c r="Q192" s="48"/>
      <c r="R192" s="48"/>
      <c r="S192" s="49"/>
      <c r="T192" s="48"/>
      <c r="U192" s="48"/>
      <c r="V192" s="47"/>
      <c r="W192" s="48"/>
      <c r="X192" s="79"/>
    </row>
    <row r="193" spans="1:31" ht="24.75" customHeight="1" thickBot="1">
      <c r="A193" s="199"/>
      <c r="B193" s="42"/>
      <c r="C193" s="45" t="s">
        <v>154</v>
      </c>
      <c r="D193" s="44">
        <f t="shared" ref="D193:L193" si="59">IF(((D191="")*AND(D192="")),"",(D191-D192)*2)</f>
        <v>3343.0999999999995</v>
      </c>
      <c r="E193" s="44">
        <f t="shared" si="59"/>
        <v>3321.9999999999991</v>
      </c>
      <c r="F193" s="44">
        <f t="shared" si="59"/>
        <v>3318.9400000000005</v>
      </c>
      <c r="G193" s="44">
        <f t="shared" si="59"/>
        <v>3320.7999999999993</v>
      </c>
      <c r="H193" s="44">
        <f t="shared" si="59"/>
        <v>3328.0399999999991</v>
      </c>
      <c r="I193" s="44">
        <f t="shared" si="59"/>
        <v>3374.7799999999988</v>
      </c>
      <c r="J193" s="44">
        <f t="shared" si="59"/>
        <v>3317.0399999999991</v>
      </c>
      <c r="K193" s="44">
        <f t="shared" si="59"/>
        <v>3326.579999999999</v>
      </c>
      <c r="L193" s="44">
        <f t="shared" si="59"/>
        <v>3339.5199999999995</v>
      </c>
      <c r="M193" s="44"/>
      <c r="N193" s="44"/>
      <c r="O193" s="44"/>
      <c r="P193" s="44"/>
      <c r="Q193" s="42"/>
      <c r="R193" s="42"/>
      <c r="S193" s="43"/>
      <c r="T193" s="42"/>
      <c r="U193" s="42"/>
      <c r="V193" s="41"/>
      <c r="W193" s="42"/>
      <c r="X193" s="78"/>
    </row>
    <row r="194" spans="1:31">
      <c r="A194" s="198">
        <v>42724</v>
      </c>
      <c r="B194" s="63" t="s">
        <v>158</v>
      </c>
      <c r="C194" s="56" t="s">
        <v>156</v>
      </c>
      <c r="D194" s="8">
        <v>1977.95</v>
      </c>
      <c r="E194" s="8">
        <v>1966.65</v>
      </c>
      <c r="F194" s="8">
        <v>1948.71</v>
      </c>
      <c r="G194" s="8">
        <v>1963.01</v>
      </c>
      <c r="H194" s="8">
        <v>1988.11</v>
      </c>
      <c r="I194" s="8">
        <v>1973.4</v>
      </c>
      <c r="J194" s="8">
        <v>1962.3</v>
      </c>
      <c r="K194" s="8">
        <v>1967.66</v>
      </c>
      <c r="L194" s="8">
        <v>1994.18</v>
      </c>
      <c r="M194" s="80"/>
      <c r="N194" s="80"/>
      <c r="O194" s="80"/>
      <c r="P194" s="80"/>
      <c r="Q194" s="63">
        <f>IF((L195=""),"",MAX(D196:L196))</f>
        <v>2819.6800000000003</v>
      </c>
      <c r="R194" s="63">
        <f>IF(L195="","",MIN(D196:L196))</f>
        <v>2641.08</v>
      </c>
      <c r="S194" s="63">
        <f>IF((L196=""),"",AVERAGE(D196:L196))</f>
        <v>2721.7733333333335</v>
      </c>
      <c r="T194" s="63">
        <f>IF((L195=""),"",((Q194-R194)/(Q194+R194))*100)</f>
        <v>3.2706070217332455</v>
      </c>
      <c r="U194" s="51">
        <f>STDEV(D194:L194)</f>
        <v>13.917611145608147</v>
      </c>
      <c r="V194" s="64" t="str">
        <f>IF(L195="","",(IF(T194&lt;12,IF(S194&gt;2200,IF(S194&lt;3280,"Pass","Fail"),"Fail"),"Fail")))</f>
        <v>Pass</v>
      </c>
      <c r="W194" s="63">
        <v>1159</v>
      </c>
      <c r="X194" s="241" t="s">
        <v>201</v>
      </c>
      <c r="Z194" s="37">
        <v>2000</v>
      </c>
      <c r="AA194" s="37">
        <v>3000</v>
      </c>
      <c r="AB194" s="37">
        <v>2200</v>
      </c>
      <c r="AC194" s="37">
        <v>3280</v>
      </c>
      <c r="AD194" s="39">
        <v>12</v>
      </c>
      <c r="AE194" s="39">
        <v>12</v>
      </c>
    </row>
    <row r="195" spans="1:31" ht="16.5" customHeight="1">
      <c r="A195" s="199"/>
      <c r="B195" s="48"/>
      <c r="C195" s="51" t="s">
        <v>155</v>
      </c>
      <c r="D195" s="8">
        <v>1273.03</v>
      </c>
      <c r="E195" s="8">
        <v>1280.74</v>
      </c>
      <c r="F195" s="8">
        <v>1288.44</v>
      </c>
      <c r="G195" s="8">
        <v>1294.3800000000001</v>
      </c>
      <c r="H195" s="8">
        <v>1321.8</v>
      </c>
      <c r="I195" s="8">
        <v>1274.58</v>
      </c>
      <c r="J195" s="8">
        <v>1277.93</v>
      </c>
      <c r="K195" s="8">
        <v>1294.0999999999999</v>
      </c>
      <c r="L195" s="8">
        <v>1312.98</v>
      </c>
      <c r="M195" s="80"/>
      <c r="N195" s="80"/>
      <c r="O195" s="80"/>
      <c r="P195" s="80"/>
      <c r="Q195" s="48"/>
      <c r="R195" s="48"/>
      <c r="S195" s="48"/>
      <c r="T195" s="48"/>
      <c r="U195" s="48"/>
      <c r="V195" s="47"/>
      <c r="W195" s="48"/>
      <c r="X195" s="79"/>
    </row>
    <row r="196" spans="1:31" ht="24.75" customHeight="1" thickBot="1">
      <c r="A196" s="199"/>
      <c r="B196" s="61"/>
      <c r="C196" s="51" t="s">
        <v>154</v>
      </c>
      <c r="D196" s="24">
        <f t="shared" ref="D196:L196" si="60">IF(((D194="")*AND(D195="")),"",(D194-D195)*4)</f>
        <v>2819.6800000000003</v>
      </c>
      <c r="E196" s="24">
        <f t="shared" si="60"/>
        <v>2743.6400000000003</v>
      </c>
      <c r="F196" s="24">
        <f t="shared" si="60"/>
        <v>2641.08</v>
      </c>
      <c r="G196" s="24">
        <f t="shared" si="60"/>
        <v>2674.5199999999995</v>
      </c>
      <c r="H196" s="24">
        <f t="shared" si="60"/>
        <v>2665.24</v>
      </c>
      <c r="I196" s="24">
        <f t="shared" si="60"/>
        <v>2795.2800000000007</v>
      </c>
      <c r="J196" s="24">
        <f t="shared" si="60"/>
        <v>2737.4799999999996</v>
      </c>
      <c r="K196" s="24">
        <f t="shared" si="60"/>
        <v>2694.2400000000007</v>
      </c>
      <c r="L196" s="24">
        <f t="shared" si="60"/>
        <v>2724.8</v>
      </c>
      <c r="M196" s="24"/>
      <c r="N196" s="24"/>
      <c r="O196" s="24"/>
      <c r="P196" s="24" t="str">
        <f>IF(((P194="")*AND(P195="")),"",(P194-P195)*4)</f>
        <v/>
      </c>
      <c r="Q196" s="61"/>
      <c r="R196" s="61"/>
      <c r="S196" s="61"/>
      <c r="T196" s="61"/>
      <c r="U196" s="61"/>
      <c r="V196" s="60"/>
      <c r="W196" s="61"/>
      <c r="X196" s="79"/>
    </row>
    <row r="197" spans="1:31">
      <c r="A197" s="200">
        <v>42724</v>
      </c>
      <c r="B197" s="57" t="s">
        <v>157</v>
      </c>
      <c r="C197" s="51" t="s">
        <v>156</v>
      </c>
      <c r="D197" s="8">
        <v>6857.45</v>
      </c>
      <c r="E197" s="8">
        <v>6859.29</v>
      </c>
      <c r="F197" s="8">
        <v>6877.91</v>
      </c>
      <c r="G197" s="8">
        <v>6823.38</v>
      </c>
      <c r="H197" s="8">
        <v>6854.3</v>
      </c>
      <c r="I197" s="8">
        <v>6809.94</v>
      </c>
      <c r="J197" s="8">
        <v>6824.16</v>
      </c>
      <c r="K197" s="8">
        <v>6869.16</v>
      </c>
      <c r="L197" s="8">
        <v>6922.27</v>
      </c>
      <c r="M197" s="80"/>
      <c r="N197" s="80"/>
      <c r="O197" s="80"/>
      <c r="P197" s="80"/>
      <c r="Q197" s="57">
        <f>IF((L198=""),"",MAX(D199:L199))</f>
        <v>3454.2599999999984</v>
      </c>
      <c r="R197" s="57">
        <f>IF(L198="","",MIN(D199:L199))</f>
        <v>3397.0399999999991</v>
      </c>
      <c r="S197" s="58">
        <f>IF((L199=""),"",AVERAGE(D199:L199))</f>
        <v>3412.44</v>
      </c>
      <c r="T197" s="57">
        <f>IF((L198=""),"",((Q197-R197)/(Q197+R197))*100)</f>
        <v>0.83516996774333874</v>
      </c>
      <c r="U197" s="56">
        <f>STDEV(D197:L197)</f>
        <v>34.01460707444221</v>
      </c>
      <c r="V197" s="55" t="str">
        <f>IF(L198="","",(IF(T197&lt;7,IF(S197&gt;2800,IF(S197&lt;3800,"Pass","Fail"),"Fail"),"Fail")))</f>
        <v>Pass</v>
      </c>
      <c r="W197" s="57">
        <v>1159</v>
      </c>
      <c r="X197" s="241" t="s">
        <v>201</v>
      </c>
      <c r="Z197" s="53">
        <v>2800</v>
      </c>
      <c r="AA197" s="53">
        <v>3800</v>
      </c>
      <c r="AB197" s="53">
        <v>3100</v>
      </c>
      <c r="AC197" s="53">
        <v>3760</v>
      </c>
      <c r="AD197" s="52">
        <v>6</v>
      </c>
      <c r="AE197" s="52">
        <v>6</v>
      </c>
    </row>
    <row r="198" spans="1:31" ht="16.5" customHeight="1">
      <c r="A198" s="199"/>
      <c r="B198" s="48"/>
      <c r="C198" s="51" t="s">
        <v>155</v>
      </c>
      <c r="D198" s="8">
        <v>5145.45</v>
      </c>
      <c r="E198" s="8">
        <v>5159.2</v>
      </c>
      <c r="F198" s="8">
        <v>5179.33</v>
      </c>
      <c r="G198" s="8">
        <v>5124.34</v>
      </c>
      <c r="H198" s="8">
        <v>5151.0600000000004</v>
      </c>
      <c r="I198" s="8">
        <v>5082.8100000000004</v>
      </c>
      <c r="J198" s="8">
        <v>5125.6400000000003</v>
      </c>
      <c r="K198" s="8">
        <v>5166.51</v>
      </c>
      <c r="L198" s="8">
        <v>5207.54</v>
      </c>
      <c r="M198" s="80"/>
      <c r="N198" s="80"/>
      <c r="O198" s="80"/>
      <c r="P198" s="80"/>
      <c r="Q198" s="48"/>
      <c r="R198" s="48"/>
      <c r="S198" s="49"/>
      <c r="T198" s="48"/>
      <c r="U198" s="48"/>
      <c r="V198" s="47"/>
      <c r="W198" s="48"/>
      <c r="X198" s="79"/>
    </row>
    <row r="199" spans="1:31" ht="24.75" customHeight="1" thickBot="1">
      <c r="A199" s="199"/>
      <c r="B199" s="42"/>
      <c r="C199" s="45" t="s">
        <v>154</v>
      </c>
      <c r="D199" s="44">
        <f t="shared" ref="D199:L199" si="61">IF(((D197="")*AND(D198="")),"",(D197-D198)*2)</f>
        <v>3424</v>
      </c>
      <c r="E199" s="44">
        <f t="shared" si="61"/>
        <v>3400.1800000000003</v>
      </c>
      <c r="F199" s="44">
        <f t="shared" si="61"/>
        <v>3397.16</v>
      </c>
      <c r="G199" s="44">
        <f t="shared" si="61"/>
        <v>3398.08</v>
      </c>
      <c r="H199" s="44">
        <f t="shared" si="61"/>
        <v>3406.4799999999996</v>
      </c>
      <c r="I199" s="44">
        <f t="shared" si="61"/>
        <v>3454.2599999999984</v>
      </c>
      <c r="J199" s="44">
        <f t="shared" si="61"/>
        <v>3397.0399999999991</v>
      </c>
      <c r="K199" s="44">
        <f t="shared" si="61"/>
        <v>3405.2999999999993</v>
      </c>
      <c r="L199" s="44">
        <f t="shared" si="61"/>
        <v>3429.4600000000009</v>
      </c>
      <c r="M199" s="44"/>
      <c r="N199" s="44"/>
      <c r="O199" s="44"/>
      <c r="P199" s="44"/>
      <c r="Q199" s="42"/>
      <c r="R199" s="42"/>
      <c r="S199" s="43"/>
      <c r="T199" s="42"/>
      <c r="U199" s="42"/>
      <c r="V199" s="41"/>
      <c r="W199" s="42"/>
      <c r="X199" s="78"/>
    </row>
    <row r="200" spans="1:31">
      <c r="A200" s="198">
        <v>42727</v>
      </c>
      <c r="B200" s="63" t="s">
        <v>158</v>
      </c>
      <c r="C200" s="56" t="s">
        <v>156</v>
      </c>
      <c r="D200" s="8">
        <v>1987.11</v>
      </c>
      <c r="E200" s="8">
        <v>1972.5</v>
      </c>
      <c r="F200" s="8">
        <v>1975.47</v>
      </c>
      <c r="G200" s="8">
        <v>1974.09</v>
      </c>
      <c r="H200" s="8">
        <v>2000.84</v>
      </c>
      <c r="I200" s="8">
        <v>1990.23</v>
      </c>
      <c r="J200" s="8">
        <v>1977.72</v>
      </c>
      <c r="K200" s="8">
        <v>1975.47</v>
      </c>
      <c r="L200" s="8">
        <v>1996.8</v>
      </c>
      <c r="M200" s="80"/>
      <c r="N200" s="80"/>
      <c r="O200" s="80"/>
      <c r="P200" s="80"/>
      <c r="Q200" s="63">
        <f>IF((L201=""),"",MAX(D202:L202))</f>
        <v>2824.7599999999993</v>
      </c>
      <c r="R200" s="63">
        <f>IF(L201="","",MIN(D202:L202))</f>
        <v>2666.8399999999992</v>
      </c>
      <c r="S200" s="63">
        <f>IF((L202=""),"",AVERAGE(D202:L202))</f>
        <v>2750.804444444444</v>
      </c>
      <c r="T200" s="63">
        <f>IF((L201=""),"",((Q200-R200)/(Q200+R200))*100)</f>
        <v>2.875664651467698</v>
      </c>
      <c r="U200" s="51">
        <f>STDEV(D200:L200)</f>
        <v>10.651465209633361</v>
      </c>
      <c r="V200" s="64" t="str">
        <f>IF(L201="","",(IF(T200&lt;12,IF(S200&gt;2200,IF(S200&lt;3280,"Pass","Fail"),"Fail"),"Fail")))</f>
        <v>Pass</v>
      </c>
      <c r="W200" s="63">
        <v>1428</v>
      </c>
      <c r="X200" s="241"/>
      <c r="Z200" s="37">
        <v>2000</v>
      </c>
      <c r="AA200" s="37">
        <v>3000</v>
      </c>
      <c r="AB200" s="37">
        <v>2200</v>
      </c>
      <c r="AC200" s="37">
        <v>3280</v>
      </c>
      <c r="AD200" s="39">
        <v>12</v>
      </c>
      <c r="AE200" s="39">
        <v>12</v>
      </c>
    </row>
    <row r="201" spans="1:31" ht="16.5" customHeight="1">
      <c r="A201" s="199"/>
      <c r="B201" s="48"/>
      <c r="C201" s="51" t="s">
        <v>155</v>
      </c>
      <c r="D201" s="8">
        <v>1280.92</v>
      </c>
      <c r="E201" s="8">
        <v>1277.0899999999999</v>
      </c>
      <c r="F201" s="8">
        <v>1300.9100000000001</v>
      </c>
      <c r="G201" s="8">
        <v>1292</v>
      </c>
      <c r="H201" s="8">
        <v>1334.13</v>
      </c>
      <c r="I201" s="8">
        <v>1284.32</v>
      </c>
      <c r="J201" s="8">
        <v>1277.3</v>
      </c>
      <c r="K201" s="8">
        <v>1293.05</v>
      </c>
      <c r="L201" s="8">
        <v>1321.2</v>
      </c>
      <c r="M201" s="80"/>
      <c r="N201" s="80"/>
      <c r="O201" s="80"/>
      <c r="P201" s="80"/>
      <c r="Q201" s="48"/>
      <c r="R201" s="48"/>
      <c r="S201" s="48"/>
      <c r="T201" s="48"/>
      <c r="U201" s="48"/>
      <c r="V201" s="47"/>
      <c r="W201" s="48"/>
      <c r="X201" s="79"/>
    </row>
    <row r="202" spans="1:31" ht="24.75" customHeight="1" thickBot="1">
      <c r="A202" s="199"/>
      <c r="B202" s="61"/>
      <c r="C202" s="51" t="s">
        <v>154</v>
      </c>
      <c r="D202" s="24">
        <f t="shared" ref="D202:L202" si="62">IF(((D200="")*AND(D201="")),"",(D200-D201)*4)</f>
        <v>2824.7599999999993</v>
      </c>
      <c r="E202" s="24">
        <f t="shared" si="62"/>
        <v>2781.6400000000003</v>
      </c>
      <c r="F202" s="24">
        <f t="shared" si="62"/>
        <v>2698.24</v>
      </c>
      <c r="G202" s="24">
        <f t="shared" si="62"/>
        <v>2728.3599999999997</v>
      </c>
      <c r="H202" s="24">
        <f t="shared" si="62"/>
        <v>2666.8399999999992</v>
      </c>
      <c r="I202" s="24">
        <f t="shared" si="62"/>
        <v>2823.6400000000003</v>
      </c>
      <c r="J202" s="24">
        <f t="shared" si="62"/>
        <v>2801.6800000000003</v>
      </c>
      <c r="K202" s="24">
        <f t="shared" si="62"/>
        <v>2729.6800000000003</v>
      </c>
      <c r="L202" s="24">
        <f t="shared" si="62"/>
        <v>2702.3999999999996</v>
      </c>
      <c r="M202" s="24"/>
      <c r="N202" s="24"/>
      <c r="O202" s="24"/>
      <c r="P202" s="24" t="str">
        <f>IF(((P200="")*AND(P201="")),"",(P200-P201)*4)</f>
        <v/>
      </c>
      <c r="Q202" s="61"/>
      <c r="R202" s="61"/>
      <c r="S202" s="61"/>
      <c r="T202" s="61"/>
      <c r="U202" s="61"/>
      <c r="V202" s="60"/>
      <c r="W202" s="61"/>
      <c r="X202" s="79"/>
    </row>
    <row r="203" spans="1:31">
      <c r="A203" s="200">
        <v>42727</v>
      </c>
      <c r="B203" s="57" t="s">
        <v>157</v>
      </c>
      <c r="C203" s="51" t="s">
        <v>156</v>
      </c>
      <c r="D203" s="8">
        <v>6862.62</v>
      </c>
      <c r="E203" s="8">
        <v>6842.93</v>
      </c>
      <c r="F203" s="8">
        <v>6861.34</v>
      </c>
      <c r="G203" s="8">
        <v>6816.86</v>
      </c>
      <c r="H203" s="8">
        <v>6884.58</v>
      </c>
      <c r="I203" s="8">
        <v>6845.21</v>
      </c>
      <c r="J203" s="8">
        <v>6819.72</v>
      </c>
      <c r="K203" s="8">
        <v>6852.33</v>
      </c>
      <c r="L203" s="8">
        <v>6935.78</v>
      </c>
      <c r="M203" s="80"/>
      <c r="N203" s="80"/>
      <c r="O203" s="80"/>
      <c r="P203" s="80"/>
      <c r="Q203" s="57">
        <f>IF((L204=""),"",MAX(D205:L205))</f>
        <v>3453.6000000000004</v>
      </c>
      <c r="R203" s="57">
        <f>IF(L204="","",MIN(D205:L205))</f>
        <v>3400.7800000000007</v>
      </c>
      <c r="S203" s="58">
        <f>IF((L205=""),"",AVERAGE(D205:L205))</f>
        <v>3414.6355555555565</v>
      </c>
      <c r="T203" s="57">
        <f>IF((L204=""),"",((Q203-R203)/(Q203+R203))*100)</f>
        <v>0.77060215511832875</v>
      </c>
      <c r="U203" s="56">
        <f>STDEV(D203:L203)</f>
        <v>36.002389851174257</v>
      </c>
      <c r="V203" s="55" t="str">
        <f>IF(L204="","",(IF(T203&lt;7,IF(S203&gt;2800,IF(S203&lt;3800,"Pass","Fail"),"Fail"),"Fail")))</f>
        <v>Pass</v>
      </c>
      <c r="W203" s="57">
        <v>1428</v>
      </c>
      <c r="X203" s="240"/>
      <c r="Z203" s="53">
        <v>2800</v>
      </c>
      <c r="AA203" s="53">
        <v>3800</v>
      </c>
      <c r="AB203" s="53">
        <v>3100</v>
      </c>
      <c r="AC203" s="53">
        <v>3760</v>
      </c>
      <c r="AD203" s="52">
        <v>6</v>
      </c>
      <c r="AE203" s="52">
        <v>6</v>
      </c>
    </row>
    <row r="204" spans="1:31" ht="16.5" customHeight="1">
      <c r="A204" s="199"/>
      <c r="B204" s="48"/>
      <c r="C204" s="51" t="s">
        <v>155</v>
      </c>
      <c r="D204" s="8">
        <v>5151.78</v>
      </c>
      <c r="E204" s="8">
        <v>5142.21</v>
      </c>
      <c r="F204" s="8">
        <v>5160.95</v>
      </c>
      <c r="G204" s="8">
        <v>5114.78</v>
      </c>
      <c r="H204" s="8">
        <v>5180.08</v>
      </c>
      <c r="I204" s="8">
        <v>5118.41</v>
      </c>
      <c r="J204" s="8">
        <v>5117.2700000000004</v>
      </c>
      <c r="K204" s="8">
        <v>5149.1099999999997</v>
      </c>
      <c r="L204" s="8">
        <v>5220.92</v>
      </c>
      <c r="M204" s="80"/>
      <c r="N204" s="80"/>
      <c r="O204" s="80"/>
      <c r="P204" s="80"/>
      <c r="Q204" s="48"/>
      <c r="R204" s="48"/>
      <c r="S204" s="49"/>
      <c r="T204" s="48"/>
      <c r="U204" s="48"/>
      <c r="V204" s="47"/>
      <c r="W204" s="48"/>
      <c r="X204" s="79"/>
    </row>
    <row r="205" spans="1:31" ht="24.75" customHeight="1" thickBot="1">
      <c r="A205" s="199"/>
      <c r="B205" s="42"/>
      <c r="C205" s="45" t="s">
        <v>154</v>
      </c>
      <c r="D205" s="44">
        <f t="shared" ref="D205:L205" si="63">IF(((D203="")*AND(D204="")),"",(D203-D204)*2)</f>
        <v>3421.6800000000003</v>
      </c>
      <c r="E205" s="44">
        <f t="shared" si="63"/>
        <v>3401.4400000000005</v>
      </c>
      <c r="F205" s="44">
        <f t="shared" si="63"/>
        <v>3400.7800000000007</v>
      </c>
      <c r="G205" s="44">
        <f t="shared" si="63"/>
        <v>3404.16</v>
      </c>
      <c r="H205" s="44">
        <f t="shared" si="63"/>
        <v>3409</v>
      </c>
      <c r="I205" s="44">
        <f t="shared" si="63"/>
        <v>3453.6000000000004</v>
      </c>
      <c r="J205" s="44">
        <f t="shared" si="63"/>
        <v>3404.8999999999996</v>
      </c>
      <c r="K205" s="44">
        <f t="shared" si="63"/>
        <v>3406.4400000000005</v>
      </c>
      <c r="L205" s="44">
        <f t="shared" si="63"/>
        <v>3429.7199999999993</v>
      </c>
      <c r="M205" s="44"/>
      <c r="N205" s="44"/>
      <c r="O205" s="44"/>
      <c r="P205" s="44"/>
      <c r="Q205" s="42"/>
      <c r="R205" s="42"/>
      <c r="S205" s="43"/>
      <c r="T205" s="42"/>
      <c r="U205" s="42"/>
      <c r="V205" s="41"/>
      <c r="W205" s="42"/>
      <c r="X205" s="78"/>
    </row>
    <row r="206" spans="1:31">
      <c r="A206" s="198">
        <v>42732</v>
      </c>
      <c r="B206" s="63" t="s">
        <v>158</v>
      </c>
      <c r="C206" s="56" t="s">
        <v>156</v>
      </c>
      <c r="D206" s="8">
        <v>1809.67</v>
      </c>
      <c r="E206" s="8">
        <v>1830.57</v>
      </c>
      <c r="F206" s="8">
        <v>1834.21</v>
      </c>
      <c r="G206" s="8">
        <v>1836.05</v>
      </c>
      <c r="H206" s="8">
        <v>1853.7</v>
      </c>
      <c r="I206" s="8">
        <v>1839.12</v>
      </c>
      <c r="J206" s="8">
        <v>1838.26</v>
      </c>
      <c r="K206" s="8">
        <v>1848.97</v>
      </c>
      <c r="L206" s="8">
        <v>1842.5</v>
      </c>
      <c r="M206" s="80"/>
      <c r="N206" s="80"/>
      <c r="O206" s="80"/>
      <c r="P206" s="80"/>
      <c r="Q206" s="63">
        <f>IF((L207=""),"",MAX(D208:L208))</f>
        <v>2514.6399999999994</v>
      </c>
      <c r="R206" s="63">
        <f>IF(L207="","",MIN(D208:L208))</f>
        <v>2283.96</v>
      </c>
      <c r="S206" s="63">
        <f>IF((L208=""),"",AVERAGE(D208:L208))</f>
        <v>2361.0933333333328</v>
      </c>
      <c r="T206" s="63">
        <f>IF((L207=""),"",((Q206-R206)/(Q206+R206))*100)</f>
        <v>4.8072354436710585</v>
      </c>
      <c r="U206" s="51">
        <f>STDEV(D206:L206)</f>
        <v>12.527285331568899</v>
      </c>
      <c r="V206" s="64" t="str">
        <f>IF(L207="","",(IF(T206&lt;12,IF(S206&gt;2200,IF(S206&lt;3280,"Pass","Fail"),"Fail"),"Fail")))</f>
        <v>Pass</v>
      </c>
      <c r="W206" s="63">
        <v>1335</v>
      </c>
      <c r="X206" s="241"/>
      <c r="Z206" s="37">
        <v>2000</v>
      </c>
      <c r="AA206" s="37">
        <v>3000</v>
      </c>
      <c r="AB206" s="37">
        <v>2200</v>
      </c>
      <c r="AC206" s="37">
        <v>3280</v>
      </c>
      <c r="AD206" s="39">
        <v>12</v>
      </c>
      <c r="AE206" s="39">
        <v>12</v>
      </c>
    </row>
    <row r="207" spans="1:31" ht="16.5" customHeight="1">
      <c r="A207" s="199"/>
      <c r="B207" s="48"/>
      <c r="C207" s="51" t="s">
        <v>155</v>
      </c>
      <c r="D207" s="8">
        <v>1231.03</v>
      </c>
      <c r="E207" s="8">
        <v>1249.4100000000001</v>
      </c>
      <c r="F207" s="8">
        <v>1263.22</v>
      </c>
      <c r="G207" s="8">
        <v>1257.45</v>
      </c>
      <c r="H207" s="8">
        <v>1249.68</v>
      </c>
      <c r="I207" s="8">
        <v>1210.46</v>
      </c>
      <c r="J207" s="8">
        <v>1251.55</v>
      </c>
      <c r="K207" s="8">
        <v>1261.27</v>
      </c>
      <c r="L207" s="8">
        <v>1246.52</v>
      </c>
      <c r="M207" s="80"/>
      <c r="N207" s="80"/>
      <c r="O207" s="80"/>
      <c r="P207" s="80"/>
      <c r="Q207" s="48"/>
      <c r="R207" s="48"/>
      <c r="S207" s="48"/>
      <c r="T207" s="48"/>
      <c r="U207" s="48"/>
      <c r="V207" s="47"/>
      <c r="W207" s="48"/>
      <c r="X207" s="79"/>
    </row>
    <row r="208" spans="1:31" ht="24.75" customHeight="1" thickBot="1">
      <c r="A208" s="199"/>
      <c r="B208" s="61"/>
      <c r="C208" s="51" t="s">
        <v>154</v>
      </c>
      <c r="D208" s="24">
        <f t="shared" ref="D208:L208" si="64">IF(((D206="")*AND(D207="")),"",(D206-D207)*4)</f>
        <v>2314.5600000000004</v>
      </c>
      <c r="E208" s="24">
        <f t="shared" si="64"/>
        <v>2324.6399999999994</v>
      </c>
      <c r="F208" s="24">
        <f t="shared" si="64"/>
        <v>2283.96</v>
      </c>
      <c r="G208" s="24">
        <f t="shared" si="64"/>
        <v>2314.3999999999996</v>
      </c>
      <c r="H208" s="24">
        <f t="shared" si="64"/>
        <v>2416.08</v>
      </c>
      <c r="I208" s="24">
        <f t="shared" si="64"/>
        <v>2514.6399999999994</v>
      </c>
      <c r="J208" s="24">
        <f t="shared" si="64"/>
        <v>2346.84</v>
      </c>
      <c r="K208" s="24">
        <f t="shared" si="64"/>
        <v>2350.8000000000002</v>
      </c>
      <c r="L208" s="24">
        <f t="shared" si="64"/>
        <v>2383.92</v>
      </c>
      <c r="M208" s="24"/>
      <c r="N208" s="24"/>
      <c r="O208" s="24"/>
      <c r="P208" s="24" t="str">
        <f>IF(((P206="")*AND(P207="")),"",(P206-P207)*4)</f>
        <v/>
      </c>
      <c r="Q208" s="61"/>
      <c r="R208" s="61"/>
      <c r="S208" s="61"/>
      <c r="T208" s="61"/>
      <c r="U208" s="61"/>
      <c r="V208" s="60"/>
      <c r="W208" s="61"/>
      <c r="X208" s="79"/>
    </row>
    <row r="209" spans="1:31">
      <c r="A209" s="200">
        <v>42732</v>
      </c>
      <c r="B209" s="57" t="s">
        <v>157</v>
      </c>
      <c r="C209" s="51" t="s">
        <v>156</v>
      </c>
      <c r="D209" s="8">
        <v>6843.59</v>
      </c>
      <c r="E209" s="8">
        <v>6843.09</v>
      </c>
      <c r="F209" s="8">
        <v>6862.32</v>
      </c>
      <c r="G209" s="8">
        <v>6808.59</v>
      </c>
      <c r="H209" s="8">
        <v>6845.07</v>
      </c>
      <c r="I209" s="8">
        <v>6799.97</v>
      </c>
      <c r="J209" s="8">
        <v>6809.7</v>
      </c>
      <c r="K209" s="8">
        <v>6854.7</v>
      </c>
      <c r="L209" s="8">
        <v>6912.06</v>
      </c>
      <c r="M209" s="80"/>
      <c r="N209" s="80"/>
      <c r="O209" s="80"/>
      <c r="P209" s="80"/>
      <c r="Q209" s="57">
        <f>IF((L210=""),"",MAX(D211:L211))</f>
        <v>3452.6200000000008</v>
      </c>
      <c r="R209" s="57">
        <f>IF(L210="","",MIN(D211:L211))</f>
        <v>3371.76</v>
      </c>
      <c r="S209" s="58">
        <f>IF((L211=""),"",AVERAGE(D211:L211))</f>
        <v>3396.54</v>
      </c>
      <c r="T209" s="57">
        <f>IF((L210=""),"",((Q209-R209)/(Q209+R209))*100)</f>
        <v>1.1848695412623649</v>
      </c>
      <c r="U209" s="56">
        <f>STDEV(D209:L209)</f>
        <v>34.317714246552619</v>
      </c>
      <c r="V209" s="55" t="str">
        <f>IF(L210="","",(IF(T209&lt;7,IF(S209&gt;2800,IF(S209&lt;3800,"Pass","Fail"),"Fail"),"Fail")))</f>
        <v>Pass</v>
      </c>
      <c r="W209" s="57">
        <v>1335</v>
      </c>
      <c r="X209" s="240"/>
      <c r="Z209" s="53">
        <v>2800</v>
      </c>
      <c r="AA209" s="53">
        <v>3800</v>
      </c>
      <c r="AB209" s="53">
        <v>3100</v>
      </c>
      <c r="AC209" s="53">
        <v>3760</v>
      </c>
      <c r="AD209" s="52">
        <v>6</v>
      </c>
      <c r="AE209" s="52">
        <v>6</v>
      </c>
    </row>
    <row r="210" spans="1:31" ht="16.5" customHeight="1">
      <c r="A210" s="199"/>
      <c r="B210" s="48"/>
      <c r="C210" s="51" t="s">
        <v>155</v>
      </c>
      <c r="D210" s="8">
        <v>5135.04</v>
      </c>
      <c r="E210" s="8">
        <v>5155.12</v>
      </c>
      <c r="F210" s="8">
        <v>5175.07</v>
      </c>
      <c r="G210" s="8">
        <v>5121.18</v>
      </c>
      <c r="H210" s="8">
        <v>5146.92</v>
      </c>
      <c r="I210" s="8">
        <v>5073.66</v>
      </c>
      <c r="J210" s="8">
        <v>5123.82</v>
      </c>
      <c r="K210" s="8">
        <v>5162.97</v>
      </c>
      <c r="L210" s="8">
        <v>5200.88</v>
      </c>
      <c r="M210" s="80"/>
      <c r="N210" s="80"/>
      <c r="O210" s="80"/>
      <c r="P210" s="80"/>
      <c r="Q210" s="48"/>
      <c r="R210" s="48"/>
      <c r="S210" s="49"/>
      <c r="T210" s="48"/>
      <c r="U210" s="48"/>
      <c r="V210" s="47"/>
      <c r="W210" s="48"/>
      <c r="X210" s="79"/>
    </row>
    <row r="211" spans="1:31" ht="24.75" customHeight="1" thickBot="1">
      <c r="A211" s="199"/>
      <c r="B211" s="42"/>
      <c r="C211" s="45" t="s">
        <v>154</v>
      </c>
      <c r="D211" s="44">
        <f t="shared" ref="D211:L211" si="65">IF(((D209="")*AND(D210="")),"",(D209-D210)*2)</f>
        <v>3417.1000000000004</v>
      </c>
      <c r="E211" s="44">
        <f t="shared" si="65"/>
        <v>3375.9400000000005</v>
      </c>
      <c r="F211" s="44">
        <f t="shared" si="65"/>
        <v>3374.5</v>
      </c>
      <c r="G211" s="44">
        <f t="shared" si="65"/>
        <v>3374.8199999999997</v>
      </c>
      <c r="H211" s="44">
        <f t="shared" si="65"/>
        <v>3396.2999999999993</v>
      </c>
      <c r="I211" s="44">
        <f t="shared" si="65"/>
        <v>3452.6200000000008</v>
      </c>
      <c r="J211" s="44">
        <f t="shared" si="65"/>
        <v>3371.76</v>
      </c>
      <c r="K211" s="44">
        <f t="shared" si="65"/>
        <v>3383.4599999999991</v>
      </c>
      <c r="L211" s="44">
        <f t="shared" si="65"/>
        <v>3422.3600000000006</v>
      </c>
      <c r="M211" s="44"/>
      <c r="N211" s="44"/>
      <c r="O211" s="44"/>
      <c r="P211" s="44"/>
      <c r="Q211" s="42"/>
      <c r="R211" s="42"/>
      <c r="S211" s="43"/>
      <c r="T211" s="42"/>
      <c r="U211" s="42"/>
      <c r="V211" s="41"/>
      <c r="W211" s="42"/>
      <c r="X211" s="78"/>
    </row>
    <row r="212" spans="1:31">
      <c r="A212" s="198">
        <v>42739</v>
      </c>
      <c r="B212" s="63" t="s">
        <v>158</v>
      </c>
      <c r="C212" s="56" t="s">
        <v>156</v>
      </c>
      <c r="D212" s="8">
        <v>1921.7</v>
      </c>
      <c r="E212" s="8">
        <v>1918.63</v>
      </c>
      <c r="F212" s="8">
        <v>1919.41</v>
      </c>
      <c r="G212" s="8">
        <v>1916.88</v>
      </c>
      <c r="H212" s="8">
        <v>1926.77</v>
      </c>
      <c r="I212" s="8">
        <v>1922.74</v>
      </c>
      <c r="J212" s="8">
        <v>1919.33</v>
      </c>
      <c r="K212" s="8">
        <v>1920.34</v>
      </c>
      <c r="L212" s="8">
        <v>1925.11</v>
      </c>
      <c r="M212" s="80"/>
      <c r="N212" s="80"/>
      <c r="O212" s="80"/>
      <c r="P212" s="80"/>
      <c r="Q212" s="63">
        <f>IF((L213=""),"",MAX(D214:L214))</f>
        <v>2611.6000000000004</v>
      </c>
      <c r="R212" s="63">
        <f>IF(L213="","",MIN(D214:L214))</f>
        <v>2436.2799999999997</v>
      </c>
      <c r="S212" s="63">
        <f>IF((L214=""),"",AVERAGE(D214:L214))</f>
        <v>2524.0311111111114</v>
      </c>
      <c r="T212" s="63">
        <f>IF((L213=""),"",((Q212-R212)/(Q212+R212))*100)</f>
        <v>3.4731411998700565</v>
      </c>
      <c r="U212" s="51">
        <f>STDEV(D212:L212)</f>
        <v>3.1945491770327372</v>
      </c>
      <c r="V212" s="64" t="str">
        <f>IF(L213="","",(IF(T212&lt;12,IF(S212&gt;2200,IF(S212&lt;3280,"Pass","Fail"),"Fail"),"Fail")))</f>
        <v>Pass</v>
      </c>
      <c r="W212" s="63">
        <v>1335</v>
      </c>
      <c r="X212" s="241"/>
      <c r="Z212" s="37">
        <v>2000</v>
      </c>
      <c r="AA212" s="37">
        <v>3000</v>
      </c>
      <c r="AB212" s="37">
        <v>2200</v>
      </c>
      <c r="AC212" s="37">
        <v>3280</v>
      </c>
      <c r="AD212" s="39">
        <v>12</v>
      </c>
      <c r="AE212" s="39">
        <v>12</v>
      </c>
    </row>
    <row r="213" spans="1:31" ht="16.5" customHeight="1">
      <c r="A213" s="199"/>
      <c r="B213" s="48"/>
      <c r="C213" s="51" t="s">
        <v>155</v>
      </c>
      <c r="D213" s="8">
        <v>1268.8</v>
      </c>
      <c r="E213" s="8">
        <v>1276.69</v>
      </c>
      <c r="F213" s="8">
        <v>1302.26</v>
      </c>
      <c r="G213" s="8">
        <v>1295.3699999999999</v>
      </c>
      <c r="H213" s="8">
        <v>1317.7</v>
      </c>
      <c r="I213" s="8">
        <v>1272.58</v>
      </c>
      <c r="J213" s="8">
        <v>1277.69</v>
      </c>
      <c r="K213" s="8">
        <v>1295.46</v>
      </c>
      <c r="L213" s="8">
        <v>1305.29</v>
      </c>
      <c r="M213" s="80"/>
      <c r="N213" s="80"/>
      <c r="O213" s="80"/>
      <c r="P213" s="80"/>
      <c r="Q213" s="48"/>
      <c r="R213" s="48"/>
      <c r="S213" s="48"/>
      <c r="T213" s="48"/>
      <c r="U213" s="48"/>
      <c r="V213" s="47"/>
      <c r="W213" s="48"/>
      <c r="X213" s="79"/>
    </row>
    <row r="214" spans="1:31" ht="24.75" customHeight="1" thickBot="1">
      <c r="A214" s="199"/>
      <c r="B214" s="61"/>
      <c r="C214" s="51" t="s">
        <v>154</v>
      </c>
      <c r="D214" s="24">
        <f t="shared" ref="D214:L214" si="66">IF(((D212="")*AND(D213="")),"",(D212-D213)*4)</f>
        <v>2611.6000000000004</v>
      </c>
      <c r="E214" s="24">
        <f t="shared" si="66"/>
        <v>2567.7600000000002</v>
      </c>
      <c r="F214" s="24">
        <f t="shared" si="66"/>
        <v>2468.6000000000004</v>
      </c>
      <c r="G214" s="24">
        <f t="shared" si="66"/>
        <v>2486.0400000000009</v>
      </c>
      <c r="H214" s="24">
        <f t="shared" si="66"/>
        <v>2436.2799999999997</v>
      </c>
      <c r="I214" s="24">
        <f t="shared" si="66"/>
        <v>2600.6400000000003</v>
      </c>
      <c r="J214" s="24">
        <f t="shared" si="66"/>
        <v>2566.5599999999995</v>
      </c>
      <c r="K214" s="24">
        <f t="shared" si="66"/>
        <v>2499.5199999999995</v>
      </c>
      <c r="L214" s="24">
        <f t="shared" si="66"/>
        <v>2479.2799999999997</v>
      </c>
      <c r="M214" s="24"/>
      <c r="N214" s="24"/>
      <c r="O214" s="24"/>
      <c r="P214" s="24" t="str">
        <f>IF(((P212="")*AND(P213="")),"",(P212-P213)*4)</f>
        <v/>
      </c>
      <c r="Q214" s="61"/>
      <c r="R214" s="61"/>
      <c r="S214" s="61"/>
      <c r="T214" s="61"/>
      <c r="U214" s="61"/>
      <c r="V214" s="60"/>
      <c r="W214" s="61"/>
      <c r="X214" s="79"/>
    </row>
    <row r="215" spans="1:31">
      <c r="A215" s="198">
        <v>42739</v>
      </c>
      <c r="B215" s="57" t="s">
        <v>157</v>
      </c>
      <c r="C215" s="51" t="s">
        <v>156</v>
      </c>
      <c r="D215" s="8">
        <v>6856.11</v>
      </c>
      <c r="E215" s="8">
        <v>6834.93</v>
      </c>
      <c r="F215" s="8">
        <v>6848.9</v>
      </c>
      <c r="G215" s="8">
        <v>6803.43</v>
      </c>
      <c r="H215" s="8">
        <v>6871.55</v>
      </c>
      <c r="I215" s="8">
        <v>6827.76</v>
      </c>
      <c r="J215" s="8">
        <v>6806.66</v>
      </c>
      <c r="K215" s="8">
        <v>6839.48</v>
      </c>
      <c r="L215" s="8">
        <v>6926.38</v>
      </c>
      <c r="M215" s="80"/>
      <c r="N215" s="80"/>
      <c r="O215" s="80"/>
      <c r="P215" s="80"/>
      <c r="Q215" s="57">
        <f>IF((L216=""),"",MAX(D217:L217))</f>
        <v>3462.2800000000007</v>
      </c>
      <c r="R215" s="57">
        <f>IF(L216="","",MIN(D217:L217))</f>
        <v>3408.4400000000005</v>
      </c>
      <c r="S215" s="58">
        <f>IF((L217=""),"",AVERAGE(D217:L217))</f>
        <v>3427.4866666666671</v>
      </c>
      <c r="T215" s="57">
        <f>IF((L216=""),"",((Q215-R215)/(Q215+R215))*100)</f>
        <v>0.78361510875134088</v>
      </c>
      <c r="U215" s="56">
        <f>STDEV(D215:L215)</f>
        <v>37.218614966157965</v>
      </c>
      <c r="V215" s="55" t="str">
        <f>IF(L216="","",(IF(T215&lt;7,IF(S215&gt;2800,IF(S215&lt;3800,"Pass","Fail"),"Fail"),"Fail")))</f>
        <v>Pass</v>
      </c>
      <c r="W215" s="57">
        <v>1335</v>
      </c>
      <c r="X215" s="240"/>
      <c r="Z215" s="53">
        <v>2800</v>
      </c>
      <c r="AA215" s="53">
        <v>3800</v>
      </c>
      <c r="AB215" s="53">
        <v>3100</v>
      </c>
      <c r="AC215" s="53">
        <v>3760</v>
      </c>
      <c r="AD215" s="52">
        <v>6</v>
      </c>
      <c r="AE215" s="52">
        <v>6</v>
      </c>
    </row>
    <row r="216" spans="1:31" ht="16.5" customHeight="1">
      <c r="A216" s="199"/>
      <c r="B216" s="48"/>
      <c r="C216" s="51" t="s">
        <v>155</v>
      </c>
      <c r="D216" s="8">
        <v>5135.6000000000004</v>
      </c>
      <c r="E216" s="8">
        <v>5130.18</v>
      </c>
      <c r="F216" s="8">
        <v>5143.3</v>
      </c>
      <c r="G216" s="8">
        <v>5097.87</v>
      </c>
      <c r="H216" s="8">
        <v>5160.32</v>
      </c>
      <c r="I216" s="8">
        <v>5096.62</v>
      </c>
      <c r="J216" s="8">
        <v>5102.4399999999996</v>
      </c>
      <c r="K216" s="8">
        <v>5129.53</v>
      </c>
      <c r="L216" s="8">
        <v>5195.6499999999996</v>
      </c>
      <c r="M216" s="80"/>
      <c r="N216" s="80"/>
      <c r="O216" s="80"/>
      <c r="P216" s="80"/>
      <c r="Q216" s="48"/>
      <c r="R216" s="48"/>
      <c r="S216" s="49"/>
      <c r="T216" s="48"/>
      <c r="U216" s="48"/>
      <c r="V216" s="47"/>
      <c r="W216" s="48"/>
      <c r="X216" s="79"/>
    </row>
    <row r="217" spans="1:31" ht="24.75" customHeight="1" thickBot="1">
      <c r="A217" s="199"/>
      <c r="B217" s="42"/>
      <c r="C217" s="45" t="s">
        <v>154</v>
      </c>
      <c r="D217" s="44">
        <f t="shared" ref="D217:L217" si="67">IF(((D215="")*AND(D216="")),"",(D215-D216)*2)</f>
        <v>3441.0199999999986</v>
      </c>
      <c r="E217" s="44">
        <f t="shared" si="67"/>
        <v>3409.5</v>
      </c>
      <c r="F217" s="44">
        <f t="shared" si="67"/>
        <v>3411.1999999999989</v>
      </c>
      <c r="G217" s="44">
        <f t="shared" si="67"/>
        <v>3411.1200000000008</v>
      </c>
      <c r="H217" s="44">
        <f t="shared" si="67"/>
        <v>3422.4600000000009</v>
      </c>
      <c r="I217" s="44">
        <f t="shared" si="67"/>
        <v>3462.2800000000007</v>
      </c>
      <c r="J217" s="44">
        <f t="shared" si="67"/>
        <v>3408.4400000000005</v>
      </c>
      <c r="K217" s="44">
        <f t="shared" si="67"/>
        <v>3419.8999999999996</v>
      </c>
      <c r="L217" s="44">
        <f t="shared" si="67"/>
        <v>3461.4600000000009</v>
      </c>
      <c r="M217" s="44"/>
      <c r="N217" s="44"/>
      <c r="O217" s="44"/>
      <c r="P217" s="44"/>
      <c r="Q217" s="42"/>
      <c r="R217" s="42"/>
      <c r="S217" s="43"/>
      <c r="T217" s="42"/>
      <c r="U217" s="42"/>
      <c r="V217" s="41"/>
      <c r="W217" s="42"/>
      <c r="X217" s="78"/>
    </row>
    <row r="218" spans="1:31">
      <c r="A218" s="201">
        <v>42743</v>
      </c>
      <c r="B218" s="63" t="s">
        <v>158</v>
      </c>
      <c r="C218" s="56" t="s">
        <v>156</v>
      </c>
      <c r="D218" s="69">
        <v>1915.92</v>
      </c>
      <c r="E218" s="69">
        <v>1907.87</v>
      </c>
      <c r="F218" s="69">
        <v>1898.43</v>
      </c>
      <c r="G218" s="69">
        <v>1910.76</v>
      </c>
      <c r="H218" s="69">
        <v>1919.4</v>
      </c>
      <c r="I218" s="69">
        <v>1919.24</v>
      </c>
      <c r="J218" s="69">
        <v>1910.12</v>
      </c>
      <c r="K218" s="69">
        <v>1912.3</v>
      </c>
      <c r="L218" s="69">
        <v>1918.63</v>
      </c>
      <c r="M218" s="62"/>
      <c r="N218" s="62"/>
      <c r="O218" s="62"/>
      <c r="P218" s="62"/>
      <c r="Q218" s="63">
        <f>IF((L219=""),"",MAX(D220:L220))</f>
        <v>2640.96</v>
      </c>
      <c r="R218" s="63">
        <f>IF(L219="","",MIN(D220:L220))</f>
        <v>2466</v>
      </c>
      <c r="S218" s="63">
        <f>IF((L220=""),"",AVERAGE(D220:L220))</f>
        <v>2559.6533333333332</v>
      </c>
      <c r="T218" s="63">
        <f>IF((L219=""),"",((Q218-R218)/(Q218+R218))*100)</f>
        <v>3.4259128718454823</v>
      </c>
      <c r="U218" s="51">
        <f>STDEV(D218:L218)</f>
        <v>6.8047914082713081</v>
      </c>
      <c r="V218" s="64" t="str">
        <f>IF(L219="","",(IF(T218&lt;12,IF(S218&gt;2200,IF(S218&lt;3280,"Pass","Fail"),"Fail"),"Fail")))</f>
        <v>Pass</v>
      </c>
      <c r="W218" s="63">
        <v>1400</v>
      </c>
      <c r="X218" s="244" t="s">
        <v>200</v>
      </c>
      <c r="Z218" s="37">
        <v>2000</v>
      </c>
      <c r="AA218" s="37">
        <v>3000</v>
      </c>
      <c r="AB218" s="37">
        <v>2200</v>
      </c>
      <c r="AC218" s="37">
        <v>3280</v>
      </c>
      <c r="AD218" s="39">
        <v>12</v>
      </c>
      <c r="AE218" s="39">
        <v>12</v>
      </c>
    </row>
    <row r="219" spans="1:31" ht="16.5" customHeight="1">
      <c r="A219" s="199"/>
      <c r="B219" s="48"/>
      <c r="C219" s="51" t="s">
        <v>155</v>
      </c>
      <c r="D219" s="68">
        <v>1255.68</v>
      </c>
      <c r="E219" s="68">
        <v>1259.0899999999999</v>
      </c>
      <c r="F219" s="68">
        <v>1270.32</v>
      </c>
      <c r="G219" s="68">
        <v>1280.06</v>
      </c>
      <c r="H219" s="68">
        <v>1302.9000000000001</v>
      </c>
      <c r="I219" s="68">
        <v>1259.02</v>
      </c>
      <c r="J219" s="68">
        <v>1259.44</v>
      </c>
      <c r="K219" s="68">
        <v>1278.6300000000001</v>
      </c>
      <c r="L219" s="68">
        <v>1288.31</v>
      </c>
      <c r="M219" s="50"/>
      <c r="N219" s="50"/>
      <c r="O219" s="50"/>
      <c r="P219" s="50"/>
      <c r="Q219" s="48"/>
      <c r="R219" s="48"/>
      <c r="S219" s="48"/>
      <c r="T219" s="48"/>
      <c r="U219" s="48"/>
      <c r="V219" s="47"/>
      <c r="W219" s="48"/>
      <c r="X219" s="77"/>
    </row>
    <row r="220" spans="1:31" ht="24.75" customHeight="1" thickBot="1">
      <c r="A220" s="199"/>
      <c r="B220" s="61"/>
      <c r="C220" s="51" t="s">
        <v>154</v>
      </c>
      <c r="D220" s="24">
        <f t="shared" ref="D220:L220" si="68">IF(((D218="")*AND(D219="")),"",(D218-D219)*4)</f>
        <v>2640.96</v>
      </c>
      <c r="E220" s="24">
        <f t="shared" si="68"/>
        <v>2595.12</v>
      </c>
      <c r="F220" s="24">
        <f t="shared" si="68"/>
        <v>2512.4400000000005</v>
      </c>
      <c r="G220" s="24">
        <f t="shared" si="68"/>
        <v>2522.8000000000002</v>
      </c>
      <c r="H220" s="24">
        <f t="shared" si="68"/>
        <v>2466</v>
      </c>
      <c r="I220" s="24">
        <f t="shared" si="68"/>
        <v>2640.88</v>
      </c>
      <c r="J220" s="24">
        <f t="shared" si="68"/>
        <v>2602.7199999999993</v>
      </c>
      <c r="K220" s="24">
        <f t="shared" si="68"/>
        <v>2534.6799999999994</v>
      </c>
      <c r="L220" s="24">
        <f t="shared" si="68"/>
        <v>2521.2800000000007</v>
      </c>
      <c r="M220" s="24"/>
      <c r="N220" s="24"/>
      <c r="O220" s="24"/>
      <c r="P220" s="24" t="str">
        <f>IF(((P218="")*AND(P219="")),"",(P218-P219)*4)</f>
        <v/>
      </c>
      <c r="Q220" s="61"/>
      <c r="R220" s="61"/>
      <c r="S220" s="61"/>
      <c r="T220" s="61"/>
      <c r="U220" s="61"/>
      <c r="V220" s="60"/>
      <c r="W220" s="61"/>
      <c r="X220" s="77"/>
    </row>
    <row r="221" spans="1:31">
      <c r="A221" s="202">
        <v>42743</v>
      </c>
      <c r="B221" s="57" t="s">
        <v>157</v>
      </c>
      <c r="C221" s="51" t="s">
        <v>156</v>
      </c>
      <c r="D221" s="68">
        <v>5150.67</v>
      </c>
      <c r="E221" s="68">
        <v>5145.28</v>
      </c>
      <c r="F221" s="68">
        <v>5158.3100000000004</v>
      </c>
      <c r="G221" s="68">
        <v>5111.78</v>
      </c>
      <c r="H221" s="68">
        <v>5174.9799999999996</v>
      </c>
      <c r="I221" s="68">
        <v>5109.7</v>
      </c>
      <c r="J221" s="68">
        <v>5116.71</v>
      </c>
      <c r="K221" s="68">
        <v>5144.45</v>
      </c>
      <c r="L221" s="68">
        <v>5211.7299999999996</v>
      </c>
      <c r="M221" s="50"/>
      <c r="N221" s="50"/>
      <c r="O221" s="50"/>
      <c r="P221" s="50"/>
      <c r="Q221" s="57">
        <f>IF((L222=""),"",MAX(D223:L223))</f>
        <v>3380.5999999999995</v>
      </c>
      <c r="R221" s="57">
        <f>IF(L222="","",MIN(D223:L223))</f>
        <v>3335.7</v>
      </c>
      <c r="S221" s="58">
        <f>IF((L223=""),"",AVERAGE(D223:L223))</f>
        <v>3352.313333333333</v>
      </c>
      <c r="T221" s="57">
        <f>IF((L222=""),"",((Q221-R221)/(Q221+R221))*100)</f>
        <v>0.66852284740109347</v>
      </c>
      <c r="U221" s="56">
        <f>STDEV(D221:L221)</f>
        <v>32.925826404903532</v>
      </c>
      <c r="V221" s="55" t="str">
        <f>IF(L222="","",(IF(T221&lt;7,IF(S221&gt;2800,IF(S221&lt;3800,"Pass","Fail"),"Fail"),"Fail")))</f>
        <v>Pass</v>
      </c>
      <c r="W221" s="57">
        <v>1400</v>
      </c>
      <c r="X221" s="244" t="s">
        <v>200</v>
      </c>
      <c r="Z221" s="53">
        <v>2800</v>
      </c>
      <c r="AA221" s="53">
        <v>3800</v>
      </c>
      <c r="AB221" s="53">
        <v>3100</v>
      </c>
      <c r="AC221" s="53">
        <v>3760</v>
      </c>
      <c r="AD221" s="52">
        <v>6</v>
      </c>
      <c r="AE221" s="52">
        <v>6</v>
      </c>
    </row>
    <row r="222" spans="1:31" ht="16.5" customHeight="1">
      <c r="A222" s="199"/>
      <c r="B222" s="48"/>
      <c r="C222" s="51" t="s">
        <v>155</v>
      </c>
      <c r="D222" s="68">
        <v>3469.17</v>
      </c>
      <c r="E222" s="68">
        <v>3473.94</v>
      </c>
      <c r="F222" s="68">
        <v>3486.84</v>
      </c>
      <c r="G222" s="68">
        <v>3442.16</v>
      </c>
      <c r="H222" s="68">
        <v>3505.14</v>
      </c>
      <c r="I222" s="68">
        <v>3419.4</v>
      </c>
      <c r="J222" s="68">
        <v>3448.86</v>
      </c>
      <c r="K222" s="68">
        <v>3468.62</v>
      </c>
      <c r="L222" s="68">
        <v>3524.07</v>
      </c>
      <c r="M222" s="50"/>
      <c r="N222" s="50"/>
      <c r="O222" s="50"/>
      <c r="P222" s="50"/>
      <c r="Q222" s="48"/>
      <c r="R222" s="48"/>
      <c r="S222" s="49"/>
      <c r="T222" s="48"/>
      <c r="U222" s="48"/>
      <c r="V222" s="47"/>
      <c r="W222" s="48"/>
      <c r="X222" s="77"/>
    </row>
    <row r="223" spans="1:31" ht="24.75" customHeight="1" thickBot="1">
      <c r="A223" s="199"/>
      <c r="B223" s="42"/>
      <c r="C223" s="45" t="s">
        <v>154</v>
      </c>
      <c r="D223" s="44">
        <f t="shared" ref="D223:L223" si="69">IF(((D221="")*AND(D222="")),"",(D221-D222)*2)</f>
        <v>3363</v>
      </c>
      <c r="E223" s="44">
        <f t="shared" si="69"/>
        <v>3342.6799999999994</v>
      </c>
      <c r="F223" s="44">
        <f t="shared" si="69"/>
        <v>3342.9400000000005</v>
      </c>
      <c r="G223" s="44">
        <f t="shared" si="69"/>
        <v>3339.24</v>
      </c>
      <c r="H223" s="44">
        <f t="shared" si="69"/>
        <v>3339.6799999999994</v>
      </c>
      <c r="I223" s="44">
        <f t="shared" si="69"/>
        <v>3380.5999999999995</v>
      </c>
      <c r="J223" s="44">
        <f t="shared" si="69"/>
        <v>3335.7</v>
      </c>
      <c r="K223" s="44">
        <f t="shared" si="69"/>
        <v>3351.66</v>
      </c>
      <c r="L223" s="44">
        <f t="shared" si="69"/>
        <v>3375.3199999999988</v>
      </c>
      <c r="M223" s="44"/>
      <c r="N223" s="44"/>
      <c r="O223" s="44"/>
      <c r="P223" s="44"/>
      <c r="Q223" s="42"/>
      <c r="R223" s="42"/>
      <c r="S223" s="43"/>
      <c r="T223" s="42"/>
      <c r="U223" s="42"/>
      <c r="V223" s="41"/>
      <c r="W223" s="42"/>
      <c r="X223" s="76"/>
    </row>
    <row r="224" spans="1:31" ht="12.75" customHeight="1">
      <c r="A224" s="201">
        <v>42760</v>
      </c>
      <c r="B224" s="63" t="s">
        <v>158</v>
      </c>
      <c r="C224" s="56" t="s">
        <v>156</v>
      </c>
      <c r="D224" s="8">
        <v>1908.12</v>
      </c>
      <c r="E224" s="8">
        <v>1903.13</v>
      </c>
      <c r="F224" s="8">
        <v>1904.02</v>
      </c>
      <c r="G224" s="8">
        <v>1902.86</v>
      </c>
      <c r="H224" s="8">
        <v>1908.84</v>
      </c>
      <c r="I224" s="8">
        <v>1907.51</v>
      </c>
      <c r="J224" s="8">
        <v>1900.88</v>
      </c>
      <c r="K224" s="8">
        <v>1904.61</v>
      </c>
      <c r="L224" s="8">
        <v>1912.45</v>
      </c>
      <c r="M224" s="62"/>
      <c r="N224" s="62"/>
      <c r="O224" s="62"/>
      <c r="P224" s="62"/>
      <c r="Q224" s="63">
        <f>IF((L225=""),"",MAX(D226:L226))</f>
        <v>2683.5599999999995</v>
      </c>
      <c r="R224" s="63">
        <f>IF(L225="","",MIN(D226:L226))</f>
        <v>2488.7999999999993</v>
      </c>
      <c r="S224" s="63">
        <f>IF((L226=""),"",AVERAGE(D226:L226))</f>
        <v>2574.1022222222218</v>
      </c>
      <c r="T224" s="63">
        <f>IF((L225=""),"",((Q224-R224)/(Q224+R224))*100)</f>
        <v>3.7653991601512704</v>
      </c>
      <c r="U224" s="51">
        <f>STDEV(D224:L224)</f>
        <v>3.6456930447236444</v>
      </c>
      <c r="V224" s="64" t="str">
        <f>IF(L225="","",(IF(T224&lt;12,IF(S224&gt;2200,IF(S224&lt;3280,"Pass","Fail"),"Fail"),"Fail")))</f>
        <v>Pass</v>
      </c>
      <c r="W224" s="63">
        <v>1400</v>
      </c>
      <c r="X224" s="245" t="s">
        <v>278</v>
      </c>
      <c r="Y224" s="37" t="s">
        <v>277</v>
      </c>
      <c r="Z224" s="37">
        <v>2000</v>
      </c>
      <c r="AA224" s="37">
        <v>3000</v>
      </c>
      <c r="AB224" s="37">
        <v>2200</v>
      </c>
      <c r="AC224" s="37">
        <v>3280</v>
      </c>
      <c r="AD224" s="39">
        <v>12</v>
      </c>
      <c r="AE224" s="39">
        <v>12</v>
      </c>
    </row>
    <row r="225" spans="1:31" ht="16.5" customHeight="1">
      <c r="A225" s="199"/>
      <c r="B225" s="48"/>
      <c r="C225" s="51" t="s">
        <v>155</v>
      </c>
      <c r="D225" s="8">
        <v>1237.23</v>
      </c>
      <c r="E225" s="8">
        <v>1253.46</v>
      </c>
      <c r="F225" s="8">
        <v>1276.28</v>
      </c>
      <c r="G225" s="8">
        <v>1271.69</v>
      </c>
      <c r="H225" s="8">
        <v>1286.6400000000001</v>
      </c>
      <c r="I225" s="8">
        <v>1238.18</v>
      </c>
      <c r="J225" s="8">
        <v>1253.06</v>
      </c>
      <c r="K225" s="8">
        <v>1269.67</v>
      </c>
      <c r="L225" s="8">
        <v>1274.48</v>
      </c>
      <c r="M225" s="50"/>
      <c r="N225" s="50"/>
      <c r="O225" s="50"/>
      <c r="P225" s="50"/>
      <c r="Q225" s="48"/>
      <c r="R225" s="48"/>
      <c r="S225" s="48"/>
      <c r="T225" s="48"/>
      <c r="U225" s="48"/>
      <c r="V225" s="47"/>
      <c r="W225" s="48"/>
      <c r="X225" s="77"/>
    </row>
    <row r="226" spans="1:31" ht="24.75" customHeight="1" thickBot="1">
      <c r="A226" s="199"/>
      <c r="B226" s="61"/>
      <c r="C226" s="51" t="s">
        <v>154</v>
      </c>
      <c r="D226" s="24">
        <f t="shared" ref="D226:L226" si="70">IF(((D224="")*AND(D225="")),"",(D224-D225)*4)</f>
        <v>2683.5599999999995</v>
      </c>
      <c r="E226" s="24">
        <f t="shared" si="70"/>
        <v>2598.6800000000003</v>
      </c>
      <c r="F226" s="24">
        <f t="shared" si="70"/>
        <v>2510.96</v>
      </c>
      <c r="G226" s="24">
        <f t="shared" si="70"/>
        <v>2524.6799999999994</v>
      </c>
      <c r="H226" s="24">
        <f t="shared" si="70"/>
        <v>2488.7999999999993</v>
      </c>
      <c r="I226" s="24">
        <f t="shared" si="70"/>
        <v>2677.3199999999997</v>
      </c>
      <c r="J226" s="24">
        <f t="shared" si="70"/>
        <v>2591.2800000000007</v>
      </c>
      <c r="K226" s="24">
        <f t="shared" si="70"/>
        <v>2539.7599999999993</v>
      </c>
      <c r="L226" s="24">
        <f t="shared" si="70"/>
        <v>2551.88</v>
      </c>
      <c r="M226" s="24"/>
      <c r="N226" s="24"/>
      <c r="O226" s="24"/>
      <c r="P226" s="24" t="str">
        <f>IF(((P224="")*AND(P225="")),"",(P224-P225)*4)</f>
        <v/>
      </c>
      <c r="Q226" s="61"/>
      <c r="R226" s="61"/>
      <c r="S226" s="61"/>
      <c r="T226" s="61"/>
      <c r="U226" s="61"/>
      <c r="V226" s="60"/>
      <c r="W226" s="61"/>
      <c r="X226" s="77"/>
    </row>
    <row r="227" spans="1:31">
      <c r="A227" s="202">
        <v>42760</v>
      </c>
      <c r="B227" s="57" t="s">
        <v>157</v>
      </c>
      <c r="C227" s="51" t="s">
        <v>156</v>
      </c>
      <c r="D227" s="8">
        <v>6992.98</v>
      </c>
      <c r="E227" s="8">
        <v>6973.67</v>
      </c>
      <c r="F227" s="8">
        <v>6987.83</v>
      </c>
      <c r="G227" s="8">
        <v>6941.3</v>
      </c>
      <c r="H227" s="8">
        <v>7005.29</v>
      </c>
      <c r="I227" s="8">
        <v>6963.77</v>
      </c>
      <c r="J227" s="8">
        <v>6946.41</v>
      </c>
      <c r="K227" s="8">
        <v>6977.15</v>
      </c>
      <c r="L227" s="8">
        <v>7058.76</v>
      </c>
      <c r="M227" s="50"/>
      <c r="N227" s="50"/>
      <c r="O227" s="50"/>
      <c r="P227" s="50"/>
      <c r="Q227" s="57">
        <f>IF((L228=""),"",MAX(D229:L229))</f>
        <v>3528.2400000000016</v>
      </c>
      <c r="R227" s="57">
        <f>IF(L228="","",MIN(D229:L229))</f>
        <v>3423.380000000001</v>
      </c>
      <c r="S227" s="58">
        <f>IF((L229=""),"",AVERAGE(D229:L229))</f>
        <v>3450.48888888889</v>
      </c>
      <c r="T227" s="57">
        <f>IF((L228=""),"",((Q227-R227)/(Q227+R227))*100)</f>
        <v>1.5084253742293241</v>
      </c>
      <c r="U227" s="56">
        <f>STDEV(D227:L227)</f>
        <v>35.228061533936483</v>
      </c>
      <c r="V227" s="55" t="str">
        <f>IF(L228="","",(IF(T227&lt;7,IF(S227&gt;2800,IF(S227&lt;3800,"Pass","Fail"),"Fail"),"Fail")))</f>
        <v>Pass</v>
      </c>
      <c r="W227" s="57">
        <v>1400</v>
      </c>
      <c r="X227" s="245" t="s">
        <v>278</v>
      </c>
      <c r="Z227" s="53">
        <v>2800</v>
      </c>
      <c r="AA227" s="53">
        <v>3800</v>
      </c>
      <c r="AB227" s="53">
        <v>3100</v>
      </c>
      <c r="AC227" s="53">
        <v>3760</v>
      </c>
      <c r="AD227" s="52">
        <v>6</v>
      </c>
      <c r="AE227" s="52">
        <v>6</v>
      </c>
    </row>
    <row r="228" spans="1:31" ht="16.5" customHeight="1">
      <c r="A228" s="199"/>
      <c r="B228" s="48"/>
      <c r="C228" s="51" t="s">
        <v>155</v>
      </c>
      <c r="D228" s="8">
        <v>5262.16</v>
      </c>
      <c r="E228" s="8">
        <v>5261.98</v>
      </c>
      <c r="F228" s="8">
        <v>5273.87</v>
      </c>
      <c r="G228" s="8">
        <v>5225.4399999999996</v>
      </c>
      <c r="H228" s="8">
        <v>5271.38</v>
      </c>
      <c r="I228" s="8">
        <v>5199.6499999999996</v>
      </c>
      <c r="J228" s="8">
        <v>5231.45</v>
      </c>
      <c r="K228" s="8">
        <v>5261.16</v>
      </c>
      <c r="L228" s="8">
        <v>5332.87</v>
      </c>
      <c r="M228" s="50"/>
      <c r="N228" s="50"/>
      <c r="O228" s="50"/>
      <c r="P228" s="50"/>
      <c r="Q228" s="48"/>
      <c r="R228" s="48"/>
      <c r="S228" s="49"/>
      <c r="T228" s="48"/>
      <c r="U228" s="48"/>
      <c r="V228" s="47"/>
      <c r="W228" s="48"/>
      <c r="X228" s="77"/>
    </row>
    <row r="229" spans="1:31" ht="24.75" customHeight="1" thickBot="1">
      <c r="A229" s="199"/>
      <c r="B229" s="42"/>
      <c r="C229" s="45" t="s">
        <v>154</v>
      </c>
      <c r="D229" s="44">
        <f t="shared" ref="D229:L229" si="71">IF(((D227="")*AND(D228="")),"",(D227-D228)*2)</f>
        <v>3461.6399999999994</v>
      </c>
      <c r="E229" s="44">
        <f t="shared" si="71"/>
        <v>3423.380000000001</v>
      </c>
      <c r="F229" s="44">
        <f t="shared" si="71"/>
        <v>3427.92</v>
      </c>
      <c r="G229" s="44">
        <f t="shared" si="71"/>
        <v>3431.7200000000012</v>
      </c>
      <c r="H229" s="44">
        <f t="shared" si="71"/>
        <v>3467.8199999999997</v>
      </c>
      <c r="I229" s="44">
        <f t="shared" si="71"/>
        <v>3528.2400000000016</v>
      </c>
      <c r="J229" s="44">
        <f t="shared" si="71"/>
        <v>3429.92</v>
      </c>
      <c r="K229" s="44">
        <f t="shared" si="71"/>
        <v>3431.9799999999996</v>
      </c>
      <c r="L229" s="44">
        <f t="shared" si="71"/>
        <v>3451.7800000000007</v>
      </c>
      <c r="M229" s="44"/>
      <c r="N229" s="44"/>
      <c r="O229" s="44"/>
      <c r="P229" s="44"/>
      <c r="Q229" s="42"/>
      <c r="R229" s="42"/>
      <c r="S229" s="43"/>
      <c r="T229" s="42"/>
      <c r="U229" s="42"/>
      <c r="V229" s="41"/>
      <c r="W229" s="42"/>
      <c r="X229" s="76"/>
    </row>
    <row r="230" spans="1:31">
      <c r="A230" s="201">
        <v>42772</v>
      </c>
      <c r="B230" s="63" t="s">
        <v>158</v>
      </c>
      <c r="C230" s="56" t="s">
        <v>156</v>
      </c>
      <c r="D230" s="8">
        <v>1762.84</v>
      </c>
      <c r="E230" s="8">
        <v>1821.72</v>
      </c>
      <c r="F230" s="8">
        <v>1843.26</v>
      </c>
      <c r="G230" s="8">
        <v>1830.53</v>
      </c>
      <c r="H230" s="8">
        <v>1845.3</v>
      </c>
      <c r="I230" s="8">
        <v>1778.41</v>
      </c>
      <c r="J230" s="8">
        <v>1856.08</v>
      </c>
      <c r="K230" s="8">
        <v>1854.56</v>
      </c>
      <c r="L230" s="8">
        <v>1802.35</v>
      </c>
      <c r="M230" s="62"/>
      <c r="N230" s="62"/>
      <c r="O230" s="62"/>
      <c r="P230" s="62"/>
      <c r="Q230" s="63">
        <f>IF((L231=""),"",MAX(D232:L232))</f>
        <v>2406.12</v>
      </c>
      <c r="R230" s="63">
        <f>IF(L231="","",MIN(D232:L232))</f>
        <v>2140.7599999999993</v>
      </c>
      <c r="S230" s="63">
        <f>IF((L232=""),"",AVERAGE(D232:L232))</f>
        <v>2271.0399999999995</v>
      </c>
      <c r="T230" s="63">
        <f>IF((L231=""),"",((Q230-R230)/(Q230+R230))*100)</f>
        <v>5.8360898022380319</v>
      </c>
      <c r="U230" s="51">
        <f>STDEV(D230:L230)</f>
        <v>33.679493307424522</v>
      </c>
      <c r="V230" s="64" t="str">
        <f>IF(L231="","",(IF(T230&lt;12,IF(S230&gt;2200,IF(S230&lt;3280,"Pass","Fail"),"Fail"),"Fail")))</f>
        <v>Pass</v>
      </c>
      <c r="W230" s="63">
        <v>1400</v>
      </c>
      <c r="X230" s="245" t="s">
        <v>199</v>
      </c>
      <c r="Z230" s="37">
        <v>2000</v>
      </c>
      <c r="AA230" s="37">
        <v>3000</v>
      </c>
      <c r="AB230" s="37">
        <v>2200</v>
      </c>
      <c r="AC230" s="37">
        <v>3280</v>
      </c>
      <c r="AD230" s="39">
        <v>12</v>
      </c>
      <c r="AE230" s="39">
        <v>12</v>
      </c>
    </row>
    <row r="231" spans="1:31" ht="16.5" customHeight="1">
      <c r="A231" s="199"/>
      <c r="B231" s="48"/>
      <c r="C231" s="51" t="s">
        <v>155</v>
      </c>
      <c r="D231" s="8">
        <v>1224.26</v>
      </c>
      <c r="E231" s="8">
        <v>1248.9000000000001</v>
      </c>
      <c r="F231" s="8">
        <v>1267.22</v>
      </c>
      <c r="G231" s="8">
        <v>1251.3599999999999</v>
      </c>
      <c r="H231" s="8">
        <v>1287.3</v>
      </c>
      <c r="I231" s="8">
        <v>1215.54</v>
      </c>
      <c r="J231" s="8">
        <v>1254.55</v>
      </c>
      <c r="K231" s="8">
        <v>1268.92</v>
      </c>
      <c r="L231" s="8">
        <v>1267.1600000000001</v>
      </c>
      <c r="M231" s="50"/>
      <c r="N231" s="50"/>
      <c r="O231" s="50"/>
      <c r="P231" s="50"/>
      <c r="Q231" s="48"/>
      <c r="R231" s="48"/>
      <c r="S231" s="48"/>
      <c r="T231" s="48"/>
      <c r="U231" s="48"/>
      <c r="V231" s="47"/>
      <c r="W231" s="48"/>
      <c r="X231" s="77"/>
    </row>
    <row r="232" spans="1:31" ht="24.75" customHeight="1" thickBot="1">
      <c r="A232" s="199"/>
      <c r="B232" s="61"/>
      <c r="C232" s="51" t="s">
        <v>154</v>
      </c>
      <c r="D232" s="24">
        <f t="shared" ref="D232:L232" si="72">IF(((D230="")*AND(D231="")),"",(D230-D231)*4)</f>
        <v>2154.3199999999997</v>
      </c>
      <c r="E232" s="24">
        <f t="shared" si="72"/>
        <v>2291.2799999999997</v>
      </c>
      <c r="F232" s="24">
        <f t="shared" si="72"/>
        <v>2304.16</v>
      </c>
      <c r="G232" s="24">
        <f t="shared" si="72"/>
        <v>2316.6800000000003</v>
      </c>
      <c r="H232" s="24">
        <f t="shared" si="72"/>
        <v>2232</v>
      </c>
      <c r="I232" s="24">
        <f t="shared" si="72"/>
        <v>2251.4800000000005</v>
      </c>
      <c r="J232" s="24">
        <f t="shared" si="72"/>
        <v>2406.12</v>
      </c>
      <c r="K232" s="24">
        <f t="shared" si="72"/>
        <v>2342.5599999999995</v>
      </c>
      <c r="L232" s="24">
        <f t="shared" si="72"/>
        <v>2140.7599999999993</v>
      </c>
      <c r="M232" s="24"/>
      <c r="N232" s="24"/>
      <c r="O232" s="24"/>
      <c r="P232" s="24" t="str">
        <f>IF(((P230="")*AND(P231="")),"",(P230-P231)*4)</f>
        <v/>
      </c>
      <c r="Q232" s="61"/>
      <c r="R232" s="61"/>
      <c r="S232" s="61"/>
      <c r="T232" s="61"/>
      <c r="U232" s="61"/>
      <c r="V232" s="60"/>
      <c r="W232" s="61"/>
      <c r="X232" s="77"/>
    </row>
    <row r="233" spans="1:31">
      <c r="A233" s="201">
        <v>42772</v>
      </c>
      <c r="B233" s="57" t="s">
        <v>157</v>
      </c>
      <c r="C233" s="51" t="s">
        <v>156</v>
      </c>
      <c r="D233" s="8">
        <v>5275.56</v>
      </c>
      <c r="E233" s="8">
        <v>5276.11</v>
      </c>
      <c r="F233" s="8">
        <v>5288.3</v>
      </c>
      <c r="G233" s="8">
        <v>5239.43</v>
      </c>
      <c r="H233" s="8">
        <v>5283.96</v>
      </c>
      <c r="I233" s="8">
        <v>5211.22</v>
      </c>
      <c r="J233" s="8">
        <v>5245.73</v>
      </c>
      <c r="K233" s="8">
        <v>5275.15</v>
      </c>
      <c r="L233" s="8">
        <v>5346.91</v>
      </c>
      <c r="M233" s="50"/>
      <c r="N233" s="50"/>
      <c r="O233" s="50"/>
      <c r="P233" s="50"/>
      <c r="Q233" s="57">
        <f>IF((L234=""),"",MAX(D235:L235))</f>
        <v>3460.84</v>
      </c>
      <c r="R233" s="57">
        <f>IF(L234="","",MIN(D235:L235))</f>
        <v>3385.2799999999988</v>
      </c>
      <c r="S233" s="58">
        <f>IF((L235=""),"",AVERAGE(D235:L235))</f>
        <v>3405.4844444444443</v>
      </c>
      <c r="T233" s="57">
        <f>IF((L234=""),"",((Q233-R233)/(Q233+R233))*100)</f>
        <v>1.1036908497075908</v>
      </c>
      <c r="U233" s="56">
        <f>STDEV(D233:L233)</f>
        <v>37.916573260107327</v>
      </c>
      <c r="V233" s="55" t="str">
        <f>IF(L234="","",(IF(T233&lt;7,IF(S233&gt;2800,IF(S233&lt;3800,"Pass","Fail"),"Fail"),"Fail")))</f>
        <v>Pass</v>
      </c>
      <c r="W233" s="57">
        <v>1400</v>
      </c>
      <c r="X233" s="245" t="s">
        <v>199</v>
      </c>
      <c r="Z233" s="53">
        <v>2800</v>
      </c>
      <c r="AA233" s="53">
        <v>3800</v>
      </c>
      <c r="AB233" s="53">
        <v>3100</v>
      </c>
      <c r="AC233" s="53">
        <v>3760</v>
      </c>
      <c r="AD233" s="52">
        <v>6</v>
      </c>
      <c r="AE233" s="52">
        <v>6</v>
      </c>
    </row>
    <row r="234" spans="1:31" ht="16.5" customHeight="1">
      <c r="A234" s="199"/>
      <c r="B234" s="48"/>
      <c r="C234" s="51" t="s">
        <v>155</v>
      </c>
      <c r="D234" s="8">
        <v>3569.86</v>
      </c>
      <c r="E234" s="8">
        <v>3583.03</v>
      </c>
      <c r="F234" s="8">
        <v>3592.66</v>
      </c>
      <c r="G234" s="8">
        <v>3544.96</v>
      </c>
      <c r="H234" s="8">
        <v>3576.74</v>
      </c>
      <c r="I234" s="8">
        <v>3480.8</v>
      </c>
      <c r="J234" s="8">
        <v>3553.09</v>
      </c>
      <c r="K234" s="8">
        <v>3577.1</v>
      </c>
      <c r="L234" s="8">
        <v>3639.45</v>
      </c>
      <c r="M234" s="50"/>
      <c r="N234" s="50"/>
      <c r="O234" s="50"/>
      <c r="P234" s="50"/>
      <c r="Q234" s="48"/>
      <c r="R234" s="48"/>
      <c r="S234" s="49"/>
      <c r="T234" s="48"/>
      <c r="U234" s="48"/>
      <c r="V234" s="47"/>
      <c r="W234" s="48"/>
      <c r="X234" s="77"/>
    </row>
    <row r="235" spans="1:31" ht="24.75" customHeight="1" thickBot="1">
      <c r="A235" s="199"/>
      <c r="B235" s="42"/>
      <c r="C235" s="45" t="s">
        <v>154</v>
      </c>
      <c r="D235" s="44">
        <f t="shared" ref="D235:L235" si="73">IF(((D233="")*AND(D234="")),"",(D233-D234)*2)</f>
        <v>3411.4000000000005</v>
      </c>
      <c r="E235" s="44">
        <f t="shared" si="73"/>
        <v>3386.1599999999989</v>
      </c>
      <c r="F235" s="44">
        <f t="shared" si="73"/>
        <v>3391.2800000000007</v>
      </c>
      <c r="G235" s="44">
        <f t="shared" si="73"/>
        <v>3388.9400000000005</v>
      </c>
      <c r="H235" s="44">
        <f t="shared" si="73"/>
        <v>3414.4400000000005</v>
      </c>
      <c r="I235" s="44">
        <f t="shared" si="73"/>
        <v>3460.84</v>
      </c>
      <c r="J235" s="44">
        <f t="shared" si="73"/>
        <v>3385.2799999999988</v>
      </c>
      <c r="K235" s="44">
        <f t="shared" si="73"/>
        <v>3396.0999999999995</v>
      </c>
      <c r="L235" s="44">
        <f t="shared" si="73"/>
        <v>3414.92</v>
      </c>
      <c r="M235" s="44"/>
      <c r="N235" s="44"/>
      <c r="O235" s="44"/>
      <c r="P235" s="44"/>
      <c r="Q235" s="42"/>
      <c r="R235" s="42"/>
      <c r="S235" s="43"/>
      <c r="T235" s="42"/>
      <c r="U235" s="42"/>
      <c r="V235" s="41"/>
      <c r="W235" s="42"/>
      <c r="X235" s="76"/>
    </row>
    <row r="236" spans="1:31">
      <c r="A236" s="201">
        <v>42783</v>
      </c>
      <c r="B236" s="63" t="s">
        <v>158</v>
      </c>
      <c r="C236" s="56" t="s">
        <v>156</v>
      </c>
      <c r="D236" s="8">
        <v>1912.19</v>
      </c>
      <c r="E236" s="8">
        <v>1906.61</v>
      </c>
      <c r="F236" s="8">
        <v>1908.71</v>
      </c>
      <c r="G236" s="8">
        <v>1910.62</v>
      </c>
      <c r="H236" s="8">
        <v>1917.78</v>
      </c>
      <c r="I236" s="8">
        <v>1914.4</v>
      </c>
      <c r="J236" s="8">
        <v>1908.91</v>
      </c>
      <c r="K236" s="8">
        <v>1908.15</v>
      </c>
      <c r="L236" s="8">
        <v>1918.34</v>
      </c>
      <c r="M236" s="62"/>
      <c r="N236" s="62"/>
      <c r="O236" s="62"/>
      <c r="P236" s="62"/>
      <c r="Q236" s="63">
        <f>IF((L237=""),"",MAX(D238:L238))</f>
        <v>2581.2800000000007</v>
      </c>
      <c r="R236" s="63">
        <f>IF(L237="","",MIN(D238:L238))</f>
        <v>2395.3599999999997</v>
      </c>
      <c r="S236" s="63">
        <f>IF((L238=""),"",AVERAGE(D238:L238))</f>
        <v>2513.9333333333334</v>
      </c>
      <c r="T236" s="63">
        <f>IF((L237=""),"",((Q236-R236)/(Q236+R236))*100)</f>
        <v>3.7358539094650403</v>
      </c>
      <c r="U236" s="51">
        <f>STDEV(D236:L236)</f>
        <v>4.2568859248695148</v>
      </c>
      <c r="V236" s="64" t="str">
        <f>IF(L237="","",(IF(T236&lt;12,IF(S236&gt;2200,IF(S236&lt;3280,"Pass","Fail"),"Fail"),"Fail")))</f>
        <v>Pass</v>
      </c>
      <c r="W236" s="63">
        <v>1400</v>
      </c>
      <c r="X236" s="245" t="s">
        <v>198</v>
      </c>
      <c r="Z236" s="37">
        <v>2000</v>
      </c>
      <c r="AA236" s="37">
        <v>3000</v>
      </c>
      <c r="AB236" s="37">
        <v>2200</v>
      </c>
      <c r="AC236" s="37">
        <v>3280</v>
      </c>
      <c r="AD236" s="39">
        <v>12</v>
      </c>
      <c r="AE236" s="39">
        <v>12</v>
      </c>
    </row>
    <row r="237" spans="1:31" ht="16.5" customHeight="1">
      <c r="A237" s="199"/>
      <c r="B237" s="48"/>
      <c r="C237" s="51" t="s">
        <v>155</v>
      </c>
      <c r="D237" s="8">
        <v>1266.8699999999999</v>
      </c>
      <c r="E237" s="8">
        <v>1265.1600000000001</v>
      </c>
      <c r="F237" s="8">
        <v>1285.22</v>
      </c>
      <c r="G237" s="8">
        <v>1284.3900000000001</v>
      </c>
      <c r="H237" s="8">
        <v>1318.94</v>
      </c>
      <c r="I237" s="8">
        <v>1271.7</v>
      </c>
      <c r="J237" s="8">
        <v>1263.9000000000001</v>
      </c>
      <c r="K237" s="8">
        <v>1282.98</v>
      </c>
      <c r="L237" s="8">
        <v>1310.2</v>
      </c>
      <c r="M237" s="50"/>
      <c r="N237" s="50"/>
      <c r="O237" s="50"/>
      <c r="P237" s="50"/>
      <c r="Q237" s="48"/>
      <c r="R237" s="48"/>
      <c r="S237" s="48"/>
      <c r="T237" s="48"/>
      <c r="U237" s="48"/>
      <c r="V237" s="47"/>
      <c r="W237" s="48"/>
      <c r="X237" s="77"/>
    </row>
    <row r="238" spans="1:31" ht="24.75" customHeight="1" thickBot="1">
      <c r="A238" s="199"/>
      <c r="B238" s="61"/>
      <c r="C238" s="51" t="s">
        <v>154</v>
      </c>
      <c r="D238" s="24">
        <f t="shared" ref="D238:L238" si="74">IF(((D236="")*AND(D237="")),"",(D236-D237)*4)</f>
        <v>2581.2800000000007</v>
      </c>
      <c r="E238" s="24">
        <f t="shared" si="74"/>
        <v>2565.7999999999993</v>
      </c>
      <c r="F238" s="24">
        <f t="shared" si="74"/>
        <v>2493.96</v>
      </c>
      <c r="G238" s="24">
        <f t="shared" si="74"/>
        <v>2504.9199999999992</v>
      </c>
      <c r="H238" s="24">
        <f t="shared" si="74"/>
        <v>2395.3599999999997</v>
      </c>
      <c r="I238" s="24">
        <f t="shared" si="74"/>
        <v>2570.8000000000002</v>
      </c>
      <c r="J238" s="24">
        <f t="shared" si="74"/>
        <v>2580.04</v>
      </c>
      <c r="K238" s="24">
        <f t="shared" si="74"/>
        <v>2500.6800000000003</v>
      </c>
      <c r="L238" s="24">
        <f t="shared" si="74"/>
        <v>2432.5599999999995</v>
      </c>
      <c r="M238" s="24"/>
      <c r="N238" s="24"/>
      <c r="O238" s="24"/>
      <c r="P238" s="24" t="str">
        <f>IF(((P236="")*AND(P237="")),"",(P236-P237)*4)</f>
        <v/>
      </c>
      <c r="Q238" s="61"/>
      <c r="R238" s="61"/>
      <c r="S238" s="61"/>
      <c r="T238" s="61"/>
      <c r="U238" s="61"/>
      <c r="V238" s="60"/>
      <c r="W238" s="61"/>
      <c r="X238" s="77"/>
    </row>
    <row r="239" spans="1:31">
      <c r="A239" s="201">
        <v>42783</v>
      </c>
      <c r="B239" s="57" t="s">
        <v>157</v>
      </c>
      <c r="C239" s="51" t="s">
        <v>156</v>
      </c>
      <c r="D239" s="8">
        <v>6844.31</v>
      </c>
      <c r="E239" s="8">
        <v>6817.73</v>
      </c>
      <c r="F239" s="8">
        <v>6833.51</v>
      </c>
      <c r="G239" s="8">
        <v>6789.25</v>
      </c>
      <c r="H239" s="8">
        <v>6868.68</v>
      </c>
      <c r="I239" s="8">
        <v>6832.49</v>
      </c>
      <c r="J239" s="8">
        <v>6794.01</v>
      </c>
      <c r="K239" s="8">
        <v>6822.69</v>
      </c>
      <c r="L239" s="8">
        <v>6915.46</v>
      </c>
      <c r="M239" s="50"/>
      <c r="N239" s="50"/>
      <c r="O239" s="50"/>
      <c r="P239" s="50"/>
      <c r="Q239" s="57">
        <f>IF((L240=""),"",MAX(D241:L241))</f>
        <v>3488.5399999999991</v>
      </c>
      <c r="R239" s="57">
        <f>IF(L240="","",MIN(D241:L241))</f>
        <v>3415.3600000000006</v>
      </c>
      <c r="S239" s="58">
        <f>IF((L241=""),"",AVERAGE(D241:L241))</f>
        <v>3437.3711111111115</v>
      </c>
      <c r="T239" s="57">
        <f>IF((L240=""),"",((Q239-R239)/(Q239+R239))*100)</f>
        <v>1.0599805906806077</v>
      </c>
      <c r="U239" s="56">
        <f>STDEV(D239:L239)</f>
        <v>38.609087912570111</v>
      </c>
      <c r="V239" s="55" t="str">
        <f>IF(L240="","",(IF(T239&lt;7,IF(S239&gt;2800,IF(S239&lt;3800,"Pass","Fail"),"Fail"),"Fail")))</f>
        <v>Pass</v>
      </c>
      <c r="W239" s="57">
        <v>1400</v>
      </c>
      <c r="X239" s="245" t="s">
        <v>198</v>
      </c>
      <c r="Z239" s="53">
        <v>2800</v>
      </c>
      <c r="AA239" s="53">
        <v>3800</v>
      </c>
      <c r="AB239" s="53">
        <v>3100</v>
      </c>
      <c r="AC239" s="53">
        <v>3760</v>
      </c>
      <c r="AD239" s="52">
        <v>6</v>
      </c>
      <c r="AE239" s="52">
        <v>6</v>
      </c>
    </row>
    <row r="240" spans="1:31" ht="16.5" customHeight="1">
      <c r="A240" s="199"/>
      <c r="B240" s="48"/>
      <c r="C240" s="51" t="s">
        <v>155</v>
      </c>
      <c r="D240" s="8">
        <v>5116.5</v>
      </c>
      <c r="E240" s="8">
        <v>5107.75</v>
      </c>
      <c r="F240" s="8">
        <v>5125.83</v>
      </c>
      <c r="G240" s="8">
        <v>5080.84</v>
      </c>
      <c r="H240" s="8">
        <v>5151.58</v>
      </c>
      <c r="I240" s="8">
        <v>5088.22</v>
      </c>
      <c r="J240" s="8">
        <v>5084.4799999999996</v>
      </c>
      <c r="K240" s="8">
        <v>5110.9399999999996</v>
      </c>
      <c r="L240" s="8">
        <v>5183.82</v>
      </c>
      <c r="M240" s="50"/>
      <c r="N240" s="50"/>
      <c r="O240" s="50"/>
      <c r="P240" s="50"/>
      <c r="Q240" s="48"/>
      <c r="R240" s="48"/>
      <c r="S240" s="49"/>
      <c r="T240" s="48"/>
      <c r="U240" s="48"/>
      <c r="V240" s="47"/>
      <c r="W240" s="48"/>
      <c r="X240" s="77"/>
    </row>
    <row r="241" spans="1:31" ht="24.75" customHeight="1" thickBot="1">
      <c r="A241" s="199"/>
      <c r="B241" s="42"/>
      <c r="C241" s="45" t="s">
        <v>154</v>
      </c>
      <c r="D241" s="44">
        <f t="shared" ref="D241:L241" si="75">IF(((D239="")*AND(D240="")),"",(D239-D240)*2)</f>
        <v>3455.6200000000008</v>
      </c>
      <c r="E241" s="44">
        <f t="shared" si="75"/>
        <v>3419.9599999999991</v>
      </c>
      <c r="F241" s="44">
        <f t="shared" si="75"/>
        <v>3415.3600000000006</v>
      </c>
      <c r="G241" s="44">
        <f t="shared" si="75"/>
        <v>3416.8199999999997</v>
      </c>
      <c r="H241" s="44">
        <f t="shared" si="75"/>
        <v>3434.2000000000007</v>
      </c>
      <c r="I241" s="44">
        <f t="shared" si="75"/>
        <v>3488.5399999999991</v>
      </c>
      <c r="J241" s="44">
        <f t="shared" si="75"/>
        <v>3419.0600000000013</v>
      </c>
      <c r="K241" s="44">
        <f t="shared" si="75"/>
        <v>3423.5</v>
      </c>
      <c r="L241" s="44">
        <f t="shared" si="75"/>
        <v>3463.2800000000007</v>
      </c>
      <c r="M241" s="44"/>
      <c r="N241" s="44"/>
      <c r="O241" s="44"/>
      <c r="P241" s="44"/>
      <c r="Q241" s="42"/>
      <c r="R241" s="42"/>
      <c r="S241" s="43"/>
      <c r="T241" s="42"/>
      <c r="U241" s="42"/>
      <c r="V241" s="41"/>
      <c r="W241" s="42"/>
      <c r="X241" s="76"/>
    </row>
    <row r="242" spans="1:31">
      <c r="A242" s="201">
        <v>42787</v>
      </c>
      <c r="B242" s="63" t="s">
        <v>158</v>
      </c>
      <c r="C242" s="56" t="s">
        <v>156</v>
      </c>
      <c r="D242" s="8">
        <v>1921.06</v>
      </c>
      <c r="E242" s="8">
        <v>1915.3</v>
      </c>
      <c r="F242" s="8">
        <v>1919.49</v>
      </c>
      <c r="G242" s="8">
        <v>1911.45</v>
      </c>
      <c r="H242" s="8">
        <v>1922.89</v>
      </c>
      <c r="I242" s="8">
        <v>1917.9</v>
      </c>
      <c r="J242" s="8">
        <v>1917.94</v>
      </c>
      <c r="K242" s="8">
        <v>1916.89</v>
      </c>
      <c r="L242" s="8">
        <v>1921.82</v>
      </c>
      <c r="M242" s="62"/>
      <c r="N242" s="62"/>
      <c r="O242" s="62"/>
      <c r="P242" s="62"/>
      <c r="Q242" s="63">
        <f>IF((L243=""),"",MAX(D244:L244))</f>
        <v>2702.4399999999996</v>
      </c>
      <c r="R242" s="63">
        <f>IF(L243="","",MIN(D244:L244))</f>
        <v>2443.04</v>
      </c>
      <c r="S242" s="63">
        <f>IF((L244=""),"",AVERAGE(D244:L244))</f>
        <v>2564.1555555555556</v>
      </c>
      <c r="T242" s="63">
        <f>IF((L243=""),"",((Q242-R242)/(Q242+R242))*100)</f>
        <v>5.0413178168023132</v>
      </c>
      <c r="U242" s="51">
        <f>STDEV(D242:L242)</f>
        <v>3.5477496782090912</v>
      </c>
      <c r="V242" s="64" t="str">
        <f>IF(L243="","",(IF(T242&lt;12,IF(S242&gt;2200,IF(S242&lt;3280,"Pass","Fail"),"Fail"),"Fail")))</f>
        <v>Pass</v>
      </c>
      <c r="W242" s="63">
        <v>1400</v>
      </c>
      <c r="Z242" s="37">
        <v>2000</v>
      </c>
      <c r="AA242" s="37">
        <v>3000</v>
      </c>
      <c r="AB242" s="37">
        <v>2200</v>
      </c>
      <c r="AC242" s="37">
        <v>3280</v>
      </c>
      <c r="AD242" s="39">
        <v>12</v>
      </c>
      <c r="AE242" s="39">
        <v>12</v>
      </c>
    </row>
    <row r="243" spans="1:31" ht="16.5" customHeight="1">
      <c r="A243" s="199"/>
      <c r="B243" s="48"/>
      <c r="C243" s="51" t="s">
        <v>155</v>
      </c>
      <c r="D243" s="8">
        <v>1272.0999999999999</v>
      </c>
      <c r="E243" s="8">
        <v>1267.72</v>
      </c>
      <c r="F243" s="8">
        <v>1243.8800000000001</v>
      </c>
      <c r="G243" s="8">
        <v>1282.0999999999999</v>
      </c>
      <c r="H243" s="8">
        <v>1312.13</v>
      </c>
      <c r="I243" s="8">
        <v>1269.78</v>
      </c>
      <c r="J243" s="8">
        <v>1266.49</v>
      </c>
      <c r="K243" s="8">
        <v>1283.18</v>
      </c>
      <c r="L243" s="8">
        <v>1298.01</v>
      </c>
      <c r="M243" s="50"/>
      <c r="N243" s="50"/>
      <c r="O243" s="50"/>
      <c r="P243" s="50"/>
      <c r="Q243" s="48"/>
      <c r="R243" s="48"/>
      <c r="S243" s="48"/>
      <c r="T243" s="48"/>
      <c r="U243" s="48"/>
      <c r="V243" s="47"/>
      <c r="W243" s="48"/>
      <c r="X243" s="77"/>
    </row>
    <row r="244" spans="1:31" ht="24.75" customHeight="1" thickBot="1">
      <c r="A244" s="199"/>
      <c r="B244" s="61"/>
      <c r="C244" s="51" t="s">
        <v>154</v>
      </c>
      <c r="D244" s="24">
        <f t="shared" ref="D244:L244" si="76">IF(((D242="")*AND(D243="")),"",(D242-D243)*4)</f>
        <v>2595.84</v>
      </c>
      <c r="E244" s="24">
        <f t="shared" si="76"/>
        <v>2590.3199999999997</v>
      </c>
      <c r="F244" s="24">
        <f t="shared" si="76"/>
        <v>2702.4399999999996</v>
      </c>
      <c r="G244" s="24">
        <f t="shared" si="76"/>
        <v>2517.4000000000005</v>
      </c>
      <c r="H244" s="24">
        <f t="shared" si="76"/>
        <v>2443.04</v>
      </c>
      <c r="I244" s="24">
        <f t="shared" si="76"/>
        <v>2592.4800000000005</v>
      </c>
      <c r="J244" s="24">
        <f t="shared" si="76"/>
        <v>2605.8000000000002</v>
      </c>
      <c r="K244" s="24">
        <f t="shared" si="76"/>
        <v>2534.84</v>
      </c>
      <c r="L244" s="24">
        <f t="shared" si="76"/>
        <v>2495.2399999999998</v>
      </c>
      <c r="M244" s="24"/>
      <c r="N244" s="24"/>
      <c r="O244" s="24"/>
      <c r="P244" s="24" t="str">
        <f>IF(((P242="")*AND(P243="")),"",(P242-P243)*4)</f>
        <v/>
      </c>
      <c r="Q244" s="61"/>
      <c r="R244" s="61"/>
      <c r="S244" s="61"/>
      <c r="T244" s="61"/>
      <c r="U244" s="61"/>
      <c r="V244" s="60"/>
      <c r="W244" s="61"/>
      <c r="X244" s="77"/>
    </row>
    <row r="245" spans="1:31">
      <c r="A245" s="201">
        <v>42787</v>
      </c>
      <c r="B245" s="57" t="s">
        <v>157</v>
      </c>
      <c r="C245" s="51" t="s">
        <v>156</v>
      </c>
      <c r="D245" s="8">
        <v>5140.83</v>
      </c>
      <c r="E245" s="8">
        <v>5155.1499999999996</v>
      </c>
      <c r="F245" s="8">
        <v>5168.92</v>
      </c>
      <c r="G245" s="8">
        <v>5103.9399999999996</v>
      </c>
      <c r="H245" s="8">
        <v>5198.1499999999996</v>
      </c>
      <c r="I245" s="8">
        <v>5109.3500000000004</v>
      </c>
      <c r="J245" s="8">
        <v>5111.92</v>
      </c>
      <c r="K245" s="8">
        <v>5152.8</v>
      </c>
      <c r="L245" s="8">
        <v>5264.01</v>
      </c>
      <c r="M245" s="50"/>
      <c r="N245" s="50"/>
      <c r="O245" s="50"/>
      <c r="P245" s="50"/>
      <c r="Q245" s="57">
        <f>IF((L246=""),"",MAX(D247:L247))</f>
        <v>3504.0800000000008</v>
      </c>
      <c r="R245" s="57">
        <f>IF(L246="","",MIN(D247:L247))</f>
        <v>3420.7999999999993</v>
      </c>
      <c r="S245" s="58">
        <f>IF((L247=""),"",AVERAGE(D247:L247))</f>
        <v>3448.0000000000009</v>
      </c>
      <c r="T245" s="57">
        <f>IF((L246=""),"",((Q245-R245)/(Q245+R245))*100)</f>
        <v>1.2026201176049487</v>
      </c>
      <c r="U245" s="56">
        <f>STDEV(D245:L245)</f>
        <v>50.843123538098872</v>
      </c>
      <c r="V245" s="55" t="str">
        <f>IF(L246="","",(IF(T245&lt;7,IF(S245&gt;2800,IF(S245&lt;3800,"Pass","Fail"),"Fail"),"Fail")))</f>
        <v>Pass</v>
      </c>
      <c r="W245" s="57">
        <v>1400</v>
      </c>
      <c r="X245" s="245" t="s">
        <v>197</v>
      </c>
      <c r="Z245" s="53">
        <v>2800</v>
      </c>
      <c r="AA245" s="53">
        <v>3800</v>
      </c>
      <c r="AB245" s="53">
        <v>3100</v>
      </c>
      <c r="AC245" s="53">
        <v>3760</v>
      </c>
      <c r="AD245" s="52">
        <v>6</v>
      </c>
      <c r="AE245" s="52">
        <v>6</v>
      </c>
    </row>
    <row r="246" spans="1:31" ht="16.5" customHeight="1">
      <c r="A246" s="199"/>
      <c r="B246" s="48"/>
      <c r="C246" s="51" t="s">
        <v>155</v>
      </c>
      <c r="D246" s="8">
        <v>3416.63</v>
      </c>
      <c r="E246" s="8">
        <v>3431.61</v>
      </c>
      <c r="F246" s="8">
        <v>3445.78</v>
      </c>
      <c r="G246" s="8">
        <v>3393.54</v>
      </c>
      <c r="H246" s="8">
        <v>3473.54</v>
      </c>
      <c r="I246" s="8">
        <v>3390.54</v>
      </c>
      <c r="J246" s="8">
        <v>3397.54</v>
      </c>
      <c r="K246" s="8">
        <v>3427.92</v>
      </c>
      <c r="L246" s="8">
        <v>3511.97</v>
      </c>
      <c r="M246" s="50"/>
      <c r="N246" s="50"/>
      <c r="O246" s="50"/>
      <c r="P246" s="50"/>
      <c r="Q246" s="48"/>
      <c r="R246" s="48"/>
      <c r="S246" s="49"/>
      <c r="T246" s="48"/>
      <c r="U246" s="48"/>
      <c r="V246" s="47"/>
      <c r="W246" s="48"/>
      <c r="X246" s="77"/>
    </row>
    <row r="247" spans="1:31" ht="24.75" customHeight="1" thickBot="1">
      <c r="A247" s="199"/>
      <c r="B247" s="42"/>
      <c r="C247" s="45" t="s">
        <v>154</v>
      </c>
      <c r="D247" s="44">
        <f t="shared" ref="D247:L247" si="77">IF(((D245="")*AND(D246="")),"",(D245-D246)*2)</f>
        <v>3448.3999999999996</v>
      </c>
      <c r="E247" s="44">
        <f t="shared" si="77"/>
        <v>3447.079999999999</v>
      </c>
      <c r="F247" s="44">
        <f t="shared" si="77"/>
        <v>3446.2799999999997</v>
      </c>
      <c r="G247" s="44">
        <f t="shared" si="77"/>
        <v>3420.7999999999993</v>
      </c>
      <c r="H247" s="44">
        <f t="shared" si="77"/>
        <v>3449.2199999999993</v>
      </c>
      <c r="I247" s="44">
        <f t="shared" si="77"/>
        <v>3437.6200000000008</v>
      </c>
      <c r="J247" s="44">
        <f t="shared" si="77"/>
        <v>3428.76</v>
      </c>
      <c r="K247" s="44">
        <f t="shared" si="77"/>
        <v>3449.76</v>
      </c>
      <c r="L247" s="44">
        <f t="shared" si="77"/>
        <v>3504.0800000000008</v>
      </c>
      <c r="M247" s="44"/>
      <c r="N247" s="44"/>
      <c r="O247" s="44"/>
      <c r="P247" s="44"/>
      <c r="Q247" s="42"/>
      <c r="R247" s="42"/>
      <c r="S247" s="43"/>
      <c r="T247" s="42"/>
      <c r="U247" s="42"/>
      <c r="V247" s="41"/>
      <c r="W247" s="42"/>
      <c r="X247" s="76"/>
    </row>
    <row r="248" spans="1:31">
      <c r="A248" s="201">
        <v>42800</v>
      </c>
      <c r="B248" s="63" t="s">
        <v>158</v>
      </c>
      <c r="C248" s="56" t="s">
        <v>156</v>
      </c>
      <c r="D248" s="8">
        <v>1929.38</v>
      </c>
      <c r="E248" s="8">
        <v>1924.58</v>
      </c>
      <c r="F248" s="8">
        <v>1921.23</v>
      </c>
      <c r="G248" s="8">
        <v>1922.54</v>
      </c>
      <c r="H248" s="8">
        <v>1927.54</v>
      </c>
      <c r="I248" s="8">
        <v>1928.64</v>
      </c>
      <c r="J248" s="8">
        <v>1920.84</v>
      </c>
      <c r="K248" s="8">
        <v>1921.21</v>
      </c>
      <c r="L248" s="8">
        <v>1929.82</v>
      </c>
      <c r="M248" s="62"/>
      <c r="N248" s="62"/>
      <c r="O248" s="62"/>
      <c r="P248" s="62"/>
      <c r="Q248" s="63">
        <f>IF((L249=""),"",MAX(D250:L250))</f>
        <v>2647.84</v>
      </c>
      <c r="R248" s="63">
        <f>IF(L249="","",MIN(D250:L250))</f>
        <v>2466.88</v>
      </c>
      <c r="S248" s="63">
        <f>IF((L250=""),"",AVERAGE(D250:L250))</f>
        <v>2561.9955555555553</v>
      </c>
      <c r="T248" s="63">
        <f>IF((L249=""),"",((Q248-R248)/(Q248+R248))*100)</f>
        <v>3.5380235868239129</v>
      </c>
      <c r="U248" s="51">
        <f>STDEV(D248:L248)</f>
        <v>3.7775818985525578</v>
      </c>
      <c r="V248" s="64" t="str">
        <f>IF(L249="","",(IF(T248&lt;12,IF(S248&gt;2200,IF(S248&lt;3280,"Pass","Fail"),"Fail"),"Fail")))</f>
        <v>Pass</v>
      </c>
      <c r="W248" s="63">
        <v>1335</v>
      </c>
      <c r="X248" s="245" t="s">
        <v>196</v>
      </c>
      <c r="Z248" s="37">
        <v>2000</v>
      </c>
      <c r="AA248" s="37">
        <v>3000</v>
      </c>
      <c r="AB248" s="37">
        <v>2200</v>
      </c>
      <c r="AC248" s="37">
        <v>3280</v>
      </c>
      <c r="AD248" s="39">
        <v>12</v>
      </c>
      <c r="AE248" s="39">
        <v>12</v>
      </c>
    </row>
    <row r="249" spans="1:31" ht="16.5" customHeight="1">
      <c r="A249" s="199"/>
      <c r="B249" s="48"/>
      <c r="C249" s="51" t="s">
        <v>155</v>
      </c>
      <c r="D249" s="8">
        <v>1267.42</v>
      </c>
      <c r="E249" s="8">
        <v>1271.6400000000001</v>
      </c>
      <c r="F249" s="8">
        <v>1292.29</v>
      </c>
      <c r="G249" s="8">
        <v>1290.33</v>
      </c>
      <c r="H249" s="8">
        <v>1310.82</v>
      </c>
      <c r="I249" s="8">
        <v>1270.97</v>
      </c>
      <c r="J249" s="8">
        <v>1270.77</v>
      </c>
      <c r="K249" s="8">
        <v>1286.6300000000001</v>
      </c>
      <c r="L249" s="8">
        <v>1300.42</v>
      </c>
      <c r="M249" s="50"/>
      <c r="N249" s="50"/>
      <c r="O249" s="50"/>
      <c r="P249" s="50"/>
      <c r="Q249" s="48"/>
      <c r="R249" s="48"/>
      <c r="S249" s="48"/>
      <c r="T249" s="48"/>
      <c r="U249" s="48"/>
      <c r="V249" s="47"/>
      <c r="W249" s="48"/>
      <c r="X249" s="77"/>
      <c r="Z249" s="37">
        <v>2000</v>
      </c>
      <c r="AA249" s="37">
        <v>3000</v>
      </c>
      <c r="AB249" s="37">
        <v>2500</v>
      </c>
      <c r="AC249" s="37">
        <v>2950</v>
      </c>
      <c r="AD249" s="39">
        <v>9.6</v>
      </c>
      <c r="AE249" s="39">
        <v>9.6</v>
      </c>
    </row>
    <row r="250" spans="1:31" ht="24.75" customHeight="1" thickBot="1">
      <c r="A250" s="199"/>
      <c r="B250" s="61"/>
      <c r="C250" s="51" t="s">
        <v>154</v>
      </c>
      <c r="D250" s="24">
        <f t="shared" ref="D250:L250" si="78">IF(((D248="")*AND(D249="")),"",(D248-D249)*4)</f>
        <v>2647.84</v>
      </c>
      <c r="E250" s="24">
        <f t="shared" si="78"/>
        <v>2611.7599999999993</v>
      </c>
      <c r="F250" s="24">
        <f t="shared" si="78"/>
        <v>2515.7600000000002</v>
      </c>
      <c r="G250" s="24">
        <f t="shared" si="78"/>
        <v>2528.84</v>
      </c>
      <c r="H250" s="24">
        <f t="shared" si="78"/>
        <v>2466.88</v>
      </c>
      <c r="I250" s="24">
        <f t="shared" si="78"/>
        <v>2630.6800000000003</v>
      </c>
      <c r="J250" s="24">
        <f t="shared" si="78"/>
        <v>2600.2799999999997</v>
      </c>
      <c r="K250" s="24">
        <f t="shared" si="78"/>
        <v>2538.3199999999997</v>
      </c>
      <c r="L250" s="24">
        <f t="shared" si="78"/>
        <v>2517.5999999999995</v>
      </c>
      <c r="M250" s="24"/>
      <c r="N250" s="24"/>
      <c r="O250" s="24"/>
      <c r="P250" s="24" t="str">
        <f>IF(((P248="")*AND(P249="")),"",(P248-P249)*4)</f>
        <v/>
      </c>
      <c r="Q250" s="61"/>
      <c r="R250" s="61"/>
      <c r="S250" s="61"/>
      <c r="T250" s="61"/>
      <c r="U250" s="61"/>
      <c r="V250" s="60"/>
      <c r="W250" s="61"/>
      <c r="X250" s="77"/>
      <c r="Z250" s="37">
        <v>2000</v>
      </c>
      <c r="AA250" s="37">
        <v>3000</v>
      </c>
      <c r="AB250" s="37">
        <v>2500</v>
      </c>
      <c r="AC250" s="37">
        <v>2950</v>
      </c>
      <c r="AD250" s="39">
        <v>9.6</v>
      </c>
      <c r="AE250" s="39">
        <v>9.6</v>
      </c>
    </row>
    <row r="251" spans="1:31">
      <c r="A251" s="201">
        <v>42800</v>
      </c>
      <c r="B251" s="57" t="s">
        <v>157</v>
      </c>
      <c r="C251" s="51" t="s">
        <v>156</v>
      </c>
      <c r="D251" s="8">
        <v>6861.34</v>
      </c>
      <c r="E251" s="8">
        <v>6875.1</v>
      </c>
      <c r="F251" s="8">
        <v>6919.67</v>
      </c>
      <c r="G251" s="8">
        <v>6875.72</v>
      </c>
      <c r="H251" s="8">
        <v>6903.26</v>
      </c>
      <c r="I251" s="8">
        <v>6879.05</v>
      </c>
      <c r="J251" s="8">
        <v>6885.23</v>
      </c>
      <c r="K251" s="8">
        <v>6909.39</v>
      </c>
      <c r="L251" s="8">
        <v>6944.54</v>
      </c>
      <c r="M251" s="50"/>
      <c r="N251" s="50"/>
      <c r="O251" s="50"/>
      <c r="P251" s="50"/>
      <c r="Q251" s="57">
        <f>IF((L252=""),"",MAX(D253:L253))</f>
        <v>3338.6800000000003</v>
      </c>
      <c r="R251" s="57">
        <f>IF(L252="","",MIN(D253:L253))</f>
        <v>3286.4399999999987</v>
      </c>
      <c r="S251" s="58">
        <f>IF((L253=""),"",AVERAGE(D253:L253))</f>
        <v>3305.7266666666669</v>
      </c>
      <c r="T251" s="57">
        <f>IF((L252=""),"",((Q251-R251)/(Q251+R251))*100)</f>
        <v>0.78851401936873011</v>
      </c>
      <c r="U251" s="56">
        <f>STDEV(D251:L251)</f>
        <v>26.430045612710035</v>
      </c>
      <c r="V251" s="55" t="str">
        <f>IF(L252="","",(IF(T251&lt;7,IF(S251&gt;2800,IF(S251&lt;3800,"Pass","Fail"),"Fail"),"Fail")))</f>
        <v>Pass</v>
      </c>
      <c r="W251" s="57">
        <v>1335</v>
      </c>
      <c r="X251" s="245" t="s">
        <v>196</v>
      </c>
      <c r="Z251" s="53">
        <v>2800</v>
      </c>
      <c r="AA251" s="53">
        <v>3800</v>
      </c>
      <c r="AB251" s="53">
        <v>3100</v>
      </c>
      <c r="AC251" s="53">
        <v>3760</v>
      </c>
      <c r="AD251" s="52">
        <v>6</v>
      </c>
      <c r="AE251" s="52">
        <v>6</v>
      </c>
    </row>
    <row r="252" spans="1:31" ht="16.5" customHeight="1">
      <c r="A252" s="199"/>
      <c r="B252" s="48"/>
      <c r="C252" s="51" t="s">
        <v>155</v>
      </c>
      <c r="D252" s="8">
        <v>5197.04</v>
      </c>
      <c r="E252" s="8">
        <v>5226.1899999999996</v>
      </c>
      <c r="F252" s="8">
        <v>5273.48</v>
      </c>
      <c r="G252" s="8">
        <v>5230.93</v>
      </c>
      <c r="H252" s="8">
        <v>5254.57</v>
      </c>
      <c r="I252" s="8">
        <v>5209.71</v>
      </c>
      <c r="J252" s="8">
        <v>5242.01</v>
      </c>
      <c r="K252" s="8">
        <v>5259.14</v>
      </c>
      <c r="L252" s="8">
        <v>5284.46</v>
      </c>
      <c r="M252" s="50"/>
      <c r="N252" s="50"/>
      <c r="O252" s="50"/>
      <c r="P252" s="50"/>
      <c r="Q252" s="48"/>
      <c r="R252" s="48"/>
      <c r="S252" s="49"/>
      <c r="T252" s="48"/>
      <c r="U252" s="48"/>
      <c r="V252" s="47"/>
      <c r="W252" s="48"/>
      <c r="X252" s="77"/>
      <c r="Z252" s="37">
        <v>2000</v>
      </c>
      <c r="AA252" s="37">
        <v>3000</v>
      </c>
      <c r="AB252" s="37">
        <v>2500</v>
      </c>
      <c r="AC252" s="37">
        <v>2950</v>
      </c>
      <c r="AD252" s="39">
        <v>9.6</v>
      </c>
      <c r="AE252" s="39">
        <v>9.6</v>
      </c>
    </row>
    <row r="253" spans="1:31" ht="24.75" customHeight="1" thickBot="1">
      <c r="A253" s="199"/>
      <c r="B253" s="42"/>
      <c r="C253" s="45" t="s">
        <v>154</v>
      </c>
      <c r="D253" s="44">
        <f t="shared" ref="D253:L253" si="79">IF(((D251="")*AND(D252="")),"",(D251-D252)*2)</f>
        <v>3328.6000000000004</v>
      </c>
      <c r="E253" s="44">
        <f t="shared" si="79"/>
        <v>3297.8200000000015</v>
      </c>
      <c r="F253" s="44">
        <f t="shared" si="79"/>
        <v>3292.380000000001</v>
      </c>
      <c r="G253" s="44">
        <f t="shared" si="79"/>
        <v>3289.58</v>
      </c>
      <c r="H253" s="44">
        <f t="shared" si="79"/>
        <v>3297.380000000001</v>
      </c>
      <c r="I253" s="44">
        <f t="shared" si="79"/>
        <v>3338.6800000000003</v>
      </c>
      <c r="J253" s="44">
        <f t="shared" si="79"/>
        <v>3286.4399999999987</v>
      </c>
      <c r="K253" s="44">
        <f t="shared" si="79"/>
        <v>3300.5</v>
      </c>
      <c r="L253" s="44">
        <f t="shared" si="79"/>
        <v>3320.16</v>
      </c>
      <c r="M253" s="44"/>
      <c r="N253" s="44"/>
      <c r="O253" s="44"/>
      <c r="P253" s="44"/>
      <c r="Q253" s="42"/>
      <c r="R253" s="42"/>
      <c r="S253" s="43"/>
      <c r="T253" s="42"/>
      <c r="U253" s="42"/>
      <c r="V253" s="41"/>
      <c r="W253" s="42"/>
      <c r="X253" s="76"/>
      <c r="Z253" s="37">
        <v>2000</v>
      </c>
      <c r="AA253" s="37">
        <v>3000</v>
      </c>
      <c r="AB253" s="37">
        <v>2500</v>
      </c>
      <c r="AC253" s="37">
        <v>2950</v>
      </c>
      <c r="AD253" s="39">
        <v>9.6</v>
      </c>
      <c r="AE253" s="39">
        <v>9.6</v>
      </c>
    </row>
    <row r="254" spans="1:31">
      <c r="A254" s="201">
        <v>42809</v>
      </c>
      <c r="B254" s="63" t="s">
        <v>158</v>
      </c>
      <c r="C254" s="56" t="s">
        <v>156</v>
      </c>
      <c r="D254" s="8">
        <v>1981.46</v>
      </c>
      <c r="E254" s="8">
        <v>1964.51</v>
      </c>
      <c r="F254" s="8">
        <v>1952.31</v>
      </c>
      <c r="G254" s="8">
        <v>1966.19</v>
      </c>
      <c r="H254" s="8">
        <v>1983.65</v>
      </c>
      <c r="I254" s="8">
        <v>1986.46</v>
      </c>
      <c r="J254" s="8">
        <v>1969.74</v>
      </c>
      <c r="K254" s="8">
        <v>1962.21</v>
      </c>
      <c r="L254" s="8">
        <v>1985.5</v>
      </c>
      <c r="M254" s="62"/>
      <c r="N254" s="62"/>
      <c r="O254" s="62"/>
      <c r="P254" s="62"/>
      <c r="Q254" s="63">
        <f>IF((L255=""),"",MAX(D256:L256))</f>
        <v>2812.04</v>
      </c>
      <c r="R254" s="63">
        <f>IF(L255="","",MIN(D256:L256))</f>
        <v>2631.84</v>
      </c>
      <c r="S254" s="63">
        <f>IF((L256=""),"",AVERAGE(D256:L256))</f>
        <v>2704.315555555555</v>
      </c>
      <c r="T254" s="63">
        <f>IF((L255=""),"",((Q254-R254)/(Q254+R254))*100)</f>
        <v>3.310139091971164</v>
      </c>
      <c r="U254" s="51">
        <f>STDEV(D254:L254)</f>
        <v>12.212980571614176</v>
      </c>
      <c r="V254" s="64" t="str">
        <f>IF(L255="","",(IF(T254&lt;12,IF(S254&gt;2200,IF(S254&lt;3280,"Pass","Fail"),"Fail"),"Fail")))</f>
        <v>Pass</v>
      </c>
      <c r="W254" s="63">
        <v>1400</v>
      </c>
      <c r="X254" s="245" t="s">
        <v>195</v>
      </c>
      <c r="Z254" s="37">
        <v>2000</v>
      </c>
      <c r="AA254" s="37">
        <v>3000</v>
      </c>
      <c r="AB254" s="37">
        <v>2200</v>
      </c>
      <c r="AC254" s="37">
        <v>3280</v>
      </c>
      <c r="AD254" s="39">
        <v>12</v>
      </c>
      <c r="AE254" s="39">
        <v>12</v>
      </c>
    </row>
    <row r="255" spans="1:31" ht="16.5" customHeight="1">
      <c r="A255" s="199"/>
      <c r="B255" s="48"/>
      <c r="C255" s="51" t="s">
        <v>155</v>
      </c>
      <c r="D255" s="8">
        <v>1278.45</v>
      </c>
      <c r="E255" s="8">
        <v>1283.3</v>
      </c>
      <c r="F255" s="8">
        <v>1294.3499999999999</v>
      </c>
      <c r="G255" s="8">
        <v>1301.99</v>
      </c>
      <c r="H255" s="8">
        <v>1325.41</v>
      </c>
      <c r="I255" s="8">
        <v>1286.19</v>
      </c>
      <c r="J255" s="8">
        <v>1287.32</v>
      </c>
      <c r="K255" s="8">
        <v>1297.9000000000001</v>
      </c>
      <c r="L255" s="8">
        <v>1312.41</v>
      </c>
      <c r="M255" s="50"/>
      <c r="N255" s="50"/>
      <c r="O255" s="50"/>
      <c r="P255" s="50"/>
      <c r="Q255" s="48"/>
      <c r="R255" s="48"/>
      <c r="S255" s="48"/>
      <c r="T255" s="48"/>
      <c r="U255" s="48"/>
      <c r="V255" s="47"/>
      <c r="W255" s="48"/>
      <c r="X255" s="77"/>
      <c r="Z255" s="37">
        <v>2000</v>
      </c>
      <c r="AA255" s="37">
        <v>3000</v>
      </c>
      <c r="AB255" s="37">
        <v>2500</v>
      </c>
      <c r="AC255" s="37">
        <v>2950</v>
      </c>
      <c r="AD255" s="39">
        <v>9.6</v>
      </c>
      <c r="AE255" s="39">
        <v>9.6</v>
      </c>
    </row>
    <row r="256" spans="1:31" ht="24.75" customHeight="1" thickBot="1">
      <c r="A256" s="199"/>
      <c r="B256" s="61"/>
      <c r="C256" s="51" t="s">
        <v>154</v>
      </c>
      <c r="D256" s="24">
        <f t="shared" ref="D256:L256" si="80">IF(((D254="")*AND(D255="")),"",(D254-D255)*4)</f>
        <v>2812.04</v>
      </c>
      <c r="E256" s="24">
        <f t="shared" si="80"/>
        <v>2724.84</v>
      </c>
      <c r="F256" s="24">
        <f t="shared" si="80"/>
        <v>2631.84</v>
      </c>
      <c r="G256" s="24">
        <f t="shared" si="80"/>
        <v>2656.8</v>
      </c>
      <c r="H256" s="24">
        <f t="shared" si="80"/>
        <v>2632.96</v>
      </c>
      <c r="I256" s="24">
        <f t="shared" si="80"/>
        <v>2801.08</v>
      </c>
      <c r="J256" s="24">
        <f t="shared" si="80"/>
        <v>2729.6800000000003</v>
      </c>
      <c r="K256" s="24">
        <f t="shared" si="80"/>
        <v>2657.24</v>
      </c>
      <c r="L256" s="24">
        <f t="shared" si="80"/>
        <v>2692.3599999999997</v>
      </c>
      <c r="M256" s="24"/>
      <c r="N256" s="24"/>
      <c r="O256" s="24"/>
      <c r="P256" s="24" t="str">
        <f>IF(((P254="")*AND(P255="")),"",(P254-P255)*4)</f>
        <v/>
      </c>
      <c r="Q256" s="61"/>
      <c r="R256" s="61"/>
      <c r="S256" s="61"/>
      <c r="T256" s="61"/>
      <c r="U256" s="61"/>
      <c r="V256" s="60"/>
      <c r="W256" s="61"/>
      <c r="X256" s="77"/>
      <c r="Z256" s="37">
        <v>2000</v>
      </c>
      <c r="AA256" s="37">
        <v>3000</v>
      </c>
      <c r="AB256" s="37">
        <v>2500</v>
      </c>
      <c r="AC256" s="37">
        <v>2950</v>
      </c>
      <c r="AD256" s="39">
        <v>9.6</v>
      </c>
      <c r="AE256" s="39">
        <v>9.6</v>
      </c>
    </row>
    <row r="257" spans="1:31">
      <c r="A257" s="201">
        <v>42809</v>
      </c>
      <c r="B257" s="57" t="s">
        <v>157</v>
      </c>
      <c r="C257" s="51" t="s">
        <v>156</v>
      </c>
      <c r="D257" s="8">
        <v>5210.6099999999997</v>
      </c>
      <c r="E257" s="8">
        <v>5240.78</v>
      </c>
      <c r="F257" s="8">
        <v>5288.27</v>
      </c>
      <c r="G257" s="8">
        <v>5244.69</v>
      </c>
      <c r="H257" s="8">
        <v>5265.22</v>
      </c>
      <c r="I257" s="8">
        <v>5220.2700000000004</v>
      </c>
      <c r="J257" s="8">
        <v>5256.34</v>
      </c>
      <c r="K257" s="8">
        <v>5273.51</v>
      </c>
      <c r="L257" s="8">
        <v>5298.53</v>
      </c>
      <c r="M257" s="50"/>
      <c r="N257" s="50"/>
      <c r="O257" s="50"/>
      <c r="P257" s="50"/>
      <c r="Q257" s="57">
        <f>IF((L258=""),"",MAX(D259:L259))</f>
        <v>3388.2800000000007</v>
      </c>
      <c r="R257" s="57">
        <f>IF(L258="","",MIN(D259:L259))</f>
        <v>3328.3</v>
      </c>
      <c r="S257" s="58">
        <f>IF((L259=""),"",AVERAGE(D259:L259))</f>
        <v>3346.3755555555558</v>
      </c>
      <c r="T257" s="57">
        <f>IF((L258=""),"",((Q257-R257)/(Q257+R257))*100)</f>
        <v>0.89301400415092902</v>
      </c>
      <c r="U257" s="56">
        <f>STDEV(D257:L257)</f>
        <v>29.441924520042935</v>
      </c>
      <c r="V257" s="55" t="str">
        <f>IF(L258="","",(IF(T257&lt;7,IF(S257&gt;2800,IF(S257&lt;3800,"Pass","Fail"),"Fail"),"Fail")))</f>
        <v>Pass</v>
      </c>
      <c r="W257" s="57">
        <v>1400</v>
      </c>
      <c r="X257" s="245" t="s">
        <v>195</v>
      </c>
      <c r="Z257" s="53">
        <v>2800</v>
      </c>
      <c r="AA257" s="53">
        <v>3800</v>
      </c>
      <c r="AB257" s="53">
        <v>3100</v>
      </c>
      <c r="AC257" s="53">
        <v>3760</v>
      </c>
      <c r="AD257" s="52">
        <v>6</v>
      </c>
      <c r="AE257" s="52">
        <v>6</v>
      </c>
    </row>
    <row r="258" spans="1:31" ht="16.5" customHeight="1">
      <c r="A258" s="199"/>
      <c r="B258" s="48"/>
      <c r="C258" s="51" t="s">
        <v>155</v>
      </c>
      <c r="D258" s="8">
        <v>3530.29</v>
      </c>
      <c r="E258" s="8">
        <v>3573.7</v>
      </c>
      <c r="F258" s="8">
        <v>3622.11</v>
      </c>
      <c r="G258" s="8">
        <v>3580.25</v>
      </c>
      <c r="H258" s="8">
        <v>3593.23</v>
      </c>
      <c r="I258" s="8">
        <v>3526.13</v>
      </c>
      <c r="J258" s="8">
        <v>3592.19</v>
      </c>
      <c r="K258" s="8">
        <v>3603.69</v>
      </c>
      <c r="L258" s="8">
        <v>3617.94</v>
      </c>
      <c r="M258" s="50"/>
      <c r="N258" s="50"/>
      <c r="O258" s="50"/>
      <c r="P258" s="50"/>
      <c r="Q258" s="48"/>
      <c r="R258" s="48"/>
      <c r="S258" s="49"/>
      <c r="T258" s="48"/>
      <c r="U258" s="48"/>
      <c r="V258" s="47"/>
      <c r="W258" s="48"/>
      <c r="X258" s="77"/>
      <c r="Z258" s="37">
        <v>2000</v>
      </c>
      <c r="AA258" s="37">
        <v>3000</v>
      </c>
      <c r="AB258" s="37">
        <v>2500</v>
      </c>
      <c r="AC258" s="37">
        <v>2950</v>
      </c>
      <c r="AD258" s="39">
        <v>9.6</v>
      </c>
      <c r="AE258" s="39">
        <v>9.6</v>
      </c>
    </row>
    <row r="259" spans="1:31" ht="24.75" customHeight="1" thickBot="1">
      <c r="A259" s="199"/>
      <c r="B259" s="42"/>
      <c r="C259" s="45" t="s">
        <v>154</v>
      </c>
      <c r="D259" s="44">
        <f t="shared" ref="D259:L259" si="81">IF(((D257="")*AND(D258="")),"",(D257-D258)*2)</f>
        <v>3360.6399999999994</v>
      </c>
      <c r="E259" s="44">
        <f t="shared" si="81"/>
        <v>3334.16</v>
      </c>
      <c r="F259" s="44">
        <f t="shared" si="81"/>
        <v>3332.3200000000006</v>
      </c>
      <c r="G259" s="44">
        <f t="shared" si="81"/>
        <v>3328.8799999999992</v>
      </c>
      <c r="H259" s="44">
        <f t="shared" si="81"/>
        <v>3343.9800000000005</v>
      </c>
      <c r="I259" s="44">
        <f t="shared" si="81"/>
        <v>3388.2800000000007</v>
      </c>
      <c r="J259" s="44">
        <f t="shared" si="81"/>
        <v>3328.3</v>
      </c>
      <c r="K259" s="44">
        <f t="shared" si="81"/>
        <v>3339.6400000000003</v>
      </c>
      <c r="L259" s="44">
        <f t="shared" si="81"/>
        <v>3361.1799999999994</v>
      </c>
      <c r="M259" s="44"/>
      <c r="N259" s="44"/>
      <c r="O259" s="44"/>
      <c r="P259" s="44"/>
      <c r="Q259" s="42"/>
      <c r="R259" s="42"/>
      <c r="S259" s="43"/>
      <c r="T259" s="42"/>
      <c r="U259" s="42"/>
      <c r="V259" s="41"/>
      <c r="W259" s="42"/>
      <c r="X259" s="76"/>
      <c r="Z259" s="37">
        <v>2000</v>
      </c>
      <c r="AA259" s="37">
        <v>3000</v>
      </c>
      <c r="AB259" s="37">
        <v>2500</v>
      </c>
      <c r="AC259" s="37">
        <v>2950</v>
      </c>
      <c r="AD259" s="39">
        <v>9.6</v>
      </c>
      <c r="AE259" s="39">
        <v>9.6</v>
      </c>
    </row>
    <row r="260" spans="1:31">
      <c r="A260" s="201">
        <v>42815</v>
      </c>
      <c r="B260" s="63" t="s">
        <v>158</v>
      </c>
      <c r="C260" s="56" t="s">
        <v>156</v>
      </c>
      <c r="D260" s="8">
        <v>1973.74</v>
      </c>
      <c r="E260" s="8">
        <v>1962.29</v>
      </c>
      <c r="F260" s="8">
        <v>1962.99</v>
      </c>
      <c r="G260" s="8">
        <v>1963.58</v>
      </c>
      <c r="H260" s="8">
        <v>1986.2</v>
      </c>
      <c r="I260" s="8">
        <v>1974.7</v>
      </c>
      <c r="J260" s="8">
        <v>1962.85</v>
      </c>
      <c r="K260" s="8">
        <v>1965.4</v>
      </c>
      <c r="L260" s="8">
        <v>1985.4</v>
      </c>
      <c r="M260" s="62"/>
      <c r="N260" s="62"/>
      <c r="O260" s="62"/>
      <c r="P260" s="62"/>
      <c r="Q260" s="63">
        <f>IF((L261=""),"",MAX(D262:L262))</f>
        <v>2722.2</v>
      </c>
      <c r="R260" s="63">
        <f>IF(L261="","",MIN(D262:L262))</f>
        <v>2576.2799999999997</v>
      </c>
      <c r="S260" s="63">
        <f>IF((L262=""),"",AVERAGE(D262:L262))</f>
        <v>2655.2488888888888</v>
      </c>
      <c r="T260" s="63">
        <f>IF((L261=""),"",((Q260-R260)/(Q260+R260))*100)</f>
        <v>2.7539973728314551</v>
      </c>
      <c r="U260" s="51">
        <f>STDEV(D260:L260)</f>
        <v>9.6958781333562278</v>
      </c>
      <c r="V260" s="64" t="str">
        <f>IF(L261="","",(IF(T260&lt;12,IF(S260&gt;2200,IF(S260&lt;3280,"Pass","Fail"),"Fail"),"Fail")))</f>
        <v>Pass</v>
      </c>
      <c r="W260" s="63">
        <v>64</v>
      </c>
      <c r="X260" s="245"/>
      <c r="Z260" s="37">
        <v>2000</v>
      </c>
      <c r="AA260" s="37">
        <v>3000</v>
      </c>
      <c r="AB260" s="37">
        <v>2200</v>
      </c>
      <c r="AC260" s="37">
        <v>3280</v>
      </c>
      <c r="AD260" s="39">
        <v>12</v>
      </c>
      <c r="AE260" s="39">
        <v>12</v>
      </c>
    </row>
    <row r="261" spans="1:31" ht="16.5" customHeight="1">
      <c r="A261" s="199"/>
      <c r="B261" s="48"/>
      <c r="C261" s="51" t="s">
        <v>155</v>
      </c>
      <c r="D261" s="8">
        <v>1293.19</v>
      </c>
      <c r="E261" s="8">
        <v>1288.3699999999999</v>
      </c>
      <c r="F261" s="8">
        <v>1311.22</v>
      </c>
      <c r="G261" s="8">
        <v>1306.73</v>
      </c>
      <c r="H261" s="8">
        <v>1342.13</v>
      </c>
      <c r="I261" s="8">
        <v>1296.48</v>
      </c>
      <c r="J261" s="8">
        <v>1289.58</v>
      </c>
      <c r="K261" s="8">
        <v>1303.92</v>
      </c>
      <c r="L261" s="8">
        <v>1331.22</v>
      </c>
      <c r="M261" s="50"/>
      <c r="N261" s="50"/>
      <c r="O261" s="50"/>
      <c r="P261" s="50"/>
      <c r="Q261" s="48"/>
      <c r="R261" s="48"/>
      <c r="S261" s="48"/>
      <c r="T261" s="48"/>
      <c r="U261" s="48"/>
      <c r="V261" s="47"/>
      <c r="W261" s="48"/>
      <c r="X261" s="77"/>
      <c r="Z261" s="37">
        <v>2000</v>
      </c>
      <c r="AA261" s="37">
        <v>3000</v>
      </c>
      <c r="AB261" s="37">
        <v>2500</v>
      </c>
      <c r="AC261" s="37">
        <v>2950</v>
      </c>
      <c r="AD261" s="39">
        <v>9.6</v>
      </c>
      <c r="AE261" s="39">
        <v>9.6</v>
      </c>
    </row>
    <row r="262" spans="1:31" ht="24.75" customHeight="1" thickBot="1">
      <c r="A262" s="199"/>
      <c r="B262" s="61"/>
      <c r="C262" s="51" t="s">
        <v>154</v>
      </c>
      <c r="D262" s="24">
        <f t="shared" ref="D262:L262" si="82">IF(((D260="")*AND(D261="")),"",(D260-D261)*4)</f>
        <v>2722.2</v>
      </c>
      <c r="E262" s="24">
        <f t="shared" si="82"/>
        <v>2695.6800000000003</v>
      </c>
      <c r="F262" s="24">
        <f t="shared" si="82"/>
        <v>2607.08</v>
      </c>
      <c r="G262" s="24">
        <f t="shared" si="82"/>
        <v>2627.3999999999996</v>
      </c>
      <c r="H262" s="24">
        <f t="shared" si="82"/>
        <v>2576.2799999999997</v>
      </c>
      <c r="I262" s="24">
        <f t="shared" si="82"/>
        <v>2712.88</v>
      </c>
      <c r="J262" s="24">
        <f t="shared" si="82"/>
        <v>2693.08</v>
      </c>
      <c r="K262" s="24">
        <f t="shared" si="82"/>
        <v>2645.92</v>
      </c>
      <c r="L262" s="24">
        <f t="shared" si="82"/>
        <v>2616.7200000000003</v>
      </c>
      <c r="M262" s="24"/>
      <c r="N262" s="24"/>
      <c r="O262" s="24"/>
      <c r="P262" s="24" t="str">
        <f>IF(((P260="")*AND(P261="")),"",(P260-P261)*4)</f>
        <v/>
      </c>
      <c r="Q262" s="61"/>
      <c r="R262" s="61"/>
      <c r="S262" s="61"/>
      <c r="T262" s="61"/>
      <c r="U262" s="61"/>
      <c r="V262" s="60"/>
      <c r="W262" s="61"/>
      <c r="X262" s="77"/>
      <c r="Z262" s="37">
        <v>2000</v>
      </c>
      <c r="AA262" s="37">
        <v>3000</v>
      </c>
      <c r="AB262" s="37">
        <v>2500</v>
      </c>
      <c r="AC262" s="37">
        <v>2950</v>
      </c>
      <c r="AD262" s="39">
        <v>9.6</v>
      </c>
      <c r="AE262" s="39">
        <v>9.6</v>
      </c>
    </row>
    <row r="263" spans="1:31">
      <c r="A263" s="201">
        <v>42815</v>
      </c>
      <c r="B263" s="57" t="s">
        <v>157</v>
      </c>
      <c r="C263" s="51" t="s">
        <v>156</v>
      </c>
      <c r="D263" s="8">
        <v>6853.87</v>
      </c>
      <c r="E263" s="8">
        <v>6849.3</v>
      </c>
      <c r="F263" s="8">
        <v>6887.4</v>
      </c>
      <c r="G263" s="8">
        <v>6848.82</v>
      </c>
      <c r="H263" s="8">
        <v>6907.26</v>
      </c>
      <c r="I263" s="8">
        <v>6889.05</v>
      </c>
      <c r="J263" s="8">
        <v>6865.14</v>
      </c>
      <c r="K263" s="8">
        <v>6873.5</v>
      </c>
      <c r="L263" s="8">
        <v>6936.41</v>
      </c>
      <c r="M263" s="50"/>
      <c r="N263" s="50"/>
      <c r="O263" s="50"/>
      <c r="P263" s="50"/>
      <c r="Q263" s="57">
        <f>IF((L264=""),"",MAX(D265:L265))</f>
        <v>3421.84</v>
      </c>
      <c r="R263" s="57">
        <f>IF(L264="","",MIN(D265:L265))</f>
        <v>3357.6799999999985</v>
      </c>
      <c r="S263" s="58">
        <f>IF((L265=""),"",AVERAGE(D265:L265))</f>
        <v>3376.1755555555555</v>
      </c>
      <c r="T263" s="57">
        <f>IF((L264=""),"",((Q263-R263)/(Q263+R263))*100)</f>
        <v>0.94637968469746658</v>
      </c>
      <c r="U263" s="56">
        <f>STDEV(D263:L263)</f>
        <v>29.395748322596233</v>
      </c>
      <c r="V263" s="55" t="str">
        <f>IF(L264="","",(IF(T263&lt;7,IF(S263&gt;2800,IF(S263&lt;3800,"Pass","Fail"),"Fail"),"Fail")))</f>
        <v>Pass</v>
      </c>
      <c r="W263" s="57">
        <v>64</v>
      </c>
      <c r="X263" s="246"/>
      <c r="Z263" s="53">
        <v>2800</v>
      </c>
      <c r="AA263" s="53">
        <v>3800</v>
      </c>
      <c r="AB263" s="53">
        <v>3100</v>
      </c>
      <c r="AC263" s="53">
        <v>3760</v>
      </c>
      <c r="AD263" s="52">
        <v>6</v>
      </c>
      <c r="AE263" s="52">
        <v>6</v>
      </c>
    </row>
    <row r="264" spans="1:31" ht="16.5" customHeight="1">
      <c r="A264" s="199"/>
      <c r="B264" s="48"/>
      <c r="C264" s="51" t="s">
        <v>155</v>
      </c>
      <c r="D264" s="8">
        <v>5158.01</v>
      </c>
      <c r="E264" s="8">
        <v>5168.97</v>
      </c>
      <c r="F264" s="8">
        <v>5208.5600000000004</v>
      </c>
      <c r="G264" s="8">
        <v>5169.58</v>
      </c>
      <c r="H264" s="8">
        <v>5216.87</v>
      </c>
      <c r="I264" s="8">
        <v>5178.13</v>
      </c>
      <c r="J264" s="8">
        <v>5185.9799999999996</v>
      </c>
      <c r="K264" s="8">
        <v>5190.95</v>
      </c>
      <c r="L264" s="8">
        <v>5240.91</v>
      </c>
      <c r="M264" s="50"/>
      <c r="N264" s="50"/>
      <c r="O264" s="50"/>
      <c r="P264" s="50"/>
      <c r="Q264" s="48"/>
      <c r="R264" s="48"/>
      <c r="S264" s="49"/>
      <c r="T264" s="48"/>
      <c r="U264" s="48"/>
      <c r="V264" s="47"/>
      <c r="W264" s="48"/>
      <c r="X264" s="77"/>
      <c r="Z264" s="37">
        <v>2000</v>
      </c>
      <c r="AA264" s="37">
        <v>3000</v>
      </c>
      <c r="AB264" s="37">
        <v>2500</v>
      </c>
      <c r="AC264" s="37">
        <v>2950</v>
      </c>
      <c r="AD264" s="39">
        <v>9.6</v>
      </c>
      <c r="AE264" s="39">
        <v>9.6</v>
      </c>
    </row>
    <row r="265" spans="1:31" ht="24.75" customHeight="1" thickBot="1">
      <c r="A265" s="199"/>
      <c r="B265" s="42"/>
      <c r="C265" s="45" t="s">
        <v>154</v>
      </c>
      <c r="D265" s="44">
        <f t="shared" ref="D265:L265" si="83">IF(((D263="")*AND(D264="")),"",(D263-D264)*2)</f>
        <v>3391.7199999999993</v>
      </c>
      <c r="E265" s="44">
        <f t="shared" si="83"/>
        <v>3360.66</v>
      </c>
      <c r="F265" s="44">
        <f t="shared" si="83"/>
        <v>3357.6799999999985</v>
      </c>
      <c r="G265" s="44">
        <f t="shared" si="83"/>
        <v>3358.4799999999996</v>
      </c>
      <c r="H265" s="44">
        <f t="shared" si="83"/>
        <v>3380.7800000000007</v>
      </c>
      <c r="I265" s="44">
        <f t="shared" si="83"/>
        <v>3421.84</v>
      </c>
      <c r="J265" s="44">
        <f t="shared" si="83"/>
        <v>3358.3200000000015</v>
      </c>
      <c r="K265" s="44">
        <f t="shared" si="83"/>
        <v>3365.1000000000004</v>
      </c>
      <c r="L265" s="44">
        <f t="shared" si="83"/>
        <v>3391</v>
      </c>
      <c r="M265" s="44"/>
      <c r="N265" s="44"/>
      <c r="O265" s="44"/>
      <c r="P265" s="44"/>
      <c r="Q265" s="42"/>
      <c r="R265" s="42"/>
      <c r="S265" s="43"/>
      <c r="T265" s="42"/>
      <c r="U265" s="42"/>
      <c r="V265" s="41"/>
      <c r="W265" s="42"/>
      <c r="X265" s="76"/>
      <c r="Z265" s="37">
        <v>2000</v>
      </c>
      <c r="AA265" s="37">
        <v>3000</v>
      </c>
      <c r="AB265" s="37">
        <v>2500</v>
      </c>
      <c r="AC265" s="37">
        <v>2950</v>
      </c>
      <c r="AD265" s="39">
        <v>9.6</v>
      </c>
      <c r="AE265" s="39">
        <v>9.6</v>
      </c>
    </row>
    <row r="266" spans="1:31">
      <c r="A266" s="201">
        <v>42822</v>
      </c>
      <c r="B266" s="63" t="s">
        <v>158</v>
      </c>
      <c r="C266" s="56" t="s">
        <v>156</v>
      </c>
      <c r="D266" s="8">
        <v>1938.86</v>
      </c>
      <c r="E266" s="8">
        <v>1931.5</v>
      </c>
      <c r="F266" s="8">
        <v>1930.69</v>
      </c>
      <c r="G266" s="8">
        <v>1930.22</v>
      </c>
      <c r="H266" s="8">
        <v>1938.92</v>
      </c>
      <c r="I266" s="8">
        <v>1959.76</v>
      </c>
      <c r="J266" s="8">
        <v>1931.38</v>
      </c>
      <c r="K266" s="8">
        <v>1934.67</v>
      </c>
      <c r="L266" s="8">
        <v>1936.77</v>
      </c>
      <c r="M266" s="62"/>
      <c r="N266" s="62"/>
      <c r="O266" s="62"/>
      <c r="P266" s="62"/>
      <c r="Q266" s="63">
        <f>IF((L267=""),"",MAX(D268:L268))</f>
        <v>2754.3599999999997</v>
      </c>
      <c r="R266" s="63">
        <f>IF(L267="","",MIN(D268:L268))</f>
        <v>2533.7600000000002</v>
      </c>
      <c r="S266" s="63">
        <f>IF((L268=""),"",AVERAGE(D268:L268))</f>
        <v>2603.2400000000002</v>
      </c>
      <c r="T266" s="63">
        <f>IF((L267=""),"",((Q266-R266)/(Q266+R266))*100)</f>
        <v>4.1716148650181815</v>
      </c>
      <c r="U266" s="51">
        <f>STDEV(D266:L266)</f>
        <v>9.207730598799948</v>
      </c>
      <c r="V266" s="64" t="str">
        <f>IF(L267="","",(IF(T266&lt;12,IF(S266&gt;2200,IF(S266&lt;3280,"Pass","Fail"),"Fail"),"Fail")))</f>
        <v>Pass</v>
      </c>
      <c r="W266" s="63">
        <v>1159</v>
      </c>
      <c r="X266" s="245" t="s">
        <v>194</v>
      </c>
      <c r="Z266" s="37">
        <v>2000</v>
      </c>
      <c r="AA266" s="37">
        <v>3000</v>
      </c>
      <c r="AB266" s="37">
        <v>2200</v>
      </c>
      <c r="AC266" s="37">
        <v>3280</v>
      </c>
      <c r="AD266" s="39">
        <v>12</v>
      </c>
      <c r="AE266" s="39">
        <v>12</v>
      </c>
    </row>
    <row r="267" spans="1:31" ht="16.5" customHeight="1">
      <c r="A267" s="199"/>
      <c r="B267" s="48"/>
      <c r="C267" s="51" t="s">
        <v>155</v>
      </c>
      <c r="D267" s="8">
        <v>1275.02</v>
      </c>
      <c r="E267" s="8">
        <v>1277.6199999999999</v>
      </c>
      <c r="F267" s="8">
        <v>1296.1199999999999</v>
      </c>
      <c r="G267" s="8">
        <v>1286.21</v>
      </c>
      <c r="H267" s="8">
        <v>1305.48</v>
      </c>
      <c r="I267" s="8">
        <v>1271.17</v>
      </c>
      <c r="J267" s="8">
        <v>1272.1600000000001</v>
      </c>
      <c r="K267" s="8">
        <v>1289.02</v>
      </c>
      <c r="L267" s="8">
        <v>1302.68</v>
      </c>
      <c r="M267" s="50"/>
      <c r="N267" s="50"/>
      <c r="O267" s="50"/>
      <c r="P267" s="50"/>
      <c r="Q267" s="48"/>
      <c r="R267" s="48"/>
      <c r="S267" s="48"/>
      <c r="T267" s="48"/>
      <c r="U267" s="48"/>
      <c r="V267" s="47"/>
      <c r="W267" s="48"/>
      <c r="X267" s="77"/>
      <c r="Z267" s="37">
        <v>2000</v>
      </c>
      <c r="AA267" s="37">
        <v>3000</v>
      </c>
      <c r="AB267" s="37">
        <v>2500</v>
      </c>
      <c r="AC267" s="37">
        <v>2950</v>
      </c>
      <c r="AD267" s="39">
        <v>9.6</v>
      </c>
      <c r="AE267" s="39">
        <v>9.6</v>
      </c>
    </row>
    <row r="268" spans="1:31" ht="24.75" customHeight="1" thickBot="1">
      <c r="A268" s="199"/>
      <c r="B268" s="61"/>
      <c r="C268" s="51" t="s">
        <v>154</v>
      </c>
      <c r="D268" s="24">
        <f t="shared" ref="D268:L268" si="84">IF(((D266="")*AND(D267="")),"",(D266-D267)*4)</f>
        <v>2655.3599999999997</v>
      </c>
      <c r="E268" s="24">
        <f t="shared" si="84"/>
        <v>2615.5200000000004</v>
      </c>
      <c r="F268" s="24">
        <f t="shared" si="84"/>
        <v>2538.2800000000007</v>
      </c>
      <c r="G268" s="24">
        <f t="shared" si="84"/>
        <v>2576.04</v>
      </c>
      <c r="H268" s="24">
        <f t="shared" si="84"/>
        <v>2533.7600000000002</v>
      </c>
      <c r="I268" s="24">
        <f t="shared" si="84"/>
        <v>2754.3599999999997</v>
      </c>
      <c r="J268" s="24">
        <f t="shared" si="84"/>
        <v>2636.88</v>
      </c>
      <c r="K268" s="24">
        <f t="shared" si="84"/>
        <v>2582.6000000000004</v>
      </c>
      <c r="L268" s="24">
        <f t="shared" si="84"/>
        <v>2536.3599999999997</v>
      </c>
      <c r="M268" s="24"/>
      <c r="N268" s="24"/>
      <c r="O268" s="24"/>
      <c r="P268" s="24" t="str">
        <f>IF(((P266="")*AND(P267="")),"",(P266-P267)*4)</f>
        <v/>
      </c>
      <c r="Q268" s="61"/>
      <c r="R268" s="61"/>
      <c r="S268" s="61"/>
      <c r="T268" s="61"/>
      <c r="U268" s="61"/>
      <c r="V268" s="60"/>
      <c r="W268" s="61"/>
      <c r="X268" s="77"/>
      <c r="Z268" s="37">
        <v>2000</v>
      </c>
      <c r="AA268" s="37">
        <v>3000</v>
      </c>
      <c r="AB268" s="37">
        <v>2500</v>
      </c>
      <c r="AC268" s="37">
        <v>2950</v>
      </c>
      <c r="AD268" s="39">
        <v>9.6</v>
      </c>
      <c r="AE268" s="39">
        <v>9.6</v>
      </c>
    </row>
    <row r="269" spans="1:31">
      <c r="A269" s="201">
        <v>42822</v>
      </c>
      <c r="B269" s="57" t="s">
        <v>157</v>
      </c>
      <c r="C269" s="51" t="s">
        <v>156</v>
      </c>
      <c r="D269" s="8">
        <v>6979.82</v>
      </c>
      <c r="E269" s="8">
        <v>6971.05</v>
      </c>
      <c r="F269" s="8">
        <v>7007.76</v>
      </c>
      <c r="G269" s="8">
        <v>6968.23</v>
      </c>
      <c r="H269" s="8">
        <v>7021.41</v>
      </c>
      <c r="I269" s="8">
        <v>7003.26</v>
      </c>
      <c r="J269" s="8">
        <v>6984.72</v>
      </c>
      <c r="K269" s="8">
        <v>6994.56</v>
      </c>
      <c r="L269" s="8">
        <v>7050.39</v>
      </c>
      <c r="M269" s="50"/>
      <c r="N269" s="50"/>
      <c r="O269" s="50"/>
      <c r="P269" s="50"/>
      <c r="Q269" s="57">
        <f>IF((L270=""),"",MAX(D271:L271))</f>
        <v>3432.5400000000009</v>
      </c>
      <c r="R269" s="57">
        <f>IF(L270="","",MIN(D271:L271))</f>
        <v>3344.26</v>
      </c>
      <c r="S269" s="58">
        <f>IF((L271=""),"",AVERAGE(D271:L271))</f>
        <v>3368.5355555555561</v>
      </c>
      <c r="T269" s="57">
        <f>IF((L270=""),"",((Q269-R269)/(Q269+R269))*100)</f>
        <v>1.3026797308464266</v>
      </c>
      <c r="U269" s="56">
        <f>STDEV(D269:L269)</f>
        <v>26.331668407315348</v>
      </c>
      <c r="V269" s="55" t="str">
        <f>IF(L270="","",(IF(T269&lt;7,IF(S269&gt;2800,IF(S269&lt;3800,"Pass","Fail"),"Fail"),"Fail")))</f>
        <v>Pass</v>
      </c>
      <c r="W269" s="57">
        <v>1159</v>
      </c>
      <c r="X269" s="245" t="s">
        <v>194</v>
      </c>
      <c r="Z269" s="53">
        <v>2800</v>
      </c>
      <c r="AA269" s="53">
        <v>3800</v>
      </c>
      <c r="AB269" s="53">
        <v>3100</v>
      </c>
      <c r="AC269" s="53">
        <v>3760</v>
      </c>
      <c r="AD269" s="52">
        <v>6</v>
      </c>
      <c r="AE269" s="52">
        <v>6</v>
      </c>
    </row>
    <row r="270" spans="1:31" ht="16.5" customHeight="1">
      <c r="A270" s="199"/>
      <c r="B270" s="48"/>
      <c r="C270" s="51" t="s">
        <v>155</v>
      </c>
      <c r="D270" s="8">
        <v>5283.92</v>
      </c>
      <c r="E270" s="8">
        <v>5296.68</v>
      </c>
      <c r="F270" s="8">
        <v>5335.36</v>
      </c>
      <c r="G270" s="8">
        <v>5295.45</v>
      </c>
      <c r="H270" s="8">
        <v>5331.57</v>
      </c>
      <c r="I270" s="8">
        <v>5286.99</v>
      </c>
      <c r="J270" s="8">
        <v>5312.59</v>
      </c>
      <c r="K270" s="8">
        <v>5319.02</v>
      </c>
      <c r="L270" s="8">
        <v>5361.21</v>
      </c>
      <c r="M270" s="50"/>
      <c r="N270" s="50"/>
      <c r="O270" s="50"/>
      <c r="P270" s="50"/>
      <c r="Q270" s="48"/>
      <c r="R270" s="48"/>
      <c r="S270" s="49"/>
      <c r="T270" s="48"/>
      <c r="U270" s="48"/>
      <c r="V270" s="47"/>
      <c r="W270" s="48"/>
      <c r="X270" s="77"/>
      <c r="Z270" s="37">
        <v>2000</v>
      </c>
      <c r="AA270" s="37">
        <v>3000</v>
      </c>
      <c r="AB270" s="37">
        <v>2500</v>
      </c>
      <c r="AC270" s="37">
        <v>2950</v>
      </c>
      <c r="AD270" s="39">
        <v>9.6</v>
      </c>
      <c r="AE270" s="39">
        <v>9.6</v>
      </c>
    </row>
    <row r="271" spans="1:31" ht="24.75" customHeight="1" thickBot="1">
      <c r="A271" s="199"/>
      <c r="B271" s="42"/>
      <c r="C271" s="45" t="s">
        <v>154</v>
      </c>
      <c r="D271" s="44">
        <f t="shared" ref="D271:L271" si="85">IF(((D269="")*AND(D270="")),"",(D269-D270)*2)</f>
        <v>3391.7999999999993</v>
      </c>
      <c r="E271" s="44">
        <f t="shared" si="85"/>
        <v>3348.74</v>
      </c>
      <c r="F271" s="44">
        <f t="shared" si="85"/>
        <v>3344.8000000000011</v>
      </c>
      <c r="G271" s="44">
        <f t="shared" si="85"/>
        <v>3345.5599999999995</v>
      </c>
      <c r="H271" s="44">
        <f t="shared" si="85"/>
        <v>3379.6800000000003</v>
      </c>
      <c r="I271" s="44">
        <f t="shared" si="85"/>
        <v>3432.5400000000009</v>
      </c>
      <c r="J271" s="44">
        <f t="shared" si="85"/>
        <v>3344.26</v>
      </c>
      <c r="K271" s="44">
        <f t="shared" si="85"/>
        <v>3351.08</v>
      </c>
      <c r="L271" s="44">
        <f t="shared" si="85"/>
        <v>3378.3600000000006</v>
      </c>
      <c r="M271" s="44"/>
      <c r="N271" s="44"/>
      <c r="O271" s="44"/>
      <c r="P271" s="44"/>
      <c r="Q271" s="42"/>
      <c r="R271" s="42"/>
      <c r="S271" s="43"/>
      <c r="T271" s="42"/>
      <c r="U271" s="42"/>
      <c r="V271" s="41"/>
      <c r="W271" s="42"/>
      <c r="X271" s="76"/>
      <c r="Z271" s="37">
        <v>2000</v>
      </c>
      <c r="AA271" s="37">
        <v>3000</v>
      </c>
      <c r="AB271" s="37">
        <v>2500</v>
      </c>
      <c r="AC271" s="37">
        <v>2950</v>
      </c>
      <c r="AD271" s="39">
        <v>9.6</v>
      </c>
      <c r="AE271" s="39">
        <v>9.6</v>
      </c>
    </row>
    <row r="272" spans="1:31">
      <c r="A272" s="201">
        <v>42836</v>
      </c>
      <c r="B272" s="63" t="s">
        <v>158</v>
      </c>
      <c r="C272" s="56" t="s">
        <v>156</v>
      </c>
      <c r="D272" s="8">
        <v>1942.59</v>
      </c>
      <c r="E272" s="8">
        <v>1935.99</v>
      </c>
      <c r="F272" s="8">
        <v>1932.45</v>
      </c>
      <c r="G272" s="8">
        <v>1934.43</v>
      </c>
      <c r="H272" s="8">
        <v>1942.81</v>
      </c>
      <c r="I272" s="8">
        <v>1966.4</v>
      </c>
      <c r="J272" s="8">
        <v>1933.94</v>
      </c>
      <c r="K272" s="8">
        <v>1935.56</v>
      </c>
      <c r="L272" s="8">
        <v>1944.66</v>
      </c>
      <c r="M272" s="62"/>
      <c r="N272" s="62"/>
      <c r="O272" s="62"/>
      <c r="P272" s="62"/>
      <c r="Q272" s="63">
        <f>IF((L273=""),"",MAX(D274:L274))</f>
        <v>2861.7200000000003</v>
      </c>
      <c r="R272" s="63">
        <f>IF(L273="","",MIN(D274:L274))</f>
        <v>2574</v>
      </c>
      <c r="S272" s="63">
        <f>IF((L274=""),"",AVERAGE(D274:L274))</f>
        <v>2673.2177777777774</v>
      </c>
      <c r="T272" s="63">
        <f>IF((L273=""),"",((Q272-R272)/(Q272+R272))*100)</f>
        <v>5.2931350400682931</v>
      </c>
      <c r="U272" s="51">
        <f>STDEV(D272:L272)</f>
        <v>10.518800364628458</v>
      </c>
      <c r="V272" s="64" t="str">
        <f>IF(L273="","",(IF(T272&lt;12,IF(S272&gt;2200,IF(S272&lt;3280,"Pass","Fail"),"Fail"),"Fail")))</f>
        <v>Pass</v>
      </c>
      <c r="W272" s="63">
        <v>1400</v>
      </c>
      <c r="X272" s="245"/>
      <c r="Z272" s="37">
        <v>2000</v>
      </c>
      <c r="AA272" s="37">
        <v>3000</v>
      </c>
      <c r="AB272" s="37">
        <v>2200</v>
      </c>
      <c r="AC272" s="37">
        <v>3280</v>
      </c>
      <c r="AD272" s="39">
        <v>12</v>
      </c>
      <c r="AE272" s="39">
        <v>12</v>
      </c>
    </row>
    <row r="273" spans="1:31" ht="16.5" customHeight="1">
      <c r="A273" s="199"/>
      <c r="B273" s="48"/>
      <c r="C273" s="51" t="s">
        <v>155</v>
      </c>
      <c r="D273" s="8">
        <v>1245.26</v>
      </c>
      <c r="E273" s="8">
        <v>1268.27</v>
      </c>
      <c r="F273" s="8">
        <v>1288.95</v>
      </c>
      <c r="G273" s="8">
        <v>1283.99</v>
      </c>
      <c r="H273" s="8">
        <v>1288.9100000000001</v>
      </c>
      <c r="I273" s="8">
        <v>1250.97</v>
      </c>
      <c r="J273" s="8">
        <v>1266.71</v>
      </c>
      <c r="K273" s="8">
        <v>1282.83</v>
      </c>
      <c r="L273" s="8">
        <v>1278.2</v>
      </c>
      <c r="M273" s="50"/>
      <c r="N273" s="50"/>
      <c r="O273" s="50"/>
      <c r="P273" s="50"/>
      <c r="Q273" s="48"/>
      <c r="R273" s="48"/>
      <c r="S273" s="48"/>
      <c r="T273" s="48"/>
      <c r="U273" s="48"/>
      <c r="V273" s="47"/>
      <c r="W273" s="48"/>
      <c r="X273" s="77"/>
      <c r="Z273" s="37">
        <v>2000</v>
      </c>
      <c r="AA273" s="37">
        <v>3000</v>
      </c>
      <c r="AB273" s="37">
        <v>2500</v>
      </c>
      <c r="AC273" s="37">
        <v>2950</v>
      </c>
      <c r="AD273" s="39">
        <v>9.6</v>
      </c>
      <c r="AE273" s="39">
        <v>9.6</v>
      </c>
    </row>
    <row r="274" spans="1:31" ht="24.75" customHeight="1" thickBot="1">
      <c r="A274" s="199"/>
      <c r="B274" s="61"/>
      <c r="C274" s="51" t="s">
        <v>154</v>
      </c>
      <c r="D274" s="24">
        <f t="shared" ref="D274:L274" si="86">IF(((D272="")*AND(D273="")),"",(D272-D273)*4)</f>
        <v>2789.3199999999997</v>
      </c>
      <c r="E274" s="24">
        <f t="shared" si="86"/>
        <v>2670.88</v>
      </c>
      <c r="F274" s="24">
        <f t="shared" si="86"/>
        <v>2574</v>
      </c>
      <c r="G274" s="24">
        <f t="shared" si="86"/>
        <v>2601.7600000000002</v>
      </c>
      <c r="H274" s="24">
        <f t="shared" si="86"/>
        <v>2615.5999999999995</v>
      </c>
      <c r="I274" s="24">
        <f t="shared" si="86"/>
        <v>2861.7200000000003</v>
      </c>
      <c r="J274" s="24">
        <f t="shared" si="86"/>
        <v>2668.92</v>
      </c>
      <c r="K274" s="24">
        <f t="shared" si="86"/>
        <v>2610.92</v>
      </c>
      <c r="L274" s="24">
        <f t="shared" si="86"/>
        <v>2665.84</v>
      </c>
      <c r="M274" s="24"/>
      <c r="N274" s="24"/>
      <c r="O274" s="24"/>
      <c r="P274" s="24" t="str">
        <f>IF(((P272="")*AND(P273="")),"",(P272-P273)*4)</f>
        <v/>
      </c>
      <c r="Q274" s="61"/>
      <c r="R274" s="61"/>
      <c r="S274" s="61"/>
      <c r="T274" s="61"/>
      <c r="U274" s="61"/>
      <c r="V274" s="60"/>
      <c r="W274" s="61"/>
      <c r="X274" s="77"/>
      <c r="Z274" s="37">
        <v>2000</v>
      </c>
      <c r="AA274" s="37">
        <v>3000</v>
      </c>
      <c r="AB274" s="37">
        <v>2500</v>
      </c>
      <c r="AC274" s="37">
        <v>2950</v>
      </c>
      <c r="AD274" s="39">
        <v>9.6</v>
      </c>
      <c r="AE274" s="39">
        <v>9.6</v>
      </c>
    </row>
    <row r="275" spans="1:31">
      <c r="A275" s="201">
        <v>42836</v>
      </c>
      <c r="B275" s="57" t="s">
        <v>157</v>
      </c>
      <c r="C275" s="51" t="s">
        <v>156</v>
      </c>
      <c r="D275" s="8">
        <v>6977.08</v>
      </c>
      <c r="E275" s="8">
        <v>6983.32</v>
      </c>
      <c r="F275" s="8">
        <v>7016.08</v>
      </c>
      <c r="G275" s="8">
        <v>6972.55</v>
      </c>
      <c r="H275" s="8">
        <v>7030.5</v>
      </c>
      <c r="I275" s="8">
        <v>7013.98</v>
      </c>
      <c r="J275" s="8">
        <v>6995.52</v>
      </c>
      <c r="K275" s="8">
        <v>7007.59</v>
      </c>
      <c r="L275" s="8">
        <v>7079.45</v>
      </c>
      <c r="M275" s="50"/>
      <c r="N275" s="50"/>
      <c r="O275" s="50"/>
      <c r="P275" s="50"/>
      <c r="Q275" s="57">
        <f>IF((L276=""),"",MAX(D277:L277))</f>
        <v>3380.3599999999988</v>
      </c>
      <c r="R275" s="57">
        <f>IF(L276="","",MIN(D277:L277))</f>
        <v>3294.7199999999993</v>
      </c>
      <c r="S275" s="58">
        <f>IF((L277=""),"",AVERAGE(D277:L277))</f>
        <v>3321.5777777777776</v>
      </c>
      <c r="T275" s="57">
        <f>IF((L276=""),"",((Q275-R275)/(Q275+R275))*100)</f>
        <v>1.2829808781317893</v>
      </c>
      <c r="U275" s="56">
        <f>STDEV(D275:L275)</f>
        <v>32.95513722404209</v>
      </c>
      <c r="V275" s="55" t="str">
        <f>IF(L276="","",(IF(T275&lt;7,IF(S275&gt;2800,IF(S275&lt;3800,"Pass","Fail"),"Fail"),"Fail")))</f>
        <v>Pass</v>
      </c>
      <c r="W275" s="57">
        <v>1400</v>
      </c>
      <c r="X275" s="246"/>
      <c r="Z275" s="53">
        <v>2800</v>
      </c>
      <c r="AA275" s="53">
        <v>3800</v>
      </c>
      <c r="AB275" s="53">
        <v>3100</v>
      </c>
      <c r="AC275" s="53">
        <v>3760</v>
      </c>
      <c r="AD275" s="52">
        <v>6</v>
      </c>
      <c r="AE275" s="52">
        <v>6</v>
      </c>
    </row>
    <row r="276" spans="1:31" ht="16.5" customHeight="1">
      <c r="A276" s="199"/>
      <c r="B276" s="48"/>
      <c r="C276" s="51" t="s">
        <v>155</v>
      </c>
      <c r="D276" s="8">
        <v>5329.72</v>
      </c>
      <c r="E276" s="8">
        <v>5327.86</v>
      </c>
      <c r="F276" s="8">
        <v>5358.04</v>
      </c>
      <c r="G276" s="8">
        <v>5316.82</v>
      </c>
      <c r="H276" s="8">
        <v>5355.22</v>
      </c>
      <c r="I276" s="8">
        <v>5323.8</v>
      </c>
      <c r="J276" s="8">
        <v>5343.54</v>
      </c>
      <c r="K276" s="8">
        <v>5349.66</v>
      </c>
      <c r="L276" s="8">
        <v>5424.31</v>
      </c>
      <c r="M276" s="50"/>
      <c r="N276" s="50"/>
      <c r="O276" s="50"/>
      <c r="P276" s="50"/>
      <c r="Q276" s="48"/>
      <c r="R276" s="48"/>
      <c r="S276" s="49"/>
      <c r="T276" s="48"/>
      <c r="U276" s="48"/>
      <c r="V276" s="47"/>
      <c r="W276" s="48"/>
      <c r="X276" s="77"/>
      <c r="Z276" s="37">
        <v>2000</v>
      </c>
      <c r="AA276" s="37">
        <v>3000</v>
      </c>
      <c r="AB276" s="37">
        <v>2500</v>
      </c>
      <c r="AC276" s="37">
        <v>2950</v>
      </c>
      <c r="AD276" s="39">
        <v>9.6</v>
      </c>
      <c r="AE276" s="39">
        <v>9.6</v>
      </c>
    </row>
    <row r="277" spans="1:31" ht="24.75" customHeight="1" thickBot="1">
      <c r="A277" s="199"/>
      <c r="B277" s="42"/>
      <c r="C277" s="45" t="s">
        <v>154</v>
      </c>
      <c r="D277" s="44">
        <f t="shared" ref="D277:L277" si="87">IF(((D275="")*AND(D276="")),"",(D275-D276)*2)</f>
        <v>3294.7199999999993</v>
      </c>
      <c r="E277" s="44">
        <f t="shared" si="87"/>
        <v>3310.92</v>
      </c>
      <c r="F277" s="44">
        <f t="shared" si="87"/>
        <v>3316.08</v>
      </c>
      <c r="G277" s="44">
        <f t="shared" si="87"/>
        <v>3311.4600000000009</v>
      </c>
      <c r="H277" s="44">
        <f t="shared" si="87"/>
        <v>3350.5599999999995</v>
      </c>
      <c r="I277" s="44">
        <f t="shared" si="87"/>
        <v>3380.3599999999988</v>
      </c>
      <c r="J277" s="44">
        <f t="shared" si="87"/>
        <v>3303.9600000000009</v>
      </c>
      <c r="K277" s="44">
        <f t="shared" si="87"/>
        <v>3315.8600000000006</v>
      </c>
      <c r="L277" s="44">
        <f t="shared" si="87"/>
        <v>3310.2799999999988</v>
      </c>
      <c r="M277" s="44"/>
      <c r="N277" s="44"/>
      <c r="O277" s="44"/>
      <c r="P277" s="44"/>
      <c r="Q277" s="42"/>
      <c r="R277" s="42"/>
      <c r="S277" s="43"/>
      <c r="T277" s="42"/>
      <c r="U277" s="42"/>
      <c r="V277" s="41"/>
      <c r="W277" s="42"/>
      <c r="X277" s="76"/>
      <c r="Z277" s="37">
        <v>2000</v>
      </c>
      <c r="AA277" s="37">
        <v>3000</v>
      </c>
      <c r="AB277" s="37">
        <v>2500</v>
      </c>
      <c r="AC277" s="37">
        <v>2950</v>
      </c>
      <c r="AD277" s="39">
        <v>9.6</v>
      </c>
      <c r="AE277" s="39">
        <v>9.6</v>
      </c>
    </row>
    <row r="278" spans="1:31">
      <c r="A278" s="201">
        <v>42843</v>
      </c>
      <c r="B278" s="63" t="s">
        <v>158</v>
      </c>
      <c r="C278" s="56" t="s">
        <v>156</v>
      </c>
      <c r="D278" s="8">
        <v>1924.58</v>
      </c>
      <c r="E278" s="8">
        <v>1916.16</v>
      </c>
      <c r="F278" s="8">
        <v>1906.81</v>
      </c>
      <c r="G278" s="8">
        <v>1914.4</v>
      </c>
      <c r="H278" s="8">
        <v>1925.73</v>
      </c>
      <c r="I278" s="8">
        <v>1918.34</v>
      </c>
      <c r="J278" s="8">
        <v>1914.8</v>
      </c>
      <c r="K278" s="8">
        <v>1916.44</v>
      </c>
      <c r="L278" s="8">
        <v>1927.38</v>
      </c>
      <c r="M278" s="62"/>
      <c r="N278" s="62"/>
      <c r="O278" s="62"/>
      <c r="P278" s="62"/>
      <c r="Q278" s="63">
        <f>IF((L279=""),"",MAX(D280:L280))</f>
        <v>2693.6799999999994</v>
      </c>
      <c r="R278" s="63">
        <f>IF(L279="","",MIN(D280:L280))</f>
        <v>2492.6399999999994</v>
      </c>
      <c r="S278" s="63">
        <f>IF((L280=""),"",AVERAGE(D280:L280))</f>
        <v>2574.2133333333336</v>
      </c>
      <c r="T278" s="63">
        <f>IF((L279=""),"",((Q278-R278)/(Q278+R278))*100)</f>
        <v>3.8763516327569456</v>
      </c>
      <c r="U278" s="51">
        <f>STDEV(D278:L278)</f>
        <v>6.5632518616828222</v>
      </c>
      <c r="V278" s="64" t="str">
        <f>IF(L279="","",(IF(T278&lt;12,IF(S278&gt;2200,IF(S278&lt;3280,"Pass","Fail"),"Fail"),"Fail")))</f>
        <v>Pass</v>
      </c>
      <c r="W278" s="63">
        <v>1159</v>
      </c>
      <c r="X278" s="245" t="s">
        <v>193</v>
      </c>
      <c r="Z278" s="37">
        <v>2000</v>
      </c>
      <c r="AA278" s="37">
        <v>3000</v>
      </c>
      <c r="AB278" s="37">
        <v>2200</v>
      </c>
      <c r="AC278" s="37">
        <v>3280</v>
      </c>
      <c r="AD278" s="39">
        <v>12</v>
      </c>
      <c r="AE278" s="39">
        <v>12</v>
      </c>
    </row>
    <row r="279" spans="1:31" ht="16.5" customHeight="1">
      <c r="A279" s="199"/>
      <c r="B279" s="48"/>
      <c r="C279" s="51" t="s">
        <v>155</v>
      </c>
      <c r="D279" s="8">
        <v>1251.1600000000001</v>
      </c>
      <c r="E279" s="8">
        <v>1267.57</v>
      </c>
      <c r="F279" s="8">
        <v>1283.6500000000001</v>
      </c>
      <c r="G279" s="8">
        <v>1285.93</v>
      </c>
      <c r="H279" s="8">
        <v>1299.28</v>
      </c>
      <c r="I279" s="8">
        <v>1248.4100000000001</v>
      </c>
      <c r="J279" s="8">
        <v>1266.8</v>
      </c>
      <c r="K279" s="8">
        <v>1282.6600000000001</v>
      </c>
      <c r="L279" s="8">
        <v>1287.2</v>
      </c>
      <c r="M279" s="50"/>
      <c r="N279" s="50"/>
      <c r="O279" s="50"/>
      <c r="P279" s="50"/>
      <c r="Q279" s="48"/>
      <c r="R279" s="48"/>
      <c r="S279" s="48"/>
      <c r="T279" s="48"/>
      <c r="U279" s="48"/>
      <c r="V279" s="47"/>
      <c r="W279" s="48"/>
      <c r="X279" s="77"/>
      <c r="Z279" s="37">
        <v>2000</v>
      </c>
      <c r="AA279" s="37">
        <v>3000</v>
      </c>
      <c r="AB279" s="37">
        <v>2500</v>
      </c>
      <c r="AC279" s="37">
        <v>2950</v>
      </c>
      <c r="AD279" s="39">
        <v>9.6</v>
      </c>
      <c r="AE279" s="39">
        <v>9.6</v>
      </c>
    </row>
    <row r="280" spans="1:31" ht="24.75" customHeight="1" thickBot="1">
      <c r="A280" s="199"/>
      <c r="B280" s="61"/>
      <c r="C280" s="51" t="s">
        <v>154</v>
      </c>
      <c r="D280" s="24">
        <f t="shared" ref="D280:L280" si="88">IF(((D278="")*AND(D279="")),"",(D278-D279)*4)</f>
        <v>2693.6799999999994</v>
      </c>
      <c r="E280" s="24">
        <f t="shared" si="88"/>
        <v>2594.3600000000006</v>
      </c>
      <c r="F280" s="24">
        <f t="shared" si="88"/>
        <v>2492.6399999999994</v>
      </c>
      <c r="G280" s="24">
        <f t="shared" si="88"/>
        <v>2513.88</v>
      </c>
      <c r="H280" s="24">
        <f t="shared" si="88"/>
        <v>2505.8000000000002</v>
      </c>
      <c r="I280" s="24">
        <f t="shared" si="88"/>
        <v>2679.7199999999993</v>
      </c>
      <c r="J280" s="24">
        <f t="shared" si="88"/>
        <v>2592</v>
      </c>
      <c r="K280" s="24">
        <f t="shared" si="88"/>
        <v>2535.12</v>
      </c>
      <c r="L280" s="24">
        <f t="shared" si="88"/>
        <v>2560.7200000000003</v>
      </c>
      <c r="M280" s="24"/>
      <c r="N280" s="24"/>
      <c r="O280" s="24"/>
      <c r="P280" s="24" t="str">
        <f>IF(((P278="")*AND(P279="")),"",(P278-P279)*4)</f>
        <v/>
      </c>
      <c r="Q280" s="61"/>
      <c r="R280" s="61"/>
      <c r="S280" s="61"/>
      <c r="T280" s="61"/>
      <c r="U280" s="61"/>
      <c r="V280" s="60"/>
      <c r="W280" s="61"/>
      <c r="X280" s="77"/>
      <c r="Z280" s="37">
        <v>2000</v>
      </c>
      <c r="AA280" s="37">
        <v>3000</v>
      </c>
      <c r="AB280" s="37">
        <v>2500</v>
      </c>
      <c r="AC280" s="37">
        <v>2950</v>
      </c>
      <c r="AD280" s="39">
        <v>9.6</v>
      </c>
      <c r="AE280" s="39">
        <v>9.6</v>
      </c>
    </row>
    <row r="281" spans="1:31">
      <c r="A281" s="201">
        <v>42843</v>
      </c>
      <c r="B281" s="57" t="s">
        <v>157</v>
      </c>
      <c r="C281" s="51" t="s">
        <v>156</v>
      </c>
      <c r="D281" s="8">
        <v>6850.61</v>
      </c>
      <c r="E281" s="8">
        <v>6875.93</v>
      </c>
      <c r="F281" s="8">
        <v>6912.32</v>
      </c>
      <c r="G281" s="8">
        <v>6859.08</v>
      </c>
      <c r="H281" s="8">
        <v>6896.55</v>
      </c>
      <c r="I281" s="8">
        <v>6874.52</v>
      </c>
      <c r="J281" s="8">
        <v>6879.4</v>
      </c>
      <c r="K281" s="8">
        <v>6894.88</v>
      </c>
      <c r="L281" s="8">
        <v>6947.79</v>
      </c>
      <c r="M281" s="50"/>
      <c r="N281" s="50"/>
      <c r="O281" s="50"/>
      <c r="P281" s="50"/>
      <c r="Q281" s="57">
        <f>IF((L282=""),"",MAX(D283:L283))</f>
        <v>3387.5400000000009</v>
      </c>
      <c r="R281" s="57">
        <f>IF(L282="","",MIN(D283:L283))</f>
        <v>3308.0199999999986</v>
      </c>
      <c r="S281" s="58">
        <f>IF((L283=""),"",AVERAGE(D283:L283))</f>
        <v>3331.4088888888896</v>
      </c>
      <c r="T281" s="57">
        <f>IF((L282=""),"",((Q281-R281)/(Q281+R281))*100)</f>
        <v>1.1876527131412797</v>
      </c>
      <c r="U281" s="56">
        <f>STDEV(D281:L281)</f>
        <v>29.415946261052706</v>
      </c>
      <c r="V281" s="55" t="str">
        <f>IF(L282="","",(IF(T281&lt;7,IF(S281&gt;2800,IF(S281&lt;3800,"Pass","Fail"),"Fail"),"Fail")))</f>
        <v>Pass</v>
      </c>
      <c r="W281" s="57">
        <v>1159</v>
      </c>
      <c r="X281" s="245" t="s">
        <v>193</v>
      </c>
      <c r="Z281" s="53">
        <v>2800</v>
      </c>
      <c r="AA281" s="53">
        <v>3800</v>
      </c>
      <c r="AB281" s="53">
        <v>3100</v>
      </c>
      <c r="AC281" s="53">
        <v>3760</v>
      </c>
      <c r="AD281" s="52">
        <v>6</v>
      </c>
      <c r="AE281" s="52">
        <v>6</v>
      </c>
    </row>
    <row r="282" spans="1:31" ht="16.5" customHeight="1">
      <c r="A282" s="199"/>
      <c r="B282" s="48"/>
      <c r="C282" s="51" t="s">
        <v>155</v>
      </c>
      <c r="D282" s="8">
        <v>5182.3599999999997</v>
      </c>
      <c r="E282" s="8">
        <v>5221.49</v>
      </c>
      <c r="F282" s="8">
        <v>5258.31</v>
      </c>
      <c r="G282" s="8">
        <v>5202.17</v>
      </c>
      <c r="H282" s="8">
        <v>5215.75</v>
      </c>
      <c r="I282" s="8">
        <v>5180.75</v>
      </c>
      <c r="J282" s="8">
        <v>5223.95</v>
      </c>
      <c r="K282" s="8">
        <v>5237.4799999999996</v>
      </c>
      <c r="L282" s="8">
        <v>5277.48</v>
      </c>
      <c r="M282" s="50"/>
      <c r="N282" s="50"/>
      <c r="O282" s="50"/>
      <c r="P282" s="50"/>
      <c r="Q282" s="48"/>
      <c r="R282" s="48"/>
      <c r="S282" s="49"/>
      <c r="T282" s="48"/>
      <c r="U282" s="48"/>
      <c r="V282" s="47"/>
      <c r="W282" s="48"/>
      <c r="X282" s="77"/>
      <c r="Z282" s="37">
        <v>2000</v>
      </c>
      <c r="AA282" s="37">
        <v>3000</v>
      </c>
      <c r="AB282" s="37">
        <v>2500</v>
      </c>
      <c r="AC282" s="37">
        <v>2950</v>
      </c>
      <c r="AD282" s="39">
        <v>9.6</v>
      </c>
      <c r="AE282" s="39">
        <v>9.6</v>
      </c>
    </row>
    <row r="283" spans="1:31" ht="24.75" customHeight="1" thickBot="1">
      <c r="A283" s="199"/>
      <c r="B283" s="42"/>
      <c r="C283" s="45" t="s">
        <v>154</v>
      </c>
      <c r="D283" s="44">
        <f t="shared" ref="D283:L283" si="89">IF(((D281="")*AND(D282="")),"",(D281-D282)*2)</f>
        <v>3336.5</v>
      </c>
      <c r="E283" s="44">
        <f t="shared" si="89"/>
        <v>3308.880000000001</v>
      </c>
      <c r="F283" s="44">
        <f t="shared" si="89"/>
        <v>3308.0199999999986</v>
      </c>
      <c r="G283" s="44">
        <f t="shared" si="89"/>
        <v>3313.8199999999997</v>
      </c>
      <c r="H283" s="44">
        <f t="shared" si="89"/>
        <v>3361.6000000000004</v>
      </c>
      <c r="I283" s="44">
        <f t="shared" si="89"/>
        <v>3387.5400000000009</v>
      </c>
      <c r="J283" s="44">
        <f t="shared" si="89"/>
        <v>3310.8999999999996</v>
      </c>
      <c r="K283" s="44">
        <f t="shared" si="89"/>
        <v>3314.8000000000011</v>
      </c>
      <c r="L283" s="44">
        <f t="shared" si="89"/>
        <v>3340.6200000000008</v>
      </c>
      <c r="M283" s="44"/>
      <c r="N283" s="44"/>
      <c r="O283" s="44"/>
      <c r="P283" s="44"/>
      <c r="Q283" s="42"/>
      <c r="R283" s="42"/>
      <c r="S283" s="43"/>
      <c r="T283" s="42"/>
      <c r="U283" s="42"/>
      <c r="V283" s="41"/>
      <c r="W283" s="42"/>
      <c r="X283" s="76"/>
      <c r="Z283" s="37">
        <v>2000</v>
      </c>
      <c r="AA283" s="37">
        <v>3000</v>
      </c>
      <c r="AB283" s="37">
        <v>2500</v>
      </c>
      <c r="AC283" s="37">
        <v>2950</v>
      </c>
      <c r="AD283" s="39">
        <v>9.6</v>
      </c>
      <c r="AE283" s="39">
        <v>9.6</v>
      </c>
    </row>
    <row r="284" spans="1:31">
      <c r="A284" s="201">
        <v>42846</v>
      </c>
      <c r="B284" s="63" t="s">
        <v>158</v>
      </c>
      <c r="C284" s="56" t="s">
        <v>156</v>
      </c>
      <c r="D284" s="8">
        <v>1929.74</v>
      </c>
      <c r="E284" s="8">
        <v>1921.75</v>
      </c>
      <c r="F284" s="8">
        <v>1909.71</v>
      </c>
      <c r="G284" s="8">
        <v>1919.4</v>
      </c>
      <c r="H284" s="8">
        <v>1928.81</v>
      </c>
      <c r="I284" s="8">
        <v>1927.76</v>
      </c>
      <c r="J284" s="8">
        <v>1919.85</v>
      </c>
      <c r="K284" s="8">
        <v>1918.02</v>
      </c>
      <c r="L284" s="8">
        <v>1925.64</v>
      </c>
      <c r="M284" s="62"/>
      <c r="N284" s="62"/>
      <c r="O284" s="62"/>
      <c r="P284" s="62"/>
      <c r="Q284" s="63">
        <f>IF((L285=""),"",MAX(D286:L286))</f>
        <v>2655.88</v>
      </c>
      <c r="R284" s="63">
        <f>IF(L285="","",MIN(D286:L286))</f>
        <v>2490.5200000000004</v>
      </c>
      <c r="S284" s="63">
        <f>IF((L286=""),"",AVERAGE(D286:L286))</f>
        <v>2560.6577777777779</v>
      </c>
      <c r="T284" s="63">
        <f>IF((L285=""),"",((Q284-R284)/(Q284+R284))*100)</f>
        <v>3.2131198507694627</v>
      </c>
      <c r="U284" s="51">
        <f>STDEV(D284:L284)</f>
        <v>6.4249742758144688</v>
      </c>
      <c r="V284" s="64" t="str">
        <f>IF(L285="","",(IF(T284&lt;12,IF(S284&gt;2200,IF(S284&lt;3280,"Pass","Fail"),"Fail"),"Fail")))</f>
        <v>Pass</v>
      </c>
      <c r="W284" s="63">
        <v>1159</v>
      </c>
      <c r="X284" s="245" t="s">
        <v>192</v>
      </c>
      <c r="Z284" s="37">
        <v>2000</v>
      </c>
      <c r="AA284" s="37">
        <v>3000</v>
      </c>
      <c r="AB284" s="37">
        <v>2200</v>
      </c>
      <c r="AC284" s="37">
        <v>3280</v>
      </c>
      <c r="AD284" s="39">
        <v>12</v>
      </c>
      <c r="AE284" s="39">
        <v>12</v>
      </c>
    </row>
    <row r="285" spans="1:31" ht="16.5" customHeight="1">
      <c r="A285" s="199"/>
      <c r="B285" s="48"/>
      <c r="C285" s="51" t="s">
        <v>155</v>
      </c>
      <c r="D285" s="8">
        <v>1266.21</v>
      </c>
      <c r="E285" s="8">
        <v>1276.9000000000001</v>
      </c>
      <c r="F285" s="8">
        <v>1287.08</v>
      </c>
      <c r="G285" s="8">
        <v>1288.05</v>
      </c>
      <c r="H285" s="8">
        <v>1304.6300000000001</v>
      </c>
      <c r="I285" s="8">
        <v>1263.79</v>
      </c>
      <c r="J285" s="8">
        <v>1269.9000000000001</v>
      </c>
      <c r="K285" s="8">
        <v>1286.29</v>
      </c>
      <c r="L285" s="8">
        <v>1296.3499999999999</v>
      </c>
      <c r="M285" s="50"/>
      <c r="N285" s="50"/>
      <c r="O285" s="50"/>
      <c r="P285" s="50"/>
      <c r="Q285" s="48"/>
      <c r="R285" s="48"/>
      <c r="S285" s="48"/>
      <c r="T285" s="48"/>
      <c r="U285" s="48"/>
      <c r="V285" s="47"/>
      <c r="W285" s="48"/>
      <c r="X285" s="77"/>
      <c r="Z285" s="37">
        <v>2000</v>
      </c>
      <c r="AA285" s="37">
        <v>3000</v>
      </c>
      <c r="AB285" s="37">
        <v>2500</v>
      </c>
      <c r="AC285" s="37">
        <v>2950</v>
      </c>
      <c r="AD285" s="39">
        <v>9.6</v>
      </c>
      <c r="AE285" s="39">
        <v>9.6</v>
      </c>
    </row>
    <row r="286" spans="1:31" ht="24.75" customHeight="1" thickBot="1">
      <c r="A286" s="199"/>
      <c r="B286" s="61"/>
      <c r="C286" s="51" t="s">
        <v>154</v>
      </c>
      <c r="D286" s="24">
        <f t="shared" ref="D286:L286" si="90">IF(((D284="")*AND(D285="")),"",(D284-D285)*4)</f>
        <v>2654.12</v>
      </c>
      <c r="E286" s="24">
        <f t="shared" si="90"/>
        <v>2579.3999999999996</v>
      </c>
      <c r="F286" s="24">
        <f t="shared" si="90"/>
        <v>2490.5200000000004</v>
      </c>
      <c r="G286" s="24">
        <f t="shared" si="90"/>
        <v>2525.4000000000005</v>
      </c>
      <c r="H286" s="24">
        <f t="shared" si="90"/>
        <v>2496.7199999999993</v>
      </c>
      <c r="I286" s="24">
        <f t="shared" si="90"/>
        <v>2655.88</v>
      </c>
      <c r="J286" s="24">
        <f t="shared" si="90"/>
        <v>2599.7999999999993</v>
      </c>
      <c r="K286" s="24">
        <f t="shared" si="90"/>
        <v>2526.92</v>
      </c>
      <c r="L286" s="24">
        <f t="shared" si="90"/>
        <v>2517.1600000000008</v>
      </c>
      <c r="M286" s="24"/>
      <c r="N286" s="24"/>
      <c r="O286" s="24"/>
      <c r="P286" s="24" t="str">
        <f>IF(((P284="")*AND(P285="")),"",(P284-P285)*4)</f>
        <v/>
      </c>
      <c r="Q286" s="61"/>
      <c r="R286" s="61"/>
      <c r="S286" s="61"/>
      <c r="T286" s="61"/>
      <c r="U286" s="61"/>
      <c r="V286" s="60"/>
      <c r="W286" s="61"/>
      <c r="X286" s="77"/>
      <c r="Z286" s="37">
        <v>2000</v>
      </c>
      <c r="AA286" s="37">
        <v>3000</v>
      </c>
      <c r="AB286" s="37">
        <v>2500</v>
      </c>
      <c r="AC286" s="37">
        <v>2950</v>
      </c>
      <c r="AD286" s="39">
        <v>9.6</v>
      </c>
      <c r="AE286" s="39">
        <v>9.6</v>
      </c>
    </row>
    <row r="287" spans="1:31">
      <c r="A287" s="201">
        <v>42846</v>
      </c>
      <c r="B287" s="57" t="s">
        <v>157</v>
      </c>
      <c r="C287" s="51" t="s">
        <v>156</v>
      </c>
      <c r="D287" s="8">
        <v>5190.3500000000004</v>
      </c>
      <c r="E287" s="8">
        <v>5228.8999999999996</v>
      </c>
      <c r="F287" s="8">
        <v>5266.23</v>
      </c>
      <c r="G287" s="8">
        <v>5209.7299999999996</v>
      </c>
      <c r="H287" s="8">
        <v>5223.67</v>
      </c>
      <c r="I287" s="8">
        <v>5188.2</v>
      </c>
      <c r="J287" s="8">
        <v>5231.45</v>
      </c>
      <c r="K287" s="8">
        <v>5245.47</v>
      </c>
      <c r="L287" s="8">
        <v>5285.83</v>
      </c>
      <c r="M287" s="50"/>
      <c r="N287" s="50"/>
      <c r="O287" s="50"/>
      <c r="P287" s="50"/>
      <c r="Q287" s="57">
        <f>IF((L288=""),"",MAX(D289:L289))</f>
        <v>3355.2</v>
      </c>
      <c r="R287" s="57">
        <f>IF(L288="","",MIN(D289:L289))</f>
        <v>3301.4799999999996</v>
      </c>
      <c r="S287" s="58">
        <f>IF((L289=""),"",AVERAGE(D289:L289))</f>
        <v>3320.4244444444444</v>
      </c>
      <c r="T287" s="57">
        <f>IF((L288=""),"",((Q287-R287)/(Q287+R287))*100)</f>
        <v>0.80700889933120212</v>
      </c>
      <c r="U287" s="56">
        <f>STDEV(D287:L287)</f>
        <v>32.48564353850648</v>
      </c>
      <c r="V287" s="55" t="str">
        <f>IF(L288="","",(IF(T287&lt;7,IF(S287&gt;2800,IF(S287&lt;3800,"Pass","Fail"),"Fail"),"Fail")))</f>
        <v>Pass</v>
      </c>
      <c r="W287" s="57">
        <v>1159</v>
      </c>
      <c r="X287" s="245" t="s">
        <v>192</v>
      </c>
      <c r="Z287" s="53">
        <v>2800</v>
      </c>
      <c r="AA287" s="53">
        <v>3800</v>
      </c>
      <c r="AB287" s="53">
        <v>3100</v>
      </c>
      <c r="AC287" s="53">
        <v>3760</v>
      </c>
      <c r="AD287" s="52">
        <v>6</v>
      </c>
      <c r="AE287" s="52">
        <v>6</v>
      </c>
    </row>
    <row r="288" spans="1:31" ht="16.5" customHeight="1">
      <c r="A288" s="199"/>
      <c r="B288" s="48"/>
      <c r="C288" s="51" t="s">
        <v>155</v>
      </c>
      <c r="D288" s="8">
        <v>3522.63</v>
      </c>
      <c r="E288" s="8">
        <v>3573.69</v>
      </c>
      <c r="F288" s="8">
        <v>3612.69</v>
      </c>
      <c r="G288" s="8">
        <v>3558.99</v>
      </c>
      <c r="H288" s="8">
        <v>3563.65</v>
      </c>
      <c r="I288" s="8">
        <v>3510.6</v>
      </c>
      <c r="J288" s="8">
        <v>3579.2</v>
      </c>
      <c r="K288" s="8">
        <v>3589.07</v>
      </c>
      <c r="L288" s="8">
        <v>3617.4</v>
      </c>
      <c r="M288" s="50"/>
      <c r="N288" s="50"/>
      <c r="O288" s="50"/>
      <c r="P288" s="50"/>
      <c r="Q288" s="48"/>
      <c r="R288" s="48"/>
      <c r="S288" s="49"/>
      <c r="T288" s="48"/>
      <c r="U288" s="48"/>
      <c r="V288" s="47"/>
      <c r="W288" s="48"/>
      <c r="X288" s="77"/>
      <c r="Z288" s="37">
        <v>2000</v>
      </c>
      <c r="AA288" s="37">
        <v>3000</v>
      </c>
      <c r="AB288" s="37">
        <v>2500</v>
      </c>
      <c r="AC288" s="37">
        <v>2950</v>
      </c>
      <c r="AD288" s="39">
        <v>9.6</v>
      </c>
      <c r="AE288" s="39">
        <v>9.6</v>
      </c>
    </row>
    <row r="289" spans="1:31" ht="24.75" customHeight="1" thickBot="1">
      <c r="A289" s="199"/>
      <c r="B289" s="42"/>
      <c r="C289" s="45" t="s">
        <v>154</v>
      </c>
      <c r="D289" s="44">
        <f t="shared" ref="D289:L289" si="91">IF(((D287="")*AND(D288="")),"",(D287-D288)*2)</f>
        <v>3335.4400000000005</v>
      </c>
      <c r="E289" s="44">
        <f t="shared" si="91"/>
        <v>3310.4199999999992</v>
      </c>
      <c r="F289" s="44">
        <f t="shared" si="91"/>
        <v>3307.079999999999</v>
      </c>
      <c r="G289" s="44">
        <f t="shared" si="91"/>
        <v>3301.4799999999996</v>
      </c>
      <c r="H289" s="44">
        <f t="shared" si="91"/>
        <v>3320.04</v>
      </c>
      <c r="I289" s="44">
        <f t="shared" si="91"/>
        <v>3355.2</v>
      </c>
      <c r="J289" s="44">
        <f t="shared" si="91"/>
        <v>3304.5</v>
      </c>
      <c r="K289" s="44">
        <f t="shared" si="91"/>
        <v>3312.8</v>
      </c>
      <c r="L289" s="44">
        <f t="shared" si="91"/>
        <v>3336.8599999999997</v>
      </c>
      <c r="M289" s="44"/>
      <c r="N289" s="44"/>
      <c r="O289" s="44"/>
      <c r="P289" s="44"/>
      <c r="Q289" s="42"/>
      <c r="R289" s="42"/>
      <c r="S289" s="43"/>
      <c r="T289" s="42"/>
      <c r="U289" s="42"/>
      <c r="V289" s="41"/>
      <c r="W289" s="42"/>
      <c r="X289" s="76"/>
      <c r="Z289" s="37">
        <v>2000</v>
      </c>
      <c r="AA289" s="37">
        <v>3000</v>
      </c>
      <c r="AB289" s="37">
        <v>2500</v>
      </c>
      <c r="AC289" s="37">
        <v>2950</v>
      </c>
      <c r="AD289" s="39">
        <v>9.6</v>
      </c>
      <c r="AE289" s="39">
        <v>9.6</v>
      </c>
    </row>
    <row r="290" spans="1:31">
      <c r="A290" s="201">
        <v>42850</v>
      </c>
      <c r="B290" s="63" t="s">
        <v>158</v>
      </c>
      <c r="C290" s="56" t="s">
        <v>156</v>
      </c>
      <c r="D290" s="8">
        <v>2174.36</v>
      </c>
      <c r="E290" s="8">
        <v>2146.4299999999998</v>
      </c>
      <c r="F290" s="8">
        <v>2130.6999999999998</v>
      </c>
      <c r="G290" s="8">
        <v>2139.9699999999998</v>
      </c>
      <c r="H290" s="8">
        <v>2169.35</v>
      </c>
      <c r="I290" s="8">
        <v>2176.35</v>
      </c>
      <c r="J290" s="8">
        <v>2145.6799999999998</v>
      </c>
      <c r="K290" s="8">
        <v>2140.0700000000002</v>
      </c>
      <c r="L290" s="8">
        <v>2169.1999999999998</v>
      </c>
      <c r="M290" s="62"/>
      <c r="N290" s="62"/>
      <c r="O290" s="62"/>
      <c r="P290" s="62"/>
      <c r="Q290" s="63">
        <f>IF((L291=""),"",MAX(D292:L292))</f>
        <v>2964.8399999999992</v>
      </c>
      <c r="R290" s="63">
        <f>IF(L291="","",MIN(D292:L292))</f>
        <v>2683.5999999999995</v>
      </c>
      <c r="S290" s="63">
        <f>IF((L292=""),"",AVERAGE(D292:L292))</f>
        <v>2819.6355555555556</v>
      </c>
      <c r="T290" s="63">
        <f>IF((L291=""),"",((Q290-R290)/(Q290+R290))*100)</f>
        <v>4.9790738681830709</v>
      </c>
      <c r="U290" s="51">
        <f>STDEV(D290:L290)</f>
        <v>17.453043032962132</v>
      </c>
      <c r="V290" s="64" t="str">
        <f>IF(L291="","",(IF(T290&lt;12,IF(S290&gt;2200,IF(S290&lt;3280,"Pass","Fail"),"Fail"),"Fail")))</f>
        <v>Pass</v>
      </c>
      <c r="W290" s="63">
        <v>1335</v>
      </c>
      <c r="Z290" s="37">
        <v>2000</v>
      </c>
      <c r="AA290" s="37">
        <v>3000</v>
      </c>
      <c r="AB290" s="37">
        <v>2200</v>
      </c>
      <c r="AC290" s="37">
        <v>3280</v>
      </c>
      <c r="AD290" s="39">
        <v>12</v>
      </c>
      <c r="AE290" s="39">
        <v>12</v>
      </c>
    </row>
    <row r="291" spans="1:31" ht="16.5" customHeight="1">
      <c r="A291" s="199"/>
      <c r="B291" s="48"/>
      <c r="C291" s="51" t="s">
        <v>155</v>
      </c>
      <c r="D291" s="8">
        <v>1434.77</v>
      </c>
      <c r="E291" s="8">
        <v>1445.85</v>
      </c>
      <c r="F291" s="8">
        <v>1459.8</v>
      </c>
      <c r="G291" s="8">
        <v>1452.44</v>
      </c>
      <c r="H291" s="8">
        <v>1464.65</v>
      </c>
      <c r="I291" s="8">
        <v>1435.14</v>
      </c>
      <c r="J291" s="8">
        <v>1441.38</v>
      </c>
      <c r="K291" s="8">
        <v>1453.59</v>
      </c>
      <c r="L291" s="8">
        <v>1460.31</v>
      </c>
      <c r="M291" s="50"/>
      <c r="N291" s="50"/>
      <c r="O291" s="50"/>
      <c r="P291" s="50"/>
      <c r="Q291" s="48"/>
      <c r="R291" s="48"/>
      <c r="S291" s="48"/>
      <c r="T291" s="48"/>
      <c r="U291" s="48"/>
      <c r="V291" s="47"/>
      <c r="W291" s="48"/>
      <c r="X291" s="8"/>
      <c r="Z291" s="37">
        <v>2000</v>
      </c>
      <c r="AA291" s="37">
        <v>3000</v>
      </c>
      <c r="AB291" s="37">
        <v>2500</v>
      </c>
      <c r="AC291" s="37">
        <v>2950</v>
      </c>
      <c r="AD291" s="39">
        <v>9.6</v>
      </c>
      <c r="AE291" s="39">
        <v>9.6</v>
      </c>
    </row>
    <row r="292" spans="1:31" ht="24.75" customHeight="1" thickBot="1">
      <c r="A292" s="199"/>
      <c r="B292" s="61"/>
      <c r="C292" s="51" t="s">
        <v>154</v>
      </c>
      <c r="D292" s="24">
        <f t="shared" ref="D292:L292" si="92">IF(((D290="")*AND(D291="")),"",(D290-D291)*4)</f>
        <v>2958.3600000000006</v>
      </c>
      <c r="E292" s="24">
        <f t="shared" si="92"/>
        <v>2802.3199999999997</v>
      </c>
      <c r="F292" s="24">
        <f t="shared" si="92"/>
        <v>2683.5999999999995</v>
      </c>
      <c r="G292" s="24">
        <f t="shared" si="92"/>
        <v>2750.119999999999</v>
      </c>
      <c r="H292" s="24">
        <f t="shared" si="92"/>
        <v>2818.7999999999993</v>
      </c>
      <c r="I292" s="24">
        <f t="shared" si="92"/>
        <v>2964.8399999999992</v>
      </c>
      <c r="J292" s="24">
        <f t="shared" si="92"/>
        <v>2817.1999999999989</v>
      </c>
      <c r="K292" s="24">
        <f t="shared" si="92"/>
        <v>2745.920000000001</v>
      </c>
      <c r="L292" s="24">
        <f t="shared" si="92"/>
        <v>2835.5599999999995</v>
      </c>
      <c r="M292" s="24"/>
      <c r="N292" s="24"/>
      <c r="O292" s="24"/>
      <c r="P292" s="24" t="str">
        <f>IF(((P290="")*AND(P291="")),"",(P290-P291)*4)</f>
        <v/>
      </c>
      <c r="Q292" s="61"/>
      <c r="R292" s="61"/>
      <c r="S292" s="61"/>
      <c r="T292" s="61"/>
      <c r="U292" s="61"/>
      <c r="V292" s="60"/>
      <c r="W292" s="61"/>
      <c r="X292" s="8"/>
      <c r="Z292" s="37">
        <v>2000</v>
      </c>
      <c r="AA292" s="37">
        <v>3000</v>
      </c>
      <c r="AB292" s="37">
        <v>2500</v>
      </c>
      <c r="AC292" s="37">
        <v>2950</v>
      </c>
      <c r="AD292" s="39">
        <v>9.6</v>
      </c>
      <c r="AE292" s="39">
        <v>9.6</v>
      </c>
    </row>
    <row r="293" spans="1:31">
      <c r="A293" s="201">
        <v>42850</v>
      </c>
      <c r="B293" s="57" t="s">
        <v>157</v>
      </c>
      <c r="C293" s="51" t="s">
        <v>156</v>
      </c>
      <c r="D293" s="8">
        <v>6974.09</v>
      </c>
      <c r="E293" s="8">
        <v>6981.18</v>
      </c>
      <c r="F293" s="8">
        <v>7017.66</v>
      </c>
      <c r="G293" s="8">
        <v>6973.36</v>
      </c>
      <c r="H293" s="8">
        <v>7030.36</v>
      </c>
      <c r="I293" s="8">
        <v>7017.02</v>
      </c>
      <c r="J293" s="8">
        <v>6996.69</v>
      </c>
      <c r="K293" s="8">
        <v>7009.4</v>
      </c>
      <c r="L293" s="8">
        <v>7076.86</v>
      </c>
      <c r="M293" s="50"/>
      <c r="N293" s="50"/>
      <c r="O293" s="50"/>
      <c r="P293" s="50"/>
      <c r="Q293" s="57">
        <f>IF((L294=""),"",MAX(D295:L295))</f>
        <v>3304.6600000000017</v>
      </c>
      <c r="R293" s="57">
        <f>IF(L294="","",MIN(D295:L295))</f>
        <v>3257.8999999999996</v>
      </c>
      <c r="S293" s="58">
        <f>IF((L295=""),"",AVERAGE(D295:L295))</f>
        <v>3276.4733333333334</v>
      </c>
      <c r="T293" s="57">
        <f>IF((L294=""),"",((Q293-R293)/(Q293+R293))*100)</f>
        <v>0.7125268188024495</v>
      </c>
      <c r="U293" s="56">
        <f>STDEV(D293:L293)</f>
        <v>32.811925804472921</v>
      </c>
      <c r="V293" s="55" t="str">
        <f>IF(L294="","",(IF(T293&lt;7,IF(S293&gt;2800,IF(S293&lt;3800,"Pass","Fail"),"Fail"),"Fail")))</f>
        <v>Pass</v>
      </c>
      <c r="W293" s="57">
        <v>1335</v>
      </c>
      <c r="Z293" s="53">
        <v>2800</v>
      </c>
      <c r="AA293" s="53">
        <v>3800</v>
      </c>
      <c r="AB293" s="53">
        <v>3100</v>
      </c>
      <c r="AC293" s="53">
        <v>3760</v>
      </c>
      <c r="AD293" s="52">
        <v>6</v>
      </c>
      <c r="AE293" s="52">
        <v>6</v>
      </c>
    </row>
    <row r="294" spans="1:31" ht="16.5" customHeight="1">
      <c r="A294" s="199"/>
      <c r="B294" s="48"/>
      <c r="C294" s="51" t="s">
        <v>155</v>
      </c>
      <c r="D294" s="8">
        <v>5341.52</v>
      </c>
      <c r="E294" s="8">
        <v>5343.66</v>
      </c>
      <c r="F294" s="8">
        <v>5381.28</v>
      </c>
      <c r="G294" s="8">
        <v>5339.89</v>
      </c>
      <c r="H294" s="8">
        <v>5401.41</v>
      </c>
      <c r="I294" s="8">
        <v>5364.69</v>
      </c>
      <c r="J294" s="8">
        <v>5360.27</v>
      </c>
      <c r="K294" s="8">
        <v>5363.24</v>
      </c>
      <c r="L294" s="8">
        <v>5436.53</v>
      </c>
      <c r="M294" s="50"/>
      <c r="N294" s="50"/>
      <c r="O294" s="50"/>
      <c r="P294" s="50"/>
      <c r="Q294" s="48"/>
      <c r="R294" s="48"/>
      <c r="S294" s="49"/>
      <c r="T294" s="48"/>
      <c r="U294" s="48"/>
      <c r="V294" s="47"/>
      <c r="W294" s="48"/>
      <c r="X294" s="8"/>
      <c r="Z294" s="37">
        <v>2000</v>
      </c>
      <c r="AA294" s="37">
        <v>3000</v>
      </c>
      <c r="AB294" s="37">
        <v>2500</v>
      </c>
      <c r="AC294" s="37">
        <v>2950</v>
      </c>
      <c r="AD294" s="39">
        <v>9.6</v>
      </c>
      <c r="AE294" s="39">
        <v>9.6</v>
      </c>
    </row>
    <row r="295" spans="1:31" ht="24.75" customHeight="1" thickBot="1">
      <c r="A295" s="199"/>
      <c r="B295" s="42"/>
      <c r="C295" s="45" t="s">
        <v>154</v>
      </c>
      <c r="D295" s="44">
        <f t="shared" ref="D295:L295" si="93">IF(((D293="")*AND(D294="")),"",(D293-D294)*2)</f>
        <v>3265.1399999999994</v>
      </c>
      <c r="E295" s="44">
        <f t="shared" si="93"/>
        <v>3275.0400000000009</v>
      </c>
      <c r="F295" s="44">
        <f t="shared" si="93"/>
        <v>3272.76</v>
      </c>
      <c r="G295" s="44">
        <f t="shared" si="93"/>
        <v>3266.9399999999987</v>
      </c>
      <c r="H295" s="44">
        <f t="shared" si="93"/>
        <v>3257.8999999999996</v>
      </c>
      <c r="I295" s="44">
        <f t="shared" si="93"/>
        <v>3304.6600000000017</v>
      </c>
      <c r="J295" s="44">
        <f t="shared" si="93"/>
        <v>3272.8399999999983</v>
      </c>
      <c r="K295" s="44">
        <f t="shared" si="93"/>
        <v>3292.3199999999997</v>
      </c>
      <c r="L295" s="44">
        <f t="shared" si="93"/>
        <v>3280.66</v>
      </c>
      <c r="M295" s="44"/>
      <c r="N295" s="44"/>
      <c r="O295" s="44"/>
      <c r="P295" s="44"/>
      <c r="Q295" s="42"/>
      <c r="R295" s="42"/>
      <c r="S295" s="43"/>
      <c r="T295" s="42"/>
      <c r="U295" s="42"/>
      <c r="V295" s="41"/>
      <c r="W295" s="42"/>
      <c r="X295" s="8"/>
      <c r="Z295" s="37">
        <v>2000</v>
      </c>
      <c r="AA295" s="37">
        <v>3000</v>
      </c>
      <c r="AB295" s="37">
        <v>2500</v>
      </c>
      <c r="AC295" s="37">
        <v>2950</v>
      </c>
      <c r="AD295" s="39">
        <v>9.6</v>
      </c>
      <c r="AE295" s="39">
        <v>9.6</v>
      </c>
    </row>
    <row r="296" spans="1:31">
      <c r="A296" s="201">
        <v>42859</v>
      </c>
      <c r="B296" s="63" t="s">
        <v>158</v>
      </c>
      <c r="C296" s="56" t="s">
        <v>156</v>
      </c>
      <c r="D296" s="8">
        <v>1924.9</v>
      </c>
      <c r="E296" s="8">
        <v>1919.03</v>
      </c>
      <c r="F296" s="8">
        <v>1915.58</v>
      </c>
      <c r="G296" s="8">
        <v>1919.71</v>
      </c>
      <c r="H296" s="8">
        <v>1922.44</v>
      </c>
      <c r="I296" s="8">
        <v>1926.8</v>
      </c>
      <c r="J296" s="8">
        <v>1916.93</v>
      </c>
      <c r="K296" s="8">
        <v>1918.72</v>
      </c>
      <c r="L296" s="8">
        <v>1930.16</v>
      </c>
      <c r="M296" s="62"/>
      <c r="N296" s="62"/>
      <c r="O296" s="62"/>
      <c r="P296" s="62"/>
      <c r="Q296" s="63">
        <f>IF((L297=""),"",MAX(D298:L298))</f>
        <v>2699.2</v>
      </c>
      <c r="R296" s="63">
        <f>IF(L297="","",MIN(D298:L298))</f>
        <v>2525.6799999999994</v>
      </c>
      <c r="S296" s="63">
        <f>IF((L298=""),"",AVERAGE(D298:L298))</f>
        <v>2597.6222222222223</v>
      </c>
      <c r="T296" s="63">
        <f>IF((L297=""),"",((Q296-R296)/(Q296+R296))*100)</f>
        <v>3.3210332103321125</v>
      </c>
      <c r="U296" s="51">
        <f>STDEV(D296:L296)</f>
        <v>4.8531951101919804</v>
      </c>
      <c r="V296" s="64" t="str">
        <f>IF(L297="","",(IF(T296&lt;12,IF(S296&gt;2200,IF(S296&lt;3280,"Pass","Fail"),"Fail"),"Fail")))</f>
        <v>Pass</v>
      </c>
      <c r="W296" s="63">
        <v>1335</v>
      </c>
      <c r="Z296" s="37">
        <v>2000</v>
      </c>
      <c r="AA296" s="37">
        <v>3000</v>
      </c>
      <c r="AB296" s="37">
        <v>2200</v>
      </c>
      <c r="AC296" s="37">
        <v>3280</v>
      </c>
      <c r="AD296" s="39">
        <v>12</v>
      </c>
      <c r="AE296" s="39">
        <v>12</v>
      </c>
    </row>
    <row r="297" spans="1:31" ht="16.5" customHeight="1">
      <c r="A297" s="199"/>
      <c r="B297" s="48"/>
      <c r="C297" s="51" t="s">
        <v>155</v>
      </c>
      <c r="D297" s="8">
        <v>1254.51</v>
      </c>
      <c r="E297" s="8">
        <v>1265.19</v>
      </c>
      <c r="F297" s="8">
        <v>1284.1600000000001</v>
      </c>
      <c r="G297" s="8">
        <v>1279.8</v>
      </c>
      <c r="H297" s="8">
        <v>1286.54</v>
      </c>
      <c r="I297" s="8">
        <v>1252</v>
      </c>
      <c r="J297" s="8">
        <v>1262.18</v>
      </c>
      <c r="K297" s="8">
        <v>1278.73</v>
      </c>
      <c r="L297" s="8">
        <v>1286.51</v>
      </c>
      <c r="M297" s="50"/>
      <c r="N297" s="50"/>
      <c r="O297" s="50"/>
      <c r="P297" s="50"/>
      <c r="Q297" s="48"/>
      <c r="R297" s="48"/>
      <c r="S297" s="48"/>
      <c r="T297" s="48"/>
      <c r="U297" s="48"/>
      <c r="V297" s="47"/>
      <c r="W297" s="48"/>
      <c r="X297" s="8"/>
      <c r="Z297" s="37">
        <v>2000</v>
      </c>
      <c r="AA297" s="37">
        <v>3000</v>
      </c>
      <c r="AB297" s="37">
        <v>2500</v>
      </c>
      <c r="AC297" s="37">
        <v>2950</v>
      </c>
      <c r="AD297" s="39">
        <v>9.6</v>
      </c>
      <c r="AE297" s="39">
        <v>9.6</v>
      </c>
    </row>
    <row r="298" spans="1:31" ht="24.75" customHeight="1" thickBot="1">
      <c r="A298" s="199"/>
      <c r="B298" s="61"/>
      <c r="C298" s="51" t="s">
        <v>154</v>
      </c>
      <c r="D298" s="24">
        <f t="shared" ref="D298:L298" si="94">IF(((D296="")*AND(D297="")),"",(D296-D297)*4)</f>
        <v>2681.5600000000004</v>
      </c>
      <c r="E298" s="24">
        <f t="shared" si="94"/>
        <v>2615.3599999999997</v>
      </c>
      <c r="F298" s="24">
        <f t="shared" si="94"/>
        <v>2525.6799999999994</v>
      </c>
      <c r="G298" s="24">
        <f t="shared" si="94"/>
        <v>2559.6400000000003</v>
      </c>
      <c r="H298" s="24">
        <f t="shared" si="94"/>
        <v>2543.6000000000004</v>
      </c>
      <c r="I298" s="24">
        <f t="shared" si="94"/>
        <v>2699.2</v>
      </c>
      <c r="J298" s="24">
        <f t="shared" si="94"/>
        <v>2619</v>
      </c>
      <c r="K298" s="24">
        <f t="shared" si="94"/>
        <v>2559.96</v>
      </c>
      <c r="L298" s="24">
        <f t="shared" si="94"/>
        <v>2574.6000000000004</v>
      </c>
      <c r="M298" s="24"/>
      <c r="N298" s="24"/>
      <c r="O298" s="24"/>
      <c r="P298" s="24" t="str">
        <f>IF(((P296="")*AND(P297="")),"",(P296-P297)*4)</f>
        <v/>
      </c>
      <c r="Q298" s="61"/>
      <c r="R298" s="61"/>
      <c r="S298" s="61"/>
      <c r="T298" s="61"/>
      <c r="U298" s="61"/>
      <c r="V298" s="60"/>
      <c r="W298" s="61"/>
      <c r="X298" s="8"/>
      <c r="Z298" s="37">
        <v>2000</v>
      </c>
      <c r="AA298" s="37">
        <v>3000</v>
      </c>
      <c r="AB298" s="37">
        <v>2500</v>
      </c>
      <c r="AC298" s="37">
        <v>2950</v>
      </c>
      <c r="AD298" s="39">
        <v>9.6</v>
      </c>
      <c r="AE298" s="39">
        <v>9.6</v>
      </c>
    </row>
    <row r="299" spans="1:31">
      <c r="A299" s="201">
        <v>42859</v>
      </c>
      <c r="B299" s="57" t="s">
        <v>157</v>
      </c>
      <c r="C299" s="51" t="s">
        <v>156</v>
      </c>
      <c r="D299" s="8">
        <v>6850.12</v>
      </c>
      <c r="E299" s="8">
        <v>6858.17</v>
      </c>
      <c r="F299" s="8">
        <v>6892.58</v>
      </c>
      <c r="G299" s="8">
        <v>6848.12</v>
      </c>
      <c r="H299" s="8">
        <v>6905.03</v>
      </c>
      <c r="I299" s="8">
        <v>6891.52</v>
      </c>
      <c r="J299" s="8">
        <v>6872.69</v>
      </c>
      <c r="K299" s="8">
        <v>6883.84</v>
      </c>
      <c r="L299" s="8">
        <v>6956.76</v>
      </c>
      <c r="M299" s="50"/>
      <c r="N299" s="50"/>
      <c r="O299" s="50"/>
      <c r="P299" s="50"/>
      <c r="Q299" s="57">
        <f>IF((L300=""),"",MAX(D301:L301))</f>
        <v>3335.880000000001</v>
      </c>
      <c r="R299" s="57">
        <f>IF(L300="","",MIN(D301:L301))</f>
        <v>3288.74</v>
      </c>
      <c r="S299" s="58">
        <f>IF((L301=""),"",AVERAGE(D301:L301))</f>
        <v>3301.8155555555559</v>
      </c>
      <c r="T299" s="57">
        <f>IF((L300=""),"",((Q299-R299)/(Q299+R299))*100)</f>
        <v>0.71158798542408819</v>
      </c>
      <c r="U299" s="56">
        <f>STDEV(D299:L299)</f>
        <v>33.719272719954965</v>
      </c>
      <c r="V299" s="55" t="str">
        <f>IF(L300="","",(IF(T299&lt;7,IF(S299&gt;2800,IF(S299&lt;3800,"Pass","Fail"),"Fail"),"Fail")))</f>
        <v>Pass</v>
      </c>
      <c r="W299" s="57">
        <v>1335</v>
      </c>
      <c r="Z299" s="53">
        <v>2800</v>
      </c>
      <c r="AA299" s="53">
        <v>3800</v>
      </c>
      <c r="AB299" s="53">
        <v>3100</v>
      </c>
      <c r="AC299" s="53">
        <v>3760</v>
      </c>
      <c r="AD299" s="52">
        <v>6</v>
      </c>
      <c r="AE299" s="52">
        <v>6</v>
      </c>
    </row>
    <row r="300" spans="1:31" ht="16.5" customHeight="1">
      <c r="A300" s="199"/>
      <c r="B300" s="48"/>
      <c r="C300" s="51" t="s">
        <v>155</v>
      </c>
      <c r="D300" s="8">
        <v>5200.01</v>
      </c>
      <c r="E300" s="8">
        <v>5205</v>
      </c>
      <c r="F300" s="8">
        <v>5242.7299999999996</v>
      </c>
      <c r="G300" s="8">
        <v>5203.7</v>
      </c>
      <c r="H300" s="8">
        <v>5258.38</v>
      </c>
      <c r="I300" s="8">
        <v>5223.58</v>
      </c>
      <c r="J300" s="8">
        <v>5228.32</v>
      </c>
      <c r="K300" s="8">
        <v>5231.42</v>
      </c>
      <c r="L300" s="8">
        <v>5307.52</v>
      </c>
      <c r="M300" s="50"/>
      <c r="N300" s="50"/>
      <c r="O300" s="50"/>
      <c r="P300" s="50"/>
      <c r="Q300" s="48"/>
      <c r="R300" s="48"/>
      <c r="S300" s="49"/>
      <c r="T300" s="48"/>
      <c r="U300" s="48"/>
      <c r="V300" s="47"/>
      <c r="W300" s="48"/>
      <c r="X300" s="8"/>
      <c r="Z300" s="37">
        <v>2000</v>
      </c>
      <c r="AA300" s="37">
        <v>3000</v>
      </c>
      <c r="AB300" s="37">
        <v>2500</v>
      </c>
      <c r="AC300" s="37">
        <v>2950</v>
      </c>
      <c r="AD300" s="39">
        <v>9.6</v>
      </c>
      <c r="AE300" s="39">
        <v>9.6</v>
      </c>
    </row>
    <row r="301" spans="1:31" ht="24.75" customHeight="1" thickBot="1">
      <c r="A301" s="199"/>
      <c r="B301" s="42"/>
      <c r="C301" s="45" t="s">
        <v>154</v>
      </c>
      <c r="D301" s="44">
        <f t="shared" ref="D301:L301" si="95">IF(((D299="")*AND(D300="")),"",(D299-D300)*2)</f>
        <v>3300.2199999999993</v>
      </c>
      <c r="E301" s="44">
        <f t="shared" si="95"/>
        <v>3306.34</v>
      </c>
      <c r="F301" s="44">
        <f t="shared" si="95"/>
        <v>3299.7000000000007</v>
      </c>
      <c r="G301" s="44">
        <f t="shared" si="95"/>
        <v>3288.84</v>
      </c>
      <c r="H301" s="44">
        <f t="shared" si="95"/>
        <v>3293.2999999999993</v>
      </c>
      <c r="I301" s="44">
        <f t="shared" si="95"/>
        <v>3335.880000000001</v>
      </c>
      <c r="J301" s="44">
        <f t="shared" si="95"/>
        <v>3288.74</v>
      </c>
      <c r="K301" s="44">
        <f t="shared" si="95"/>
        <v>3304.84</v>
      </c>
      <c r="L301" s="44">
        <f t="shared" si="95"/>
        <v>3298.4799999999996</v>
      </c>
      <c r="M301" s="44"/>
      <c r="N301" s="44"/>
      <c r="O301" s="44"/>
      <c r="P301" s="44"/>
      <c r="Q301" s="42"/>
      <c r="R301" s="42"/>
      <c r="S301" s="43"/>
      <c r="T301" s="42"/>
      <c r="U301" s="42"/>
      <c r="V301" s="41"/>
      <c r="W301" s="42"/>
      <c r="X301" s="8"/>
      <c r="Z301" s="37">
        <v>2000</v>
      </c>
      <c r="AA301" s="37">
        <v>3000</v>
      </c>
      <c r="AB301" s="37">
        <v>2500</v>
      </c>
      <c r="AC301" s="37">
        <v>2950</v>
      </c>
      <c r="AD301" s="39">
        <v>9.6</v>
      </c>
      <c r="AE301" s="39">
        <v>9.6</v>
      </c>
    </row>
    <row r="302" spans="1:31">
      <c r="A302" s="201">
        <v>42862</v>
      </c>
      <c r="B302" s="63" t="s">
        <v>158</v>
      </c>
      <c r="C302" s="56" t="s">
        <v>156</v>
      </c>
      <c r="D302" s="8">
        <v>1254.51</v>
      </c>
      <c r="E302" s="8">
        <v>1265.19</v>
      </c>
      <c r="F302" s="8">
        <v>1284.1600000000001</v>
      </c>
      <c r="G302" s="8">
        <v>1279.8</v>
      </c>
      <c r="H302" s="8">
        <v>1286.54</v>
      </c>
      <c r="I302" s="8">
        <v>1252</v>
      </c>
      <c r="J302" s="8">
        <v>1262.18</v>
      </c>
      <c r="K302" s="8">
        <v>1278.73</v>
      </c>
      <c r="L302" s="8">
        <v>1286.51</v>
      </c>
      <c r="M302" s="62"/>
      <c r="N302" s="62"/>
      <c r="O302" s="62"/>
      <c r="P302" s="62"/>
      <c r="Q302" s="63">
        <f>IF((L303=""),"",MAX(D304:L304))</f>
        <v>2654.24</v>
      </c>
      <c r="R302" s="63">
        <f>IF(L303="","",MIN(D304:L304))</f>
        <v>2465.2800000000002</v>
      </c>
      <c r="S302" s="63">
        <f>IF((L304=""),"",AVERAGE(D304:L304))</f>
        <v>2542.6488888888889</v>
      </c>
      <c r="T302" s="63">
        <f>IF((L303=""),"",((Q302-R302)/(Q302+R302))*100)</f>
        <v>3.6909710285339168</v>
      </c>
      <c r="U302" s="51">
        <f>STDEV(D302:L302)</f>
        <v>13.803836423273498</v>
      </c>
      <c r="V302" s="64" t="str">
        <f>IF(L303="","",(IF(T302&lt;12,IF(S302&gt;2200,IF(S302&lt;3280,"Pass","Fail"),"Fail"),"Fail")))</f>
        <v>Pass</v>
      </c>
      <c r="W302" s="63">
        <v>1428</v>
      </c>
      <c r="Z302" s="37">
        <v>2000</v>
      </c>
      <c r="AA302" s="37">
        <v>3000</v>
      </c>
      <c r="AB302" s="37">
        <v>2200</v>
      </c>
      <c r="AC302" s="37">
        <v>3280</v>
      </c>
      <c r="AD302" s="39">
        <v>12</v>
      </c>
      <c r="AE302" s="39">
        <v>12</v>
      </c>
    </row>
    <row r="303" spans="1:31" ht="16.5" customHeight="1">
      <c r="A303" s="199"/>
      <c r="B303" s="48"/>
      <c r="C303" s="51" t="s">
        <v>155</v>
      </c>
      <c r="D303" s="8">
        <v>590.95000000000005</v>
      </c>
      <c r="E303" s="8">
        <v>626.73</v>
      </c>
      <c r="F303" s="8">
        <v>667.84</v>
      </c>
      <c r="G303" s="8">
        <v>658.51</v>
      </c>
      <c r="H303" s="8">
        <v>662.8</v>
      </c>
      <c r="I303" s="8">
        <v>589.51</v>
      </c>
      <c r="J303" s="8">
        <v>624.26</v>
      </c>
      <c r="K303" s="8">
        <v>656.8</v>
      </c>
      <c r="L303" s="8">
        <v>651.26</v>
      </c>
      <c r="M303" s="50"/>
      <c r="N303" s="50"/>
      <c r="O303" s="50"/>
      <c r="P303" s="50"/>
      <c r="Q303" s="48"/>
      <c r="R303" s="48"/>
      <c r="S303" s="48"/>
      <c r="T303" s="48"/>
      <c r="U303" s="48"/>
      <c r="V303" s="47"/>
      <c r="W303" s="48"/>
      <c r="X303" s="8"/>
      <c r="Z303" s="37">
        <v>2000</v>
      </c>
      <c r="AA303" s="37">
        <v>3000</v>
      </c>
      <c r="AB303" s="37">
        <v>2500</v>
      </c>
      <c r="AC303" s="37">
        <v>2950</v>
      </c>
      <c r="AD303" s="39">
        <v>9.6</v>
      </c>
      <c r="AE303" s="39">
        <v>9.6</v>
      </c>
    </row>
    <row r="304" spans="1:31" ht="24.75" customHeight="1" thickBot="1">
      <c r="A304" s="199"/>
      <c r="B304" s="61"/>
      <c r="C304" s="51" t="s">
        <v>154</v>
      </c>
      <c r="D304" s="24">
        <f t="shared" ref="D304:L304" si="96">IF(((D302="")*AND(D303="")),"",(D302-D303)*4)</f>
        <v>2654.24</v>
      </c>
      <c r="E304" s="24">
        <f t="shared" si="96"/>
        <v>2553.84</v>
      </c>
      <c r="F304" s="24">
        <f t="shared" si="96"/>
        <v>2465.2800000000002</v>
      </c>
      <c r="G304" s="24">
        <f t="shared" si="96"/>
        <v>2485.16</v>
      </c>
      <c r="H304" s="24">
        <f t="shared" si="96"/>
        <v>2494.96</v>
      </c>
      <c r="I304" s="24">
        <f t="shared" si="96"/>
        <v>2649.96</v>
      </c>
      <c r="J304" s="24">
        <f t="shared" si="96"/>
        <v>2551.6800000000003</v>
      </c>
      <c r="K304" s="24">
        <f t="shared" si="96"/>
        <v>2487.7200000000003</v>
      </c>
      <c r="L304" s="24">
        <f t="shared" si="96"/>
        <v>2541</v>
      </c>
      <c r="M304" s="24"/>
      <c r="N304" s="24"/>
      <c r="O304" s="24"/>
      <c r="P304" s="24" t="str">
        <f>IF(((P302="")*AND(P303="")),"",(P302-P303)*4)</f>
        <v/>
      </c>
      <c r="Q304" s="61"/>
      <c r="R304" s="61"/>
      <c r="S304" s="61"/>
      <c r="T304" s="61"/>
      <c r="U304" s="61"/>
      <c r="V304" s="60"/>
      <c r="W304" s="61"/>
      <c r="X304" s="8"/>
      <c r="Z304" s="37">
        <v>2000</v>
      </c>
      <c r="AA304" s="37">
        <v>3000</v>
      </c>
      <c r="AB304" s="37">
        <v>2500</v>
      </c>
      <c r="AC304" s="37">
        <v>2950</v>
      </c>
      <c r="AD304" s="39">
        <v>9.6</v>
      </c>
      <c r="AE304" s="39">
        <v>9.6</v>
      </c>
    </row>
    <row r="305" spans="1:31">
      <c r="A305" s="201">
        <v>42862</v>
      </c>
      <c r="B305" s="57" t="s">
        <v>157</v>
      </c>
      <c r="C305" s="51" t="s">
        <v>156</v>
      </c>
      <c r="D305" s="8">
        <v>5200.01</v>
      </c>
      <c r="E305" s="8">
        <v>5205</v>
      </c>
      <c r="F305" s="8">
        <v>5242.7299999999996</v>
      </c>
      <c r="G305" s="8">
        <v>5203.7</v>
      </c>
      <c r="H305" s="8">
        <v>5258.38</v>
      </c>
      <c r="I305" s="8">
        <v>5223.58</v>
      </c>
      <c r="J305" s="8">
        <v>5228.32</v>
      </c>
      <c r="K305" s="8">
        <v>5231.42</v>
      </c>
      <c r="L305" s="8">
        <v>5307.52</v>
      </c>
      <c r="M305" s="50"/>
      <c r="N305" s="50"/>
      <c r="O305" s="50"/>
      <c r="P305" s="50"/>
      <c r="Q305" s="57">
        <f>IF((L306=""),"",MAX(D307:L307))</f>
        <v>3296.5599999999995</v>
      </c>
      <c r="R305" s="57">
        <f>IF(L306="","",MIN(D307:L307))</f>
        <v>3241.7800000000007</v>
      </c>
      <c r="S305" s="58">
        <f>IF((L307=""),"",AVERAGE(D307:L307))</f>
        <v>3262.9844444444443</v>
      </c>
      <c r="T305" s="57">
        <f>IF((L306=""),"",((Q305-R305)/(Q305+R305))*100)</f>
        <v>0.83782733843756718</v>
      </c>
      <c r="U305" s="56">
        <f>STDEV(D305:L305)</f>
        <v>33.790761681207684</v>
      </c>
      <c r="V305" s="55" t="str">
        <f>IF(L306="","",(IF(T305&lt;7,IF(S305&gt;2800,IF(S305&lt;3800,"Pass","Fail"),"Fail"),"Fail")))</f>
        <v>Pass</v>
      </c>
      <c r="W305" s="57">
        <v>1428</v>
      </c>
      <c r="Z305" s="53">
        <v>2800</v>
      </c>
      <c r="AA305" s="53">
        <v>3800</v>
      </c>
      <c r="AB305" s="53">
        <v>3100</v>
      </c>
      <c r="AC305" s="53">
        <v>3760</v>
      </c>
      <c r="AD305" s="52">
        <v>6</v>
      </c>
      <c r="AE305" s="52">
        <v>6</v>
      </c>
    </row>
    <row r="306" spans="1:31" ht="16.5" customHeight="1">
      <c r="A306" s="199"/>
      <c r="B306" s="48"/>
      <c r="C306" s="51" t="s">
        <v>155</v>
      </c>
      <c r="D306" s="8">
        <v>3579.12</v>
      </c>
      <c r="E306" s="8">
        <v>3572.93</v>
      </c>
      <c r="F306" s="8">
        <v>3609.81</v>
      </c>
      <c r="G306" s="8">
        <v>3577</v>
      </c>
      <c r="H306" s="8">
        <v>3626.72</v>
      </c>
      <c r="I306" s="8">
        <v>3575.3</v>
      </c>
      <c r="J306" s="8">
        <v>3601.49</v>
      </c>
      <c r="K306" s="8">
        <v>3597.2</v>
      </c>
      <c r="L306" s="8">
        <v>3677.66</v>
      </c>
      <c r="M306" s="50"/>
      <c r="N306" s="50"/>
      <c r="O306" s="50"/>
      <c r="P306" s="50"/>
      <c r="Q306" s="48"/>
      <c r="R306" s="48"/>
      <c r="S306" s="49"/>
      <c r="T306" s="48"/>
      <c r="U306" s="48"/>
      <c r="V306" s="47"/>
      <c r="W306" s="48"/>
      <c r="X306" s="8"/>
      <c r="Z306" s="37">
        <v>2000</v>
      </c>
      <c r="AA306" s="37">
        <v>3000</v>
      </c>
      <c r="AB306" s="37">
        <v>2500</v>
      </c>
      <c r="AC306" s="37">
        <v>2950</v>
      </c>
      <c r="AD306" s="39">
        <v>9.6</v>
      </c>
      <c r="AE306" s="39">
        <v>9.6</v>
      </c>
    </row>
    <row r="307" spans="1:31" ht="24.75" customHeight="1" thickBot="1">
      <c r="A307" s="199"/>
      <c r="B307" s="42"/>
      <c r="C307" s="45" t="s">
        <v>154</v>
      </c>
      <c r="D307" s="44">
        <f t="shared" ref="D307:L307" si="97">IF(((D305="")*AND(D306="")),"",(D305-D306)*2)</f>
        <v>3241.7800000000007</v>
      </c>
      <c r="E307" s="44">
        <f t="shared" si="97"/>
        <v>3264.1400000000003</v>
      </c>
      <c r="F307" s="44">
        <f t="shared" si="97"/>
        <v>3265.8399999999992</v>
      </c>
      <c r="G307" s="44">
        <f t="shared" si="97"/>
        <v>3253.3999999999996</v>
      </c>
      <c r="H307" s="44">
        <f t="shared" si="97"/>
        <v>3263.3200000000006</v>
      </c>
      <c r="I307" s="44">
        <f t="shared" si="97"/>
        <v>3296.5599999999995</v>
      </c>
      <c r="J307" s="44">
        <f t="shared" si="97"/>
        <v>3253.66</v>
      </c>
      <c r="K307" s="44">
        <f t="shared" si="97"/>
        <v>3268.4400000000005</v>
      </c>
      <c r="L307" s="44">
        <f t="shared" si="97"/>
        <v>3259.7200000000012</v>
      </c>
      <c r="M307" s="44"/>
      <c r="N307" s="44"/>
      <c r="O307" s="44"/>
      <c r="P307" s="44"/>
      <c r="Q307" s="42"/>
      <c r="R307" s="42"/>
      <c r="S307" s="43"/>
      <c r="T307" s="42"/>
      <c r="U307" s="42"/>
      <c r="V307" s="41"/>
      <c r="W307" s="42"/>
      <c r="X307" s="8"/>
      <c r="Z307" s="37">
        <v>2000</v>
      </c>
      <c r="AA307" s="37">
        <v>3000</v>
      </c>
      <c r="AB307" s="37">
        <v>2500</v>
      </c>
      <c r="AC307" s="37">
        <v>2950</v>
      </c>
      <c r="AD307" s="39">
        <v>9.6</v>
      </c>
      <c r="AE307" s="39">
        <v>9.6</v>
      </c>
    </row>
    <row r="308" spans="1:31">
      <c r="A308" s="201">
        <v>42870</v>
      </c>
      <c r="B308" s="63" t="s">
        <v>158</v>
      </c>
      <c r="C308" s="56" t="s">
        <v>156</v>
      </c>
      <c r="D308" s="8">
        <v>1925.31</v>
      </c>
      <c r="E308" s="8">
        <v>1922.91</v>
      </c>
      <c r="F308" s="8">
        <v>1922.31</v>
      </c>
      <c r="G308" s="8">
        <v>1923.79</v>
      </c>
      <c r="H308" s="8">
        <v>1931.52</v>
      </c>
      <c r="I308" s="8">
        <v>1929.62</v>
      </c>
      <c r="J308" s="65">
        <v>1923.99</v>
      </c>
      <c r="K308" s="65">
        <v>1922.15</v>
      </c>
      <c r="L308" s="65">
        <v>1930.66</v>
      </c>
      <c r="M308" s="62"/>
      <c r="N308" s="62"/>
      <c r="O308" s="62"/>
      <c r="P308" s="62"/>
      <c r="Q308" s="63">
        <f>IF((L309=""),"",MAX(D310:L310))</f>
        <v>2799.2799999999997</v>
      </c>
      <c r="R308" s="63">
        <f>IF(L309="","",MIN(D310:L310))</f>
        <v>2540.84</v>
      </c>
      <c r="S308" s="63">
        <f>IF((L310=""),"",AVERAGE(D310:L310))</f>
        <v>2658.9155555555553</v>
      </c>
      <c r="T308" s="63">
        <f>IF((L309=""),"",((Q308-R308)/(Q308+R308))*100)</f>
        <v>4.8395916196639703</v>
      </c>
      <c r="U308" s="51">
        <f>STDEV(D308:L308)</f>
        <v>3.7473490631599846</v>
      </c>
      <c r="V308" s="64" t="str">
        <f>IF(L309="","",(IF(T308&lt;12,IF(S308&gt;2200,IF(S308&lt;3280,"Pass","Fail"),"Fail"),"Fail")))</f>
        <v>Pass</v>
      </c>
      <c r="W308" s="63">
        <v>1159</v>
      </c>
      <c r="X308" s="26" t="s">
        <v>191</v>
      </c>
      <c r="Z308" s="37">
        <v>2000</v>
      </c>
      <c r="AA308" s="37">
        <v>3000</v>
      </c>
      <c r="AB308" s="37">
        <v>2200</v>
      </c>
      <c r="AC308" s="37">
        <v>3280</v>
      </c>
      <c r="AD308" s="39">
        <v>12</v>
      </c>
      <c r="AE308" s="39">
        <v>12</v>
      </c>
    </row>
    <row r="309" spans="1:31" ht="16.5" customHeight="1">
      <c r="A309" s="199"/>
      <c r="B309" s="48"/>
      <c r="C309" s="51" t="s">
        <v>155</v>
      </c>
      <c r="D309" s="8">
        <v>1236.97</v>
      </c>
      <c r="E309" s="8">
        <v>1263.55</v>
      </c>
      <c r="F309" s="8">
        <v>1287.0999999999999</v>
      </c>
      <c r="G309" s="8">
        <v>1273.51</v>
      </c>
      <c r="H309" s="8">
        <v>1265.26</v>
      </c>
      <c r="I309" s="8">
        <v>1229.8</v>
      </c>
      <c r="J309" s="65">
        <v>1255.55</v>
      </c>
      <c r="K309" s="65">
        <v>1275.72</v>
      </c>
      <c r="L309" s="65">
        <v>1262.24</v>
      </c>
      <c r="M309" s="50"/>
      <c r="N309" s="50"/>
      <c r="O309" s="50"/>
      <c r="P309" s="50"/>
      <c r="Q309" s="48"/>
      <c r="R309" s="48"/>
      <c r="S309" s="48"/>
      <c r="T309" s="48"/>
      <c r="U309" s="48"/>
      <c r="V309" s="47"/>
      <c r="W309" s="48"/>
      <c r="X309" s="8"/>
      <c r="Z309" s="37">
        <v>2000</v>
      </c>
      <c r="AA309" s="37">
        <v>3000</v>
      </c>
      <c r="AB309" s="37">
        <v>2500</v>
      </c>
      <c r="AC309" s="37">
        <v>2950</v>
      </c>
      <c r="AD309" s="39">
        <v>9.6</v>
      </c>
      <c r="AE309" s="39">
        <v>9.6</v>
      </c>
    </row>
    <row r="310" spans="1:31" ht="24.75" customHeight="1" thickBot="1">
      <c r="A310" s="199"/>
      <c r="B310" s="61"/>
      <c r="C310" s="51" t="s">
        <v>154</v>
      </c>
      <c r="D310" s="24">
        <f t="shared" ref="D310:L310" si="98">IF(((D308="")*AND(D309="")),"",(D308-D309)*4)</f>
        <v>2753.3599999999997</v>
      </c>
      <c r="E310" s="24">
        <f t="shared" si="98"/>
        <v>2637.4400000000005</v>
      </c>
      <c r="F310" s="24">
        <f t="shared" si="98"/>
        <v>2540.84</v>
      </c>
      <c r="G310" s="24">
        <f t="shared" si="98"/>
        <v>2601.12</v>
      </c>
      <c r="H310" s="24">
        <f t="shared" si="98"/>
        <v>2665.04</v>
      </c>
      <c r="I310" s="24">
        <f t="shared" si="98"/>
        <v>2799.2799999999997</v>
      </c>
      <c r="J310" s="24">
        <f t="shared" si="98"/>
        <v>2673.76</v>
      </c>
      <c r="K310" s="24">
        <f t="shared" si="98"/>
        <v>2585.7200000000003</v>
      </c>
      <c r="L310" s="24">
        <f t="shared" si="98"/>
        <v>2673.6800000000003</v>
      </c>
      <c r="M310" s="24"/>
      <c r="N310" s="24"/>
      <c r="O310" s="24"/>
      <c r="P310" s="24" t="str">
        <f>IF(((P308="")*AND(P309="")),"",(P308-P309)*4)</f>
        <v/>
      </c>
      <c r="Q310" s="61"/>
      <c r="R310" s="61"/>
      <c r="S310" s="61"/>
      <c r="T310" s="61"/>
      <c r="U310" s="61"/>
      <c r="V310" s="60"/>
      <c r="W310" s="61"/>
      <c r="X310" s="8"/>
      <c r="Z310" s="37">
        <v>2000</v>
      </c>
      <c r="AA310" s="37">
        <v>3000</v>
      </c>
      <c r="AB310" s="37">
        <v>2500</v>
      </c>
      <c r="AC310" s="37">
        <v>2950</v>
      </c>
      <c r="AD310" s="39">
        <v>9.6</v>
      </c>
      <c r="AE310" s="39">
        <v>9.6</v>
      </c>
    </row>
    <row r="311" spans="1:31">
      <c r="A311" s="201">
        <v>42870</v>
      </c>
      <c r="B311" s="57" t="s">
        <v>157</v>
      </c>
      <c r="C311" s="51" t="s">
        <v>156</v>
      </c>
      <c r="D311" s="8">
        <v>3552.35</v>
      </c>
      <c r="E311" s="8">
        <v>3610.84</v>
      </c>
      <c r="F311" s="8">
        <v>3658.58</v>
      </c>
      <c r="G311" s="8">
        <v>3603.33</v>
      </c>
      <c r="H311" s="8">
        <v>3617.54</v>
      </c>
      <c r="I311" s="8">
        <v>3566.14</v>
      </c>
      <c r="J311" s="65">
        <v>3621.43</v>
      </c>
      <c r="K311" s="65">
        <v>3636.93</v>
      </c>
      <c r="L311" s="65">
        <v>3664.06</v>
      </c>
      <c r="M311" s="50"/>
      <c r="N311" s="50"/>
      <c r="O311" s="50"/>
      <c r="P311" s="50"/>
      <c r="Q311" s="57">
        <f>IF((L312=""),"",MAX(D313:L313))</f>
        <v>3337.3799999999997</v>
      </c>
      <c r="R311" s="57">
        <f>IF(L312="","",MIN(D313:L313))</f>
        <v>3254.3199999999997</v>
      </c>
      <c r="S311" s="58">
        <f>IF((L313=""),"",AVERAGE(D313:L313))</f>
        <v>3278.84</v>
      </c>
      <c r="T311" s="57">
        <f>IF((L312=""),"",((Q311-R311)/(Q311+R311))*100)</f>
        <v>1.2600694813174136</v>
      </c>
      <c r="U311" s="56">
        <f>STDEV(D311:L311)</f>
        <v>37.581633738357432</v>
      </c>
      <c r="V311" s="55" t="str">
        <f>IF(L312="","",(IF(T311&lt;7,IF(S311&gt;2800,IF(S311&lt;3800,"Pass","Fail"),"Fail"),"Fail")))</f>
        <v>Pass</v>
      </c>
      <c r="W311" s="57">
        <v>1159</v>
      </c>
      <c r="X311" s="26" t="s">
        <v>191</v>
      </c>
      <c r="Z311" s="53">
        <v>2800</v>
      </c>
      <c r="AA311" s="53">
        <v>3800</v>
      </c>
      <c r="AB311" s="53">
        <v>3100</v>
      </c>
      <c r="AC311" s="53">
        <v>3760</v>
      </c>
      <c r="AD311" s="52">
        <v>6</v>
      </c>
      <c r="AE311" s="52">
        <v>6</v>
      </c>
    </row>
    <row r="312" spans="1:31" ht="16.5" customHeight="1">
      <c r="A312" s="199"/>
      <c r="B312" s="48"/>
      <c r="C312" s="51" t="s">
        <v>155</v>
      </c>
      <c r="D312" s="8">
        <v>1907.3</v>
      </c>
      <c r="E312" s="8">
        <v>1978.72</v>
      </c>
      <c r="F312" s="8">
        <v>2029.95</v>
      </c>
      <c r="G312" s="8">
        <v>1975.71</v>
      </c>
      <c r="H312" s="8">
        <v>1967.33</v>
      </c>
      <c r="I312" s="65">
        <v>1897.45</v>
      </c>
      <c r="J312" s="65">
        <v>1994.27</v>
      </c>
      <c r="K312" s="65">
        <v>2005.91</v>
      </c>
      <c r="L312" s="65">
        <v>2019.78</v>
      </c>
      <c r="M312" s="50"/>
      <c r="N312" s="50"/>
      <c r="O312" s="50"/>
      <c r="P312" s="50"/>
      <c r="Q312" s="48"/>
      <c r="R312" s="48"/>
      <c r="S312" s="49"/>
      <c r="T312" s="48"/>
      <c r="U312" s="48"/>
      <c r="V312" s="47"/>
      <c r="W312" s="48"/>
      <c r="X312" s="8"/>
      <c r="Z312" s="37">
        <v>2000</v>
      </c>
      <c r="AA312" s="37">
        <v>3000</v>
      </c>
      <c r="AB312" s="37">
        <v>2500</v>
      </c>
      <c r="AC312" s="37">
        <v>2950</v>
      </c>
      <c r="AD312" s="39">
        <v>9.6</v>
      </c>
      <c r="AE312" s="39">
        <v>9.6</v>
      </c>
    </row>
    <row r="313" spans="1:31" ht="24.75" customHeight="1" thickBot="1">
      <c r="A313" s="199"/>
      <c r="B313" s="42"/>
      <c r="C313" s="45" t="s">
        <v>154</v>
      </c>
      <c r="D313" s="44">
        <f t="shared" ref="D313:L313" si="99">IF(((D311="")*AND(D312="")),"",(D311-D312)*2)</f>
        <v>3290.1</v>
      </c>
      <c r="E313" s="44">
        <f t="shared" si="99"/>
        <v>3264.2400000000002</v>
      </c>
      <c r="F313" s="44">
        <f t="shared" si="99"/>
        <v>3257.2599999999998</v>
      </c>
      <c r="G313" s="44">
        <f t="shared" si="99"/>
        <v>3255.24</v>
      </c>
      <c r="H313" s="44">
        <f t="shared" si="99"/>
        <v>3300.42</v>
      </c>
      <c r="I313" s="44">
        <f t="shared" si="99"/>
        <v>3337.3799999999997</v>
      </c>
      <c r="J313" s="44">
        <f t="shared" si="99"/>
        <v>3254.3199999999997</v>
      </c>
      <c r="K313" s="44">
        <f t="shared" si="99"/>
        <v>3262.0399999999995</v>
      </c>
      <c r="L313" s="44">
        <f t="shared" si="99"/>
        <v>3288.56</v>
      </c>
      <c r="M313" s="44"/>
      <c r="N313" s="44"/>
      <c r="O313" s="44"/>
      <c r="P313" s="44"/>
      <c r="Q313" s="42"/>
      <c r="R313" s="42"/>
      <c r="S313" s="43"/>
      <c r="T313" s="42"/>
      <c r="U313" s="42"/>
      <c r="V313" s="41"/>
      <c r="W313" s="42"/>
      <c r="X313" s="8"/>
      <c r="Z313" s="37">
        <v>2000</v>
      </c>
      <c r="AA313" s="37">
        <v>3000</v>
      </c>
      <c r="AB313" s="37">
        <v>2500</v>
      </c>
      <c r="AC313" s="37">
        <v>2950</v>
      </c>
      <c r="AD313" s="39">
        <v>9.6</v>
      </c>
      <c r="AE313" s="39">
        <v>9.6</v>
      </c>
    </row>
    <row r="314" spans="1:31">
      <c r="A314" s="201">
        <v>42879</v>
      </c>
      <c r="B314" s="63" t="s">
        <v>158</v>
      </c>
      <c r="C314" s="56" t="s">
        <v>156</v>
      </c>
      <c r="D314" s="8">
        <v>1953</v>
      </c>
      <c r="E314" s="8">
        <v>1946</v>
      </c>
      <c r="F314" s="8">
        <v>1946</v>
      </c>
      <c r="G314" s="8">
        <v>1948</v>
      </c>
      <c r="H314" s="8">
        <v>1956</v>
      </c>
      <c r="I314" s="8">
        <v>1956</v>
      </c>
      <c r="J314" s="65">
        <v>1948</v>
      </c>
      <c r="K314" s="65">
        <v>1947</v>
      </c>
      <c r="L314" s="65">
        <v>1956</v>
      </c>
      <c r="M314" s="62"/>
      <c r="N314" s="62"/>
      <c r="O314" s="62"/>
      <c r="P314" s="62"/>
      <c r="Q314" s="63">
        <f>IF((L315=""),"",MAX(D316:L316))</f>
        <v>2704</v>
      </c>
      <c r="R314" s="63">
        <f>IF(L315="","",MIN(D316:L316))</f>
        <v>2536</v>
      </c>
      <c r="S314" s="63">
        <f>IF((L316=""),"",AVERAGE(D316:L316))</f>
        <v>2630.2222222222222</v>
      </c>
      <c r="T314" s="63">
        <f>IF((L315=""),"",((Q314-R314)/(Q314+R314))*100)</f>
        <v>3.2061068702290076</v>
      </c>
      <c r="U314" s="51">
        <f>STDEV(D314:L314)</f>
        <v>4.5</v>
      </c>
      <c r="V314" s="64" t="str">
        <f>IF(L315="","",(IF(T314&lt;12,IF(S314&gt;2200,IF(S314&lt;3280,"Pass","Fail"),"Fail"),"Fail")))</f>
        <v>Pass</v>
      </c>
      <c r="W314" s="63">
        <v>121</v>
      </c>
      <c r="Z314" s="37">
        <v>2000</v>
      </c>
      <c r="AA314" s="37">
        <v>3000</v>
      </c>
      <c r="AB314" s="37">
        <v>2200</v>
      </c>
      <c r="AC314" s="37">
        <v>3280</v>
      </c>
      <c r="AD314" s="39">
        <v>12</v>
      </c>
      <c r="AE314" s="39">
        <v>12</v>
      </c>
    </row>
    <row r="315" spans="1:31" ht="16.5" customHeight="1">
      <c r="A315" s="199"/>
      <c r="B315" s="48"/>
      <c r="C315" s="51" t="s">
        <v>155</v>
      </c>
      <c r="D315" s="8">
        <v>1277</v>
      </c>
      <c r="E315" s="8">
        <v>1278</v>
      </c>
      <c r="F315" s="8">
        <v>1304</v>
      </c>
      <c r="G315" s="8">
        <v>1296</v>
      </c>
      <c r="H315" s="8">
        <v>1322</v>
      </c>
      <c r="I315" s="8">
        <v>1281</v>
      </c>
      <c r="J315" s="65">
        <v>1279</v>
      </c>
      <c r="K315" s="65">
        <v>1295</v>
      </c>
      <c r="L315" s="65">
        <v>1306</v>
      </c>
      <c r="M315" s="50"/>
      <c r="N315" s="50"/>
      <c r="O315" s="50"/>
      <c r="P315" s="50"/>
      <c r="Q315" s="48"/>
      <c r="R315" s="48"/>
      <c r="S315" s="48"/>
      <c r="T315" s="48"/>
      <c r="U315" s="48"/>
      <c r="V315" s="47"/>
      <c r="W315" s="48"/>
      <c r="X315" s="8"/>
      <c r="Z315" s="37">
        <v>2000</v>
      </c>
      <c r="AA315" s="37">
        <v>3000</v>
      </c>
      <c r="AB315" s="37">
        <v>2500</v>
      </c>
      <c r="AC315" s="37">
        <v>2950</v>
      </c>
      <c r="AD315" s="39">
        <v>9.6</v>
      </c>
      <c r="AE315" s="39">
        <v>9.6</v>
      </c>
    </row>
    <row r="316" spans="1:31" ht="24.75" customHeight="1" thickBot="1">
      <c r="A316" s="199"/>
      <c r="B316" s="61"/>
      <c r="C316" s="51" t="s">
        <v>154</v>
      </c>
      <c r="D316" s="24">
        <f t="shared" ref="D316:L316" si="100">IF(((D314="")*AND(D315="")),"",(D314-D315)*4)</f>
        <v>2704</v>
      </c>
      <c r="E316" s="24">
        <f t="shared" si="100"/>
        <v>2672</v>
      </c>
      <c r="F316" s="24">
        <f t="shared" si="100"/>
        <v>2568</v>
      </c>
      <c r="G316" s="24">
        <f t="shared" si="100"/>
        <v>2608</v>
      </c>
      <c r="H316" s="24">
        <f t="shared" si="100"/>
        <v>2536</v>
      </c>
      <c r="I316" s="24">
        <f t="shared" si="100"/>
        <v>2700</v>
      </c>
      <c r="J316" s="24">
        <f t="shared" si="100"/>
        <v>2676</v>
      </c>
      <c r="K316" s="24">
        <f t="shared" si="100"/>
        <v>2608</v>
      </c>
      <c r="L316" s="24">
        <f t="shared" si="100"/>
        <v>2600</v>
      </c>
      <c r="M316" s="24"/>
      <c r="N316" s="24"/>
      <c r="O316" s="24"/>
      <c r="P316" s="24" t="str">
        <f>IF(((P314="")*AND(P315="")),"",(P314-P315)*4)</f>
        <v/>
      </c>
      <c r="Q316" s="61"/>
      <c r="R316" s="61"/>
      <c r="S316" s="61"/>
      <c r="T316" s="61"/>
      <c r="U316" s="61"/>
      <c r="V316" s="60"/>
      <c r="W316" s="61"/>
      <c r="X316" s="8"/>
      <c r="Z316" s="37">
        <v>2000</v>
      </c>
      <c r="AA316" s="37">
        <v>3000</v>
      </c>
      <c r="AB316" s="37">
        <v>2500</v>
      </c>
      <c r="AC316" s="37">
        <v>2950</v>
      </c>
      <c r="AD316" s="39">
        <v>9.6</v>
      </c>
      <c r="AE316" s="39">
        <v>9.6</v>
      </c>
    </row>
    <row r="317" spans="1:31">
      <c r="A317" s="201">
        <v>42879</v>
      </c>
      <c r="B317" s="57" t="s">
        <v>157</v>
      </c>
      <c r="C317" s="51" t="s">
        <v>156</v>
      </c>
      <c r="D317" s="8">
        <v>5353</v>
      </c>
      <c r="E317" s="8">
        <v>5353</v>
      </c>
      <c r="F317" s="8">
        <v>5385</v>
      </c>
      <c r="G317" s="8">
        <v>5343</v>
      </c>
      <c r="H317" s="8">
        <v>5398</v>
      </c>
      <c r="I317" s="8">
        <v>5361</v>
      </c>
      <c r="J317" s="65">
        <v>5364</v>
      </c>
      <c r="K317" s="65">
        <v>5368</v>
      </c>
      <c r="L317" s="65">
        <v>5442</v>
      </c>
      <c r="M317" s="50"/>
      <c r="N317" s="50"/>
      <c r="O317" s="50"/>
      <c r="P317" s="50"/>
      <c r="Q317" s="57">
        <f>IF((L318=""),"",MAX(D319:L319))</f>
        <v>3370</v>
      </c>
      <c r="R317" s="57">
        <f>IF(L318="","",MIN(D319:L319))</f>
        <v>3338</v>
      </c>
      <c r="S317" s="58">
        <f>IF((L319=""),"",AVERAGE(D319:L319))</f>
        <v>3348.6666666666665</v>
      </c>
      <c r="T317" s="57">
        <f>IF((L318=""),"",((Q317-R317)/(Q317+R317))*100)</f>
        <v>0.47704233750745378</v>
      </c>
      <c r="U317" s="56">
        <f>STDEV(D317:L317)</f>
        <v>30.555050500890012</v>
      </c>
      <c r="V317" s="55" t="str">
        <f>IF(L318="","",(IF(T317&lt;7,IF(S317&gt;2800,IF(S317&lt;3800,"Pass","Fail"),"Fail"),"Fail")))</f>
        <v>Pass</v>
      </c>
      <c r="W317" s="57">
        <v>121</v>
      </c>
      <c r="Z317" s="53">
        <v>2800</v>
      </c>
      <c r="AA317" s="53">
        <v>3800</v>
      </c>
      <c r="AB317" s="53">
        <v>3100</v>
      </c>
      <c r="AC317" s="53">
        <v>3760</v>
      </c>
      <c r="AD317" s="52">
        <v>6</v>
      </c>
      <c r="AE317" s="52">
        <v>6</v>
      </c>
    </row>
    <row r="318" spans="1:31" ht="16.5" customHeight="1">
      <c r="A318" s="199"/>
      <c r="B318" s="48"/>
      <c r="C318" s="51" t="s">
        <v>155</v>
      </c>
      <c r="D318" s="8">
        <v>3684</v>
      </c>
      <c r="E318" s="8">
        <v>3680</v>
      </c>
      <c r="F318" s="8">
        <v>3709</v>
      </c>
      <c r="G318" s="8">
        <v>3673</v>
      </c>
      <c r="H318" s="8">
        <v>3728</v>
      </c>
      <c r="I318" s="65">
        <v>3676</v>
      </c>
      <c r="J318" s="65">
        <v>3695</v>
      </c>
      <c r="K318" s="65">
        <v>3691</v>
      </c>
      <c r="L318" s="65">
        <v>3762</v>
      </c>
      <c r="M318" s="50"/>
      <c r="N318" s="50"/>
      <c r="O318" s="50"/>
      <c r="P318" s="50"/>
      <c r="Q318" s="48"/>
      <c r="R318" s="48"/>
      <c r="S318" s="49"/>
      <c r="T318" s="48"/>
      <c r="U318" s="48"/>
      <c r="V318" s="47"/>
      <c r="W318" s="48"/>
      <c r="X318" s="8"/>
      <c r="Z318" s="37">
        <v>2000</v>
      </c>
      <c r="AA318" s="37">
        <v>3000</v>
      </c>
      <c r="AB318" s="37">
        <v>2500</v>
      </c>
      <c r="AC318" s="37">
        <v>2950</v>
      </c>
      <c r="AD318" s="39">
        <v>9.6</v>
      </c>
      <c r="AE318" s="39">
        <v>9.6</v>
      </c>
    </row>
    <row r="319" spans="1:31" ht="24.75" customHeight="1" thickBot="1">
      <c r="A319" s="199"/>
      <c r="B319" s="42"/>
      <c r="C319" s="45" t="s">
        <v>154</v>
      </c>
      <c r="D319" s="44">
        <f t="shared" ref="D319:L319" si="101">IF(((D317="")*AND(D318="")),"",(D317-D318)*2)</f>
        <v>3338</v>
      </c>
      <c r="E319" s="44">
        <f t="shared" si="101"/>
        <v>3346</v>
      </c>
      <c r="F319" s="44">
        <f t="shared" si="101"/>
        <v>3352</v>
      </c>
      <c r="G319" s="44">
        <f t="shared" si="101"/>
        <v>3340</v>
      </c>
      <c r="H319" s="44">
        <f t="shared" si="101"/>
        <v>3340</v>
      </c>
      <c r="I319" s="44">
        <f t="shared" si="101"/>
        <v>3370</v>
      </c>
      <c r="J319" s="44">
        <f t="shared" si="101"/>
        <v>3338</v>
      </c>
      <c r="K319" s="44">
        <f t="shared" si="101"/>
        <v>3354</v>
      </c>
      <c r="L319" s="44">
        <f t="shared" si="101"/>
        <v>3360</v>
      </c>
      <c r="M319" s="44"/>
      <c r="N319" s="44"/>
      <c r="O319" s="44"/>
      <c r="P319" s="44"/>
      <c r="Q319" s="42"/>
      <c r="R319" s="42"/>
      <c r="S319" s="43"/>
      <c r="T319" s="42"/>
      <c r="U319" s="42"/>
      <c r="V319" s="41"/>
      <c r="W319" s="42"/>
      <c r="X319" s="8"/>
      <c r="Z319" s="37">
        <v>2000</v>
      </c>
      <c r="AA319" s="37">
        <v>3000</v>
      </c>
      <c r="AB319" s="37">
        <v>2500</v>
      </c>
      <c r="AC319" s="37">
        <v>2950</v>
      </c>
      <c r="AD319" s="39">
        <v>9.6</v>
      </c>
      <c r="AE319" s="39">
        <v>9.6</v>
      </c>
    </row>
    <row r="320" spans="1:31">
      <c r="A320" s="201">
        <v>42892</v>
      </c>
      <c r="B320" s="63" t="s">
        <v>158</v>
      </c>
      <c r="C320" s="56" t="s">
        <v>156</v>
      </c>
      <c r="D320" s="8">
        <v>1912</v>
      </c>
      <c r="E320" s="8">
        <v>1902</v>
      </c>
      <c r="F320" s="8">
        <v>1897</v>
      </c>
      <c r="G320" s="8">
        <v>1904</v>
      </c>
      <c r="H320" s="8">
        <v>1912</v>
      </c>
      <c r="I320" s="8">
        <v>1909</v>
      </c>
      <c r="J320" s="65">
        <v>1904</v>
      </c>
      <c r="K320" s="65">
        <v>1906</v>
      </c>
      <c r="L320" s="65">
        <v>1912</v>
      </c>
      <c r="M320" s="62"/>
      <c r="N320" s="62"/>
      <c r="O320" s="62"/>
      <c r="P320" s="62"/>
      <c r="Q320" s="63">
        <f>IF((L321=""),"",MAX(D322:L322))</f>
        <v>2548</v>
      </c>
      <c r="R320" s="63">
        <f>IF(L321="","",MIN(D322:L322))</f>
        <v>2344</v>
      </c>
      <c r="S320" s="63">
        <f>IF((L322=""),"",AVERAGE(D322:L322))</f>
        <v>2464.4444444444443</v>
      </c>
      <c r="T320" s="63">
        <f>IF((L321=""),"",((Q320-R320)/(Q320+R320))*100)</f>
        <v>4.1700735895339323</v>
      </c>
      <c r="U320" s="51">
        <f>STDEV(D320:L320)</f>
        <v>5.2466920795854541</v>
      </c>
      <c r="V320" s="64" t="str">
        <f>IF(L321="","",(IF(T320&lt;12,IF(S320&gt;2200,IF(S320&lt;3280,"Pass","Fail"),"Fail"),"Fail")))</f>
        <v>Pass</v>
      </c>
      <c r="W320" s="63">
        <v>1159</v>
      </c>
      <c r="X320" s="247" t="s">
        <v>190</v>
      </c>
      <c r="Z320" s="37">
        <v>2000</v>
      </c>
      <c r="AA320" s="37">
        <v>3000</v>
      </c>
      <c r="AB320" s="37">
        <v>2200</v>
      </c>
      <c r="AC320" s="37">
        <v>3280</v>
      </c>
      <c r="AD320" s="39">
        <v>12</v>
      </c>
      <c r="AE320" s="39">
        <v>12</v>
      </c>
    </row>
    <row r="321" spans="1:31" ht="16.5" customHeight="1">
      <c r="A321" s="199"/>
      <c r="B321" s="48"/>
      <c r="C321" s="51" t="s">
        <v>155</v>
      </c>
      <c r="D321" s="8">
        <v>1275</v>
      </c>
      <c r="E321" s="8">
        <v>1276</v>
      </c>
      <c r="F321" s="8">
        <v>1291</v>
      </c>
      <c r="G321" s="8">
        <v>1297</v>
      </c>
      <c r="H321" s="8">
        <v>1326</v>
      </c>
      <c r="I321" s="8">
        <v>1276</v>
      </c>
      <c r="J321" s="65">
        <v>1275</v>
      </c>
      <c r="K321" s="65">
        <v>1291</v>
      </c>
      <c r="L321" s="65">
        <v>1306</v>
      </c>
      <c r="M321" s="50"/>
      <c r="N321" s="50"/>
      <c r="O321" s="50"/>
      <c r="P321" s="50"/>
      <c r="Q321" s="48"/>
      <c r="R321" s="48"/>
      <c r="S321" s="48"/>
      <c r="T321" s="48"/>
      <c r="U321" s="48"/>
      <c r="V321" s="47"/>
      <c r="W321" s="48"/>
      <c r="X321" s="8"/>
      <c r="Z321" s="37">
        <v>2000</v>
      </c>
      <c r="AA321" s="37">
        <v>3000</v>
      </c>
      <c r="AB321" s="37">
        <v>2500</v>
      </c>
      <c r="AC321" s="37">
        <v>2950</v>
      </c>
      <c r="AD321" s="39">
        <v>9.6</v>
      </c>
      <c r="AE321" s="39">
        <v>9.6</v>
      </c>
    </row>
    <row r="322" spans="1:31" ht="24.75" customHeight="1" thickBot="1">
      <c r="A322" s="199"/>
      <c r="B322" s="61"/>
      <c r="C322" s="51" t="s">
        <v>154</v>
      </c>
      <c r="D322" s="24">
        <f t="shared" ref="D322:L322" si="102">IF(((D320="")*AND(D321="")),"",(D320-D321)*4)</f>
        <v>2548</v>
      </c>
      <c r="E322" s="24">
        <f t="shared" si="102"/>
        <v>2504</v>
      </c>
      <c r="F322" s="24">
        <f t="shared" si="102"/>
        <v>2424</v>
      </c>
      <c r="G322" s="24">
        <f t="shared" si="102"/>
        <v>2428</v>
      </c>
      <c r="H322" s="24">
        <f t="shared" si="102"/>
        <v>2344</v>
      </c>
      <c r="I322" s="24">
        <f t="shared" si="102"/>
        <v>2532</v>
      </c>
      <c r="J322" s="24">
        <f t="shared" si="102"/>
        <v>2516</v>
      </c>
      <c r="K322" s="24">
        <f t="shared" si="102"/>
        <v>2460</v>
      </c>
      <c r="L322" s="24">
        <f t="shared" si="102"/>
        <v>2424</v>
      </c>
      <c r="M322" s="24"/>
      <c r="N322" s="24"/>
      <c r="O322" s="24"/>
      <c r="P322" s="24" t="str">
        <f>IF(((P320="")*AND(P321="")),"",(P320-P321)*4)</f>
        <v/>
      </c>
      <c r="Q322" s="61"/>
      <c r="R322" s="61"/>
      <c r="S322" s="61"/>
      <c r="T322" s="61"/>
      <c r="U322" s="61"/>
      <c r="V322" s="60"/>
      <c r="W322" s="61"/>
      <c r="X322" s="8"/>
      <c r="Z322" s="37">
        <v>2000</v>
      </c>
      <c r="AA322" s="37">
        <v>3000</v>
      </c>
      <c r="AB322" s="37">
        <v>2500</v>
      </c>
      <c r="AC322" s="37">
        <v>2950</v>
      </c>
      <c r="AD322" s="39">
        <v>9.6</v>
      </c>
      <c r="AE322" s="39">
        <v>9.6</v>
      </c>
    </row>
    <row r="323" spans="1:31">
      <c r="A323" s="201">
        <v>42892</v>
      </c>
      <c r="B323" s="57" t="s">
        <v>157</v>
      </c>
      <c r="C323" s="51" t="s">
        <v>156</v>
      </c>
      <c r="D323" s="8">
        <v>6839</v>
      </c>
      <c r="E323" s="8">
        <v>6846</v>
      </c>
      <c r="F323" s="8">
        <v>6874</v>
      </c>
      <c r="G323" s="8">
        <v>6842</v>
      </c>
      <c r="H323" s="8">
        <v>6868</v>
      </c>
      <c r="I323" s="8">
        <v>6860</v>
      </c>
      <c r="J323" s="65">
        <v>6874</v>
      </c>
      <c r="K323" s="65">
        <v>6868</v>
      </c>
      <c r="L323" s="65">
        <v>6857</v>
      </c>
      <c r="M323" s="50"/>
      <c r="N323" s="50"/>
      <c r="O323" s="50"/>
      <c r="P323" s="50"/>
      <c r="Q323" s="57">
        <f>IF((L324=""),"",MAX(D325:L325))</f>
        <v>3140</v>
      </c>
      <c r="R323" s="57">
        <f>IF(L324="","",MIN(D325:L325))</f>
        <v>2906</v>
      </c>
      <c r="S323" s="58">
        <f>IF((L325=""),"",AVERAGE(D325:L325))</f>
        <v>3086.8888888888887</v>
      </c>
      <c r="T323" s="57">
        <f>IF((L324=""),"",((Q323-R323)/(Q323+R323))*100)</f>
        <v>3.8703274892490902</v>
      </c>
      <c r="U323" s="56">
        <f>STDEV(D323:L323)</f>
        <v>13.573871960498227</v>
      </c>
      <c r="V323" s="55" t="str">
        <f>IF(L324="","",(IF(T323&lt;7,IF(S323&gt;2800,IF(S323&lt;3800,"Pass","Fail"),"Fail"),"Fail")))</f>
        <v>Pass</v>
      </c>
      <c r="W323" s="57">
        <v>1159</v>
      </c>
      <c r="X323" s="247" t="s">
        <v>190</v>
      </c>
      <c r="Z323" s="53">
        <v>2800</v>
      </c>
      <c r="AA323" s="53">
        <v>3800</v>
      </c>
      <c r="AB323" s="53">
        <v>3100</v>
      </c>
      <c r="AC323" s="53">
        <v>3760</v>
      </c>
      <c r="AD323" s="52">
        <v>6</v>
      </c>
      <c r="AE323" s="52">
        <v>6</v>
      </c>
    </row>
    <row r="324" spans="1:31" ht="16.5" customHeight="1">
      <c r="A324" s="199"/>
      <c r="B324" s="48"/>
      <c r="C324" s="51" t="s">
        <v>155</v>
      </c>
      <c r="D324" s="8">
        <v>5280</v>
      </c>
      <c r="E324" s="8">
        <v>5277</v>
      </c>
      <c r="F324" s="8">
        <v>5312</v>
      </c>
      <c r="G324" s="8">
        <v>5306</v>
      </c>
      <c r="H324" s="8">
        <v>5415</v>
      </c>
      <c r="I324" s="65">
        <v>5319</v>
      </c>
      <c r="J324" s="65">
        <v>5328</v>
      </c>
      <c r="K324" s="65">
        <v>5298</v>
      </c>
      <c r="L324" s="65">
        <v>5302</v>
      </c>
      <c r="M324" s="50"/>
      <c r="N324" s="50"/>
      <c r="O324" s="50"/>
      <c r="P324" s="50"/>
      <c r="Q324" s="48"/>
      <c r="R324" s="48"/>
      <c r="S324" s="49"/>
      <c r="T324" s="48"/>
      <c r="U324" s="48"/>
      <c r="V324" s="47"/>
      <c r="W324" s="48"/>
      <c r="X324" s="8"/>
      <c r="Z324" s="37">
        <v>2000</v>
      </c>
      <c r="AA324" s="37">
        <v>3000</v>
      </c>
      <c r="AB324" s="37">
        <v>2500</v>
      </c>
      <c r="AC324" s="37">
        <v>2950</v>
      </c>
      <c r="AD324" s="39">
        <v>9.6</v>
      </c>
      <c r="AE324" s="39">
        <v>9.6</v>
      </c>
    </row>
    <row r="325" spans="1:31" ht="24.75" customHeight="1" thickBot="1">
      <c r="A325" s="199"/>
      <c r="B325" s="42"/>
      <c r="C325" s="45" t="s">
        <v>154</v>
      </c>
      <c r="D325" s="44">
        <f t="shared" ref="D325:L325" si="103">IF(((D323="")*AND(D324="")),"",(D323-D324)*2)</f>
        <v>3118</v>
      </c>
      <c r="E325" s="44">
        <f t="shared" si="103"/>
        <v>3138</v>
      </c>
      <c r="F325" s="44">
        <f t="shared" si="103"/>
        <v>3124</v>
      </c>
      <c r="G325" s="44">
        <f t="shared" si="103"/>
        <v>3072</v>
      </c>
      <c r="H325" s="44">
        <f t="shared" si="103"/>
        <v>2906</v>
      </c>
      <c r="I325" s="44">
        <f t="shared" si="103"/>
        <v>3082</v>
      </c>
      <c r="J325" s="44">
        <f t="shared" si="103"/>
        <v>3092</v>
      </c>
      <c r="K325" s="44">
        <f t="shared" si="103"/>
        <v>3140</v>
      </c>
      <c r="L325" s="44">
        <f t="shared" si="103"/>
        <v>3110</v>
      </c>
      <c r="M325" s="44"/>
      <c r="N325" s="44"/>
      <c r="O325" s="44"/>
      <c r="P325" s="44"/>
      <c r="Q325" s="42"/>
      <c r="R325" s="42"/>
      <c r="S325" s="43"/>
      <c r="T325" s="42"/>
      <c r="U325" s="42"/>
      <c r="V325" s="41"/>
      <c r="W325" s="42"/>
      <c r="X325" s="8"/>
      <c r="Z325" s="37">
        <v>2000</v>
      </c>
      <c r="AA325" s="37">
        <v>3000</v>
      </c>
      <c r="AB325" s="37">
        <v>2500</v>
      </c>
      <c r="AC325" s="37">
        <v>2950</v>
      </c>
      <c r="AD325" s="39">
        <v>9.6</v>
      </c>
      <c r="AE325" s="39">
        <v>9.6</v>
      </c>
    </row>
    <row r="326" spans="1:31">
      <c r="A326" s="201">
        <v>42905</v>
      </c>
      <c r="B326" s="63" t="s">
        <v>158</v>
      </c>
      <c r="C326" s="56" t="s">
        <v>156</v>
      </c>
      <c r="D326" s="8">
        <v>1907</v>
      </c>
      <c r="E326" s="8">
        <v>1903</v>
      </c>
      <c r="F326" s="8">
        <v>1903</v>
      </c>
      <c r="G326" s="8">
        <v>1902</v>
      </c>
      <c r="H326" s="8">
        <v>1909</v>
      </c>
      <c r="I326" s="8">
        <v>1910</v>
      </c>
      <c r="J326" s="65">
        <v>1905</v>
      </c>
      <c r="K326" s="65">
        <v>1902</v>
      </c>
      <c r="L326" s="65">
        <v>1907</v>
      </c>
      <c r="M326" s="62"/>
      <c r="N326" s="62"/>
      <c r="O326" s="62"/>
      <c r="P326" s="62"/>
      <c r="Q326" s="63">
        <f>IF((L327=""),"",MAX(D328:L328))</f>
        <v>2684</v>
      </c>
      <c r="R326" s="63">
        <f>IF(L327="","",MIN(D328:L328))</f>
        <v>2492</v>
      </c>
      <c r="S326" s="63">
        <f>IF((L328=""),"",AVERAGE(D328:L328))</f>
        <v>2567.5555555555557</v>
      </c>
      <c r="T326" s="63">
        <f>IF((L327=""),"",((Q326-R326)/(Q326+R326))*100)</f>
        <v>3.7094281298299845</v>
      </c>
      <c r="U326" s="51">
        <f>STDEV(D326:L326)</f>
        <v>3.0413812651491097</v>
      </c>
      <c r="V326" s="64" t="str">
        <f>IF(L327="","",(IF(T326&lt;12,IF(S326&gt;2200,IF(S326&lt;3280,"Pass","Fail"),"Fail"),"Fail")))</f>
        <v>Pass</v>
      </c>
      <c r="W326" s="63">
        <v>1159</v>
      </c>
      <c r="X326" s="26" t="s">
        <v>189</v>
      </c>
      <c r="Z326" s="37">
        <v>2000</v>
      </c>
      <c r="AA326" s="37">
        <v>3000</v>
      </c>
      <c r="AB326" s="37">
        <v>2200</v>
      </c>
      <c r="AC326" s="37">
        <v>3280</v>
      </c>
      <c r="AD326" s="39">
        <v>12</v>
      </c>
      <c r="AE326" s="39">
        <v>12</v>
      </c>
    </row>
    <row r="327" spans="1:31" ht="16.5" customHeight="1">
      <c r="A327" s="199"/>
      <c r="B327" s="48"/>
      <c r="C327" s="51" t="s">
        <v>155</v>
      </c>
      <c r="D327" s="8">
        <v>1236</v>
      </c>
      <c r="E327" s="8">
        <v>1255</v>
      </c>
      <c r="F327" s="8">
        <v>1280</v>
      </c>
      <c r="G327" s="8">
        <v>1278</v>
      </c>
      <c r="H327" s="8">
        <v>1284</v>
      </c>
      <c r="I327" s="8">
        <v>1242</v>
      </c>
      <c r="J327" s="65">
        <v>1262</v>
      </c>
      <c r="K327" s="65">
        <v>1272</v>
      </c>
      <c r="L327" s="65">
        <v>1262</v>
      </c>
      <c r="M327" s="50"/>
      <c r="N327" s="50"/>
      <c r="O327" s="50"/>
      <c r="P327" s="50"/>
      <c r="Q327" s="48"/>
      <c r="R327" s="48"/>
      <c r="S327" s="48"/>
      <c r="T327" s="48"/>
      <c r="U327" s="48"/>
      <c r="V327" s="47"/>
      <c r="W327" s="48"/>
      <c r="X327" s="8"/>
      <c r="Z327" s="37">
        <v>2000</v>
      </c>
      <c r="AA327" s="37">
        <v>3000</v>
      </c>
      <c r="AB327" s="37">
        <v>2500</v>
      </c>
      <c r="AC327" s="37">
        <v>2950</v>
      </c>
      <c r="AD327" s="39">
        <v>9.6</v>
      </c>
      <c r="AE327" s="39">
        <v>9.6</v>
      </c>
    </row>
    <row r="328" spans="1:31" ht="24.75" customHeight="1" thickBot="1">
      <c r="A328" s="199"/>
      <c r="B328" s="61"/>
      <c r="C328" s="51" t="s">
        <v>154</v>
      </c>
      <c r="D328" s="24">
        <f t="shared" ref="D328:L328" si="104">IF(((D326="")*AND(D327="")),"",(D326-D327)*4)</f>
        <v>2684</v>
      </c>
      <c r="E328" s="24">
        <f t="shared" si="104"/>
        <v>2592</v>
      </c>
      <c r="F328" s="24">
        <f t="shared" si="104"/>
        <v>2492</v>
      </c>
      <c r="G328" s="24">
        <f t="shared" si="104"/>
        <v>2496</v>
      </c>
      <c r="H328" s="24">
        <f t="shared" si="104"/>
        <v>2500</v>
      </c>
      <c r="I328" s="24">
        <f t="shared" si="104"/>
        <v>2672</v>
      </c>
      <c r="J328" s="24">
        <f t="shared" si="104"/>
        <v>2572</v>
      </c>
      <c r="K328" s="24">
        <f t="shared" si="104"/>
        <v>2520</v>
      </c>
      <c r="L328" s="24">
        <f t="shared" si="104"/>
        <v>2580</v>
      </c>
      <c r="M328" s="24"/>
      <c r="N328" s="24"/>
      <c r="O328" s="24"/>
      <c r="P328" s="24" t="str">
        <f>IF(((P326="")*AND(P327="")),"",(P326-P327)*4)</f>
        <v/>
      </c>
      <c r="Q328" s="61"/>
      <c r="R328" s="61"/>
      <c r="S328" s="61"/>
      <c r="T328" s="61"/>
      <c r="U328" s="61"/>
      <c r="V328" s="60"/>
      <c r="W328" s="61"/>
      <c r="X328" s="8"/>
      <c r="Y328" s="8"/>
      <c r="Z328" s="37">
        <v>2000</v>
      </c>
      <c r="AA328" s="37">
        <v>3000</v>
      </c>
      <c r="AB328" s="37">
        <v>2500</v>
      </c>
      <c r="AC328" s="37">
        <v>2950</v>
      </c>
      <c r="AD328" s="39">
        <v>9.6</v>
      </c>
      <c r="AE328" s="39">
        <v>9.6</v>
      </c>
    </row>
    <row r="329" spans="1:31">
      <c r="A329" s="201">
        <v>42905</v>
      </c>
      <c r="B329" s="57" t="s">
        <v>157</v>
      </c>
      <c r="C329" s="51" t="s">
        <v>156</v>
      </c>
      <c r="D329" s="8">
        <v>3636</v>
      </c>
      <c r="E329" s="8">
        <v>3646</v>
      </c>
      <c r="F329" s="8">
        <v>3704</v>
      </c>
      <c r="G329" s="8">
        <v>3704</v>
      </c>
      <c r="H329" s="8">
        <v>3830</v>
      </c>
      <c r="I329" s="8">
        <v>3696</v>
      </c>
      <c r="J329" s="65">
        <v>3724</v>
      </c>
      <c r="K329" s="65">
        <v>3679</v>
      </c>
      <c r="L329" s="65">
        <v>3695</v>
      </c>
      <c r="M329" s="50"/>
      <c r="N329" s="50"/>
      <c r="O329" s="50"/>
      <c r="P329" s="50"/>
      <c r="Q329" s="57">
        <f>IF((L330=""),"",MAX(D331:L331))</f>
        <v>3318</v>
      </c>
      <c r="R329" s="57">
        <f>IF(L330="","",MIN(D331:L331))</f>
        <v>3198</v>
      </c>
      <c r="S329" s="58">
        <f>IF((L331=""),"",AVERAGE(D331:L331))</f>
        <v>3264.4444444444443</v>
      </c>
      <c r="T329" s="57">
        <f>IF((L330=""),"",((Q329-R329)/(Q329+R329))*100)</f>
        <v>1.8416206261510131</v>
      </c>
      <c r="U329" s="56">
        <f>STDEV(D329:L329)</f>
        <v>55.879582834681081</v>
      </c>
      <c r="V329" s="55" t="str">
        <f>IF(L330="","",(IF(T329&lt;7,IF(S329&gt;2800,IF(S329&lt;3800,"Pass","Fail"),"Fail"),"Fail")))</f>
        <v>Pass</v>
      </c>
      <c r="W329" s="57">
        <v>1159</v>
      </c>
      <c r="X329" s="26" t="s">
        <v>189</v>
      </c>
      <c r="Z329" s="53">
        <v>2800</v>
      </c>
      <c r="AA329" s="53">
        <v>3800</v>
      </c>
      <c r="AB329" s="53">
        <v>3100</v>
      </c>
      <c r="AC329" s="53">
        <v>3760</v>
      </c>
      <c r="AD329" s="52">
        <v>6</v>
      </c>
      <c r="AE329" s="52">
        <v>6</v>
      </c>
    </row>
    <row r="330" spans="1:31" ht="16.5" customHeight="1">
      <c r="A330" s="199"/>
      <c r="B330" s="48"/>
      <c r="C330" s="51" t="s">
        <v>155</v>
      </c>
      <c r="D330" s="8">
        <v>1977</v>
      </c>
      <c r="E330" s="8">
        <v>2002</v>
      </c>
      <c r="F330" s="8">
        <v>2075</v>
      </c>
      <c r="G330" s="8">
        <v>2088</v>
      </c>
      <c r="H330" s="8">
        <v>2231</v>
      </c>
      <c r="I330" s="65">
        <v>2049</v>
      </c>
      <c r="J330" s="65">
        <v>2103</v>
      </c>
      <c r="K330" s="65">
        <v>2043</v>
      </c>
      <c r="L330" s="65">
        <v>2056</v>
      </c>
      <c r="M330" s="50"/>
      <c r="N330" s="50"/>
      <c r="O330" s="50"/>
      <c r="P330" s="50"/>
      <c r="Q330" s="48"/>
      <c r="R330" s="48"/>
      <c r="S330" s="49"/>
      <c r="T330" s="48"/>
      <c r="U330" s="48"/>
      <c r="V330" s="47"/>
      <c r="W330" s="48"/>
      <c r="X330" s="8"/>
      <c r="Z330" s="37">
        <v>2000</v>
      </c>
      <c r="AA330" s="37">
        <v>3000</v>
      </c>
      <c r="AB330" s="37">
        <v>2500</v>
      </c>
      <c r="AC330" s="37">
        <v>2950</v>
      </c>
      <c r="AD330" s="39">
        <v>9.6</v>
      </c>
      <c r="AE330" s="39">
        <v>9.6</v>
      </c>
    </row>
    <row r="331" spans="1:31" ht="24.75" customHeight="1" thickBot="1">
      <c r="A331" s="199"/>
      <c r="B331" s="42"/>
      <c r="C331" s="45" t="s">
        <v>154</v>
      </c>
      <c r="D331" s="44">
        <f t="shared" ref="D331:L331" si="105">IF(((D329="")*AND(D330="")),"",(D329-D330)*2)</f>
        <v>3318</v>
      </c>
      <c r="E331" s="44">
        <f t="shared" si="105"/>
        <v>3288</v>
      </c>
      <c r="F331" s="44">
        <f t="shared" si="105"/>
        <v>3258</v>
      </c>
      <c r="G331" s="44">
        <f t="shared" si="105"/>
        <v>3232</v>
      </c>
      <c r="H331" s="44">
        <f t="shared" si="105"/>
        <v>3198</v>
      </c>
      <c r="I331" s="44">
        <f t="shared" si="105"/>
        <v>3294</v>
      </c>
      <c r="J331" s="44">
        <f t="shared" si="105"/>
        <v>3242</v>
      </c>
      <c r="K331" s="44">
        <f t="shared" si="105"/>
        <v>3272</v>
      </c>
      <c r="L331" s="44">
        <f t="shared" si="105"/>
        <v>3278</v>
      </c>
      <c r="M331" s="44"/>
      <c r="N331" s="44"/>
      <c r="O331" s="44"/>
      <c r="P331" s="44"/>
      <c r="Q331" s="42"/>
      <c r="R331" s="42"/>
      <c r="S331" s="43"/>
      <c r="T331" s="42"/>
      <c r="U331" s="42"/>
      <c r="V331" s="41"/>
      <c r="W331" s="42"/>
      <c r="X331" s="8"/>
      <c r="Z331" s="37">
        <v>2000</v>
      </c>
      <c r="AA331" s="37">
        <v>3000</v>
      </c>
      <c r="AB331" s="37">
        <v>2500</v>
      </c>
      <c r="AC331" s="37">
        <v>2950</v>
      </c>
      <c r="AD331" s="39">
        <v>9.6</v>
      </c>
      <c r="AE331" s="39">
        <v>9.6</v>
      </c>
    </row>
    <row r="332" spans="1:31">
      <c r="A332" s="201">
        <v>42912</v>
      </c>
      <c r="B332" s="63" t="s">
        <v>158</v>
      </c>
      <c r="C332" s="56" t="s">
        <v>156</v>
      </c>
      <c r="D332" s="8">
        <v>1928</v>
      </c>
      <c r="E332" s="8">
        <v>1921</v>
      </c>
      <c r="F332" s="8">
        <v>1916</v>
      </c>
      <c r="G332" s="8">
        <v>1921</v>
      </c>
      <c r="H332" s="8">
        <v>1929</v>
      </c>
      <c r="I332" s="8">
        <v>1929</v>
      </c>
      <c r="J332" s="65">
        <v>1921</v>
      </c>
      <c r="K332" s="65">
        <v>1921</v>
      </c>
      <c r="L332" s="65">
        <v>1933</v>
      </c>
      <c r="M332" s="62"/>
      <c r="N332" s="62"/>
      <c r="O332" s="62"/>
      <c r="P332" s="62"/>
      <c r="Q332" s="63">
        <f>IF((L333=""),"",MAX(D334:L334))</f>
        <v>2704</v>
      </c>
      <c r="R332" s="63">
        <f>IF(L333="","",MIN(D334:L334))</f>
        <v>2476</v>
      </c>
      <c r="S332" s="63">
        <f>IF((L334=""),"",AVERAGE(D334:L334))</f>
        <v>2579.5555555555557</v>
      </c>
      <c r="T332" s="63">
        <f>IF((L333=""),"",((Q332-R332)/(Q332+R332))*100)</f>
        <v>4.4015444015444016</v>
      </c>
      <c r="U332" s="51">
        <f>STDEV(D332:L332)</f>
        <v>5.5452682532047088</v>
      </c>
      <c r="V332" s="64" t="str">
        <f>IF(L333="","",(IF(T332&lt;12,IF(S332&gt;2200,IF(S332&lt;3280,"Pass","Fail"),"Fail"),"Fail")))</f>
        <v>Pass</v>
      </c>
      <c r="W332" s="63">
        <v>1159</v>
      </c>
      <c r="Z332" s="37">
        <v>2000</v>
      </c>
      <c r="AA332" s="37">
        <v>3000</v>
      </c>
      <c r="AB332" s="37">
        <v>2200</v>
      </c>
      <c r="AC332" s="37">
        <v>3280</v>
      </c>
      <c r="AD332" s="39">
        <v>12</v>
      </c>
      <c r="AE332" s="39">
        <v>12</v>
      </c>
    </row>
    <row r="333" spans="1:31" ht="16.5" customHeight="1">
      <c r="A333" s="199"/>
      <c r="B333" s="48"/>
      <c r="C333" s="51" t="s">
        <v>155</v>
      </c>
      <c r="D333" s="8">
        <v>1252</v>
      </c>
      <c r="E333" s="8">
        <v>1274</v>
      </c>
      <c r="F333" s="8">
        <v>1297</v>
      </c>
      <c r="G333" s="8">
        <v>1296</v>
      </c>
      <c r="H333" s="8">
        <v>1296</v>
      </c>
      <c r="I333" s="8">
        <v>1255</v>
      </c>
      <c r="J333" s="65">
        <v>1275</v>
      </c>
      <c r="K333" s="65">
        <v>1291</v>
      </c>
      <c r="L333" s="65">
        <v>1279</v>
      </c>
      <c r="M333" s="50"/>
      <c r="N333" s="50"/>
      <c r="O333" s="50"/>
      <c r="P333" s="50"/>
      <c r="Q333" s="48"/>
      <c r="R333" s="48"/>
      <c r="S333" s="48"/>
      <c r="T333" s="48"/>
      <c r="U333" s="48"/>
      <c r="V333" s="47"/>
      <c r="W333" s="48"/>
      <c r="X333" s="8"/>
      <c r="Z333" s="37">
        <v>2000</v>
      </c>
      <c r="AA333" s="37">
        <v>3000</v>
      </c>
      <c r="AB333" s="37">
        <v>2500</v>
      </c>
      <c r="AC333" s="37">
        <v>2950</v>
      </c>
      <c r="AD333" s="39">
        <v>9.6</v>
      </c>
      <c r="AE333" s="39">
        <v>9.6</v>
      </c>
    </row>
    <row r="334" spans="1:31" ht="24.75" customHeight="1" thickBot="1">
      <c r="A334" s="199"/>
      <c r="B334" s="61"/>
      <c r="C334" s="51" t="s">
        <v>154</v>
      </c>
      <c r="D334" s="24">
        <f t="shared" ref="D334:L334" si="106">IF(((D332="")*AND(D333="")),"",(D332-D333)*4)</f>
        <v>2704</v>
      </c>
      <c r="E334" s="24">
        <f t="shared" si="106"/>
        <v>2588</v>
      </c>
      <c r="F334" s="24">
        <f t="shared" si="106"/>
        <v>2476</v>
      </c>
      <c r="G334" s="24">
        <f t="shared" si="106"/>
        <v>2500</v>
      </c>
      <c r="H334" s="24">
        <f t="shared" si="106"/>
        <v>2532</v>
      </c>
      <c r="I334" s="24">
        <f t="shared" si="106"/>
        <v>2696</v>
      </c>
      <c r="J334" s="24">
        <f t="shared" si="106"/>
        <v>2584</v>
      </c>
      <c r="K334" s="24">
        <f t="shared" si="106"/>
        <v>2520</v>
      </c>
      <c r="L334" s="24">
        <f t="shared" si="106"/>
        <v>2616</v>
      </c>
      <c r="M334" s="24"/>
      <c r="N334" s="24"/>
      <c r="O334" s="24"/>
      <c r="P334" s="24" t="str">
        <f>IF(((P332="")*AND(P333="")),"",(P332-P333)*4)</f>
        <v/>
      </c>
      <c r="Q334" s="61"/>
      <c r="R334" s="61"/>
      <c r="S334" s="61"/>
      <c r="T334" s="61"/>
      <c r="U334" s="61"/>
      <c r="V334" s="60"/>
      <c r="W334" s="61"/>
      <c r="X334" s="8"/>
      <c r="Z334" s="37">
        <v>2000</v>
      </c>
      <c r="AA334" s="37">
        <v>3000</v>
      </c>
      <c r="AB334" s="37">
        <v>2500</v>
      </c>
      <c r="AC334" s="37">
        <v>2950</v>
      </c>
      <c r="AD334" s="39">
        <v>9.6</v>
      </c>
      <c r="AE334" s="39">
        <v>9.6</v>
      </c>
    </row>
    <row r="335" spans="1:31">
      <c r="A335" s="201">
        <v>42912</v>
      </c>
      <c r="B335" s="57" t="s">
        <v>157</v>
      </c>
      <c r="C335" s="51" t="s">
        <v>156</v>
      </c>
      <c r="D335" s="8">
        <v>6968</v>
      </c>
      <c r="E335" s="8">
        <v>6953</v>
      </c>
      <c r="F335" s="8">
        <v>6989</v>
      </c>
      <c r="G335" s="8">
        <v>6966</v>
      </c>
      <c r="H335" s="8">
        <v>7049</v>
      </c>
      <c r="I335" s="8">
        <v>6993</v>
      </c>
      <c r="J335" s="65">
        <v>6993</v>
      </c>
      <c r="K335" s="65">
        <v>6871</v>
      </c>
      <c r="L335" s="65">
        <v>7006</v>
      </c>
      <c r="M335" s="50"/>
      <c r="N335" s="50"/>
      <c r="O335" s="50"/>
      <c r="P335" s="50"/>
      <c r="Q335" s="57">
        <f>IF((L336=""),"",MAX(D337:L337))</f>
        <v>3314</v>
      </c>
      <c r="R335" s="57">
        <f>IF(L336="","",MIN(D337:L337))</f>
        <v>3062</v>
      </c>
      <c r="S335" s="58">
        <f>IF((L337=""),"",AVERAGE(D337:L337))</f>
        <v>3253.5555555555557</v>
      </c>
      <c r="T335" s="57">
        <f>IF((L336=""),"",((Q335-R335)/(Q335+R335))*100)</f>
        <v>3.9523212045169385</v>
      </c>
      <c r="U335" s="56">
        <f>STDEV(D335:L335)</f>
        <v>48.337643485963632</v>
      </c>
      <c r="V335" s="55" t="str">
        <f>IF(L336="","",(IF(T335&lt;7,IF(S335&gt;2800,IF(S335&lt;3800,"Pass","Fail"),"Fail"),"Fail")))</f>
        <v>Pass</v>
      </c>
      <c r="W335" s="57">
        <v>1159</v>
      </c>
      <c r="Y335" s="8" t="s">
        <v>188</v>
      </c>
      <c r="Z335" s="53">
        <v>2800</v>
      </c>
      <c r="AA335" s="53">
        <v>3800</v>
      </c>
      <c r="AB335" s="53">
        <v>3100</v>
      </c>
      <c r="AC335" s="53">
        <v>3760</v>
      </c>
      <c r="AD335" s="52">
        <v>6</v>
      </c>
      <c r="AE335" s="52">
        <v>6</v>
      </c>
    </row>
    <row r="336" spans="1:31" ht="16.5" customHeight="1">
      <c r="A336" s="199"/>
      <c r="B336" s="48"/>
      <c r="C336" s="51" t="s">
        <v>155</v>
      </c>
      <c r="D336" s="8">
        <v>5311</v>
      </c>
      <c r="E336" s="8">
        <v>5307</v>
      </c>
      <c r="F336" s="8">
        <v>5354</v>
      </c>
      <c r="G336" s="8">
        <v>5341</v>
      </c>
      <c r="H336" s="8">
        <v>5433</v>
      </c>
      <c r="I336" s="65">
        <v>5337</v>
      </c>
      <c r="J336" s="65">
        <v>5364</v>
      </c>
      <c r="K336" s="65">
        <v>5340</v>
      </c>
      <c r="L336" s="65">
        <v>5360</v>
      </c>
      <c r="M336" s="50"/>
      <c r="N336" s="50"/>
      <c r="O336" s="50"/>
      <c r="P336" s="50"/>
      <c r="Q336" s="48"/>
      <c r="R336" s="48"/>
      <c r="S336" s="49"/>
      <c r="T336" s="48"/>
      <c r="U336" s="48"/>
      <c r="V336" s="47"/>
      <c r="W336" s="48"/>
      <c r="X336" s="8"/>
      <c r="Z336" s="37">
        <v>2000</v>
      </c>
      <c r="AA336" s="37">
        <v>3000</v>
      </c>
      <c r="AB336" s="37">
        <v>2500</v>
      </c>
      <c r="AC336" s="37">
        <v>2950</v>
      </c>
      <c r="AD336" s="39">
        <v>9.6</v>
      </c>
      <c r="AE336" s="39">
        <v>9.6</v>
      </c>
    </row>
    <row r="337" spans="1:31" ht="24.75" customHeight="1" thickBot="1">
      <c r="A337" s="199"/>
      <c r="B337" s="42"/>
      <c r="C337" s="45" t="s">
        <v>154</v>
      </c>
      <c r="D337" s="44">
        <f t="shared" ref="D337:L337" si="107">IF(((D335="")*AND(D336="")),"",(D335-D336)*2)</f>
        <v>3314</v>
      </c>
      <c r="E337" s="44">
        <f t="shared" si="107"/>
        <v>3292</v>
      </c>
      <c r="F337" s="44">
        <f t="shared" si="107"/>
        <v>3270</v>
      </c>
      <c r="G337" s="44">
        <f t="shared" si="107"/>
        <v>3250</v>
      </c>
      <c r="H337" s="44">
        <f t="shared" si="107"/>
        <v>3232</v>
      </c>
      <c r="I337" s="44">
        <f t="shared" si="107"/>
        <v>3312</v>
      </c>
      <c r="J337" s="44">
        <f t="shared" si="107"/>
        <v>3258</v>
      </c>
      <c r="K337" s="44">
        <f t="shared" si="107"/>
        <v>3062</v>
      </c>
      <c r="L337" s="44">
        <f t="shared" si="107"/>
        <v>3292</v>
      </c>
      <c r="M337" s="44"/>
      <c r="N337" s="44"/>
      <c r="O337" s="44"/>
      <c r="P337" s="44"/>
      <c r="Q337" s="42"/>
      <c r="R337" s="42"/>
      <c r="S337" s="43"/>
      <c r="T337" s="42"/>
      <c r="U337" s="42"/>
      <c r="V337" s="41"/>
      <c r="W337" s="42"/>
      <c r="X337" s="8"/>
      <c r="Z337" s="37">
        <v>2000</v>
      </c>
      <c r="AA337" s="37">
        <v>3000</v>
      </c>
      <c r="AB337" s="37">
        <v>2500</v>
      </c>
      <c r="AC337" s="37">
        <v>2950</v>
      </c>
      <c r="AD337" s="39">
        <v>9.6</v>
      </c>
      <c r="AE337" s="39">
        <v>9.6</v>
      </c>
    </row>
    <row r="338" spans="1:31">
      <c r="A338" s="201">
        <v>42927</v>
      </c>
      <c r="B338" s="63" t="s">
        <v>158</v>
      </c>
      <c r="C338" s="56" t="s">
        <v>156</v>
      </c>
      <c r="D338" s="8">
        <v>1919.67</v>
      </c>
      <c r="E338" s="8">
        <v>1915.17</v>
      </c>
      <c r="F338" s="8">
        <v>1909.59</v>
      </c>
      <c r="G338" s="8">
        <v>1911.05</v>
      </c>
      <c r="H338" s="8">
        <v>1916.24</v>
      </c>
      <c r="I338" s="8">
        <v>1916.59</v>
      </c>
      <c r="J338" s="8">
        <v>1912.18</v>
      </c>
      <c r="K338" s="8">
        <v>1911.07</v>
      </c>
      <c r="L338" s="8">
        <v>1920.13</v>
      </c>
      <c r="M338" s="62"/>
      <c r="N338" s="62"/>
      <c r="O338" s="62"/>
      <c r="P338" s="62"/>
      <c r="Q338" s="63">
        <f>IF((L339=""),"",MAX(D340:L340))</f>
        <v>2521.7199999999993</v>
      </c>
      <c r="R338" s="63">
        <f>IF(L339="","",MIN(D340:L340))</f>
        <v>2391.5200000000004</v>
      </c>
      <c r="S338" s="63">
        <f>IF((L340=""),"",AVERAGE(D340:L340))</f>
        <v>2466.1955555555555</v>
      </c>
      <c r="T338" s="63">
        <f>IF((L339=""),"",((Q338-R338)/(Q338+R338))*100)</f>
        <v>2.6499824962753484</v>
      </c>
      <c r="U338" s="51">
        <f>STDEV(D338:L338)</f>
        <v>3.8612005184218674</v>
      </c>
      <c r="V338" s="64" t="str">
        <f>IF(L339="","",(IF(T338&lt;12,IF(S338&gt;2200,IF(S338&lt;3280,"Pass","Fail"),"Fail"),"Fail")))</f>
        <v>Pass</v>
      </c>
      <c r="W338" s="63">
        <v>121</v>
      </c>
      <c r="Z338" s="37">
        <v>2000</v>
      </c>
      <c r="AA338" s="37">
        <v>3000</v>
      </c>
      <c r="AB338" s="37">
        <v>2200</v>
      </c>
      <c r="AC338" s="37">
        <v>3280</v>
      </c>
      <c r="AD338" s="39">
        <v>12</v>
      </c>
      <c r="AE338" s="39">
        <v>12</v>
      </c>
    </row>
    <row r="339" spans="1:31" ht="16.5" customHeight="1">
      <c r="A339" s="199"/>
      <c r="B339" s="48"/>
      <c r="C339" s="51" t="s">
        <v>155</v>
      </c>
      <c r="D339" s="8">
        <v>1298.4000000000001</v>
      </c>
      <c r="E339" s="8">
        <v>1294.94</v>
      </c>
      <c r="F339" s="8">
        <v>1301.54</v>
      </c>
      <c r="G339" s="8">
        <v>1289.1400000000001</v>
      </c>
      <c r="H339" s="8">
        <v>1307.82</v>
      </c>
      <c r="I339" s="8">
        <v>1286.1600000000001</v>
      </c>
      <c r="J339" s="8">
        <v>1282.04</v>
      </c>
      <c r="K339" s="8">
        <v>1300.46</v>
      </c>
      <c r="L339" s="8">
        <v>1322.25</v>
      </c>
      <c r="M339" s="50"/>
      <c r="N339" s="50"/>
      <c r="O339" s="50"/>
      <c r="P339" s="50"/>
      <c r="Q339" s="48"/>
      <c r="R339" s="48"/>
      <c r="S339" s="48"/>
      <c r="T339" s="48"/>
      <c r="U339" s="48"/>
      <c r="V339" s="47"/>
      <c r="W339" s="48"/>
      <c r="X339" s="8"/>
      <c r="Z339" s="37">
        <v>2000</v>
      </c>
      <c r="AA339" s="37">
        <v>3000</v>
      </c>
      <c r="AB339" s="37">
        <v>2500</v>
      </c>
      <c r="AC339" s="37">
        <v>2950</v>
      </c>
      <c r="AD339" s="39">
        <v>9.6</v>
      </c>
      <c r="AE339" s="39">
        <v>9.6</v>
      </c>
    </row>
    <row r="340" spans="1:31" ht="24.75" customHeight="1" thickBot="1">
      <c r="A340" s="199"/>
      <c r="B340" s="61"/>
      <c r="C340" s="51" t="s">
        <v>154</v>
      </c>
      <c r="D340" s="24">
        <f t="shared" ref="D340:L340" si="108">IF(((D338="")*AND(D339="")),"",(D338-D339)*4)</f>
        <v>2485.08</v>
      </c>
      <c r="E340" s="24">
        <f t="shared" si="108"/>
        <v>2480.92</v>
      </c>
      <c r="F340" s="24">
        <f t="shared" si="108"/>
        <v>2432.1999999999998</v>
      </c>
      <c r="G340" s="24">
        <f t="shared" si="108"/>
        <v>2487.6399999999994</v>
      </c>
      <c r="H340" s="24">
        <f t="shared" si="108"/>
        <v>2433.6800000000003</v>
      </c>
      <c r="I340" s="24">
        <f t="shared" si="108"/>
        <v>2521.7199999999993</v>
      </c>
      <c r="J340" s="24">
        <f t="shared" si="108"/>
        <v>2520.5600000000004</v>
      </c>
      <c r="K340" s="24">
        <f t="shared" si="108"/>
        <v>2442.4399999999996</v>
      </c>
      <c r="L340" s="24">
        <f t="shared" si="108"/>
        <v>2391.5200000000004</v>
      </c>
      <c r="M340" s="24"/>
      <c r="N340" s="24"/>
      <c r="O340" s="24"/>
      <c r="P340" s="24" t="str">
        <f>IF(((P338="")*AND(P339="")),"",(P338-P339)*4)</f>
        <v/>
      </c>
      <c r="Q340" s="61"/>
      <c r="R340" s="61"/>
      <c r="S340" s="61"/>
      <c r="T340" s="61"/>
      <c r="U340" s="61"/>
      <c r="V340" s="60"/>
      <c r="W340" s="61"/>
      <c r="X340" s="8"/>
      <c r="Z340" s="37">
        <v>2000</v>
      </c>
      <c r="AA340" s="37">
        <v>3000</v>
      </c>
      <c r="AB340" s="37">
        <v>2500</v>
      </c>
      <c r="AC340" s="37">
        <v>2950</v>
      </c>
      <c r="AD340" s="39">
        <v>9.6</v>
      </c>
      <c r="AE340" s="39">
        <v>9.6</v>
      </c>
    </row>
    <row r="341" spans="1:31">
      <c r="A341" s="201">
        <v>42927</v>
      </c>
      <c r="B341" s="57" t="s">
        <v>157</v>
      </c>
      <c r="C341" s="51" t="s">
        <v>156</v>
      </c>
      <c r="D341" s="8">
        <v>6880.7</v>
      </c>
      <c r="E341" s="8">
        <v>6888.29</v>
      </c>
      <c r="F341" s="8">
        <v>6914.37</v>
      </c>
      <c r="G341" s="8">
        <v>6874</v>
      </c>
      <c r="H341" s="8">
        <v>6902.52</v>
      </c>
      <c r="I341" s="8">
        <v>6898.05</v>
      </c>
      <c r="J341" s="8">
        <v>6914.11</v>
      </c>
      <c r="K341" s="8">
        <v>6904.68</v>
      </c>
      <c r="L341" s="8">
        <v>6924.11</v>
      </c>
      <c r="M341" s="50"/>
      <c r="N341" s="50"/>
      <c r="O341" s="50"/>
      <c r="P341" s="50"/>
      <c r="Q341" s="57">
        <f>IF((L342=""),"",MAX(D343:L343))</f>
        <v>3081.3199999999997</v>
      </c>
      <c r="R341" s="57">
        <f>IF(L342="","",MIN(D343:L343))</f>
        <v>3030.0200000000004</v>
      </c>
      <c r="S341" s="58">
        <f>IF((L343=""),"",AVERAGE(D343:L343))</f>
        <v>3066.9822222222228</v>
      </c>
      <c r="T341" s="57">
        <f>IF((L342=""),"",((Q341-R341)/(Q341+R341))*100)</f>
        <v>0.83942310524368258</v>
      </c>
      <c r="U341" s="56">
        <f>STDEV(D341:L341)</f>
        <v>16.599977241898713</v>
      </c>
      <c r="V341" s="55" t="str">
        <f>IF(L342="","",(IF(T341&lt;7,IF(S341&gt;2800,IF(S341&lt;3800,"Pass","Fail"),"Fail"),"Fail")))</f>
        <v>Pass</v>
      </c>
      <c r="W341" s="57">
        <v>121</v>
      </c>
      <c r="Z341" s="53">
        <v>2800</v>
      </c>
      <c r="AA341" s="53">
        <v>3800</v>
      </c>
      <c r="AB341" s="53">
        <v>3100</v>
      </c>
      <c r="AC341" s="53">
        <v>3760</v>
      </c>
      <c r="AD341" s="52">
        <v>6</v>
      </c>
      <c r="AE341" s="52">
        <v>6</v>
      </c>
    </row>
    <row r="342" spans="1:31" ht="16.5" customHeight="1">
      <c r="A342" s="199"/>
      <c r="B342" s="48"/>
      <c r="C342" s="51" t="s">
        <v>155</v>
      </c>
      <c r="D342" s="8">
        <v>5350.69</v>
      </c>
      <c r="E342" s="8">
        <v>5347.63</v>
      </c>
      <c r="F342" s="8">
        <v>5373.97</v>
      </c>
      <c r="G342" s="8">
        <v>5339.64</v>
      </c>
      <c r="H342" s="8">
        <v>5387.51</v>
      </c>
      <c r="I342" s="8">
        <v>5362.31</v>
      </c>
      <c r="J342" s="8">
        <v>5378.11</v>
      </c>
      <c r="K342" s="8">
        <v>5364.55</v>
      </c>
      <c r="L342" s="8">
        <v>5395</v>
      </c>
      <c r="M342" s="50"/>
      <c r="N342" s="50"/>
      <c r="O342" s="50"/>
      <c r="P342" s="50"/>
      <c r="Q342" s="48"/>
      <c r="R342" s="48"/>
      <c r="S342" s="49"/>
      <c r="T342" s="48"/>
      <c r="U342" s="48"/>
      <c r="V342" s="47"/>
      <c r="W342" s="48"/>
      <c r="X342" s="8"/>
      <c r="Z342" s="37">
        <v>2000</v>
      </c>
      <c r="AA342" s="37">
        <v>3000</v>
      </c>
      <c r="AB342" s="37">
        <v>2500</v>
      </c>
      <c r="AC342" s="37">
        <v>2950</v>
      </c>
      <c r="AD342" s="39">
        <v>9.6</v>
      </c>
      <c r="AE342" s="39">
        <v>9.6</v>
      </c>
    </row>
    <row r="343" spans="1:31" ht="24.75" customHeight="1" thickBot="1">
      <c r="A343" s="199"/>
      <c r="B343" s="42"/>
      <c r="C343" s="45" t="s">
        <v>154</v>
      </c>
      <c r="D343" s="44">
        <f t="shared" ref="D343:L343" si="109">IF(((D341="")*AND(D342="")),"",(D341-D342)*2)</f>
        <v>3060.0200000000004</v>
      </c>
      <c r="E343" s="44">
        <f t="shared" si="109"/>
        <v>3081.3199999999997</v>
      </c>
      <c r="F343" s="44">
        <f t="shared" si="109"/>
        <v>3080.7999999999993</v>
      </c>
      <c r="G343" s="44">
        <f t="shared" si="109"/>
        <v>3068.7199999999993</v>
      </c>
      <c r="H343" s="44">
        <f t="shared" si="109"/>
        <v>3030.0200000000004</v>
      </c>
      <c r="I343" s="44">
        <f t="shared" si="109"/>
        <v>3071.4799999999996</v>
      </c>
      <c r="J343" s="44">
        <f t="shared" si="109"/>
        <v>3072</v>
      </c>
      <c r="K343" s="44">
        <f t="shared" si="109"/>
        <v>3080.26</v>
      </c>
      <c r="L343" s="44">
        <f t="shared" si="109"/>
        <v>3058.2199999999993</v>
      </c>
      <c r="M343" s="44"/>
      <c r="N343" s="44"/>
      <c r="O343" s="44"/>
      <c r="P343" s="44"/>
      <c r="Q343" s="42"/>
      <c r="R343" s="42"/>
      <c r="S343" s="43"/>
      <c r="T343" s="42"/>
      <c r="U343" s="42"/>
      <c r="V343" s="41"/>
      <c r="W343" s="42"/>
      <c r="X343" s="8"/>
      <c r="Z343" s="37">
        <v>2000</v>
      </c>
      <c r="AA343" s="37">
        <v>3000</v>
      </c>
      <c r="AB343" s="37">
        <v>2500</v>
      </c>
      <c r="AC343" s="37">
        <v>2950</v>
      </c>
      <c r="AD343" s="39">
        <v>9.6</v>
      </c>
      <c r="AE343" s="39">
        <v>9.6</v>
      </c>
    </row>
    <row r="344" spans="1:31">
      <c r="A344" s="201">
        <v>42936</v>
      </c>
      <c r="B344" s="63" t="s">
        <v>158</v>
      </c>
      <c r="C344" s="56" t="s">
        <v>156</v>
      </c>
      <c r="D344" s="8">
        <v>1254.83</v>
      </c>
      <c r="E344" s="8">
        <v>1277.83</v>
      </c>
      <c r="F344" s="8">
        <v>1298.8900000000001</v>
      </c>
      <c r="G344" s="8">
        <v>1297.8599999999999</v>
      </c>
      <c r="H344" s="8">
        <v>1299.92</v>
      </c>
      <c r="I344" s="8">
        <v>1258.75</v>
      </c>
      <c r="J344" s="8">
        <v>1276.3800000000001</v>
      </c>
      <c r="K344" s="8">
        <v>1293.43</v>
      </c>
      <c r="L344" s="8">
        <v>1285.0899999999999</v>
      </c>
      <c r="M344" s="62"/>
      <c r="N344" s="62"/>
      <c r="O344" s="62"/>
      <c r="P344" s="62"/>
      <c r="Q344" s="63">
        <f>IF((L345=""),"",MAX(D346:L346))</f>
        <v>2650.08</v>
      </c>
      <c r="R344" s="63">
        <f>IF(L345="","",MIN(D346:L346))</f>
        <v>2490.0400000000004</v>
      </c>
      <c r="S344" s="63">
        <f>IF((L346=""),"",AVERAGE(D346:L346))</f>
        <v>2553.3555555555558</v>
      </c>
      <c r="T344" s="63">
        <f>IF((L345=""),"",((Q344-R344)/(Q344+R344))*100)</f>
        <v>3.1135459872532056</v>
      </c>
      <c r="U344" s="51">
        <f>STDEV(D344:L344)</f>
        <v>17.040834046499036</v>
      </c>
      <c r="V344" s="64" t="str">
        <f>IF(L345="","",(IF(T344&lt;12,IF(S344&gt;2200,IF(S344&lt;3280,"Pass","Fail"),"Fail"),"Fail")))</f>
        <v>Pass</v>
      </c>
      <c r="W344" s="63">
        <v>1428</v>
      </c>
      <c r="X344" s="248" t="s">
        <v>187</v>
      </c>
      <c r="Z344" s="37">
        <v>2000</v>
      </c>
      <c r="AA344" s="37">
        <v>3000</v>
      </c>
      <c r="AB344" s="37">
        <v>2200</v>
      </c>
      <c r="AC344" s="37">
        <v>3280</v>
      </c>
      <c r="AD344" s="39">
        <v>12</v>
      </c>
      <c r="AE344" s="39">
        <v>12</v>
      </c>
    </row>
    <row r="345" spans="1:31" ht="16.5" customHeight="1">
      <c r="A345" s="199"/>
      <c r="B345" s="48"/>
      <c r="C345" s="51" t="s">
        <v>155</v>
      </c>
      <c r="D345" s="8">
        <v>606.09</v>
      </c>
      <c r="E345" s="8">
        <v>642.30999999999995</v>
      </c>
      <c r="F345" s="8">
        <v>676.38</v>
      </c>
      <c r="G345" s="8">
        <v>661.54</v>
      </c>
      <c r="H345" s="8">
        <v>664.4</v>
      </c>
      <c r="I345" s="8">
        <v>596.23</v>
      </c>
      <c r="J345" s="8">
        <v>632.21</v>
      </c>
      <c r="K345" s="8">
        <v>664.47</v>
      </c>
      <c r="L345" s="8">
        <v>654.29999999999995</v>
      </c>
      <c r="M345" s="50"/>
      <c r="N345" s="50"/>
      <c r="O345" s="50"/>
      <c r="P345" s="50"/>
      <c r="Q345" s="48"/>
      <c r="R345" s="48"/>
      <c r="S345" s="48"/>
      <c r="T345" s="48"/>
      <c r="U345" s="48"/>
      <c r="V345" s="47"/>
      <c r="W345" s="48"/>
      <c r="X345" s="8"/>
      <c r="Z345" s="53">
        <v>2800</v>
      </c>
      <c r="AA345" s="53">
        <v>3800</v>
      </c>
      <c r="AB345" s="53">
        <v>3220</v>
      </c>
      <c r="AC345" s="53">
        <v>3550</v>
      </c>
      <c r="AD345" s="52">
        <v>7.6</v>
      </c>
      <c r="AE345" s="52">
        <v>7.6</v>
      </c>
    </row>
    <row r="346" spans="1:31" ht="24.75" customHeight="1" thickBot="1">
      <c r="A346" s="199"/>
      <c r="B346" s="61"/>
      <c r="C346" s="51" t="s">
        <v>154</v>
      </c>
      <c r="D346" s="24">
        <f t="shared" ref="D346:L346" si="110">IF(((D344="")*AND(D345="")),"",(D344-D345)*4)</f>
        <v>2594.9599999999996</v>
      </c>
      <c r="E346" s="24">
        <f t="shared" si="110"/>
        <v>2542.08</v>
      </c>
      <c r="F346" s="24">
        <f t="shared" si="110"/>
        <v>2490.0400000000004</v>
      </c>
      <c r="G346" s="24">
        <f t="shared" si="110"/>
        <v>2545.2799999999997</v>
      </c>
      <c r="H346" s="24">
        <f t="shared" si="110"/>
        <v>2542.0800000000004</v>
      </c>
      <c r="I346" s="24">
        <f t="shared" si="110"/>
        <v>2650.08</v>
      </c>
      <c r="J346" s="24">
        <f t="shared" si="110"/>
        <v>2576.6800000000003</v>
      </c>
      <c r="K346" s="24">
        <f t="shared" si="110"/>
        <v>2515.84</v>
      </c>
      <c r="L346" s="24">
        <f t="shared" si="110"/>
        <v>2523.16</v>
      </c>
      <c r="M346" s="24"/>
      <c r="N346" s="24"/>
      <c r="O346" s="24"/>
      <c r="P346" s="24" t="str">
        <f>IF(((P344="")*AND(P345="")),"",(P344-P345)*4)</f>
        <v/>
      </c>
      <c r="Q346" s="61"/>
      <c r="R346" s="61"/>
      <c r="S346" s="61"/>
      <c r="T346" s="61"/>
      <c r="U346" s="61"/>
      <c r="V346" s="60"/>
      <c r="W346" s="61"/>
      <c r="X346" s="8"/>
    </row>
    <row r="347" spans="1:31">
      <c r="A347" s="201">
        <v>42936</v>
      </c>
      <c r="B347" s="57" t="s">
        <v>157</v>
      </c>
      <c r="C347" s="51" t="s">
        <v>156</v>
      </c>
      <c r="D347" s="8">
        <v>5342.66</v>
      </c>
      <c r="E347" s="8">
        <v>5338.68</v>
      </c>
      <c r="F347" s="8">
        <v>5385.85</v>
      </c>
      <c r="G347" s="8">
        <v>5371.61</v>
      </c>
      <c r="H347" s="8">
        <v>5460.23</v>
      </c>
      <c r="I347" s="8">
        <v>5366.83</v>
      </c>
      <c r="J347" s="8">
        <v>5395.17</v>
      </c>
      <c r="K347" s="8">
        <v>5370.9</v>
      </c>
      <c r="L347" s="8">
        <v>5392.08</v>
      </c>
      <c r="M347" s="50"/>
      <c r="N347" s="50"/>
      <c r="O347" s="50"/>
      <c r="P347" s="50"/>
      <c r="Q347" s="57">
        <f>IF((L348=""),"",MAX(D349:L349))</f>
        <v>3366.08</v>
      </c>
      <c r="R347" s="57">
        <f>IF(L348="","",MIN(D349:L349))</f>
        <v>3309.8799999999992</v>
      </c>
      <c r="S347" s="58">
        <f>IF((L349=""),"",AVERAGE(D349:L349))</f>
        <v>3337.8711111111106</v>
      </c>
      <c r="T347" s="57">
        <f>IF((L348=""),"",((Q347-R347)/(Q347+R347))*100)</f>
        <v>0.8418264938675597</v>
      </c>
      <c r="U347" s="56">
        <f>STDEV(D347:L347)</f>
        <v>35.835759065157625</v>
      </c>
      <c r="V347" s="55" t="str">
        <f>IF(L348="","",(IF(T347&lt;7,IF(S347&gt;2800,IF(S347&lt;3800,"Pass","Fail"),"Fail"),"Fail")))</f>
        <v>Pass</v>
      </c>
      <c r="W347" s="57">
        <v>1428</v>
      </c>
      <c r="Z347" s="53">
        <v>2800</v>
      </c>
      <c r="AA347" s="53">
        <v>3800</v>
      </c>
      <c r="AB347" s="53">
        <v>3100</v>
      </c>
      <c r="AC347" s="53">
        <v>3760</v>
      </c>
      <c r="AD347" s="52">
        <v>6</v>
      </c>
      <c r="AE347" s="52">
        <v>6</v>
      </c>
    </row>
    <row r="348" spans="1:31" ht="16.5" customHeight="1">
      <c r="A348" s="199"/>
      <c r="B348" s="48"/>
      <c r="C348" s="51" t="s">
        <v>155</v>
      </c>
      <c r="D348" s="8">
        <v>3669.06</v>
      </c>
      <c r="E348" s="8">
        <v>3665.63</v>
      </c>
      <c r="F348" s="8">
        <v>3715.09</v>
      </c>
      <c r="G348" s="8">
        <v>3708.2</v>
      </c>
      <c r="H348" s="8">
        <v>3805.29</v>
      </c>
      <c r="I348" s="8">
        <v>3683.79</v>
      </c>
      <c r="J348" s="8">
        <v>3728.64</v>
      </c>
      <c r="K348" s="8">
        <v>3700.1</v>
      </c>
      <c r="L348" s="8">
        <v>3727.79</v>
      </c>
      <c r="M348" s="50"/>
      <c r="N348" s="50"/>
      <c r="O348" s="50"/>
      <c r="P348" s="50"/>
      <c r="Q348" s="48"/>
      <c r="R348" s="48"/>
      <c r="S348" s="49"/>
      <c r="T348" s="48"/>
      <c r="U348" s="48"/>
      <c r="V348" s="47"/>
      <c r="W348" s="48"/>
      <c r="X348" s="8"/>
    </row>
    <row r="349" spans="1:31" ht="24.75" customHeight="1" thickBot="1">
      <c r="A349" s="199"/>
      <c r="B349" s="42"/>
      <c r="C349" s="45" t="s">
        <v>154</v>
      </c>
      <c r="D349" s="44">
        <f t="shared" ref="D349:L349" si="111">IF(((D347="")*AND(D348="")),"",(D347-D348)*2)</f>
        <v>3347.2</v>
      </c>
      <c r="E349" s="44">
        <f t="shared" si="111"/>
        <v>3346.1000000000004</v>
      </c>
      <c r="F349" s="44">
        <f t="shared" si="111"/>
        <v>3341.5200000000004</v>
      </c>
      <c r="G349" s="44">
        <f t="shared" si="111"/>
        <v>3326.8199999999997</v>
      </c>
      <c r="H349" s="44">
        <f t="shared" si="111"/>
        <v>3309.8799999999992</v>
      </c>
      <c r="I349" s="44">
        <f t="shared" si="111"/>
        <v>3366.08</v>
      </c>
      <c r="J349" s="44">
        <f t="shared" si="111"/>
        <v>3333.0600000000004</v>
      </c>
      <c r="K349" s="44">
        <f t="shared" si="111"/>
        <v>3341.5999999999995</v>
      </c>
      <c r="L349" s="44">
        <f t="shared" si="111"/>
        <v>3328.58</v>
      </c>
      <c r="M349" s="44"/>
      <c r="N349" s="44"/>
      <c r="O349" s="44"/>
      <c r="P349" s="44"/>
      <c r="Q349" s="42"/>
      <c r="R349" s="42"/>
      <c r="S349" s="43"/>
      <c r="T349" s="42"/>
      <c r="U349" s="42"/>
      <c r="V349" s="41"/>
      <c r="W349" s="42"/>
      <c r="X349" s="8"/>
    </row>
    <row r="350" spans="1:31">
      <c r="A350" s="201">
        <v>42941</v>
      </c>
      <c r="B350" s="63" t="s">
        <v>158</v>
      </c>
      <c r="C350" s="56" t="s">
        <v>156</v>
      </c>
      <c r="D350" s="8">
        <v>1919.89</v>
      </c>
      <c r="E350" s="8">
        <v>1913.28</v>
      </c>
      <c r="F350" s="8">
        <v>1911.42</v>
      </c>
      <c r="G350" s="8">
        <v>1914.69</v>
      </c>
      <c r="H350" s="8">
        <v>1921.89</v>
      </c>
      <c r="I350" s="8">
        <v>1920.45</v>
      </c>
      <c r="J350" s="8">
        <v>1915.69</v>
      </c>
      <c r="K350" s="8">
        <v>1914.75</v>
      </c>
      <c r="L350" s="8">
        <v>1921.21</v>
      </c>
      <c r="M350" s="62"/>
      <c r="N350" s="62"/>
      <c r="O350" s="62"/>
      <c r="P350" s="62"/>
      <c r="Q350" s="63">
        <f>IF((L351=""),"",MAX(D352:L352))</f>
        <v>2622.8</v>
      </c>
      <c r="R350" s="63">
        <f>IF(L351="","",MIN(D352:L352))</f>
        <v>2462.4000000000005</v>
      </c>
      <c r="S350" s="63">
        <f>IF((L352=""),"",AVERAGE(D352:L352))</f>
        <v>2535.5155555555561</v>
      </c>
      <c r="T350" s="63">
        <f>IF((L351=""),"",((Q350-R350)/(Q350+R350))*100)</f>
        <v>3.1542515535278772</v>
      </c>
      <c r="U350" s="51">
        <f>STDEV(D350:L350)</f>
        <v>3.8563616273348664</v>
      </c>
      <c r="V350" s="64" t="str">
        <f>IF(L351="","",(IF(T350&lt;12,IF(S350&gt;2200,IF(S350&lt;3280,"Pass","Fail"),"Fail"),"Fail")))</f>
        <v>Pass</v>
      </c>
      <c r="W350" s="63">
        <v>1159</v>
      </c>
      <c r="X350" s="26" t="s">
        <v>186</v>
      </c>
      <c r="Z350" s="37">
        <v>2000</v>
      </c>
      <c r="AA350" s="37">
        <v>3000</v>
      </c>
      <c r="AB350" s="37">
        <v>2200</v>
      </c>
      <c r="AC350" s="37">
        <v>3280</v>
      </c>
      <c r="AD350" s="39">
        <v>12</v>
      </c>
      <c r="AE350" s="39">
        <v>12</v>
      </c>
    </row>
    <row r="351" spans="1:31" ht="16.5" customHeight="1">
      <c r="A351" s="199"/>
      <c r="B351" s="48"/>
      <c r="C351" s="51" t="s">
        <v>155</v>
      </c>
      <c r="D351" s="8">
        <v>1272.08</v>
      </c>
      <c r="E351" s="8">
        <v>1278.6199999999999</v>
      </c>
      <c r="F351" s="8">
        <v>1295.82</v>
      </c>
      <c r="G351" s="8">
        <v>1283.6400000000001</v>
      </c>
      <c r="H351" s="8">
        <v>1292.93</v>
      </c>
      <c r="I351" s="8">
        <v>1264.75</v>
      </c>
      <c r="J351" s="8">
        <v>1273.8900000000001</v>
      </c>
      <c r="K351" s="8">
        <v>1289.07</v>
      </c>
      <c r="L351" s="8">
        <v>1297.56</v>
      </c>
      <c r="M351" s="50"/>
      <c r="N351" s="50"/>
      <c r="O351" s="50"/>
      <c r="P351" s="50"/>
      <c r="Q351" s="48"/>
      <c r="R351" s="48"/>
      <c r="S351" s="48"/>
      <c r="T351" s="48"/>
      <c r="U351" s="48"/>
      <c r="V351" s="47"/>
      <c r="W351" s="48"/>
      <c r="X351" s="8"/>
    </row>
    <row r="352" spans="1:31" ht="24.75" customHeight="1" thickBot="1">
      <c r="A352" s="199"/>
      <c r="B352" s="61"/>
      <c r="C352" s="51" t="s">
        <v>154</v>
      </c>
      <c r="D352" s="24">
        <f t="shared" ref="D352:L352" si="112">IF(((D350="")*AND(D351="")),"",(D350-D351)*4)</f>
        <v>2591.2400000000007</v>
      </c>
      <c r="E352" s="24">
        <f t="shared" si="112"/>
        <v>2538.6400000000003</v>
      </c>
      <c r="F352" s="24">
        <f t="shared" si="112"/>
        <v>2462.4000000000005</v>
      </c>
      <c r="G352" s="24">
        <f t="shared" si="112"/>
        <v>2524.1999999999998</v>
      </c>
      <c r="H352" s="24">
        <f t="shared" si="112"/>
        <v>2515.84</v>
      </c>
      <c r="I352" s="24">
        <f t="shared" si="112"/>
        <v>2622.8</v>
      </c>
      <c r="J352" s="24">
        <f t="shared" si="112"/>
        <v>2567.1999999999998</v>
      </c>
      <c r="K352" s="24">
        <f t="shared" si="112"/>
        <v>2502.7200000000003</v>
      </c>
      <c r="L352" s="24">
        <f t="shared" si="112"/>
        <v>2494.6000000000004</v>
      </c>
      <c r="M352" s="24"/>
      <c r="N352" s="24"/>
      <c r="O352" s="24"/>
      <c r="P352" s="24" t="str">
        <f>IF(((P350="")*AND(P351="")),"",(P350-P351)*4)</f>
        <v/>
      </c>
      <c r="Q352" s="61"/>
      <c r="R352" s="61"/>
      <c r="S352" s="61"/>
      <c r="T352" s="61"/>
      <c r="U352" s="61"/>
      <c r="V352" s="60"/>
      <c r="W352" s="61"/>
      <c r="X352" s="8"/>
      <c r="Y352" s="8"/>
    </row>
    <row r="353" spans="1:31">
      <c r="A353" s="201">
        <v>42941</v>
      </c>
      <c r="B353" s="57" t="s">
        <v>157</v>
      </c>
      <c r="C353" s="51" t="s">
        <v>156</v>
      </c>
      <c r="D353" s="8">
        <v>6913.61</v>
      </c>
      <c r="E353" s="8">
        <v>6898.24</v>
      </c>
      <c r="F353" s="8">
        <v>6921.72</v>
      </c>
      <c r="G353" s="8">
        <v>6902.21</v>
      </c>
      <c r="H353" s="8">
        <v>6980.79</v>
      </c>
      <c r="I353" s="8">
        <v>6930.06</v>
      </c>
      <c r="J353" s="8">
        <v>6932.61</v>
      </c>
      <c r="K353" s="8">
        <v>6910.64</v>
      </c>
      <c r="L353" s="8">
        <v>6925.56</v>
      </c>
      <c r="M353" s="50"/>
      <c r="N353" s="50"/>
      <c r="O353" s="50"/>
      <c r="P353" s="50"/>
      <c r="Q353" s="57">
        <f>IF((L354=""),"",MAX(D355:L355))</f>
        <v>3355.2000000000007</v>
      </c>
      <c r="R353" s="57">
        <f>IF(L354="","",MIN(D355:L355))</f>
        <v>3287.3000000000011</v>
      </c>
      <c r="S353" s="58">
        <f>IF((L355=""),"",AVERAGE(D355:L355))</f>
        <v>3321.9888888888886</v>
      </c>
      <c r="T353" s="57">
        <f>IF((L354=""),"",((Q353-R353)/(Q353+R353))*100)</f>
        <v>1.0222054949190758</v>
      </c>
      <c r="U353" s="56">
        <f>STDEV(D353:L353)</f>
        <v>24.414084960469406</v>
      </c>
      <c r="V353" s="55" t="str">
        <f>IF(L354="","",(IF(T353&lt;7,IF(S353&gt;2800,IF(S353&lt;3800,"Pass","Fail"),"Fail"),"Fail")))</f>
        <v>Pass</v>
      </c>
      <c r="W353" s="57">
        <v>1159</v>
      </c>
      <c r="X353" s="26" t="s">
        <v>186</v>
      </c>
      <c r="Z353" s="53">
        <v>2800</v>
      </c>
      <c r="AA353" s="53">
        <v>3800</v>
      </c>
      <c r="AB353" s="53">
        <v>3100</v>
      </c>
      <c r="AC353" s="53">
        <v>3760</v>
      </c>
      <c r="AD353" s="52">
        <v>6</v>
      </c>
      <c r="AE353" s="52">
        <v>6</v>
      </c>
    </row>
    <row r="354" spans="1:31" ht="16.5" customHeight="1">
      <c r="A354" s="199"/>
      <c r="B354" s="48"/>
      <c r="C354" s="51" t="s">
        <v>155</v>
      </c>
      <c r="D354" s="8">
        <v>5256.17</v>
      </c>
      <c r="E354" s="8">
        <v>5230.1000000000004</v>
      </c>
      <c r="F354" s="8">
        <v>5257.98</v>
      </c>
      <c r="G354" s="8">
        <v>5239.76</v>
      </c>
      <c r="H354" s="8">
        <v>5336.96</v>
      </c>
      <c r="I354" s="8">
        <v>5286.41</v>
      </c>
      <c r="J354" s="8">
        <v>5269.31</v>
      </c>
      <c r="K354" s="8">
        <v>5241.84</v>
      </c>
      <c r="L354" s="8">
        <v>5247.96</v>
      </c>
      <c r="M354" s="50"/>
      <c r="N354" s="50"/>
      <c r="O354" s="50"/>
      <c r="P354" s="50"/>
      <c r="Q354" s="48"/>
      <c r="R354" s="48"/>
      <c r="S354" s="49"/>
      <c r="T354" s="48"/>
      <c r="U354" s="48"/>
      <c r="V354" s="47"/>
      <c r="W354" s="48"/>
      <c r="X354" s="8"/>
    </row>
    <row r="355" spans="1:31" ht="24.75" customHeight="1" thickBot="1">
      <c r="A355" s="199"/>
      <c r="B355" s="42"/>
      <c r="C355" s="45" t="s">
        <v>154</v>
      </c>
      <c r="D355" s="44">
        <f t="shared" ref="D355:L355" si="113">IF(((D353="")*AND(D354="")),"",(D353-D354)*2)</f>
        <v>3314.8799999999992</v>
      </c>
      <c r="E355" s="44">
        <f t="shared" si="113"/>
        <v>3336.2799999999988</v>
      </c>
      <c r="F355" s="44">
        <f t="shared" si="113"/>
        <v>3327.4800000000014</v>
      </c>
      <c r="G355" s="44">
        <f t="shared" si="113"/>
        <v>3324.8999999999996</v>
      </c>
      <c r="H355" s="44">
        <f t="shared" si="113"/>
        <v>3287.66</v>
      </c>
      <c r="I355" s="44">
        <f t="shared" si="113"/>
        <v>3287.3000000000011</v>
      </c>
      <c r="J355" s="44">
        <f t="shared" si="113"/>
        <v>3326.5999999999985</v>
      </c>
      <c r="K355" s="44">
        <f t="shared" si="113"/>
        <v>3337.6000000000004</v>
      </c>
      <c r="L355" s="44">
        <f t="shared" si="113"/>
        <v>3355.2000000000007</v>
      </c>
      <c r="M355" s="44"/>
      <c r="N355" s="44"/>
      <c r="O355" s="44"/>
      <c r="P355" s="44"/>
      <c r="Q355" s="42"/>
      <c r="R355" s="42"/>
      <c r="S355" s="43"/>
      <c r="T355" s="42"/>
      <c r="U355" s="42"/>
      <c r="V355" s="41"/>
      <c r="W355" s="42"/>
      <c r="X355" s="8"/>
    </row>
    <row r="356" spans="1:31">
      <c r="A356" s="201">
        <v>42949</v>
      </c>
      <c r="B356" s="63" t="s">
        <v>158</v>
      </c>
      <c r="C356" s="56" t="s">
        <v>156</v>
      </c>
      <c r="D356" s="8">
        <v>1919.8</v>
      </c>
      <c r="E356" s="8">
        <v>1915.35</v>
      </c>
      <c r="F356" s="8">
        <v>1912.75</v>
      </c>
      <c r="G356" s="8">
        <v>1916.23</v>
      </c>
      <c r="H356" s="8">
        <v>1920.66</v>
      </c>
      <c r="I356" s="8">
        <v>1918.06</v>
      </c>
      <c r="J356" s="8">
        <v>1913.73</v>
      </c>
      <c r="K356" s="8">
        <v>1917.41</v>
      </c>
      <c r="L356" s="8">
        <v>1924.05</v>
      </c>
      <c r="M356" s="62"/>
      <c r="N356" s="62"/>
      <c r="O356" s="62"/>
      <c r="P356" s="62"/>
      <c r="Q356" s="63">
        <f>IF((L357=""),"",MAX(D358:L358))</f>
        <v>2611.3199999999997</v>
      </c>
      <c r="R356" s="63">
        <f>IF(L357="","",MIN(D358:L358))</f>
        <v>2478.5200000000004</v>
      </c>
      <c r="S356" s="63">
        <f>IF((L358=""),"",AVERAGE(D358:L358))</f>
        <v>2531.5466666666666</v>
      </c>
      <c r="T356" s="63">
        <f>IF((L357=""),"",((Q356-R356)/(Q356+R356))*100)</f>
        <v>2.6091193436335773</v>
      </c>
      <c r="U356" s="51">
        <f>STDEV(D356:L356)</f>
        <v>3.5615691767679811</v>
      </c>
      <c r="V356" s="64" t="str">
        <f>IF(L357="","",(IF(T356&lt;12,IF(S356&gt;2200,IF(S356&lt;3280,"Pass","Fail"),"Fail"),"Fail")))</f>
        <v>Pass</v>
      </c>
      <c r="W356" s="63"/>
      <c r="Z356" s="37">
        <v>2000</v>
      </c>
      <c r="AA356" s="37">
        <v>3000</v>
      </c>
      <c r="AB356" s="37">
        <v>2200</v>
      </c>
      <c r="AC356" s="37">
        <v>3280</v>
      </c>
      <c r="AD356" s="39">
        <v>12</v>
      </c>
      <c r="AE356" s="39">
        <v>12</v>
      </c>
    </row>
    <row r="357" spans="1:31" ht="16.5" customHeight="1">
      <c r="A357" s="199"/>
      <c r="B357" s="48"/>
      <c r="C357" s="51" t="s">
        <v>155</v>
      </c>
      <c r="D357" s="8">
        <v>1276.8499999999999</v>
      </c>
      <c r="E357" s="8">
        <v>1280.21</v>
      </c>
      <c r="F357" s="8">
        <v>1293.1199999999999</v>
      </c>
      <c r="G357" s="8">
        <v>1284.55</v>
      </c>
      <c r="H357" s="8">
        <v>1297.06</v>
      </c>
      <c r="I357" s="8">
        <v>1265.23</v>
      </c>
      <c r="J357" s="8">
        <v>1270.1199999999999</v>
      </c>
      <c r="K357" s="8">
        <v>1291.43</v>
      </c>
      <c r="L357" s="8">
        <v>1303.49</v>
      </c>
      <c r="M357" s="50"/>
      <c r="N357" s="50"/>
      <c r="O357" s="50"/>
      <c r="P357" s="50"/>
      <c r="Q357" s="48"/>
      <c r="R357" s="48"/>
      <c r="S357" s="48"/>
      <c r="T357" s="48"/>
      <c r="U357" s="48"/>
      <c r="V357" s="47"/>
      <c r="W357" s="48"/>
      <c r="X357" s="8"/>
    </row>
    <row r="358" spans="1:31" ht="24.75" customHeight="1" thickBot="1">
      <c r="A358" s="199"/>
      <c r="B358" s="61"/>
      <c r="C358" s="51" t="s">
        <v>154</v>
      </c>
      <c r="D358" s="24">
        <f t="shared" ref="D358:L358" si="114">IF(((D356="")*AND(D357="")),"",(D356-D357)*4)</f>
        <v>2571.8000000000002</v>
      </c>
      <c r="E358" s="24">
        <f t="shared" si="114"/>
        <v>2540.5599999999995</v>
      </c>
      <c r="F358" s="24">
        <f t="shared" si="114"/>
        <v>2478.5200000000004</v>
      </c>
      <c r="G358" s="24">
        <f t="shared" si="114"/>
        <v>2526.7200000000003</v>
      </c>
      <c r="H358" s="24">
        <f t="shared" si="114"/>
        <v>2494.4000000000005</v>
      </c>
      <c r="I358" s="24">
        <f t="shared" si="114"/>
        <v>2611.3199999999997</v>
      </c>
      <c r="J358" s="24">
        <f t="shared" si="114"/>
        <v>2574.4400000000005</v>
      </c>
      <c r="K358" s="24">
        <f t="shared" si="114"/>
        <v>2503.92</v>
      </c>
      <c r="L358" s="24">
        <f t="shared" si="114"/>
        <v>2482.2399999999998</v>
      </c>
      <c r="M358" s="24"/>
      <c r="N358" s="24"/>
      <c r="O358" s="24"/>
      <c r="P358" s="24" t="str">
        <f>IF(((P356="")*AND(P357="")),"",(P356-P357)*4)</f>
        <v/>
      </c>
      <c r="Q358" s="61"/>
      <c r="R358" s="61"/>
      <c r="S358" s="61"/>
      <c r="T358" s="61"/>
      <c r="U358" s="61"/>
      <c r="V358" s="60"/>
      <c r="W358" s="61"/>
      <c r="X358" s="8"/>
    </row>
    <row r="359" spans="1:31">
      <c r="A359" s="201">
        <v>42949</v>
      </c>
      <c r="B359" s="57" t="s">
        <v>157</v>
      </c>
      <c r="C359" s="51" t="s">
        <v>156</v>
      </c>
      <c r="D359" s="8">
        <v>6891.27</v>
      </c>
      <c r="E359" s="8">
        <v>6897.4</v>
      </c>
      <c r="F359" s="8">
        <v>6928.86</v>
      </c>
      <c r="G359" s="8">
        <v>6888.04</v>
      </c>
      <c r="H359" s="8">
        <v>6916.62</v>
      </c>
      <c r="I359" s="8">
        <v>6915</v>
      </c>
      <c r="J359" s="8">
        <v>6928.43</v>
      </c>
      <c r="K359" s="8">
        <v>6918.91</v>
      </c>
      <c r="L359" s="8">
        <v>6932.76</v>
      </c>
      <c r="M359" s="50"/>
      <c r="N359" s="50"/>
      <c r="O359" s="50"/>
      <c r="P359" s="50"/>
      <c r="Q359" s="57">
        <f>IF((L360=""),"",MAX(D361:L361))</f>
        <v>3376.1800000000003</v>
      </c>
      <c r="R359" s="57">
        <f>IF(L360="","",MIN(D361:L361))</f>
        <v>3332.8000000000011</v>
      </c>
      <c r="S359" s="58">
        <f>IF((L361=""),"",AVERAGE(D361:L361))</f>
        <v>3344.44</v>
      </c>
      <c r="T359" s="57">
        <f>IF((L360=""),"",((Q359-R359)/(Q359+R359))*100)</f>
        <v>0.64659605483991889</v>
      </c>
      <c r="U359" s="56">
        <f>STDEV(D359:L359)</f>
        <v>16.847328258464227</v>
      </c>
      <c r="V359" s="55" t="str">
        <f>IF(L360="","",(IF(T359&lt;7,IF(S359&gt;2800,IF(S359&lt;3800,"Pass","Fail"),"Fail"),"Fail")))</f>
        <v>Pass</v>
      </c>
      <c r="W359" s="57"/>
      <c r="Z359" s="53">
        <v>2800</v>
      </c>
      <c r="AA359" s="53">
        <v>3800</v>
      </c>
      <c r="AB359" s="53">
        <v>3100</v>
      </c>
      <c r="AC359" s="53">
        <v>3760</v>
      </c>
      <c r="AD359" s="52">
        <v>6</v>
      </c>
      <c r="AE359" s="52">
        <v>6</v>
      </c>
    </row>
    <row r="360" spans="1:31" ht="16.5" customHeight="1">
      <c r="A360" s="199"/>
      <c r="B360" s="48"/>
      <c r="C360" s="51" t="s">
        <v>155</v>
      </c>
      <c r="D360" s="8">
        <v>5224.87</v>
      </c>
      <c r="E360" s="8">
        <v>5225.4799999999996</v>
      </c>
      <c r="F360" s="8">
        <v>5257.01</v>
      </c>
      <c r="G360" s="8">
        <v>5220.57</v>
      </c>
      <c r="H360" s="8">
        <v>5247.14</v>
      </c>
      <c r="I360" s="8">
        <v>5226.91</v>
      </c>
      <c r="J360" s="8">
        <v>5260.84</v>
      </c>
      <c r="K360" s="8">
        <v>5243.71</v>
      </c>
      <c r="L360" s="8">
        <v>5260.78</v>
      </c>
      <c r="M360" s="50"/>
      <c r="N360" s="50"/>
      <c r="O360" s="50"/>
      <c r="P360" s="50"/>
      <c r="Q360" s="48"/>
      <c r="R360" s="48"/>
      <c r="S360" s="49"/>
      <c r="T360" s="48"/>
      <c r="U360" s="48"/>
      <c r="V360" s="47"/>
      <c r="W360" s="48"/>
      <c r="X360" s="8"/>
    </row>
    <row r="361" spans="1:31" ht="24.75" customHeight="1" thickBot="1">
      <c r="A361" s="199"/>
      <c r="B361" s="42"/>
      <c r="C361" s="45" t="s">
        <v>154</v>
      </c>
      <c r="D361" s="44">
        <f t="shared" ref="D361:L361" si="115">IF(((D359="")*AND(D360="")),"",(D359-D360)*2)</f>
        <v>3332.8000000000011</v>
      </c>
      <c r="E361" s="44">
        <f t="shared" si="115"/>
        <v>3343.84</v>
      </c>
      <c r="F361" s="44">
        <f t="shared" si="115"/>
        <v>3343.6999999999989</v>
      </c>
      <c r="G361" s="44">
        <f t="shared" si="115"/>
        <v>3334.9400000000005</v>
      </c>
      <c r="H361" s="44">
        <f t="shared" si="115"/>
        <v>3338.9599999999991</v>
      </c>
      <c r="I361" s="44">
        <f t="shared" si="115"/>
        <v>3376.1800000000003</v>
      </c>
      <c r="J361" s="44">
        <f t="shared" si="115"/>
        <v>3335.1800000000003</v>
      </c>
      <c r="K361" s="44">
        <f t="shared" si="115"/>
        <v>3350.3999999999996</v>
      </c>
      <c r="L361" s="44">
        <f t="shared" si="115"/>
        <v>3343.9600000000009</v>
      </c>
      <c r="M361" s="44"/>
      <c r="N361" s="44"/>
      <c r="O361" s="44"/>
      <c r="P361" s="44"/>
      <c r="Q361" s="42"/>
      <c r="R361" s="42"/>
      <c r="S361" s="43"/>
      <c r="T361" s="42"/>
      <c r="U361" s="42"/>
      <c r="V361" s="41"/>
      <c r="W361" s="42"/>
      <c r="X361" s="8"/>
    </row>
    <row r="362" spans="1:31">
      <c r="A362" s="201">
        <v>42955</v>
      </c>
      <c r="B362" s="63" t="s">
        <v>158</v>
      </c>
      <c r="C362" s="56" t="s">
        <v>156</v>
      </c>
      <c r="D362" s="8">
        <v>1305.8</v>
      </c>
      <c r="E362" s="8">
        <v>1300.9100000000001</v>
      </c>
      <c r="F362" s="8">
        <v>1306.49</v>
      </c>
      <c r="G362" s="8">
        <v>1293.3599999999999</v>
      </c>
      <c r="H362" s="8">
        <v>1315.2</v>
      </c>
      <c r="I362" s="8">
        <v>1296.1500000000001</v>
      </c>
      <c r="J362" s="8">
        <v>1288.3900000000001</v>
      </c>
      <c r="K362" s="8">
        <v>1304.44</v>
      </c>
      <c r="L362" s="8">
        <v>1336.59</v>
      </c>
      <c r="M362" s="62"/>
      <c r="N362" s="62"/>
      <c r="O362" s="62"/>
      <c r="P362" s="62"/>
      <c r="Q362" s="63">
        <f>IF((L363=""),"",MAX(D364:L364))</f>
        <v>2639.8</v>
      </c>
      <c r="R362" s="63">
        <f>IF(L363="","",MIN(D364:L364))</f>
        <v>2490.84</v>
      </c>
      <c r="S362" s="63">
        <f>IF((L364=""),"",AVERAGE(D364:L364))</f>
        <v>2561.6577777777775</v>
      </c>
      <c r="T362" s="63">
        <f>IF((L363=""),"",((Q362-R362)/(Q362+R362))*100)</f>
        <v>2.9033414934589064</v>
      </c>
      <c r="U362" s="51">
        <f>STDEV(D362:L362)</f>
        <v>14.190537731568099</v>
      </c>
      <c r="V362" s="64" t="str">
        <f>IF(L363="","",(IF(T362&lt;12,IF(S362&gt;2200,IF(S362&lt;3280,"Pass","Fail"),"Fail"),"Fail")))</f>
        <v>Pass</v>
      </c>
      <c r="W362" s="63">
        <v>1428</v>
      </c>
      <c r="Z362" s="37">
        <v>2000</v>
      </c>
      <c r="AA362" s="37">
        <v>3000</v>
      </c>
      <c r="AB362" s="37">
        <v>2200</v>
      </c>
      <c r="AC362" s="37">
        <v>3280</v>
      </c>
      <c r="AD362" s="39">
        <v>12</v>
      </c>
      <c r="AE362" s="39">
        <v>12</v>
      </c>
    </row>
    <row r="363" spans="1:31" ht="16.5" customHeight="1">
      <c r="A363" s="199"/>
      <c r="B363" s="48"/>
      <c r="C363" s="51" t="s">
        <v>155</v>
      </c>
      <c r="D363" s="8">
        <v>649.88</v>
      </c>
      <c r="E363" s="8">
        <v>661.84</v>
      </c>
      <c r="F363" s="8">
        <v>683.78</v>
      </c>
      <c r="G363" s="8">
        <v>654.51</v>
      </c>
      <c r="H363" s="8">
        <v>673.29</v>
      </c>
      <c r="I363" s="8">
        <v>636.20000000000005</v>
      </c>
      <c r="J363" s="8">
        <v>641.04999999999995</v>
      </c>
      <c r="K363" s="8">
        <v>675.79</v>
      </c>
      <c r="L363" s="8">
        <v>707.26</v>
      </c>
      <c r="M363" s="50"/>
      <c r="N363" s="50"/>
      <c r="O363" s="50"/>
      <c r="P363" s="50"/>
      <c r="Q363" s="48"/>
      <c r="R363" s="48"/>
      <c r="S363" s="48"/>
      <c r="T363" s="48"/>
      <c r="U363" s="48"/>
      <c r="V363" s="47"/>
      <c r="W363" s="48"/>
      <c r="X363" s="8"/>
    </row>
    <row r="364" spans="1:31" ht="24.75" customHeight="1" thickBot="1">
      <c r="A364" s="199"/>
      <c r="B364" s="61"/>
      <c r="C364" s="51" t="s">
        <v>154</v>
      </c>
      <c r="D364" s="24">
        <f t="shared" ref="D364:L364" si="116">IF(((D362="")*AND(D363="")),"",(D362-D363)*4)</f>
        <v>2623.68</v>
      </c>
      <c r="E364" s="24">
        <f t="shared" si="116"/>
        <v>2556.2800000000002</v>
      </c>
      <c r="F364" s="24">
        <f t="shared" si="116"/>
        <v>2490.84</v>
      </c>
      <c r="G364" s="24">
        <f t="shared" si="116"/>
        <v>2555.3999999999996</v>
      </c>
      <c r="H364" s="24">
        <f t="shared" si="116"/>
        <v>2567.6400000000003</v>
      </c>
      <c r="I364" s="24">
        <f t="shared" si="116"/>
        <v>2639.8</v>
      </c>
      <c r="J364" s="24">
        <f t="shared" si="116"/>
        <v>2589.3600000000006</v>
      </c>
      <c r="K364" s="24">
        <f t="shared" si="116"/>
        <v>2514.6000000000004</v>
      </c>
      <c r="L364" s="24">
        <f t="shared" si="116"/>
        <v>2517.3199999999997</v>
      </c>
      <c r="M364" s="24"/>
      <c r="N364" s="24"/>
      <c r="O364" s="24"/>
      <c r="P364" s="24" t="str">
        <f>IF(((P362="")*AND(P363="")),"",(P362-P363)*4)</f>
        <v/>
      </c>
      <c r="Q364" s="61"/>
      <c r="R364" s="61"/>
      <c r="S364" s="61"/>
      <c r="T364" s="61"/>
      <c r="U364" s="61"/>
      <c r="V364" s="60"/>
      <c r="W364" s="61"/>
      <c r="X364" s="8"/>
    </row>
    <row r="365" spans="1:31">
      <c r="A365" s="201">
        <v>42955</v>
      </c>
      <c r="B365" s="57" t="s">
        <v>157</v>
      </c>
      <c r="C365" s="51" t="s">
        <v>156</v>
      </c>
      <c r="D365" s="8">
        <v>5377.72</v>
      </c>
      <c r="E365" s="8">
        <v>5374.34</v>
      </c>
      <c r="F365" s="8">
        <v>5400.38</v>
      </c>
      <c r="G365" s="8">
        <v>5364.99</v>
      </c>
      <c r="H365" s="8">
        <v>5410.42</v>
      </c>
      <c r="I365" s="8">
        <v>5389.69</v>
      </c>
      <c r="J365" s="8">
        <v>5404.56</v>
      </c>
      <c r="K365" s="8">
        <v>5390.48</v>
      </c>
      <c r="L365" s="8">
        <v>5422.6</v>
      </c>
      <c r="M365" s="50"/>
      <c r="N365" s="50"/>
      <c r="O365" s="50"/>
      <c r="P365" s="50"/>
      <c r="Q365" s="57">
        <f>IF((L366=""),"",MAX(D367:L367))</f>
        <v>3547.1799999999994</v>
      </c>
      <c r="R365" s="57">
        <f>IF(L366="","",MIN(D367:L367))</f>
        <v>3470.58</v>
      </c>
      <c r="S365" s="58">
        <f>IF((L367=""),"",AVERAGE(D367:L367))</f>
        <v>3508.086666666667</v>
      </c>
      <c r="T365" s="57">
        <f>IF((L366=""),"",((Q365-R365)/(Q365+R365))*100)</f>
        <v>1.0915163812954483</v>
      </c>
      <c r="U365" s="56">
        <f>STDEV(D365:L365)</f>
        <v>18.543485903273599</v>
      </c>
      <c r="V365" s="55" t="str">
        <f>IF(L366="","",(IF(T365&lt;7,IF(S365&gt;2800,IF(S365&lt;3800,"Pass","Fail"),"Fail"),"Fail")))</f>
        <v>Pass</v>
      </c>
      <c r="W365" s="57">
        <v>1428</v>
      </c>
      <c r="Z365" s="53">
        <v>2800</v>
      </c>
      <c r="AA365" s="53">
        <v>3800</v>
      </c>
      <c r="AB365" s="53">
        <v>3100</v>
      </c>
      <c r="AC365" s="53">
        <v>3760</v>
      </c>
      <c r="AD365" s="52">
        <v>6</v>
      </c>
      <c r="AE365" s="52">
        <v>6</v>
      </c>
    </row>
    <row r="366" spans="1:31" ht="16.5" customHeight="1">
      <c r="A366" s="199"/>
      <c r="B366" s="48"/>
      <c r="C366" s="51" t="s">
        <v>155</v>
      </c>
      <c r="D366" s="8">
        <v>3614.31</v>
      </c>
      <c r="E366" s="8">
        <v>3614.13</v>
      </c>
      <c r="F366" s="8">
        <v>3645.93</v>
      </c>
      <c r="G366" s="8">
        <v>3619.78</v>
      </c>
      <c r="H366" s="8">
        <v>3675.13</v>
      </c>
      <c r="I366" s="8">
        <v>3616.1</v>
      </c>
      <c r="J366" s="8">
        <v>3653.94</v>
      </c>
      <c r="K366" s="8">
        <v>3635.33</v>
      </c>
      <c r="L366" s="8">
        <v>3674.14</v>
      </c>
      <c r="M366" s="50"/>
      <c r="N366" s="50"/>
      <c r="O366" s="50"/>
      <c r="P366" s="50"/>
      <c r="Q366" s="48"/>
      <c r="R366" s="48"/>
      <c r="S366" s="49"/>
      <c r="T366" s="48"/>
      <c r="U366" s="48"/>
      <c r="V366" s="47"/>
      <c r="W366" s="48"/>
      <c r="X366" s="8"/>
    </row>
    <row r="367" spans="1:31" ht="24.75" customHeight="1" thickBot="1">
      <c r="A367" s="199"/>
      <c r="B367" s="42"/>
      <c r="C367" s="45" t="s">
        <v>154</v>
      </c>
      <c r="D367" s="44">
        <f t="shared" ref="D367:L367" si="117">IF(((D365="")*AND(D366="")),"",(D365-D366)*2)</f>
        <v>3526.8200000000006</v>
      </c>
      <c r="E367" s="44">
        <f t="shared" si="117"/>
        <v>3520.42</v>
      </c>
      <c r="F367" s="44">
        <f t="shared" si="117"/>
        <v>3508.9000000000005</v>
      </c>
      <c r="G367" s="44">
        <f t="shared" si="117"/>
        <v>3490.4199999999992</v>
      </c>
      <c r="H367" s="44">
        <f t="shared" si="117"/>
        <v>3470.58</v>
      </c>
      <c r="I367" s="44">
        <f t="shared" si="117"/>
        <v>3547.1799999999994</v>
      </c>
      <c r="J367" s="44">
        <f t="shared" si="117"/>
        <v>3501.2400000000007</v>
      </c>
      <c r="K367" s="44">
        <f t="shared" si="117"/>
        <v>3510.2999999999993</v>
      </c>
      <c r="L367" s="44">
        <f t="shared" si="117"/>
        <v>3496.920000000001</v>
      </c>
      <c r="M367" s="44"/>
      <c r="N367" s="44"/>
      <c r="O367" s="44"/>
      <c r="P367" s="44"/>
      <c r="Q367" s="42"/>
      <c r="R367" s="42"/>
      <c r="S367" s="43"/>
      <c r="T367" s="42"/>
      <c r="U367" s="42"/>
      <c r="V367" s="41"/>
      <c r="W367" s="42"/>
      <c r="X367" s="8"/>
    </row>
    <row r="368" spans="1:31">
      <c r="A368" s="201">
        <v>42968</v>
      </c>
      <c r="B368" s="63" t="s">
        <v>158</v>
      </c>
      <c r="C368" s="56" t="s">
        <v>156</v>
      </c>
      <c r="D368" s="8">
        <v>1915</v>
      </c>
      <c r="E368" s="8">
        <v>1911</v>
      </c>
      <c r="F368" s="8">
        <v>1911</v>
      </c>
      <c r="G368" s="8">
        <v>1913</v>
      </c>
      <c r="H368" s="8">
        <v>1919</v>
      </c>
      <c r="I368" s="8">
        <v>1921</v>
      </c>
      <c r="J368" s="65">
        <v>1912</v>
      </c>
      <c r="K368" s="65">
        <v>1912</v>
      </c>
      <c r="L368" s="65">
        <v>1918</v>
      </c>
      <c r="M368" s="62"/>
      <c r="N368" s="62"/>
      <c r="O368" s="62"/>
      <c r="P368" s="62"/>
      <c r="Q368" s="63">
        <f>IF((L369=""),"",MAX(D370:L370))</f>
        <v>2620</v>
      </c>
      <c r="R368" s="63">
        <f>IF(L369="","",MIN(D370:L370))</f>
        <v>2464</v>
      </c>
      <c r="S368" s="63">
        <f>IF((L370=""),"",AVERAGE(D370:L370))</f>
        <v>2526.6666666666665</v>
      </c>
      <c r="T368" s="63">
        <f>IF((L369=""),"",((Q368-R368)/(Q368+R368))*100)</f>
        <v>3.068450039339103</v>
      </c>
      <c r="U368" s="51">
        <f>STDEV(D368:L368)</f>
        <v>3.7749172176353749</v>
      </c>
      <c r="V368" s="64" t="str">
        <f>IF(L369="","",(IF(T368&lt;12,IF(S368&gt;2200,IF(S368&lt;3280,"Pass","Fail"),"Fail"),"Fail")))</f>
        <v>Pass</v>
      </c>
      <c r="W368" s="63">
        <v>1159</v>
      </c>
      <c r="Z368" s="37">
        <v>2000</v>
      </c>
      <c r="AA368" s="37">
        <v>3000</v>
      </c>
      <c r="AB368" s="37">
        <v>2200</v>
      </c>
      <c r="AC368" s="37">
        <v>3280</v>
      </c>
      <c r="AD368" s="39">
        <v>12</v>
      </c>
      <c r="AE368" s="39">
        <v>12</v>
      </c>
    </row>
    <row r="369" spans="1:31" ht="16.5" customHeight="1">
      <c r="A369" s="199"/>
      <c r="B369" s="48"/>
      <c r="C369" s="51" t="s">
        <v>155</v>
      </c>
      <c r="D369" s="8">
        <v>1291</v>
      </c>
      <c r="E369" s="8">
        <v>1284</v>
      </c>
      <c r="F369" s="8">
        <v>1295</v>
      </c>
      <c r="G369" s="8">
        <v>1277</v>
      </c>
      <c r="H369" s="8">
        <v>1274</v>
      </c>
      <c r="I369" s="8">
        <v>1299</v>
      </c>
      <c r="J369" s="8">
        <v>1292</v>
      </c>
      <c r="K369" s="8">
        <v>1272</v>
      </c>
      <c r="L369" s="8">
        <v>1263</v>
      </c>
      <c r="M369" s="50"/>
      <c r="N369" s="50"/>
      <c r="O369" s="50"/>
      <c r="P369" s="50"/>
      <c r="Q369" s="48"/>
      <c r="R369" s="48"/>
      <c r="S369" s="48"/>
      <c r="T369" s="48"/>
      <c r="U369" s="48"/>
      <c r="V369" s="47"/>
      <c r="W369" s="48"/>
      <c r="X369" s="8"/>
    </row>
    <row r="370" spans="1:31" ht="24.75" customHeight="1" thickBot="1">
      <c r="A370" s="199"/>
      <c r="B370" s="61"/>
      <c r="C370" s="51" t="s">
        <v>154</v>
      </c>
      <c r="D370" s="24">
        <f t="shared" ref="D370:L370" si="118">IF(((D368="")*AND(D369="")),"",(D368-D369)*4)</f>
        <v>2496</v>
      </c>
      <c r="E370" s="24">
        <f t="shared" si="118"/>
        <v>2508</v>
      </c>
      <c r="F370" s="24">
        <f t="shared" si="118"/>
        <v>2464</v>
      </c>
      <c r="G370" s="24">
        <f t="shared" si="118"/>
        <v>2544</v>
      </c>
      <c r="H370" s="24">
        <f t="shared" si="118"/>
        <v>2580</v>
      </c>
      <c r="I370" s="24">
        <f t="shared" si="118"/>
        <v>2488</v>
      </c>
      <c r="J370" s="24">
        <f t="shared" si="118"/>
        <v>2480</v>
      </c>
      <c r="K370" s="24">
        <f t="shared" si="118"/>
        <v>2560</v>
      </c>
      <c r="L370" s="24">
        <f t="shared" si="118"/>
        <v>2620</v>
      </c>
      <c r="M370" s="24"/>
      <c r="N370" s="24"/>
      <c r="O370" s="24"/>
      <c r="P370" s="24" t="str">
        <f>IF(((P368="")*AND(P369="")),"",(P368-P369)*4)</f>
        <v/>
      </c>
      <c r="Q370" s="61"/>
      <c r="R370" s="61"/>
      <c r="S370" s="61"/>
      <c r="T370" s="61"/>
      <c r="U370" s="61"/>
      <c r="V370" s="60"/>
      <c r="W370" s="61"/>
      <c r="X370" s="8"/>
    </row>
    <row r="371" spans="1:31">
      <c r="A371" s="201">
        <v>42968</v>
      </c>
      <c r="B371" s="57" t="s">
        <v>157</v>
      </c>
      <c r="C371" s="51" t="s">
        <v>156</v>
      </c>
      <c r="D371" s="8">
        <v>6903</v>
      </c>
      <c r="E371" s="8">
        <v>6884</v>
      </c>
      <c r="F371" s="8">
        <v>6916</v>
      </c>
      <c r="G371" s="8">
        <v>6896</v>
      </c>
      <c r="H371" s="8">
        <v>6988</v>
      </c>
      <c r="I371" s="8">
        <v>6935</v>
      </c>
      <c r="J371" s="8">
        <v>6928</v>
      </c>
      <c r="K371" s="8">
        <v>6903</v>
      </c>
      <c r="L371" s="8">
        <v>6944</v>
      </c>
      <c r="M371" s="50"/>
      <c r="N371" s="50"/>
      <c r="O371" s="50"/>
      <c r="P371" s="50"/>
      <c r="Q371" s="57">
        <f>IF((L372=""),"",MAX(D373:L373))</f>
        <v>3544</v>
      </c>
      <c r="R371" s="57">
        <f>IF(L372="","",MIN(D373:L373))</f>
        <v>3458</v>
      </c>
      <c r="S371" s="58">
        <f>IF((L373=""),"",AVERAGE(D373:L373))</f>
        <v>3491.3333333333335</v>
      </c>
      <c r="T371" s="57">
        <f>IF((L372=""),"",((Q371-R371)/(Q371+R371))*100)</f>
        <v>1.2282205084261639</v>
      </c>
      <c r="U371" s="56">
        <f>STDEV(D371:L371)</f>
        <v>31.470003354177432</v>
      </c>
      <c r="V371" s="55" t="str">
        <f>IF(L372="","",(IF(T371&lt;7,IF(S371&gt;2800,IF(S371&lt;3800,"Pass","Fail"),"Fail"),"Fail")))</f>
        <v>Pass</v>
      </c>
      <c r="W371" s="57">
        <v>1159</v>
      </c>
      <c r="Z371" s="53">
        <v>2800</v>
      </c>
      <c r="AA371" s="53">
        <v>3800</v>
      </c>
      <c r="AB371" s="53">
        <v>3100</v>
      </c>
      <c r="AC371" s="53">
        <v>3760</v>
      </c>
      <c r="AD371" s="52">
        <v>6</v>
      </c>
      <c r="AE371" s="52">
        <v>6</v>
      </c>
    </row>
    <row r="372" spans="1:31" ht="16.5" customHeight="1">
      <c r="A372" s="199"/>
      <c r="B372" s="48"/>
      <c r="C372" s="51" t="s">
        <v>155</v>
      </c>
      <c r="D372" s="8">
        <v>5142</v>
      </c>
      <c r="E372" s="8">
        <v>5142</v>
      </c>
      <c r="F372" s="8">
        <v>5180</v>
      </c>
      <c r="G372" s="8">
        <v>5156</v>
      </c>
      <c r="H372" s="8">
        <v>5259</v>
      </c>
      <c r="I372" s="65">
        <v>5189</v>
      </c>
      <c r="J372" s="65">
        <v>5187</v>
      </c>
      <c r="K372" s="65">
        <v>5159</v>
      </c>
      <c r="L372" s="65">
        <v>5172</v>
      </c>
      <c r="M372" s="50"/>
      <c r="N372" s="50"/>
      <c r="O372" s="50"/>
      <c r="P372" s="50"/>
      <c r="Q372" s="48"/>
      <c r="R372" s="48"/>
      <c r="S372" s="49"/>
      <c r="T372" s="48"/>
      <c r="U372" s="48"/>
      <c r="V372" s="47"/>
      <c r="W372" s="48"/>
      <c r="X372" s="8"/>
    </row>
    <row r="373" spans="1:31" ht="24.75" customHeight="1" thickBot="1">
      <c r="A373" s="199"/>
      <c r="B373" s="42"/>
      <c r="C373" s="45" t="s">
        <v>154</v>
      </c>
      <c r="D373" s="44">
        <f t="shared" ref="D373:L373" si="119">IF(((D371="")*AND(D372="")),"",(D371-D372)*2)</f>
        <v>3522</v>
      </c>
      <c r="E373" s="44">
        <f t="shared" si="119"/>
        <v>3484</v>
      </c>
      <c r="F373" s="44">
        <f t="shared" si="119"/>
        <v>3472</v>
      </c>
      <c r="G373" s="44">
        <f t="shared" si="119"/>
        <v>3480</v>
      </c>
      <c r="H373" s="44">
        <f t="shared" si="119"/>
        <v>3458</v>
      </c>
      <c r="I373" s="44">
        <f t="shared" si="119"/>
        <v>3492</v>
      </c>
      <c r="J373" s="44">
        <f t="shared" si="119"/>
        <v>3482</v>
      </c>
      <c r="K373" s="44">
        <f t="shared" si="119"/>
        <v>3488</v>
      </c>
      <c r="L373" s="44">
        <f t="shared" si="119"/>
        <v>3544</v>
      </c>
      <c r="M373" s="44"/>
      <c r="N373" s="44"/>
      <c r="O373" s="44"/>
      <c r="P373" s="44"/>
      <c r="Q373" s="42"/>
      <c r="R373" s="42"/>
      <c r="S373" s="43"/>
      <c r="T373" s="42"/>
      <c r="U373" s="42"/>
      <c r="V373" s="41"/>
      <c r="W373" s="42"/>
      <c r="X373" s="8"/>
    </row>
    <row r="374" spans="1:31" ht="15">
      <c r="A374" s="201">
        <v>42976</v>
      </c>
      <c r="B374" s="63" t="s">
        <v>158</v>
      </c>
      <c r="C374" s="56" t="s">
        <v>156</v>
      </c>
      <c r="D374" s="74">
        <v>1290.8699999999999</v>
      </c>
      <c r="E374" s="74">
        <v>1289.21</v>
      </c>
      <c r="F374" s="74">
        <v>1295.77</v>
      </c>
      <c r="G374" s="74">
        <v>1281.3900000000001</v>
      </c>
      <c r="H374" s="74">
        <v>1277.98</v>
      </c>
      <c r="I374" s="74">
        <v>1302.03</v>
      </c>
      <c r="J374" s="74">
        <v>1293.54</v>
      </c>
      <c r="K374" s="74">
        <v>1273.1099999999999</v>
      </c>
      <c r="L374" s="74">
        <v>1264.98</v>
      </c>
      <c r="M374" s="62"/>
      <c r="N374" s="62"/>
      <c r="O374" s="62"/>
      <c r="P374" s="62"/>
      <c r="Q374" s="63">
        <f>IF((L375=""),"",MAX(D376:L376))</f>
        <v>2663.88</v>
      </c>
      <c r="R374" s="63">
        <f>IF(L375="","",MIN(D376:L376))</f>
        <v>2504.04</v>
      </c>
      <c r="S374" s="63">
        <f>IF((L376=""),"",AVERAGE(D376:L376))</f>
        <v>2568.0177777777776</v>
      </c>
      <c r="T374" s="63">
        <f>IF((L375=""),"",((Q374-R374)/(Q374+R374))*100)</f>
        <v>3.0929271350949734</v>
      </c>
      <c r="U374" s="51">
        <f>STDEV(D374:L374)</f>
        <v>11.905559042370756</v>
      </c>
      <c r="V374" s="64" t="str">
        <f>IF(L375="","",(IF(T374&lt;12,IF(S374&gt;2200,IF(S374&lt;3280,"Pass","Fail"),"Fail"),"Fail")))</f>
        <v>Pass</v>
      </c>
      <c r="W374" s="63">
        <v>1428</v>
      </c>
      <c r="Z374" s="37">
        <v>2000</v>
      </c>
      <c r="AA374" s="37">
        <v>3000</v>
      </c>
      <c r="AB374" s="37">
        <v>2200</v>
      </c>
      <c r="AC374" s="37">
        <v>3280</v>
      </c>
      <c r="AD374" s="39">
        <v>12</v>
      </c>
      <c r="AE374" s="39">
        <v>12</v>
      </c>
    </row>
    <row r="375" spans="1:31" ht="16.5" customHeight="1">
      <c r="A375" s="199"/>
      <c r="B375" s="48"/>
      <c r="C375" s="51" t="s">
        <v>155</v>
      </c>
      <c r="D375" s="8">
        <v>652.29</v>
      </c>
      <c r="E375" s="8">
        <v>650.64</v>
      </c>
      <c r="F375" s="8">
        <v>669.76</v>
      </c>
      <c r="G375" s="8">
        <v>640.73</v>
      </c>
      <c r="H375" s="8">
        <v>622.84</v>
      </c>
      <c r="I375" s="8">
        <v>667.67</v>
      </c>
      <c r="J375" s="8">
        <v>663.57</v>
      </c>
      <c r="K375" s="8">
        <v>624.33000000000004</v>
      </c>
      <c r="L375" s="8">
        <v>599.01</v>
      </c>
      <c r="M375" s="50"/>
      <c r="N375" s="50"/>
      <c r="O375" s="50"/>
      <c r="P375" s="50"/>
      <c r="Q375" s="48"/>
      <c r="R375" s="48"/>
      <c r="S375" s="48"/>
      <c r="T375" s="48"/>
      <c r="U375" s="48"/>
      <c r="V375" s="47"/>
      <c r="W375" s="48"/>
      <c r="X375" s="8"/>
    </row>
    <row r="376" spans="1:31" ht="24.75" customHeight="1" thickBot="1">
      <c r="A376" s="199"/>
      <c r="B376" s="61"/>
      <c r="C376" s="51" t="s">
        <v>154</v>
      </c>
      <c r="D376" s="24">
        <f t="shared" ref="D376:L376" si="120">IF(((D374="")*AND(D375="")),"",(D374-D375)*4)</f>
        <v>2554.3199999999997</v>
      </c>
      <c r="E376" s="24">
        <f t="shared" si="120"/>
        <v>2554.2800000000002</v>
      </c>
      <c r="F376" s="24">
        <f t="shared" si="120"/>
        <v>2504.04</v>
      </c>
      <c r="G376" s="24">
        <f t="shared" si="120"/>
        <v>2562.6400000000003</v>
      </c>
      <c r="H376" s="24">
        <f t="shared" si="120"/>
        <v>2620.56</v>
      </c>
      <c r="I376" s="24">
        <f t="shared" si="120"/>
        <v>2537.44</v>
      </c>
      <c r="J376" s="24">
        <f t="shared" si="120"/>
        <v>2519.8799999999997</v>
      </c>
      <c r="K376" s="24">
        <f t="shared" si="120"/>
        <v>2595.1199999999994</v>
      </c>
      <c r="L376" s="24">
        <f t="shared" si="120"/>
        <v>2663.88</v>
      </c>
      <c r="M376" s="24"/>
      <c r="N376" s="24"/>
      <c r="O376" s="24"/>
      <c r="P376" s="24" t="str">
        <f>IF(((P374="")*AND(P375="")),"",(P374-P375)*4)</f>
        <v/>
      </c>
      <c r="Q376" s="61"/>
      <c r="R376" s="61"/>
      <c r="S376" s="61"/>
      <c r="T376" s="61"/>
      <c r="U376" s="61"/>
      <c r="V376" s="60"/>
      <c r="W376" s="61"/>
      <c r="X376" s="8"/>
    </row>
    <row r="377" spans="1:31">
      <c r="A377" s="201">
        <v>42976</v>
      </c>
      <c r="B377" s="57" t="s">
        <v>157</v>
      </c>
      <c r="C377" s="51" t="s">
        <v>156</v>
      </c>
      <c r="D377" s="8">
        <v>5147.0200000000004</v>
      </c>
      <c r="E377" s="8">
        <v>5146.99</v>
      </c>
      <c r="F377" s="8">
        <v>5185.51</v>
      </c>
      <c r="G377" s="8">
        <v>5161.04</v>
      </c>
      <c r="H377" s="8">
        <v>5264.14</v>
      </c>
      <c r="I377" s="8">
        <v>5194.54</v>
      </c>
      <c r="J377" s="8">
        <v>5191.91</v>
      </c>
      <c r="K377" s="8">
        <v>5164.12</v>
      </c>
      <c r="L377" s="8">
        <v>5176.7299999999996</v>
      </c>
      <c r="M377" s="50"/>
      <c r="N377" s="50"/>
      <c r="O377" s="50"/>
      <c r="P377" s="50"/>
      <c r="Q377" s="57">
        <f>IF((L378=""),"",MAX(D379:L379))</f>
        <v>3436.7199999999993</v>
      </c>
      <c r="R377" s="57">
        <f>IF(L378="","",MIN(D379:L379))</f>
        <v>3319.0200000000004</v>
      </c>
      <c r="S377" s="58">
        <f>IF((L379=""),"",AVERAGE(D379:L379))</f>
        <v>3399.1000000000004</v>
      </c>
      <c r="T377" s="57">
        <f>IF((L378=""),"",((Q377-R377)/(Q377+R377))*100)</f>
        <v>1.7422221695920643</v>
      </c>
      <c r="U377" s="56">
        <f>STDEV(D377:L377)</f>
        <v>35.789050001316262</v>
      </c>
      <c r="V377" s="55" t="str">
        <f>IF(L378="","",(IF(T377&lt;7,IF(S377&gt;2800,IF(S377&lt;3800,"Pass","Fail"),"Fail"),"Fail")))</f>
        <v>Pass</v>
      </c>
      <c r="W377" s="57">
        <v>1428</v>
      </c>
      <c r="Z377" s="53">
        <v>2800</v>
      </c>
      <c r="AA377" s="53">
        <v>3800</v>
      </c>
      <c r="AB377" s="53">
        <v>3100</v>
      </c>
      <c r="AC377" s="53">
        <v>3760</v>
      </c>
      <c r="AD377" s="52">
        <v>6</v>
      </c>
      <c r="AE377" s="52">
        <v>6</v>
      </c>
    </row>
    <row r="378" spans="1:31" ht="16.5" customHeight="1">
      <c r="A378" s="199"/>
      <c r="B378" s="48"/>
      <c r="C378" s="51" t="s">
        <v>155</v>
      </c>
      <c r="D378" s="8">
        <v>3432.85</v>
      </c>
      <c r="E378" s="8">
        <v>3440.56</v>
      </c>
      <c r="F378" s="8">
        <v>3482.24</v>
      </c>
      <c r="G378" s="8">
        <v>3457.14</v>
      </c>
      <c r="H378" s="8">
        <v>3604.63</v>
      </c>
      <c r="I378" s="8">
        <v>3516.13</v>
      </c>
      <c r="J378" s="8">
        <v>3487.76</v>
      </c>
      <c r="K378" s="8">
        <v>3456.37</v>
      </c>
      <c r="L378" s="8">
        <v>3458.37</v>
      </c>
      <c r="M378" s="50"/>
      <c r="N378" s="50"/>
      <c r="O378" s="50"/>
      <c r="P378" s="50"/>
      <c r="Q378" s="48"/>
      <c r="R378" s="48"/>
      <c r="S378" s="49"/>
      <c r="T378" s="48"/>
      <c r="U378" s="48"/>
      <c r="V378" s="47"/>
      <c r="W378" s="48"/>
      <c r="X378" s="8"/>
    </row>
    <row r="379" spans="1:31" ht="24.75" customHeight="1" thickBot="1">
      <c r="A379" s="199"/>
      <c r="B379" s="42"/>
      <c r="C379" s="45" t="s">
        <v>154</v>
      </c>
      <c r="D379" s="44">
        <f t="shared" ref="D379:L379" si="121">IF(((D377="")*AND(D378="")),"",(D377-D378)*2)</f>
        <v>3428.3400000000011</v>
      </c>
      <c r="E379" s="44">
        <f t="shared" si="121"/>
        <v>3412.8599999999997</v>
      </c>
      <c r="F379" s="44">
        <f t="shared" si="121"/>
        <v>3406.5400000000009</v>
      </c>
      <c r="G379" s="44">
        <f t="shared" si="121"/>
        <v>3407.8</v>
      </c>
      <c r="H379" s="44">
        <f t="shared" si="121"/>
        <v>3319.0200000000004</v>
      </c>
      <c r="I379" s="44">
        <f t="shared" si="121"/>
        <v>3356.8199999999997</v>
      </c>
      <c r="J379" s="44">
        <f t="shared" si="121"/>
        <v>3408.2999999999993</v>
      </c>
      <c r="K379" s="44">
        <f t="shared" si="121"/>
        <v>3415.5</v>
      </c>
      <c r="L379" s="44">
        <f t="shared" si="121"/>
        <v>3436.7199999999993</v>
      </c>
      <c r="M379" s="44"/>
      <c r="N379" s="44"/>
      <c r="O379" s="44"/>
      <c r="P379" s="44"/>
      <c r="Q379" s="42"/>
      <c r="R379" s="42"/>
      <c r="S379" s="43"/>
      <c r="T379" s="42"/>
      <c r="U379" s="42"/>
      <c r="V379" s="41"/>
      <c r="W379" s="42"/>
      <c r="X379" s="8"/>
    </row>
    <row r="380" spans="1:31">
      <c r="A380" s="201">
        <v>42990</v>
      </c>
      <c r="B380" s="63" t="s">
        <v>158</v>
      </c>
      <c r="C380" s="56" t="s">
        <v>156</v>
      </c>
      <c r="D380" s="8">
        <v>2163.0300000000002</v>
      </c>
      <c r="E380" s="8">
        <v>2134.5700000000002</v>
      </c>
      <c r="F380" s="8">
        <v>2125.12</v>
      </c>
      <c r="G380" s="8">
        <v>2141.23</v>
      </c>
      <c r="H380" s="8">
        <v>2170.6</v>
      </c>
      <c r="I380" s="8">
        <v>2155.27</v>
      </c>
      <c r="J380" s="8">
        <v>2128.09</v>
      </c>
      <c r="K380" s="8">
        <v>2145.96</v>
      </c>
      <c r="L380" s="8">
        <v>2174.9699999999998</v>
      </c>
      <c r="M380" s="62"/>
      <c r="N380" s="62"/>
      <c r="O380" s="62"/>
      <c r="P380" s="62"/>
      <c r="Q380" s="63">
        <f>IF((L381=""),"",MAX(D382:L382))</f>
        <v>2895.7599999999993</v>
      </c>
      <c r="R380" s="63">
        <f>IF(L381="","",MIN(D382:L382))</f>
        <v>2638.8799999999992</v>
      </c>
      <c r="S380" s="63">
        <f>IF((L382=""),"",AVERAGE(D382:L382))</f>
        <v>2752.6311111111113</v>
      </c>
      <c r="T380" s="63">
        <f>IF((L381=""),"",((Q380-R380)/(Q380+R380))*100)</f>
        <v>4.6413136175071941</v>
      </c>
      <c r="U380" s="51">
        <f>STDEV(D380:L380)</f>
        <v>18.241293128427994</v>
      </c>
      <c r="V380" s="64" t="str">
        <f>IF(L381="","",(IF(T380&lt;12,IF(S380&gt;2200,IF(S380&lt;3280,"Pass","Fail"),"Fail"),"Fail")))</f>
        <v>Pass</v>
      </c>
      <c r="W380" s="63"/>
      <c r="Z380" s="37">
        <v>2000</v>
      </c>
      <c r="AA380" s="37">
        <v>3000</v>
      </c>
      <c r="AB380" s="37">
        <v>2200</v>
      </c>
      <c r="AC380" s="37">
        <v>3280</v>
      </c>
      <c r="AD380" s="39">
        <v>12</v>
      </c>
      <c r="AE380" s="39">
        <v>12</v>
      </c>
    </row>
    <row r="381" spans="1:31" ht="16.5" customHeight="1">
      <c r="A381" s="199"/>
      <c r="B381" s="48"/>
      <c r="C381" s="51" t="s">
        <v>155</v>
      </c>
      <c r="D381" s="8">
        <v>1473.43</v>
      </c>
      <c r="E381" s="8">
        <v>1457.6</v>
      </c>
      <c r="F381" s="8">
        <v>1465.4</v>
      </c>
      <c r="G381" s="8">
        <v>1453.86</v>
      </c>
      <c r="H381" s="8">
        <v>1458.35</v>
      </c>
      <c r="I381" s="8">
        <v>1472.38</v>
      </c>
      <c r="J381" s="8">
        <v>1460.53</v>
      </c>
      <c r="K381" s="8">
        <v>1452.84</v>
      </c>
      <c r="L381" s="8">
        <v>1451.03</v>
      </c>
      <c r="M381" s="50"/>
      <c r="N381" s="50"/>
      <c r="O381" s="50"/>
      <c r="P381" s="50"/>
      <c r="Q381" s="48"/>
      <c r="R381" s="48"/>
      <c r="S381" s="48"/>
      <c r="T381" s="48"/>
      <c r="U381" s="48"/>
      <c r="V381" s="47"/>
      <c r="W381" s="48"/>
      <c r="X381" s="8"/>
    </row>
    <row r="382" spans="1:31" ht="24.75" customHeight="1" thickBot="1">
      <c r="A382" s="199"/>
      <c r="B382" s="61"/>
      <c r="C382" s="51" t="s">
        <v>154</v>
      </c>
      <c r="D382" s="24">
        <f t="shared" ref="D382:L382" si="122">IF(((D380="")*AND(D381="")),"",(D380-D381)*4)</f>
        <v>2758.4000000000005</v>
      </c>
      <c r="E382" s="24">
        <f t="shared" si="122"/>
        <v>2707.880000000001</v>
      </c>
      <c r="F382" s="24">
        <f t="shared" si="122"/>
        <v>2638.8799999999992</v>
      </c>
      <c r="G382" s="24">
        <f t="shared" si="122"/>
        <v>2749.4800000000005</v>
      </c>
      <c r="H382" s="24">
        <f t="shared" si="122"/>
        <v>2849</v>
      </c>
      <c r="I382" s="24">
        <f t="shared" si="122"/>
        <v>2731.5599999999995</v>
      </c>
      <c r="J382" s="24">
        <f t="shared" si="122"/>
        <v>2670.2400000000007</v>
      </c>
      <c r="K382" s="24">
        <f t="shared" si="122"/>
        <v>2772.4800000000005</v>
      </c>
      <c r="L382" s="24">
        <f t="shared" si="122"/>
        <v>2895.7599999999993</v>
      </c>
      <c r="M382" s="24"/>
      <c r="N382" s="24"/>
      <c r="O382" s="24"/>
      <c r="P382" s="24" t="str">
        <f>IF(((P380="")*AND(P381="")),"",(P380-P381)*4)</f>
        <v/>
      </c>
      <c r="Q382" s="61"/>
      <c r="R382" s="61"/>
      <c r="S382" s="61"/>
      <c r="T382" s="61"/>
      <c r="U382" s="61"/>
      <c r="V382" s="60"/>
      <c r="W382" s="61"/>
      <c r="X382" s="8"/>
    </row>
    <row r="383" spans="1:31">
      <c r="A383" s="201">
        <v>42990</v>
      </c>
      <c r="B383" s="57" t="s">
        <v>157</v>
      </c>
      <c r="C383" s="51" t="s">
        <v>156</v>
      </c>
      <c r="D383" s="8">
        <v>3448.38</v>
      </c>
      <c r="E383" s="8">
        <v>3456.7</v>
      </c>
      <c r="F383" s="8">
        <v>3498.71</v>
      </c>
      <c r="G383" s="8">
        <v>3474.34</v>
      </c>
      <c r="H383" s="8">
        <v>3620.77</v>
      </c>
      <c r="I383" s="8">
        <v>3534.16</v>
      </c>
      <c r="J383" s="8">
        <v>3503.81</v>
      </c>
      <c r="K383" s="8">
        <v>3473.34</v>
      </c>
      <c r="L383" s="8">
        <v>3474.72</v>
      </c>
      <c r="M383" s="50"/>
      <c r="N383" s="50"/>
      <c r="O383" s="50"/>
      <c r="P383" s="50"/>
      <c r="Q383" s="57">
        <f>IF((L384=""),"",MAX(D385:L385))</f>
        <v>3453.72</v>
      </c>
      <c r="R383" s="57">
        <f>IF(L384="","",MIN(D385:L385))</f>
        <v>3352.82</v>
      </c>
      <c r="S383" s="58">
        <f>IF((L385=""),"",AVERAGE(D385:L385))</f>
        <v>3429.4666666666672</v>
      </c>
      <c r="T383" s="57">
        <f>IF((L384=""),"",((Q383-R383)/(Q383+R383))*100)</f>
        <v>1.4823978115165655</v>
      </c>
      <c r="U383" s="56">
        <f>STDEV(D383:L383)</f>
        <v>52.786159197035865</v>
      </c>
      <c r="V383" s="55" t="str">
        <f>IF(L384="","",(IF(T383&lt;7,IF(S383&gt;2800,IF(S383&lt;3800,"Pass","Fail"),"Fail"),"Fail")))</f>
        <v>Pass</v>
      </c>
      <c r="W383" s="57"/>
      <c r="Z383" s="53">
        <v>2800</v>
      </c>
      <c r="AA383" s="53">
        <v>3800</v>
      </c>
      <c r="AB383" s="53">
        <v>3100</v>
      </c>
      <c r="AC383" s="53">
        <v>3760</v>
      </c>
      <c r="AD383" s="52">
        <v>6</v>
      </c>
      <c r="AE383" s="52">
        <v>6</v>
      </c>
    </row>
    <row r="384" spans="1:31" ht="16.5" customHeight="1">
      <c r="A384" s="199"/>
      <c r="B384" s="48"/>
      <c r="C384" s="51" t="s">
        <v>155</v>
      </c>
      <c r="D384" s="8">
        <v>1725</v>
      </c>
      <c r="E384" s="8">
        <v>1732.51</v>
      </c>
      <c r="F384" s="8">
        <v>1779.06</v>
      </c>
      <c r="G384" s="8">
        <v>1754.7</v>
      </c>
      <c r="H384" s="8">
        <v>1944.36</v>
      </c>
      <c r="I384" s="8">
        <v>1834.37</v>
      </c>
      <c r="J384" s="8">
        <v>1784.6</v>
      </c>
      <c r="K384" s="8">
        <v>1749.87</v>
      </c>
      <c r="L384" s="8">
        <v>1747.86</v>
      </c>
      <c r="M384" s="50"/>
      <c r="N384" s="50"/>
      <c r="O384" s="50"/>
      <c r="P384" s="50"/>
      <c r="Q384" s="48"/>
      <c r="R384" s="48"/>
      <c r="S384" s="49"/>
      <c r="T384" s="48"/>
      <c r="U384" s="48"/>
      <c r="V384" s="47"/>
      <c r="W384" s="48"/>
      <c r="X384" s="8"/>
    </row>
    <row r="385" spans="1:31" ht="24.75" customHeight="1" thickBot="1">
      <c r="A385" s="199"/>
      <c r="B385" s="42"/>
      <c r="C385" s="45" t="s">
        <v>154</v>
      </c>
      <c r="D385" s="44">
        <f t="shared" ref="D385:L385" si="123">IF(((D383="")*AND(D384="")),"",(D383-D384)*2)</f>
        <v>3446.76</v>
      </c>
      <c r="E385" s="44">
        <f t="shared" si="123"/>
        <v>3448.3799999999997</v>
      </c>
      <c r="F385" s="44">
        <f t="shared" si="123"/>
        <v>3439.3</v>
      </c>
      <c r="G385" s="44">
        <f t="shared" si="123"/>
        <v>3439.28</v>
      </c>
      <c r="H385" s="44">
        <f t="shared" si="123"/>
        <v>3352.82</v>
      </c>
      <c r="I385" s="44">
        <f t="shared" si="123"/>
        <v>3399.58</v>
      </c>
      <c r="J385" s="44">
        <f t="shared" si="123"/>
        <v>3438.42</v>
      </c>
      <c r="K385" s="44">
        <f t="shared" si="123"/>
        <v>3446.9400000000005</v>
      </c>
      <c r="L385" s="44">
        <f t="shared" si="123"/>
        <v>3453.72</v>
      </c>
      <c r="M385" s="44"/>
      <c r="N385" s="44"/>
      <c r="O385" s="44"/>
      <c r="P385" s="44"/>
      <c r="Q385" s="42"/>
      <c r="R385" s="42"/>
      <c r="S385" s="43"/>
      <c r="T385" s="42"/>
      <c r="U385" s="42"/>
      <c r="V385" s="41"/>
      <c r="W385" s="42"/>
      <c r="X385" s="8"/>
    </row>
    <row r="386" spans="1:31">
      <c r="A386" s="201">
        <v>42995</v>
      </c>
      <c r="B386" s="63" t="s">
        <v>158</v>
      </c>
      <c r="C386" s="56" t="s">
        <v>156</v>
      </c>
      <c r="D386" s="8">
        <v>1930.8</v>
      </c>
      <c r="E386" s="8">
        <v>1924.57</v>
      </c>
      <c r="F386" s="8">
        <v>1920.66</v>
      </c>
      <c r="G386" s="8">
        <v>1928.68</v>
      </c>
      <c r="H386" s="8">
        <v>1937.16</v>
      </c>
      <c r="I386" s="8">
        <v>1935.21</v>
      </c>
      <c r="J386" s="8">
        <v>1926.97</v>
      </c>
      <c r="K386" s="8">
        <v>1925.59</v>
      </c>
      <c r="L386" s="8">
        <v>1932.47</v>
      </c>
      <c r="M386" s="62"/>
      <c r="N386" s="62"/>
      <c r="O386" s="62"/>
      <c r="P386" s="62"/>
      <c r="Q386" s="63">
        <f>IF((L387=""),"",MAX(D388:L388))</f>
        <v>2557.4800000000005</v>
      </c>
      <c r="R386" s="63">
        <f>IF(L387="","",MIN(D388:L388))</f>
        <v>2421.92</v>
      </c>
      <c r="S386" s="63">
        <f>IF((L388=""),"",AVERAGE(D388:L388))</f>
        <v>2488.6622222222222</v>
      </c>
      <c r="T386" s="63">
        <f>IF((L387=""),"",((Q386-R386)/(Q386+R386))*100)</f>
        <v>2.7224163553841905</v>
      </c>
      <c r="U386" s="51">
        <f>STDEV(D386:L386)</f>
        <v>5.307136704455564</v>
      </c>
      <c r="V386" s="64" t="str">
        <f>IF(L387="","",(IF(T386&lt;12,IF(S386&gt;2200,IF(S386&lt;3280,"Pass","Fail"),"Fail"),"Fail")))</f>
        <v>Pass</v>
      </c>
      <c r="W386" s="63">
        <v>64</v>
      </c>
      <c r="Z386" s="37">
        <v>2000</v>
      </c>
      <c r="AA386" s="37">
        <v>3000</v>
      </c>
      <c r="AB386" s="37">
        <v>2200</v>
      </c>
      <c r="AC386" s="37">
        <v>3280</v>
      </c>
      <c r="AD386" s="39">
        <v>12</v>
      </c>
      <c r="AE386" s="39">
        <v>12</v>
      </c>
    </row>
    <row r="387" spans="1:31" ht="16.5" customHeight="1">
      <c r="A387" s="199"/>
      <c r="B387" s="48"/>
      <c r="C387" s="51" t="s">
        <v>155</v>
      </c>
      <c r="D387" s="8">
        <v>1314.82</v>
      </c>
      <c r="E387" s="8">
        <v>1300.26</v>
      </c>
      <c r="F387" s="8">
        <v>1312.19</v>
      </c>
      <c r="G387" s="8">
        <v>1299.7</v>
      </c>
      <c r="H387" s="8">
        <v>1313.41</v>
      </c>
      <c r="I387" s="8">
        <v>1329.73</v>
      </c>
      <c r="J387" s="8">
        <v>1308.58</v>
      </c>
      <c r="K387" s="8">
        <v>1290.83</v>
      </c>
      <c r="L387" s="8">
        <v>1293.0999999999999</v>
      </c>
      <c r="M387" s="50"/>
      <c r="N387" s="50"/>
      <c r="O387" s="50"/>
      <c r="P387" s="50"/>
      <c r="Q387" s="48"/>
      <c r="R387" s="48"/>
      <c r="S387" s="48"/>
      <c r="T387" s="48"/>
      <c r="U387" s="48"/>
      <c r="V387" s="47"/>
      <c r="W387" s="48"/>
      <c r="X387" s="8"/>
    </row>
    <row r="388" spans="1:31" ht="24.75" customHeight="1" thickBot="1">
      <c r="A388" s="199"/>
      <c r="B388" s="61"/>
      <c r="C388" s="51" t="s">
        <v>154</v>
      </c>
      <c r="D388" s="24">
        <f t="shared" ref="D388:L388" si="124">IF(((D386="")*AND(D387="")),"",(D386-D387)*4)</f>
        <v>2463.92</v>
      </c>
      <c r="E388" s="24">
        <f t="shared" si="124"/>
        <v>2497.2399999999998</v>
      </c>
      <c r="F388" s="24">
        <f t="shared" si="124"/>
        <v>2433.88</v>
      </c>
      <c r="G388" s="24">
        <f t="shared" si="124"/>
        <v>2515.92</v>
      </c>
      <c r="H388" s="24">
        <f t="shared" si="124"/>
        <v>2495</v>
      </c>
      <c r="I388" s="24">
        <f t="shared" si="124"/>
        <v>2421.92</v>
      </c>
      <c r="J388" s="24">
        <f t="shared" si="124"/>
        <v>2473.5600000000004</v>
      </c>
      <c r="K388" s="24">
        <f t="shared" si="124"/>
        <v>2539.04</v>
      </c>
      <c r="L388" s="24">
        <f t="shared" si="124"/>
        <v>2557.4800000000005</v>
      </c>
      <c r="M388" s="24"/>
      <c r="N388" s="24"/>
      <c r="O388" s="24"/>
      <c r="P388" s="24" t="str">
        <f>IF(((P386="")*AND(P387="")),"",(P386-P387)*4)</f>
        <v/>
      </c>
      <c r="Q388" s="61"/>
      <c r="R388" s="61"/>
      <c r="S388" s="61"/>
      <c r="T388" s="61"/>
      <c r="U388" s="61"/>
      <c r="V388" s="60"/>
      <c r="W388" s="61"/>
      <c r="X388" s="8"/>
    </row>
    <row r="389" spans="1:31">
      <c r="A389" s="201">
        <v>42995</v>
      </c>
      <c r="B389" s="57" t="s">
        <v>157</v>
      </c>
      <c r="C389" s="51" t="s">
        <v>156</v>
      </c>
      <c r="D389" s="8">
        <v>6893.2</v>
      </c>
      <c r="E389" s="8">
        <v>6900.2</v>
      </c>
      <c r="F389" s="8">
        <v>6931.75</v>
      </c>
      <c r="G389" s="8">
        <v>6890.37</v>
      </c>
      <c r="H389" s="8">
        <v>6914.6</v>
      </c>
      <c r="I389" s="8">
        <v>6914.12</v>
      </c>
      <c r="J389" s="8">
        <v>6931.68</v>
      </c>
      <c r="K389" s="8">
        <v>6921.34</v>
      </c>
      <c r="L389" s="8">
        <v>6931.58</v>
      </c>
      <c r="M389" s="50"/>
      <c r="N389" s="50"/>
      <c r="O389" s="50"/>
      <c r="P389" s="50"/>
      <c r="Q389" s="57">
        <f>IF((L390=""),"",MAX(D391:L391))</f>
        <v>3441.6800000000003</v>
      </c>
      <c r="R389" s="57">
        <f>IF(L390="","",MIN(D391:L391))</f>
        <v>3345.380000000001</v>
      </c>
      <c r="S389" s="58">
        <f>IF((L391=""),"",AVERAGE(D391:L391))</f>
        <v>3408.0666666666675</v>
      </c>
      <c r="T389" s="57">
        <f>IF((L390=""),"",((Q389-R389)/(Q389+R389))*100)</f>
        <v>1.418876509121759</v>
      </c>
      <c r="U389" s="56">
        <f>STDEV(D389:L389)</f>
        <v>16.475405996810963</v>
      </c>
      <c r="V389" s="55" t="str">
        <f>IF(L390="","",(IF(T389&lt;7,IF(S389&gt;2800,IF(S389&lt;3800,"Pass","Fail"),"Fail"),"Fail")))</f>
        <v>Pass</v>
      </c>
      <c r="W389" s="57">
        <v>64</v>
      </c>
      <c r="Z389" s="53">
        <v>2800</v>
      </c>
      <c r="AA389" s="53">
        <v>3800</v>
      </c>
      <c r="AB389" s="53">
        <v>3100</v>
      </c>
      <c r="AC389" s="53">
        <v>3760</v>
      </c>
      <c r="AD389" s="52">
        <v>6</v>
      </c>
      <c r="AE389" s="52">
        <v>6</v>
      </c>
    </row>
    <row r="390" spans="1:31" ht="16.5" customHeight="1">
      <c r="A390" s="199"/>
      <c r="B390" s="48"/>
      <c r="C390" s="51" t="s">
        <v>155</v>
      </c>
      <c r="D390" s="8">
        <v>5172.3599999999997</v>
      </c>
      <c r="E390" s="8">
        <v>5189.3599999999997</v>
      </c>
      <c r="F390" s="8">
        <v>5227.59</v>
      </c>
      <c r="G390" s="8">
        <v>5184.82</v>
      </c>
      <c r="H390" s="8">
        <v>5241.91</v>
      </c>
      <c r="I390" s="8">
        <v>5220.28</v>
      </c>
      <c r="J390" s="8">
        <v>5223.96</v>
      </c>
      <c r="K390" s="8">
        <v>5215.12</v>
      </c>
      <c r="L390" s="8">
        <v>5217.1400000000003</v>
      </c>
      <c r="M390" s="50"/>
      <c r="N390" s="50"/>
      <c r="O390" s="50"/>
      <c r="P390" s="50"/>
      <c r="Q390" s="48"/>
      <c r="R390" s="48"/>
      <c r="S390" s="49"/>
      <c r="T390" s="48"/>
      <c r="U390" s="48"/>
      <c r="V390" s="47"/>
      <c r="W390" s="48"/>
      <c r="X390" s="8"/>
    </row>
    <row r="391" spans="1:31" ht="24.75" customHeight="1" thickBot="1">
      <c r="A391" s="199"/>
      <c r="B391" s="42"/>
      <c r="C391" s="45" t="s">
        <v>154</v>
      </c>
      <c r="D391" s="44">
        <f t="shared" ref="D391:L391" si="125">IF(((D389="")*AND(D390="")),"",(D389-D390)*2)</f>
        <v>3441.6800000000003</v>
      </c>
      <c r="E391" s="44">
        <f t="shared" si="125"/>
        <v>3421.6800000000003</v>
      </c>
      <c r="F391" s="44">
        <f t="shared" si="125"/>
        <v>3408.3199999999997</v>
      </c>
      <c r="G391" s="44">
        <f t="shared" si="125"/>
        <v>3411.1000000000004</v>
      </c>
      <c r="H391" s="44">
        <f t="shared" si="125"/>
        <v>3345.380000000001</v>
      </c>
      <c r="I391" s="44">
        <f t="shared" si="125"/>
        <v>3387.6800000000003</v>
      </c>
      <c r="J391" s="44">
        <f t="shared" si="125"/>
        <v>3415.4400000000005</v>
      </c>
      <c r="K391" s="44">
        <f t="shared" si="125"/>
        <v>3412.4400000000005</v>
      </c>
      <c r="L391" s="44">
        <f t="shared" si="125"/>
        <v>3428.8799999999992</v>
      </c>
      <c r="M391" s="44"/>
      <c r="N391" s="44"/>
      <c r="O391" s="44"/>
      <c r="P391" s="44"/>
      <c r="Q391" s="42"/>
      <c r="R391" s="42"/>
      <c r="S391" s="43"/>
      <c r="T391" s="42"/>
      <c r="U391" s="42"/>
      <c r="V391" s="41"/>
      <c r="W391" s="42"/>
      <c r="X391" s="8"/>
    </row>
    <row r="392" spans="1:31">
      <c r="A392" s="201">
        <v>43000</v>
      </c>
      <c r="B392" s="63" t="s">
        <v>158</v>
      </c>
      <c r="C392" s="56" t="s">
        <v>156</v>
      </c>
      <c r="D392" s="8">
        <v>1817.57</v>
      </c>
      <c r="E392" s="8">
        <v>1847.98</v>
      </c>
      <c r="F392" s="8">
        <v>1860.38</v>
      </c>
      <c r="G392" s="8">
        <v>1846.55</v>
      </c>
      <c r="H392" s="8">
        <v>1799.63</v>
      </c>
      <c r="I392" s="8">
        <v>1798.28</v>
      </c>
      <c r="J392" s="8">
        <v>1872.84</v>
      </c>
      <c r="K392" s="8">
        <v>1823.87</v>
      </c>
      <c r="L392" s="8">
        <v>1888.31</v>
      </c>
      <c r="M392" s="62"/>
      <c r="N392" s="62"/>
      <c r="O392" s="62"/>
      <c r="P392" s="62"/>
      <c r="Q392" s="63">
        <f>IF((L393=""),"",MAX(D394:L394))</f>
        <v>2524.8000000000002</v>
      </c>
      <c r="R392" s="63">
        <f>IF(L393="","",MIN(D394:L394))</f>
        <v>2018.3199999999997</v>
      </c>
      <c r="S392" s="63">
        <f>IF((L394=""),"",AVERAGE(D394:L394))</f>
        <v>2261.4888888888891</v>
      </c>
      <c r="T392" s="63">
        <f>IF((L393=""),"",((Q392-R392)/(Q392+R392))*100)</f>
        <v>11.148285759566123</v>
      </c>
      <c r="U392" s="51">
        <f>STDEV(D392:L392)</f>
        <v>31.751939310820376</v>
      </c>
      <c r="V392" s="64" t="str">
        <f>IF(L393="","",(IF(T392&lt;12,IF(S392&gt;2200,IF(S392&lt;3280,"Pass","Fail"),"Fail"),"Fail")))</f>
        <v>Pass</v>
      </c>
      <c r="W392" s="63">
        <v>1335</v>
      </c>
      <c r="Z392" s="37">
        <v>2000</v>
      </c>
      <c r="AA392" s="37">
        <v>3000</v>
      </c>
      <c r="AB392" s="37">
        <v>2200</v>
      </c>
      <c r="AC392" s="37">
        <v>3280</v>
      </c>
      <c r="AD392" s="39">
        <v>12</v>
      </c>
      <c r="AE392" s="39">
        <v>12</v>
      </c>
    </row>
    <row r="393" spans="1:31" ht="16.5" customHeight="1">
      <c r="A393" s="199"/>
      <c r="B393" s="48"/>
      <c r="C393" s="51" t="s">
        <v>155</v>
      </c>
      <c r="D393" s="8">
        <v>1283.3</v>
      </c>
      <c r="E393" s="8">
        <v>1276.1400000000001</v>
      </c>
      <c r="F393" s="8">
        <v>1282.27</v>
      </c>
      <c r="G393" s="8">
        <v>1269.5899999999999</v>
      </c>
      <c r="H393" s="8">
        <v>1268.01</v>
      </c>
      <c r="I393" s="8">
        <v>1293.7</v>
      </c>
      <c r="J393" s="8">
        <v>1274.08</v>
      </c>
      <c r="K393" s="8">
        <v>1262.8599999999999</v>
      </c>
      <c r="L393" s="8">
        <v>1257.1099999999999</v>
      </c>
      <c r="M393" s="50"/>
      <c r="N393" s="50"/>
      <c r="O393" s="50"/>
      <c r="P393" s="50"/>
      <c r="Q393" s="48"/>
      <c r="R393" s="48"/>
      <c r="S393" s="48"/>
      <c r="T393" s="48"/>
      <c r="U393" s="48"/>
      <c r="V393" s="47"/>
      <c r="W393" s="48"/>
      <c r="X393" s="8"/>
    </row>
    <row r="394" spans="1:31" ht="24.75" customHeight="1" thickBot="1">
      <c r="A394" s="199"/>
      <c r="B394" s="61"/>
      <c r="C394" s="51" t="s">
        <v>154</v>
      </c>
      <c r="D394" s="24">
        <f t="shared" ref="D394:L394" si="126">IF(((D392="")*AND(D393="")),"",(D392-D393)*4)</f>
        <v>2137.08</v>
      </c>
      <c r="E394" s="24">
        <f t="shared" si="126"/>
        <v>2287.3599999999997</v>
      </c>
      <c r="F394" s="24">
        <f t="shared" si="126"/>
        <v>2312.4400000000005</v>
      </c>
      <c r="G394" s="24">
        <f t="shared" si="126"/>
        <v>2307.84</v>
      </c>
      <c r="H394" s="24">
        <f t="shared" si="126"/>
        <v>2126.4800000000005</v>
      </c>
      <c r="I394" s="24">
        <f t="shared" si="126"/>
        <v>2018.3199999999997</v>
      </c>
      <c r="J394" s="24">
        <f t="shared" si="126"/>
        <v>2395.04</v>
      </c>
      <c r="K394" s="24">
        <f t="shared" si="126"/>
        <v>2244.04</v>
      </c>
      <c r="L394" s="24">
        <f t="shared" si="126"/>
        <v>2524.8000000000002</v>
      </c>
      <c r="M394" s="24"/>
      <c r="N394" s="24"/>
      <c r="O394" s="24"/>
      <c r="P394" s="24" t="str">
        <f>IF(((P392="")*AND(P393="")),"",(P392-P393)*4)</f>
        <v/>
      </c>
      <c r="Q394" s="61"/>
      <c r="R394" s="61"/>
      <c r="S394" s="61"/>
      <c r="T394" s="61"/>
      <c r="U394" s="61"/>
      <c r="V394" s="60"/>
      <c r="W394" s="61"/>
      <c r="X394" s="8"/>
    </row>
    <row r="395" spans="1:31">
      <c r="A395" s="201">
        <v>43000</v>
      </c>
      <c r="B395" s="57" t="s">
        <v>157</v>
      </c>
      <c r="C395" s="51" t="s">
        <v>156</v>
      </c>
      <c r="D395" s="8">
        <v>4800.79</v>
      </c>
      <c r="E395" s="8">
        <v>4834</v>
      </c>
      <c r="F395" s="8">
        <v>4869.1099999999997</v>
      </c>
      <c r="G395" s="8">
        <v>4821.12</v>
      </c>
      <c r="H395" s="8">
        <v>4870.21</v>
      </c>
      <c r="I395" s="8">
        <v>4842.91</v>
      </c>
      <c r="J395" s="8">
        <v>4858.05</v>
      </c>
      <c r="K395" s="8">
        <v>4853.9399999999996</v>
      </c>
      <c r="L395" s="8">
        <v>4833.7</v>
      </c>
      <c r="M395" s="50"/>
      <c r="N395" s="50"/>
      <c r="O395" s="50"/>
      <c r="P395" s="50"/>
      <c r="Q395" s="57">
        <f>IF((L396=""),"",MAX(D397:L397))</f>
        <v>3390.6000000000004</v>
      </c>
      <c r="R395" s="57">
        <f>IF(L396="","",MIN(D397:L397))</f>
        <v>3295.66</v>
      </c>
      <c r="S395" s="58">
        <f>IF((L397=""),"",AVERAGE(D397:L397))</f>
        <v>3365.4044444444439</v>
      </c>
      <c r="T395" s="57">
        <f>IF((L396=""),"",((Q395-R395)/(Q395+R395))*100)</f>
        <v>1.419926835031849</v>
      </c>
      <c r="U395" s="56">
        <f>STDEV(D395:L395)</f>
        <v>22.899515157204185</v>
      </c>
      <c r="V395" s="55" t="str">
        <f>IF(L396="","",(IF(T395&lt;7,IF(S395&gt;2800,IF(S395&lt;3800,"Pass","Fail"),"Fail"),"Fail")))</f>
        <v>Pass</v>
      </c>
      <c r="W395" s="57">
        <v>64</v>
      </c>
      <c r="Z395" s="53">
        <v>2800</v>
      </c>
      <c r="AA395" s="53">
        <v>3800</v>
      </c>
      <c r="AB395" s="53">
        <v>3100</v>
      </c>
      <c r="AC395" s="53">
        <v>3760</v>
      </c>
      <c r="AD395" s="52">
        <v>6</v>
      </c>
      <c r="AE395" s="52">
        <v>6</v>
      </c>
    </row>
    <row r="396" spans="1:31" ht="16.5" customHeight="1">
      <c r="A396" s="199"/>
      <c r="B396" s="48"/>
      <c r="C396" s="51" t="s">
        <v>155</v>
      </c>
      <c r="D396" s="8">
        <v>3105.49</v>
      </c>
      <c r="E396" s="8">
        <v>3143.45</v>
      </c>
      <c r="F396" s="8">
        <v>3185.69</v>
      </c>
      <c r="G396" s="8">
        <v>3134.5</v>
      </c>
      <c r="H396" s="8">
        <v>3222.38</v>
      </c>
      <c r="I396" s="8">
        <v>3168.63</v>
      </c>
      <c r="J396" s="8">
        <v>3175.29</v>
      </c>
      <c r="K396" s="8">
        <v>3165.26</v>
      </c>
      <c r="L396" s="8">
        <v>3138.82</v>
      </c>
      <c r="M396" s="50"/>
      <c r="N396" s="50"/>
      <c r="O396" s="50"/>
      <c r="P396" s="50"/>
      <c r="Q396" s="48"/>
      <c r="R396" s="48"/>
      <c r="S396" s="49"/>
      <c r="T396" s="48"/>
      <c r="U396" s="48"/>
      <c r="V396" s="47"/>
      <c r="W396" s="48"/>
      <c r="X396" s="8"/>
    </row>
    <row r="397" spans="1:31" ht="24.75" customHeight="1" thickBot="1">
      <c r="A397" s="199"/>
      <c r="B397" s="42"/>
      <c r="C397" s="45" t="s">
        <v>154</v>
      </c>
      <c r="D397" s="44">
        <f t="shared" ref="D397:L397" si="127">IF(((D395="")*AND(D396="")),"",(D395-D396)*2)</f>
        <v>3390.6000000000004</v>
      </c>
      <c r="E397" s="44">
        <f t="shared" si="127"/>
        <v>3381.1000000000004</v>
      </c>
      <c r="F397" s="44">
        <f t="shared" si="127"/>
        <v>3366.8399999999992</v>
      </c>
      <c r="G397" s="44">
        <f t="shared" si="127"/>
        <v>3373.24</v>
      </c>
      <c r="H397" s="44">
        <f t="shared" si="127"/>
        <v>3295.66</v>
      </c>
      <c r="I397" s="44">
        <f t="shared" si="127"/>
        <v>3348.5599999999995</v>
      </c>
      <c r="J397" s="44">
        <f t="shared" si="127"/>
        <v>3365.5200000000004</v>
      </c>
      <c r="K397" s="44">
        <f t="shared" si="127"/>
        <v>3377.3599999999988</v>
      </c>
      <c r="L397" s="44">
        <f t="shared" si="127"/>
        <v>3389.7599999999993</v>
      </c>
      <c r="M397" s="44"/>
      <c r="N397" s="44"/>
      <c r="O397" s="44"/>
      <c r="P397" s="44"/>
      <c r="Q397" s="42"/>
      <c r="R397" s="42"/>
      <c r="S397" s="43"/>
      <c r="T397" s="42"/>
      <c r="U397" s="42"/>
      <c r="V397" s="41"/>
      <c r="W397" s="42"/>
      <c r="X397" s="8"/>
    </row>
    <row r="398" spans="1:31">
      <c r="A398" s="201">
        <v>43000</v>
      </c>
      <c r="B398" s="63" t="s">
        <v>158</v>
      </c>
      <c r="C398" s="56" t="s">
        <v>156</v>
      </c>
      <c r="D398" s="8">
        <v>1953.04</v>
      </c>
      <c r="E398" s="8">
        <v>1944.31</v>
      </c>
      <c r="F398" s="8">
        <v>1940.52</v>
      </c>
      <c r="G398" s="8">
        <v>1950.16</v>
      </c>
      <c r="H398" s="8">
        <v>1959.11</v>
      </c>
      <c r="I398" s="8">
        <v>1954.01</v>
      </c>
      <c r="J398" s="8">
        <v>1944.18</v>
      </c>
      <c r="K398" s="8">
        <v>1948.64</v>
      </c>
      <c r="L398" s="8">
        <v>1957.14</v>
      </c>
      <c r="M398" s="62"/>
      <c r="N398" s="62"/>
      <c r="O398" s="62"/>
      <c r="P398" s="62"/>
      <c r="Q398" s="63">
        <f>IF((L399=""),"",MAX(D400:L400))</f>
        <v>2694.5200000000004</v>
      </c>
      <c r="R398" s="63">
        <f>IF(L399="","",MIN(D400:L400))</f>
        <v>2539.2799999999997</v>
      </c>
      <c r="S398" s="63">
        <f>IF((L400=""),"",AVERAGE(D400:L400))</f>
        <v>2597.96</v>
      </c>
      <c r="T398" s="63">
        <f>IF((L399=""),"",((Q398-R398)/(Q398+R398))*100)</f>
        <v>2.9661049333180611</v>
      </c>
      <c r="U398" s="51">
        <f>STDEV(D398:L398)</f>
        <v>6.2963342509869973</v>
      </c>
      <c r="V398" s="64" t="str">
        <f>IF(L399="","",(IF(T398&lt;12,IF(S398&gt;2200,IF(S398&lt;3280,"Pass","Fail"),"Fail"),"Fail")))</f>
        <v>Pass</v>
      </c>
      <c r="W398" s="63">
        <v>1335</v>
      </c>
      <c r="Z398" s="37">
        <v>2000</v>
      </c>
      <c r="AA398" s="37">
        <v>3000</v>
      </c>
      <c r="AB398" s="37">
        <v>2200</v>
      </c>
      <c r="AC398" s="37">
        <v>3280</v>
      </c>
      <c r="AD398" s="39">
        <v>12</v>
      </c>
      <c r="AE398" s="39">
        <v>12</v>
      </c>
    </row>
    <row r="399" spans="1:31" ht="16.5" customHeight="1">
      <c r="A399" s="199"/>
      <c r="B399" s="48"/>
      <c r="C399" s="51" t="s">
        <v>155</v>
      </c>
      <c r="D399" s="8">
        <v>1304.77</v>
      </c>
      <c r="E399" s="8">
        <v>1297.93</v>
      </c>
      <c r="F399" s="8">
        <v>1305.7</v>
      </c>
      <c r="G399" s="8">
        <v>1299.93</v>
      </c>
      <c r="H399" s="8">
        <v>1299.8699999999999</v>
      </c>
      <c r="I399" s="8">
        <v>1319.04</v>
      </c>
      <c r="J399" s="8">
        <v>1306.56</v>
      </c>
      <c r="K399" s="8">
        <v>1288.3900000000001</v>
      </c>
      <c r="L399" s="8">
        <v>1283.51</v>
      </c>
      <c r="M399" s="50"/>
      <c r="N399" s="50"/>
      <c r="O399" s="50"/>
      <c r="P399" s="50"/>
      <c r="Q399" s="48"/>
      <c r="R399" s="48"/>
      <c r="S399" s="48"/>
      <c r="T399" s="48"/>
      <c r="U399" s="48"/>
      <c r="V399" s="47"/>
      <c r="W399" s="48"/>
      <c r="X399" s="8"/>
    </row>
    <row r="400" spans="1:31" ht="24.75" customHeight="1" thickBot="1">
      <c r="A400" s="199"/>
      <c r="B400" s="61"/>
      <c r="C400" s="51" t="s">
        <v>154</v>
      </c>
      <c r="D400" s="24">
        <f t="shared" ref="D400:L400" si="128">IF(((D398="")*AND(D399="")),"",(D398-D399)*4)</f>
        <v>2593.08</v>
      </c>
      <c r="E400" s="24">
        <f t="shared" si="128"/>
        <v>2585.5199999999995</v>
      </c>
      <c r="F400" s="24">
        <f t="shared" si="128"/>
        <v>2539.2799999999997</v>
      </c>
      <c r="G400" s="24">
        <f t="shared" si="128"/>
        <v>2600.92</v>
      </c>
      <c r="H400" s="24">
        <f t="shared" si="128"/>
        <v>2636.96</v>
      </c>
      <c r="I400" s="24">
        <f t="shared" si="128"/>
        <v>2539.88</v>
      </c>
      <c r="J400" s="24">
        <f t="shared" si="128"/>
        <v>2550.4800000000005</v>
      </c>
      <c r="K400" s="24">
        <f t="shared" si="128"/>
        <v>2641</v>
      </c>
      <c r="L400" s="24">
        <f t="shared" si="128"/>
        <v>2694.5200000000004</v>
      </c>
      <c r="M400" s="24"/>
      <c r="N400" s="24"/>
      <c r="O400" s="24"/>
      <c r="P400" s="24" t="str">
        <f>IF(((P398="")*AND(P399="")),"",(P398-P399)*4)</f>
        <v/>
      </c>
      <c r="Q400" s="61"/>
      <c r="R400" s="61"/>
      <c r="S400" s="61"/>
      <c r="T400" s="61"/>
      <c r="U400" s="61"/>
      <c r="V400" s="60"/>
      <c r="W400" s="61"/>
      <c r="X400" s="8"/>
    </row>
    <row r="401" spans="1:31">
      <c r="A401" s="201">
        <v>43000</v>
      </c>
      <c r="B401" s="57" t="s">
        <v>157</v>
      </c>
      <c r="C401" s="51" t="s">
        <v>156</v>
      </c>
      <c r="D401" s="8">
        <v>3116.02</v>
      </c>
      <c r="E401" s="8">
        <v>3154.32</v>
      </c>
      <c r="F401" s="8">
        <v>3196.74</v>
      </c>
      <c r="G401" s="8">
        <v>3144.59</v>
      </c>
      <c r="H401" s="8">
        <v>3233.17</v>
      </c>
      <c r="I401" s="8">
        <v>3179.6</v>
      </c>
      <c r="J401" s="8">
        <v>3186.03</v>
      </c>
      <c r="K401" s="8">
        <v>3175.9</v>
      </c>
      <c r="L401" s="8">
        <v>3148.86</v>
      </c>
      <c r="M401" s="50"/>
      <c r="N401" s="50"/>
      <c r="O401" s="50"/>
      <c r="P401" s="50"/>
      <c r="Q401" s="57">
        <f>IF((L402=""),"",MAX(D403:L403))</f>
        <v>3463.9</v>
      </c>
      <c r="R401" s="57">
        <f>IF(L402="","",MIN(D403:L403))</f>
        <v>3304.04</v>
      </c>
      <c r="S401" s="58">
        <f>IF((L403=""),"",AVERAGE(D403:L403))</f>
        <v>3408.557777777778</v>
      </c>
      <c r="T401" s="57">
        <f>IF((L402=""),"",((Q401-R401)/(Q401+R401))*100)</f>
        <v>2.3620185758147989</v>
      </c>
      <c r="U401" s="56">
        <f>STDEV(D401:L401)</f>
        <v>34.166208980680253</v>
      </c>
      <c r="V401" s="55" t="str">
        <f>IF(L402="","",(IF(T401&lt;7,IF(S401&gt;2800,IF(S401&lt;3800,"Pass","Fail"),"Fail"),"Fail")))</f>
        <v>Pass</v>
      </c>
      <c r="W401" s="57">
        <v>64</v>
      </c>
      <c r="Z401" s="53">
        <v>2800</v>
      </c>
      <c r="AA401" s="53">
        <v>3800</v>
      </c>
      <c r="AB401" s="53">
        <v>3100</v>
      </c>
      <c r="AC401" s="53">
        <v>3760</v>
      </c>
      <c r="AD401" s="52">
        <v>6</v>
      </c>
      <c r="AE401" s="52">
        <v>6</v>
      </c>
    </row>
    <row r="402" spans="1:31" ht="16.5" customHeight="1">
      <c r="A402" s="199"/>
      <c r="B402" s="48"/>
      <c r="C402" s="51" t="s">
        <v>155</v>
      </c>
      <c r="D402" s="8">
        <v>1384.07</v>
      </c>
      <c r="E402" s="8">
        <v>1434.61</v>
      </c>
      <c r="F402" s="8">
        <v>1485.47</v>
      </c>
      <c r="G402" s="8">
        <v>1434.78</v>
      </c>
      <c r="H402" s="8">
        <v>1581.15</v>
      </c>
      <c r="I402" s="8">
        <v>1496.34</v>
      </c>
      <c r="J402" s="8">
        <v>1473.69</v>
      </c>
      <c r="K402" s="8">
        <v>1465.1</v>
      </c>
      <c r="L402" s="8">
        <v>1441.51</v>
      </c>
      <c r="M402" s="50"/>
      <c r="N402" s="50"/>
      <c r="O402" s="50"/>
      <c r="P402" s="50"/>
      <c r="Q402" s="48"/>
      <c r="R402" s="48"/>
      <c r="S402" s="49"/>
      <c r="T402" s="48"/>
      <c r="U402" s="48"/>
      <c r="V402" s="47"/>
      <c r="W402" s="48"/>
      <c r="X402" s="8"/>
    </row>
    <row r="403" spans="1:31" ht="24.75" customHeight="1" thickBot="1">
      <c r="A403" s="199"/>
      <c r="B403" s="42"/>
      <c r="C403" s="45" t="s">
        <v>154</v>
      </c>
      <c r="D403" s="44">
        <f t="shared" ref="D403:L403" si="129">IF(((D401="")*AND(D402="")),"",(D401-D402)*2)</f>
        <v>3463.9</v>
      </c>
      <c r="E403" s="44">
        <f t="shared" si="129"/>
        <v>3439.4200000000005</v>
      </c>
      <c r="F403" s="44">
        <f t="shared" si="129"/>
        <v>3422.5399999999995</v>
      </c>
      <c r="G403" s="44">
        <f t="shared" si="129"/>
        <v>3419.6200000000003</v>
      </c>
      <c r="H403" s="44">
        <f t="shared" si="129"/>
        <v>3304.04</v>
      </c>
      <c r="I403" s="44">
        <f t="shared" si="129"/>
        <v>3366.52</v>
      </c>
      <c r="J403" s="44">
        <f t="shared" si="129"/>
        <v>3424.6800000000003</v>
      </c>
      <c r="K403" s="44">
        <f t="shared" si="129"/>
        <v>3421.6000000000004</v>
      </c>
      <c r="L403" s="44">
        <f t="shared" si="129"/>
        <v>3414.7000000000003</v>
      </c>
      <c r="M403" s="44"/>
      <c r="N403" s="44"/>
      <c r="O403" s="44"/>
      <c r="P403" s="44"/>
      <c r="Q403" s="42"/>
      <c r="R403" s="42"/>
      <c r="S403" s="43"/>
      <c r="T403" s="42"/>
      <c r="U403" s="42"/>
      <c r="V403" s="41"/>
      <c r="W403" s="42"/>
      <c r="X403" s="8"/>
    </row>
    <row r="404" spans="1:31">
      <c r="A404" s="201">
        <v>43003</v>
      </c>
      <c r="B404" s="63" t="s">
        <v>158</v>
      </c>
      <c r="C404" s="56" t="s">
        <v>156</v>
      </c>
      <c r="D404" s="8">
        <v>1953.04</v>
      </c>
      <c r="E404" s="8">
        <v>1944.31</v>
      </c>
      <c r="F404" s="8">
        <v>1940.52</v>
      </c>
      <c r="G404" s="8">
        <v>1950.16</v>
      </c>
      <c r="H404" s="8">
        <v>1959.11</v>
      </c>
      <c r="I404" s="8">
        <v>1954.01</v>
      </c>
      <c r="J404" s="8">
        <v>1944.18</v>
      </c>
      <c r="K404" s="8">
        <v>1948.64</v>
      </c>
      <c r="L404" s="8">
        <v>1957.14</v>
      </c>
      <c r="M404" s="62"/>
      <c r="N404" s="62"/>
      <c r="O404" s="62"/>
      <c r="P404" s="62"/>
      <c r="Q404" s="63">
        <f>IF((L405=""),"",MAX(D406:L406))</f>
        <v>2694.5200000000004</v>
      </c>
      <c r="R404" s="63">
        <f>IF(L405="","",MIN(D406:L406))</f>
        <v>2539.2799999999997</v>
      </c>
      <c r="S404" s="63">
        <f>IF((L406=""),"",AVERAGE(D406:L406))</f>
        <v>2597.96</v>
      </c>
      <c r="T404" s="63">
        <f>IF((L405=""),"",((Q404-R404)/(Q404+R404))*100)</f>
        <v>2.9661049333180611</v>
      </c>
      <c r="U404" s="51">
        <f>STDEV(D404:L404)</f>
        <v>6.2963342509869973</v>
      </c>
      <c r="V404" s="64" t="str">
        <f>IF(L405="","",(IF(T404&lt;12,IF(S404&gt;2200,IF(S404&lt;3280,"Pass","Fail"),"Fail"),"Fail")))</f>
        <v>Pass</v>
      </c>
      <c r="W404" s="63">
        <v>1534</v>
      </c>
      <c r="X404" s="26" t="s">
        <v>185</v>
      </c>
      <c r="Z404" s="37">
        <v>2000</v>
      </c>
      <c r="AA404" s="37">
        <v>3000</v>
      </c>
      <c r="AB404" s="37">
        <v>2200</v>
      </c>
      <c r="AC404" s="37">
        <v>3280</v>
      </c>
      <c r="AD404" s="39">
        <v>12</v>
      </c>
      <c r="AE404" s="39">
        <v>12</v>
      </c>
    </row>
    <row r="405" spans="1:31" ht="16.5" customHeight="1">
      <c r="A405" s="199"/>
      <c r="B405" s="48"/>
      <c r="C405" s="51" t="s">
        <v>155</v>
      </c>
      <c r="D405" s="8">
        <v>1304.77</v>
      </c>
      <c r="E405" s="8">
        <v>1297.93</v>
      </c>
      <c r="F405" s="8">
        <v>1305.7</v>
      </c>
      <c r="G405" s="8">
        <v>1299.93</v>
      </c>
      <c r="H405" s="8">
        <v>1299.8699999999999</v>
      </c>
      <c r="I405" s="8">
        <v>1319.04</v>
      </c>
      <c r="J405" s="8">
        <v>1306.56</v>
      </c>
      <c r="K405" s="8">
        <v>1288.3900000000001</v>
      </c>
      <c r="L405" s="8">
        <v>1283.51</v>
      </c>
      <c r="M405" s="50"/>
      <c r="N405" s="50"/>
      <c r="O405" s="50"/>
      <c r="P405" s="50"/>
      <c r="Q405" s="48"/>
      <c r="R405" s="48"/>
      <c r="S405" s="48"/>
      <c r="T405" s="48"/>
      <c r="U405" s="48"/>
      <c r="V405" s="47"/>
      <c r="W405" s="48"/>
      <c r="X405" s="8"/>
    </row>
    <row r="406" spans="1:31" ht="24.75" customHeight="1" thickBot="1">
      <c r="A406" s="199"/>
      <c r="B406" s="61"/>
      <c r="C406" s="51" t="s">
        <v>154</v>
      </c>
      <c r="D406" s="24">
        <f t="shared" ref="D406:L406" si="130">IF(((D404="")*AND(D405="")),"",(D404-D405)*4)</f>
        <v>2593.08</v>
      </c>
      <c r="E406" s="24">
        <f t="shared" si="130"/>
        <v>2585.5199999999995</v>
      </c>
      <c r="F406" s="24">
        <f t="shared" si="130"/>
        <v>2539.2799999999997</v>
      </c>
      <c r="G406" s="24">
        <f t="shared" si="130"/>
        <v>2600.92</v>
      </c>
      <c r="H406" s="24">
        <f t="shared" si="130"/>
        <v>2636.96</v>
      </c>
      <c r="I406" s="24">
        <f t="shared" si="130"/>
        <v>2539.88</v>
      </c>
      <c r="J406" s="24">
        <f t="shared" si="130"/>
        <v>2550.4800000000005</v>
      </c>
      <c r="K406" s="24">
        <f t="shared" si="130"/>
        <v>2641</v>
      </c>
      <c r="L406" s="24">
        <f t="shared" si="130"/>
        <v>2694.5200000000004</v>
      </c>
      <c r="M406" s="24"/>
      <c r="N406" s="24"/>
      <c r="O406" s="24"/>
      <c r="P406" s="24" t="str">
        <f>IF(((P404="")*AND(P405="")),"",(P404-P405)*4)</f>
        <v/>
      </c>
      <c r="Q406" s="61"/>
      <c r="R406" s="61"/>
      <c r="S406" s="61"/>
      <c r="T406" s="61"/>
      <c r="U406" s="61"/>
      <c r="V406" s="60"/>
      <c r="W406" s="61"/>
      <c r="X406" s="8"/>
    </row>
    <row r="407" spans="1:31">
      <c r="A407" s="201">
        <v>43003</v>
      </c>
      <c r="B407" s="57" t="s">
        <v>157</v>
      </c>
      <c r="C407" s="51" t="s">
        <v>156</v>
      </c>
      <c r="D407" s="8">
        <v>3116.02</v>
      </c>
      <c r="E407" s="8">
        <v>3154.32</v>
      </c>
      <c r="F407" s="8">
        <v>3196.74</v>
      </c>
      <c r="G407" s="8">
        <v>3144.59</v>
      </c>
      <c r="H407" s="8">
        <v>3233.17</v>
      </c>
      <c r="I407" s="8">
        <v>3179.6</v>
      </c>
      <c r="J407" s="8">
        <v>3186.03</v>
      </c>
      <c r="K407" s="8">
        <v>3175.9</v>
      </c>
      <c r="L407" s="8">
        <v>3148.86</v>
      </c>
      <c r="M407" s="50"/>
      <c r="N407" s="50"/>
      <c r="O407" s="50"/>
      <c r="P407" s="50"/>
      <c r="Q407" s="57">
        <f>IF((L408=""),"",MAX(D409:L409))</f>
        <v>3463.9</v>
      </c>
      <c r="R407" s="57">
        <f>IF(L408="","",MIN(D409:L409))</f>
        <v>3304.04</v>
      </c>
      <c r="S407" s="58">
        <f>IF((L409=""),"",AVERAGE(D409:L409))</f>
        <v>3408.557777777778</v>
      </c>
      <c r="T407" s="57">
        <f>IF((L408=""),"",((Q407-R407)/(Q407+R407))*100)</f>
        <v>2.3620185758147989</v>
      </c>
      <c r="U407" s="56">
        <f>STDEV(D407:L407)</f>
        <v>34.166208980680253</v>
      </c>
      <c r="V407" s="55" t="str">
        <f>IF(L408="","",(IF(T407&lt;7,IF(S407&gt;2800,IF(S407&lt;3800,"Pass","Fail"),"Fail"),"Fail")))</f>
        <v>Pass</v>
      </c>
      <c r="W407" s="57">
        <v>1534</v>
      </c>
      <c r="X407" s="26" t="s">
        <v>185</v>
      </c>
      <c r="Z407" s="53">
        <v>2800</v>
      </c>
      <c r="AA407" s="53">
        <v>3800</v>
      </c>
      <c r="AB407" s="53">
        <v>3100</v>
      </c>
      <c r="AC407" s="53">
        <v>3760</v>
      </c>
      <c r="AD407" s="52">
        <v>6</v>
      </c>
      <c r="AE407" s="52">
        <v>6</v>
      </c>
    </row>
    <row r="408" spans="1:31" ht="16.5" customHeight="1">
      <c r="A408" s="199"/>
      <c r="B408" s="48"/>
      <c r="C408" s="51" t="s">
        <v>155</v>
      </c>
      <c r="D408" s="8">
        <v>1384.07</v>
      </c>
      <c r="E408" s="8">
        <v>1434.61</v>
      </c>
      <c r="F408" s="8">
        <v>1485.47</v>
      </c>
      <c r="G408" s="8">
        <v>1434.78</v>
      </c>
      <c r="H408" s="8">
        <v>1581.15</v>
      </c>
      <c r="I408" s="8">
        <v>1496.34</v>
      </c>
      <c r="J408" s="8">
        <v>1473.69</v>
      </c>
      <c r="K408" s="8">
        <v>1465.1</v>
      </c>
      <c r="L408" s="8">
        <v>1441.51</v>
      </c>
      <c r="M408" s="50"/>
      <c r="N408" s="50"/>
      <c r="O408" s="50"/>
      <c r="P408" s="50"/>
      <c r="Q408" s="48"/>
      <c r="R408" s="48"/>
      <c r="S408" s="49"/>
      <c r="T408" s="48"/>
      <c r="U408" s="48"/>
      <c r="V408" s="47"/>
      <c r="W408" s="48"/>
      <c r="X408" s="8"/>
    </row>
    <row r="409" spans="1:31" ht="24.75" customHeight="1" thickBot="1">
      <c r="A409" s="199"/>
      <c r="B409" s="42"/>
      <c r="C409" s="45" t="s">
        <v>154</v>
      </c>
      <c r="D409" s="44">
        <f t="shared" ref="D409:L409" si="131">IF(((D407="")*AND(D408="")),"",(D407-D408)*2)</f>
        <v>3463.9</v>
      </c>
      <c r="E409" s="44">
        <f t="shared" si="131"/>
        <v>3439.4200000000005</v>
      </c>
      <c r="F409" s="44">
        <f t="shared" si="131"/>
        <v>3422.5399999999995</v>
      </c>
      <c r="G409" s="44">
        <f t="shared" si="131"/>
        <v>3419.6200000000003</v>
      </c>
      <c r="H409" s="44">
        <f t="shared" si="131"/>
        <v>3304.04</v>
      </c>
      <c r="I409" s="44">
        <f t="shared" si="131"/>
        <v>3366.52</v>
      </c>
      <c r="J409" s="44">
        <f t="shared" si="131"/>
        <v>3424.6800000000003</v>
      </c>
      <c r="K409" s="44">
        <f t="shared" si="131"/>
        <v>3421.6000000000004</v>
      </c>
      <c r="L409" s="44">
        <f t="shared" si="131"/>
        <v>3414.7000000000003</v>
      </c>
      <c r="M409" s="44"/>
      <c r="N409" s="44"/>
      <c r="O409" s="44"/>
      <c r="P409" s="44"/>
      <c r="Q409" s="42"/>
      <c r="R409" s="42"/>
      <c r="S409" s="43"/>
      <c r="T409" s="42"/>
      <c r="U409" s="42"/>
      <c r="V409" s="41"/>
      <c r="W409" s="42"/>
      <c r="X409" s="8"/>
    </row>
    <row r="410" spans="1:31">
      <c r="A410" s="201">
        <v>43007</v>
      </c>
      <c r="B410" s="63" t="s">
        <v>158</v>
      </c>
      <c r="C410" s="56" t="s">
        <v>156</v>
      </c>
      <c r="D410" s="8">
        <v>1306.25</v>
      </c>
      <c r="E410" s="8">
        <v>1299.81</v>
      </c>
      <c r="F410" s="8">
        <v>1311.02</v>
      </c>
      <c r="G410" s="8">
        <v>1300.02</v>
      </c>
      <c r="H410" s="8">
        <v>1300.74</v>
      </c>
      <c r="I410" s="8">
        <v>1319.04</v>
      </c>
      <c r="J410" s="8">
        <v>1307.77</v>
      </c>
      <c r="K410" s="8">
        <v>1291.04</v>
      </c>
      <c r="L410" s="8">
        <v>1285.23</v>
      </c>
      <c r="M410" s="62"/>
      <c r="N410" s="62"/>
      <c r="O410" s="62"/>
      <c r="P410" s="62"/>
      <c r="Q410" s="63">
        <f>IF((L411=""),"",MAX(D412:L412))</f>
        <v>2639.48</v>
      </c>
      <c r="R410" s="63">
        <f>IF(L411="","",MIN(D412:L412))</f>
        <v>2486.64</v>
      </c>
      <c r="S410" s="63">
        <f>IF((L412=""),"",AVERAGE(D412:L412))</f>
        <v>2551.96</v>
      </c>
      <c r="T410" s="63">
        <f>IF((L411=""),"",((Q410-R410)/(Q410+R410))*100)</f>
        <v>2.9815923154354591</v>
      </c>
      <c r="U410" s="51">
        <f>STDEV(D410:L410)</f>
        <v>10.208994944595988</v>
      </c>
      <c r="V410" s="64" t="str">
        <f>IF(L411="","",(IF(T410&lt;12,IF(S410&gt;2200,IF(S410&lt;3280,"Pass","Fail"),"Fail"),"Fail")))</f>
        <v>Pass</v>
      </c>
      <c r="W410" s="63">
        <v>1159</v>
      </c>
      <c r="X410" s="26" t="s">
        <v>184</v>
      </c>
      <c r="Z410" s="37">
        <v>2000</v>
      </c>
      <c r="AA410" s="37">
        <v>3000</v>
      </c>
      <c r="AB410" s="37">
        <v>2200</v>
      </c>
      <c r="AC410" s="37">
        <v>3280</v>
      </c>
      <c r="AD410" s="39">
        <v>12</v>
      </c>
      <c r="AE410" s="39">
        <v>12</v>
      </c>
    </row>
    <row r="411" spans="1:31" ht="16.5" customHeight="1">
      <c r="A411" s="199"/>
      <c r="B411" s="48"/>
      <c r="C411" s="51" t="s">
        <v>155</v>
      </c>
      <c r="D411" s="8">
        <v>668.83</v>
      </c>
      <c r="E411" s="8">
        <v>664.17</v>
      </c>
      <c r="F411" s="8">
        <v>689.36</v>
      </c>
      <c r="G411" s="8">
        <v>661.44</v>
      </c>
      <c r="H411" s="8">
        <v>655.29</v>
      </c>
      <c r="I411" s="8">
        <v>692.27</v>
      </c>
      <c r="J411" s="8">
        <v>679.83</v>
      </c>
      <c r="K411" s="8">
        <v>642.46</v>
      </c>
      <c r="L411" s="8">
        <v>625.36</v>
      </c>
      <c r="M411" s="50"/>
      <c r="N411" s="50"/>
      <c r="O411" s="50"/>
      <c r="P411" s="50"/>
      <c r="Q411" s="48"/>
      <c r="R411" s="48"/>
      <c r="S411" s="48"/>
      <c r="T411" s="48"/>
      <c r="U411" s="48"/>
      <c r="V411" s="47"/>
      <c r="W411" s="48"/>
      <c r="X411" s="8"/>
    </row>
    <row r="412" spans="1:31" ht="24.75" customHeight="1" thickBot="1">
      <c r="A412" s="199"/>
      <c r="B412" s="61"/>
      <c r="C412" s="51" t="s">
        <v>154</v>
      </c>
      <c r="D412" s="24">
        <f t="shared" ref="D412:L412" si="132">IF(((D410="")*AND(D411="")),"",(D410-D411)*4)</f>
        <v>2549.6799999999998</v>
      </c>
      <c r="E412" s="24">
        <f t="shared" si="132"/>
        <v>2542.56</v>
      </c>
      <c r="F412" s="24">
        <f t="shared" si="132"/>
        <v>2486.64</v>
      </c>
      <c r="G412" s="24">
        <f t="shared" si="132"/>
        <v>2554.3199999999997</v>
      </c>
      <c r="H412" s="24">
        <f t="shared" si="132"/>
        <v>2581.8000000000002</v>
      </c>
      <c r="I412" s="24">
        <f t="shared" si="132"/>
        <v>2507.08</v>
      </c>
      <c r="J412" s="24">
        <f t="shared" si="132"/>
        <v>2511.7599999999998</v>
      </c>
      <c r="K412" s="24">
        <f t="shared" si="132"/>
        <v>2594.3199999999997</v>
      </c>
      <c r="L412" s="24">
        <f t="shared" si="132"/>
        <v>2639.48</v>
      </c>
      <c r="M412" s="24"/>
      <c r="N412" s="24"/>
      <c r="O412" s="24"/>
      <c r="P412" s="24" t="str">
        <f>IF(((P410="")*AND(P411="")),"",(P410-P411)*4)</f>
        <v/>
      </c>
      <c r="Q412" s="61"/>
      <c r="R412" s="61"/>
      <c r="S412" s="61"/>
      <c r="T412" s="61"/>
      <c r="U412" s="61"/>
      <c r="V412" s="60"/>
      <c r="W412" s="61"/>
      <c r="X412" s="8"/>
    </row>
    <row r="413" spans="1:31">
      <c r="A413" s="202">
        <v>43007</v>
      </c>
      <c r="B413" s="57" t="s">
        <v>157</v>
      </c>
      <c r="C413" s="51" t="s">
        <v>156</v>
      </c>
      <c r="D413" s="8">
        <v>7033.78</v>
      </c>
      <c r="E413" s="8">
        <v>7025.33</v>
      </c>
      <c r="F413" s="8">
        <v>7063.75</v>
      </c>
      <c r="G413" s="8">
        <v>7041.76</v>
      </c>
      <c r="H413" s="8">
        <v>7123.96</v>
      </c>
      <c r="I413" s="8">
        <v>7061.17</v>
      </c>
      <c r="J413" s="8">
        <v>7068.84</v>
      </c>
      <c r="K413" s="8">
        <v>7055.38</v>
      </c>
      <c r="L413" s="8">
        <v>7079.9</v>
      </c>
      <c r="M413" s="50"/>
      <c r="N413" s="50"/>
      <c r="O413" s="50"/>
      <c r="P413" s="50"/>
      <c r="Q413" s="57">
        <f>IF((L414=""),"",MAX(D415:L415))</f>
        <v>3451.0599999999995</v>
      </c>
      <c r="R413" s="57">
        <f>IF(L414="","",MIN(D415:L415))</f>
        <v>3325.42</v>
      </c>
      <c r="S413" s="58">
        <f>IF((L415=""),"",AVERAGE(D415:L415))</f>
        <v>3414.6311111111113</v>
      </c>
      <c r="T413" s="57">
        <f>IF((L414=""),"",((Q413-R413)/(Q413+R413))*100)</f>
        <v>1.8540599249167626</v>
      </c>
      <c r="U413" s="56">
        <f>STDEV(D413:L413)</f>
        <v>29.160402708423739</v>
      </c>
      <c r="V413" s="55" t="str">
        <f>IF(L414="","",(IF(T413&lt;7,IF(S413&gt;2800,IF(S413&lt;3800,"Pass","Fail"),"Fail"),"Fail")))</f>
        <v>Pass</v>
      </c>
      <c r="W413" s="57">
        <v>1159</v>
      </c>
      <c r="X413" s="26" t="s">
        <v>184</v>
      </c>
      <c r="Z413" s="53">
        <v>2800</v>
      </c>
      <c r="AA413" s="53">
        <v>3800</v>
      </c>
      <c r="AB413" s="53">
        <v>3100</v>
      </c>
      <c r="AC413" s="53">
        <v>3760</v>
      </c>
      <c r="AD413" s="52">
        <v>6</v>
      </c>
      <c r="AE413" s="52">
        <v>6</v>
      </c>
    </row>
    <row r="414" spans="1:31" ht="16.5" customHeight="1">
      <c r="A414" s="199"/>
      <c r="B414" s="48"/>
      <c r="C414" s="51" t="s">
        <v>155</v>
      </c>
      <c r="D414" s="8">
        <v>5308.78</v>
      </c>
      <c r="E414" s="8">
        <v>5308.65</v>
      </c>
      <c r="F414" s="8">
        <v>5352.74</v>
      </c>
      <c r="G414" s="8">
        <v>5329.9</v>
      </c>
      <c r="H414" s="8">
        <v>5461.25</v>
      </c>
      <c r="I414" s="8">
        <v>5376.07</v>
      </c>
      <c r="J414" s="8">
        <v>5355.89</v>
      </c>
      <c r="K414" s="8">
        <v>5340.38</v>
      </c>
      <c r="L414" s="8">
        <v>5354.37</v>
      </c>
      <c r="M414" s="50"/>
      <c r="N414" s="50"/>
      <c r="O414" s="50"/>
      <c r="P414" s="50"/>
      <c r="Q414" s="48"/>
      <c r="R414" s="48"/>
      <c r="S414" s="49"/>
      <c r="T414" s="48"/>
      <c r="U414" s="48"/>
      <c r="V414" s="47"/>
      <c r="W414" s="48"/>
      <c r="X414" s="8"/>
    </row>
    <row r="415" spans="1:31" ht="24.75" customHeight="1" thickBot="1">
      <c r="A415" s="199"/>
      <c r="B415" s="42"/>
      <c r="C415" s="45" t="s">
        <v>154</v>
      </c>
      <c r="D415" s="44">
        <f t="shared" ref="D415:L415" si="133">IF(((D413="")*AND(D414="")),"",(D413-D414)*2)</f>
        <v>3450</v>
      </c>
      <c r="E415" s="44">
        <f t="shared" si="133"/>
        <v>3433.3600000000006</v>
      </c>
      <c r="F415" s="44">
        <f t="shared" si="133"/>
        <v>3422.0200000000004</v>
      </c>
      <c r="G415" s="44">
        <f t="shared" si="133"/>
        <v>3423.7200000000012</v>
      </c>
      <c r="H415" s="44">
        <f t="shared" si="133"/>
        <v>3325.42</v>
      </c>
      <c r="I415" s="44">
        <f t="shared" si="133"/>
        <v>3370.2000000000007</v>
      </c>
      <c r="J415" s="44">
        <f t="shared" si="133"/>
        <v>3425.8999999999996</v>
      </c>
      <c r="K415" s="44">
        <f t="shared" si="133"/>
        <v>3430</v>
      </c>
      <c r="L415" s="44">
        <f t="shared" si="133"/>
        <v>3451.0599999999995</v>
      </c>
      <c r="M415" s="44"/>
      <c r="N415" s="44"/>
      <c r="O415" s="44"/>
      <c r="P415" s="44"/>
      <c r="Q415" s="42"/>
      <c r="R415" s="42"/>
      <c r="S415" s="43"/>
      <c r="T415" s="42"/>
      <c r="U415" s="42"/>
      <c r="V415" s="41"/>
      <c r="W415" s="42"/>
      <c r="X415" s="8"/>
    </row>
    <row r="416" spans="1:31">
      <c r="A416" s="201">
        <v>43011</v>
      </c>
      <c r="B416" s="63" t="s">
        <v>158</v>
      </c>
      <c r="C416" s="56" t="s">
        <v>156</v>
      </c>
      <c r="D416" s="8">
        <v>1934.58</v>
      </c>
      <c r="E416" s="8">
        <v>1932.28</v>
      </c>
      <c r="F416" s="8">
        <v>1928.99</v>
      </c>
      <c r="G416" s="8">
        <v>1936.42</v>
      </c>
      <c r="H416" s="8">
        <v>1941.05</v>
      </c>
      <c r="I416" s="8">
        <v>1942.55</v>
      </c>
      <c r="J416" s="8">
        <v>1935.12</v>
      </c>
      <c r="K416" s="8">
        <v>1934.07</v>
      </c>
      <c r="L416" s="8">
        <v>1939.22</v>
      </c>
      <c r="M416" s="62"/>
      <c r="N416" s="62"/>
      <c r="O416" s="62"/>
      <c r="P416" s="62"/>
      <c r="Q416" s="63">
        <f>IF((L417=""),"",MAX(D418:L418))</f>
        <v>2712.5200000000004</v>
      </c>
      <c r="R416" s="63">
        <f>IF(L417="","",MIN(D418:L418))</f>
        <v>2537.5600000000004</v>
      </c>
      <c r="S416" s="63">
        <f>IF((L418=""),"",AVERAGE(D418:L418))</f>
        <v>2613.6355555555551</v>
      </c>
      <c r="T416" s="63">
        <f>IF((L417=""),"",((Q416-R416)/(Q416+R416))*100)</f>
        <v>3.3325206473044227</v>
      </c>
      <c r="U416" s="51">
        <f>STDEV(D416:L416)</f>
        <v>4.3074831528783548</v>
      </c>
      <c r="V416" s="64" t="str">
        <f>IF(L417="","",(IF(T416&lt;12,IF(S416&gt;2200,IF(S416&lt;3280,"Pass","Fail"),"Fail"),"Fail")))</f>
        <v>Pass</v>
      </c>
      <c r="W416" s="63">
        <v>1428</v>
      </c>
      <c r="Z416" s="37">
        <v>2000</v>
      </c>
      <c r="AA416" s="37">
        <v>3000</v>
      </c>
      <c r="AB416" s="37">
        <v>2200</v>
      </c>
      <c r="AC416" s="37">
        <v>3280</v>
      </c>
      <c r="AD416" s="39">
        <v>12</v>
      </c>
      <c r="AE416" s="39">
        <v>12</v>
      </c>
    </row>
    <row r="417" spans="1:31" ht="16.5" customHeight="1">
      <c r="A417" s="199"/>
      <c r="B417" s="48"/>
      <c r="C417" s="51" t="s">
        <v>155</v>
      </c>
      <c r="D417" s="8">
        <v>1288.81</v>
      </c>
      <c r="E417" s="8">
        <v>1286.97</v>
      </c>
      <c r="F417" s="8">
        <v>1294.5999999999999</v>
      </c>
      <c r="G417" s="8">
        <v>1280.1300000000001</v>
      </c>
      <c r="H417" s="8">
        <v>1272</v>
      </c>
      <c r="I417" s="8">
        <v>1295.1500000000001</v>
      </c>
      <c r="J417" s="8">
        <v>1292.52</v>
      </c>
      <c r="K417" s="8">
        <v>1272.33</v>
      </c>
      <c r="L417" s="8">
        <v>1261.0899999999999</v>
      </c>
      <c r="M417" s="50"/>
      <c r="N417" s="50"/>
      <c r="O417" s="50"/>
      <c r="P417" s="50"/>
      <c r="Q417" s="48"/>
      <c r="R417" s="48"/>
      <c r="S417" s="48"/>
      <c r="T417" s="48"/>
      <c r="U417" s="48"/>
      <c r="V417" s="47"/>
      <c r="W417" s="48"/>
      <c r="X417" s="8"/>
    </row>
    <row r="418" spans="1:31" ht="24.75" customHeight="1" thickBot="1">
      <c r="A418" s="199"/>
      <c r="B418" s="61"/>
      <c r="C418" s="51" t="s">
        <v>154</v>
      </c>
      <c r="D418" s="24">
        <f t="shared" ref="D418:L418" si="134">IF(((D416="")*AND(D417="")),"",(D416-D417)*4)</f>
        <v>2583.08</v>
      </c>
      <c r="E418" s="24">
        <f t="shared" si="134"/>
        <v>2581.2399999999998</v>
      </c>
      <c r="F418" s="24">
        <f t="shared" si="134"/>
        <v>2537.5600000000004</v>
      </c>
      <c r="G418" s="24">
        <f t="shared" si="134"/>
        <v>2625.16</v>
      </c>
      <c r="H418" s="24">
        <f t="shared" si="134"/>
        <v>2676.2</v>
      </c>
      <c r="I418" s="24">
        <f t="shared" si="134"/>
        <v>2589.5999999999995</v>
      </c>
      <c r="J418" s="24">
        <f t="shared" si="134"/>
        <v>2570.3999999999996</v>
      </c>
      <c r="K418" s="24">
        <f t="shared" si="134"/>
        <v>2646.96</v>
      </c>
      <c r="L418" s="24">
        <f t="shared" si="134"/>
        <v>2712.5200000000004</v>
      </c>
      <c r="M418" s="24"/>
      <c r="N418" s="24"/>
      <c r="O418" s="24"/>
      <c r="P418" s="24" t="str">
        <f>IF(((P416="")*AND(P417="")),"",(P416-P417)*4)</f>
        <v/>
      </c>
      <c r="Q418" s="61"/>
      <c r="R418" s="61"/>
      <c r="S418" s="61"/>
      <c r="T418" s="61"/>
      <c r="U418" s="61"/>
      <c r="V418" s="60"/>
      <c r="W418" s="61"/>
      <c r="X418" s="8"/>
    </row>
    <row r="419" spans="1:31">
      <c r="A419" s="202">
        <v>43011</v>
      </c>
      <c r="B419" s="57" t="s">
        <v>157</v>
      </c>
      <c r="C419" s="51" t="s">
        <v>156</v>
      </c>
      <c r="D419" s="8">
        <v>4694.99</v>
      </c>
      <c r="E419" s="8">
        <v>4864.7299999999996</v>
      </c>
      <c r="F419" s="8">
        <v>4915.1099999999997</v>
      </c>
      <c r="G419" s="8">
        <v>4831.68</v>
      </c>
      <c r="H419" s="8">
        <v>4734.84</v>
      </c>
      <c r="I419" s="8">
        <v>4791.6899999999996</v>
      </c>
      <c r="J419" s="8">
        <v>4854.66</v>
      </c>
      <c r="K419" s="8">
        <v>4896.21</v>
      </c>
      <c r="L419" s="8">
        <v>4839.33</v>
      </c>
      <c r="M419" s="50"/>
      <c r="N419" s="50"/>
      <c r="O419" s="50"/>
      <c r="P419" s="50"/>
      <c r="Q419" s="57">
        <f>IF((L420=""),"",MAX(D421:L421))</f>
        <v>3496.3199999999988</v>
      </c>
      <c r="R419" s="57">
        <f>IF(L420="","",MIN(D421:L421))</f>
        <v>3434.6400000000003</v>
      </c>
      <c r="S419" s="58">
        <f>IF((L421=""),"",AVERAGE(D421:L421))</f>
        <v>3449.971111111111</v>
      </c>
      <c r="T419" s="57">
        <f>IF((L420=""),"",((Q419-R419)/(Q419+R419))*100)</f>
        <v>0.88992001108069407</v>
      </c>
      <c r="U419" s="56">
        <f>STDEV(D419:L419)</f>
        <v>72.490924968433703</v>
      </c>
      <c r="V419" s="55" t="str">
        <f>IF(L420="","",(IF(T419&lt;7,IF(S419&gt;2800,IF(S419&lt;3800,"Pass","Fail"),"Fail"),"Fail")))</f>
        <v>Pass</v>
      </c>
      <c r="W419" s="57">
        <v>1428</v>
      </c>
      <c r="Z419" s="53">
        <v>2800</v>
      </c>
      <c r="AA419" s="53">
        <v>3800</v>
      </c>
      <c r="AB419" s="53">
        <v>3100</v>
      </c>
      <c r="AC419" s="53">
        <v>3760</v>
      </c>
      <c r="AD419" s="52">
        <v>6</v>
      </c>
      <c r="AE419" s="52">
        <v>6</v>
      </c>
    </row>
    <row r="420" spans="1:31" ht="16.5" customHeight="1">
      <c r="A420" s="199"/>
      <c r="B420" s="48"/>
      <c r="C420" s="51" t="s">
        <v>155</v>
      </c>
      <c r="D420" s="8">
        <v>2964.62</v>
      </c>
      <c r="E420" s="8">
        <v>3140.94</v>
      </c>
      <c r="F420" s="8">
        <v>3197.57</v>
      </c>
      <c r="G420" s="8">
        <v>3114.36</v>
      </c>
      <c r="H420" s="8">
        <v>3016.89</v>
      </c>
      <c r="I420" s="8">
        <v>3043.53</v>
      </c>
      <c r="J420" s="8">
        <v>3136.02</v>
      </c>
      <c r="K420" s="8">
        <v>3174.43</v>
      </c>
      <c r="L420" s="8">
        <v>3110.01</v>
      </c>
      <c r="M420" s="50"/>
      <c r="N420" s="50"/>
      <c r="O420" s="50"/>
      <c r="P420" s="50"/>
      <c r="Q420" s="48"/>
      <c r="R420" s="48"/>
      <c r="S420" s="49"/>
      <c r="T420" s="48"/>
      <c r="U420" s="48"/>
      <c r="V420" s="47"/>
      <c r="W420" s="48"/>
      <c r="X420" s="8"/>
    </row>
    <row r="421" spans="1:31" ht="24.75" customHeight="1" thickBot="1">
      <c r="A421" s="199"/>
      <c r="B421" s="42"/>
      <c r="C421" s="45" t="s">
        <v>154</v>
      </c>
      <c r="D421" s="44">
        <f t="shared" ref="D421:L421" si="135">IF(((D419="")*AND(D420="")),"",(D419-D420)*2)</f>
        <v>3460.74</v>
      </c>
      <c r="E421" s="44">
        <f t="shared" si="135"/>
        <v>3447.579999999999</v>
      </c>
      <c r="F421" s="44">
        <f t="shared" si="135"/>
        <v>3435.079999999999</v>
      </c>
      <c r="G421" s="44">
        <f t="shared" si="135"/>
        <v>3434.6400000000003</v>
      </c>
      <c r="H421" s="44">
        <f t="shared" si="135"/>
        <v>3435.9000000000005</v>
      </c>
      <c r="I421" s="44">
        <f t="shared" si="135"/>
        <v>3496.3199999999988</v>
      </c>
      <c r="J421" s="44">
        <f t="shared" si="135"/>
        <v>3437.2799999999997</v>
      </c>
      <c r="K421" s="44">
        <f t="shared" si="135"/>
        <v>3443.5600000000004</v>
      </c>
      <c r="L421" s="44">
        <f t="shared" si="135"/>
        <v>3458.6399999999994</v>
      </c>
      <c r="M421" s="44"/>
      <c r="N421" s="44"/>
      <c r="O421" s="44"/>
      <c r="P421" s="44"/>
      <c r="Q421" s="42"/>
      <c r="R421" s="42"/>
      <c r="S421" s="43"/>
      <c r="T421" s="42"/>
      <c r="U421" s="42"/>
      <c r="V421" s="41"/>
      <c r="W421" s="42"/>
      <c r="X421" s="8"/>
    </row>
    <row r="422" spans="1:31">
      <c r="A422" s="201">
        <v>43018</v>
      </c>
      <c r="B422" s="63" t="s">
        <v>158</v>
      </c>
      <c r="C422" s="56" t="s">
        <v>156</v>
      </c>
      <c r="D422" s="8">
        <v>1292.03</v>
      </c>
      <c r="E422" s="8">
        <v>1287.54</v>
      </c>
      <c r="F422" s="8">
        <v>1301.71</v>
      </c>
      <c r="G422" s="8">
        <v>1281.6300000000001</v>
      </c>
      <c r="H422" s="8">
        <v>1275.06</v>
      </c>
      <c r="I422" s="8">
        <v>1297.07</v>
      </c>
      <c r="J422" s="8">
        <v>1295.92</v>
      </c>
      <c r="K422" s="8">
        <v>1274.9000000000001</v>
      </c>
      <c r="L422" s="8">
        <v>1262.69</v>
      </c>
      <c r="M422" s="62"/>
      <c r="N422" s="62"/>
      <c r="O422" s="62"/>
      <c r="P422" s="62"/>
      <c r="Q422" s="63">
        <f>IF((L423=""),"",MAX(D424:L424))</f>
        <v>2629.1200000000003</v>
      </c>
      <c r="R422" s="63">
        <f>IF(L423="","",MIN(D424:L424))</f>
        <v>2482.1999999999998</v>
      </c>
      <c r="S422" s="63">
        <f>IF((L424=""),"",AVERAGE(D424:L424))</f>
        <v>2545.0844444444447</v>
      </c>
      <c r="T422" s="63">
        <f>IF((L423=""),"",((Q422-R422)/(Q422+R422))*100)</f>
        <v>2.8744042634779379</v>
      </c>
      <c r="U422" s="51">
        <f>STDEV(D422:L422)</f>
        <v>12.789322803742337</v>
      </c>
      <c r="V422" s="64" t="str">
        <f>IF(L423="","",(IF(T422&lt;12,IF(S422&gt;2200,IF(S422&lt;3280,"Pass","Fail"),"Fail"),"Fail")))</f>
        <v>Pass</v>
      </c>
      <c r="W422" s="63">
        <v>1428</v>
      </c>
      <c r="X422" s="26" t="s">
        <v>183</v>
      </c>
      <c r="Z422" s="37">
        <v>2000</v>
      </c>
      <c r="AA422" s="37">
        <v>3000</v>
      </c>
      <c r="AB422" s="37">
        <v>2200</v>
      </c>
      <c r="AC422" s="37">
        <v>3280</v>
      </c>
      <c r="AD422" s="39">
        <v>12</v>
      </c>
      <c r="AE422" s="39">
        <v>12</v>
      </c>
    </row>
    <row r="423" spans="1:31" ht="16.5" customHeight="1">
      <c r="A423" s="199"/>
      <c r="B423" s="48"/>
      <c r="C423" s="51" t="s">
        <v>155</v>
      </c>
      <c r="D423" s="8">
        <v>657.28</v>
      </c>
      <c r="E423" s="8">
        <v>652.38</v>
      </c>
      <c r="F423" s="8">
        <v>673.76</v>
      </c>
      <c r="G423" s="8">
        <v>646.38</v>
      </c>
      <c r="H423" s="8">
        <v>634.26</v>
      </c>
      <c r="I423" s="8">
        <v>676.52</v>
      </c>
      <c r="J423" s="8">
        <v>667.53</v>
      </c>
      <c r="K423" s="8">
        <v>628.59</v>
      </c>
      <c r="L423" s="8">
        <v>605.41</v>
      </c>
      <c r="M423" s="50"/>
      <c r="N423" s="50"/>
      <c r="O423" s="50"/>
      <c r="P423" s="50"/>
      <c r="Q423" s="48"/>
      <c r="R423" s="48"/>
      <c r="S423" s="48"/>
      <c r="T423" s="48"/>
      <c r="U423" s="48"/>
      <c r="V423" s="47"/>
      <c r="W423" s="48"/>
      <c r="X423" s="8"/>
      <c r="Y423" s="8"/>
    </row>
    <row r="424" spans="1:31" ht="24.75" customHeight="1" thickBot="1">
      <c r="A424" s="199"/>
      <c r="B424" s="61"/>
      <c r="C424" s="51" t="s">
        <v>154</v>
      </c>
      <c r="D424" s="24">
        <f t="shared" ref="D424:L424" si="136">IF(((D422="")*AND(D423="")),"",(D422-D423)*4)</f>
        <v>2539</v>
      </c>
      <c r="E424" s="24">
        <f t="shared" si="136"/>
        <v>2540.64</v>
      </c>
      <c r="F424" s="24">
        <f t="shared" si="136"/>
        <v>2511.8000000000002</v>
      </c>
      <c r="G424" s="24">
        <f t="shared" si="136"/>
        <v>2541.0000000000005</v>
      </c>
      <c r="H424" s="24">
        <f t="shared" si="136"/>
        <v>2563.1999999999998</v>
      </c>
      <c r="I424" s="24">
        <f t="shared" si="136"/>
        <v>2482.1999999999998</v>
      </c>
      <c r="J424" s="24">
        <f t="shared" si="136"/>
        <v>2513.5600000000004</v>
      </c>
      <c r="K424" s="24">
        <f t="shared" si="136"/>
        <v>2585.2400000000002</v>
      </c>
      <c r="L424" s="24">
        <f t="shared" si="136"/>
        <v>2629.1200000000003</v>
      </c>
      <c r="M424" s="24"/>
      <c r="N424" s="24"/>
      <c r="O424" s="24"/>
      <c r="P424" s="24" t="str">
        <f>IF(((P422="")*AND(P423="")),"",(P422-P423)*4)</f>
        <v/>
      </c>
      <c r="Q424" s="61"/>
      <c r="R424" s="61"/>
      <c r="S424" s="61"/>
      <c r="T424" s="61"/>
      <c r="U424" s="61"/>
      <c r="V424" s="60"/>
      <c r="W424" s="61"/>
      <c r="X424" s="8"/>
      <c r="Y424" s="8"/>
    </row>
    <row r="425" spans="1:31">
      <c r="A425" s="202">
        <v>43018</v>
      </c>
      <c r="B425" s="57" t="s">
        <v>157</v>
      </c>
      <c r="C425" s="51" t="s">
        <v>156</v>
      </c>
      <c r="D425" s="8">
        <v>2971.72</v>
      </c>
      <c r="E425" s="8">
        <v>3148.77</v>
      </c>
      <c r="F425" s="8">
        <v>3205.74</v>
      </c>
      <c r="G425" s="8">
        <v>3122.04</v>
      </c>
      <c r="H425" s="8">
        <v>3025.28</v>
      </c>
      <c r="I425" s="8">
        <v>3052.61</v>
      </c>
      <c r="J425" s="8">
        <v>3143.79</v>
      </c>
      <c r="K425" s="8">
        <v>3182.42</v>
      </c>
      <c r="L425" s="8">
        <v>3117.61</v>
      </c>
      <c r="M425" s="50"/>
      <c r="N425" s="50"/>
      <c r="O425" s="50"/>
      <c r="P425" s="50"/>
      <c r="Q425" s="57">
        <f>IF((L426=""),"",MAX(D427:L427))</f>
        <v>3563.2400000000002</v>
      </c>
      <c r="R425" s="57">
        <f>IF(L426="","",MIN(D427:L427))</f>
        <v>3472.4799999999996</v>
      </c>
      <c r="S425" s="58">
        <f>IF((L427=""),"",AVERAGE(D427:L427))</f>
        <v>3518.8288888888892</v>
      </c>
      <c r="T425" s="57">
        <f>IF((L426=""),"",((Q425-R425)/(Q425+R425))*100)</f>
        <v>1.289988800009106</v>
      </c>
      <c r="U425" s="56">
        <f>STDEV(D425:L425)</f>
        <v>76.490579666881956</v>
      </c>
      <c r="V425" s="55" t="str">
        <f>IF(L426="","",(IF(T425&lt;7,IF(S425&gt;2800,IF(S425&lt;3800,"Pass","Fail"),"Fail"),"Fail")))</f>
        <v>Pass</v>
      </c>
      <c r="W425" s="57">
        <v>1428</v>
      </c>
      <c r="X425" s="26" t="s">
        <v>183</v>
      </c>
      <c r="Y425" s="8"/>
      <c r="Z425" s="53">
        <v>2800</v>
      </c>
      <c r="AA425" s="53">
        <v>3800</v>
      </c>
      <c r="AB425" s="53">
        <v>3100</v>
      </c>
      <c r="AC425" s="53">
        <v>3760</v>
      </c>
      <c r="AD425" s="52">
        <v>6</v>
      </c>
      <c r="AE425" s="52">
        <v>6</v>
      </c>
    </row>
    <row r="426" spans="1:31" ht="16.5" customHeight="1">
      <c r="A426" s="199"/>
      <c r="B426" s="48"/>
      <c r="C426" s="51" t="s">
        <v>155</v>
      </c>
      <c r="D426" s="8">
        <v>1235.48</v>
      </c>
      <c r="E426" s="8">
        <v>1388.32</v>
      </c>
      <c r="F426" s="8">
        <v>1447.11</v>
      </c>
      <c r="G426" s="8">
        <v>1364.1</v>
      </c>
      <c r="H426" s="8">
        <v>1269.56</v>
      </c>
      <c r="I426" s="8">
        <v>1270.99</v>
      </c>
      <c r="J426" s="8">
        <v>1385.29</v>
      </c>
      <c r="K426" s="8">
        <v>1421.08</v>
      </c>
      <c r="L426" s="8">
        <v>1353.32</v>
      </c>
      <c r="M426" s="50"/>
      <c r="N426" s="50"/>
      <c r="O426" s="50"/>
      <c r="P426" s="50"/>
      <c r="Q426" s="48"/>
      <c r="R426" s="48"/>
      <c r="S426" s="49"/>
      <c r="T426" s="48"/>
      <c r="U426" s="48"/>
      <c r="V426" s="47"/>
      <c r="W426" s="48"/>
      <c r="X426" s="8"/>
      <c r="Y426" s="8"/>
    </row>
    <row r="427" spans="1:31" ht="24.75" customHeight="1" thickBot="1">
      <c r="A427" s="199"/>
      <c r="B427" s="42"/>
      <c r="C427" s="45" t="s">
        <v>154</v>
      </c>
      <c r="D427" s="44">
        <f t="shared" ref="D427:L427" si="137">IF(((D425="")*AND(D426="")),"",(D425-D426)*2)</f>
        <v>3472.4799999999996</v>
      </c>
      <c r="E427" s="44">
        <f t="shared" si="137"/>
        <v>3520.9</v>
      </c>
      <c r="F427" s="44">
        <f t="shared" si="137"/>
        <v>3517.2599999999998</v>
      </c>
      <c r="G427" s="44">
        <f t="shared" si="137"/>
        <v>3515.88</v>
      </c>
      <c r="H427" s="44">
        <f t="shared" si="137"/>
        <v>3511.4400000000005</v>
      </c>
      <c r="I427" s="44">
        <f t="shared" si="137"/>
        <v>3563.2400000000002</v>
      </c>
      <c r="J427" s="44">
        <f t="shared" si="137"/>
        <v>3517</v>
      </c>
      <c r="K427" s="44">
        <f t="shared" si="137"/>
        <v>3522.6800000000003</v>
      </c>
      <c r="L427" s="44">
        <f t="shared" si="137"/>
        <v>3528.5800000000004</v>
      </c>
      <c r="M427" s="44"/>
      <c r="N427" s="44"/>
      <c r="O427" s="44"/>
      <c r="P427" s="44"/>
      <c r="Q427" s="42"/>
      <c r="R427" s="42"/>
      <c r="S427" s="43"/>
      <c r="T427" s="42"/>
      <c r="U427" s="42"/>
      <c r="V427" s="41"/>
      <c r="W427" s="42"/>
      <c r="X427" s="8"/>
      <c r="Y427" s="8"/>
    </row>
    <row r="428" spans="1:31">
      <c r="A428" s="201">
        <v>43025</v>
      </c>
      <c r="B428" s="63" t="s">
        <v>158</v>
      </c>
      <c r="C428" s="56" t="s">
        <v>156</v>
      </c>
      <c r="D428" s="8">
        <v>1997.74</v>
      </c>
      <c r="E428" s="8">
        <v>1974.01</v>
      </c>
      <c r="F428" s="8">
        <v>1965.61</v>
      </c>
      <c r="G428" s="8">
        <v>1974.26</v>
      </c>
      <c r="H428" s="8">
        <v>1995.21</v>
      </c>
      <c r="I428" s="8">
        <v>2003.6</v>
      </c>
      <c r="J428" s="8">
        <v>1976.9</v>
      </c>
      <c r="K428" s="8">
        <v>1975.75</v>
      </c>
      <c r="L428" s="8">
        <v>1991.73</v>
      </c>
      <c r="M428" s="62"/>
      <c r="N428" s="62"/>
      <c r="O428" s="62"/>
      <c r="P428" s="62"/>
      <c r="Q428" s="63">
        <f>IF((L429=""),"",MAX(D430:L430))</f>
        <v>2793.3999999999996</v>
      </c>
      <c r="R428" s="63">
        <f>IF(L429="","",MIN(D430:L430))</f>
        <v>2603.96</v>
      </c>
      <c r="S428" s="63">
        <f>IF((L430=""),"",AVERAGE(D430:L430))</f>
        <v>2695.4044444444444</v>
      </c>
      <c r="T428" s="63">
        <f>IF((L429=""),"",((Q428-R428)/(Q428+R428))*100)</f>
        <v>3.5098640816991939</v>
      </c>
      <c r="U428" s="51">
        <f>STDEV(D428:L428)</f>
        <v>13.273750202700919</v>
      </c>
      <c r="V428" s="64" t="str">
        <f>IF(L429="","",(IF(T428&lt;12,IF(S428&gt;2200,IF(S428&lt;3280,"Pass","Fail"),"Fail"),"Fail")))</f>
        <v>Pass</v>
      </c>
      <c r="W428" s="63" t="s">
        <v>182</v>
      </c>
      <c r="Y428" s="8"/>
      <c r="Z428" s="37">
        <v>2000</v>
      </c>
      <c r="AA428" s="37">
        <v>3000</v>
      </c>
      <c r="AB428" s="37">
        <v>2200</v>
      </c>
      <c r="AC428" s="37">
        <v>3280</v>
      </c>
      <c r="AD428" s="39">
        <v>12</v>
      </c>
      <c r="AE428" s="39">
        <v>12</v>
      </c>
    </row>
    <row r="429" spans="1:31" ht="16.5" customHeight="1">
      <c r="A429" s="199"/>
      <c r="B429" s="48"/>
      <c r="C429" s="51" t="s">
        <v>155</v>
      </c>
      <c r="D429" s="8">
        <v>1320.75</v>
      </c>
      <c r="E429" s="8">
        <v>1302.8</v>
      </c>
      <c r="F429" s="8">
        <v>1314.62</v>
      </c>
      <c r="G429" s="8">
        <v>1302.81</v>
      </c>
      <c r="H429" s="8">
        <v>1313.6</v>
      </c>
      <c r="I429" s="8">
        <v>1334.38</v>
      </c>
      <c r="J429" s="8">
        <v>1314.2</v>
      </c>
      <c r="K429" s="8">
        <v>1293.6099999999999</v>
      </c>
      <c r="L429" s="8">
        <v>1293.3800000000001</v>
      </c>
      <c r="M429" s="50"/>
      <c r="N429" s="50"/>
      <c r="O429" s="50"/>
      <c r="P429" s="50"/>
      <c r="Q429" s="48"/>
      <c r="R429" s="48"/>
      <c r="S429" s="48"/>
      <c r="T429" s="48"/>
      <c r="U429" s="48"/>
      <c r="V429" s="47"/>
      <c r="W429" s="48"/>
      <c r="X429" s="8"/>
      <c r="Y429" s="8"/>
      <c r="Z429" s="8"/>
      <c r="AA429" s="8"/>
      <c r="AB429" s="8"/>
      <c r="AC429" s="8"/>
      <c r="AD429" s="8"/>
      <c r="AE429" s="8"/>
    </row>
    <row r="430" spans="1:31" ht="24.75" customHeight="1" thickBot="1">
      <c r="A430" s="199"/>
      <c r="B430" s="61"/>
      <c r="C430" s="51" t="s">
        <v>154</v>
      </c>
      <c r="D430" s="24">
        <f t="shared" ref="D430:L430" si="138">IF(((D428="")*AND(D429="")),"",(D428-D429)*4)</f>
        <v>2707.96</v>
      </c>
      <c r="E430" s="24">
        <f t="shared" si="138"/>
        <v>2684.84</v>
      </c>
      <c r="F430" s="24">
        <f t="shared" si="138"/>
        <v>2603.96</v>
      </c>
      <c r="G430" s="24">
        <f t="shared" si="138"/>
        <v>2685.8</v>
      </c>
      <c r="H430" s="24">
        <f t="shared" si="138"/>
        <v>2726.4400000000005</v>
      </c>
      <c r="I430" s="24">
        <f t="shared" si="138"/>
        <v>2676.8799999999992</v>
      </c>
      <c r="J430" s="24">
        <f t="shared" si="138"/>
        <v>2650.8</v>
      </c>
      <c r="K430" s="24">
        <f t="shared" si="138"/>
        <v>2728.5600000000004</v>
      </c>
      <c r="L430" s="24">
        <f t="shared" si="138"/>
        <v>2793.3999999999996</v>
      </c>
      <c r="M430" s="24"/>
      <c r="N430" s="24"/>
      <c r="O430" s="24"/>
      <c r="P430" s="24" t="str">
        <f>IF(((P428="")*AND(P429="")),"",(P428-P429)*4)</f>
        <v/>
      </c>
      <c r="Q430" s="61"/>
      <c r="R430" s="61"/>
      <c r="S430" s="61"/>
      <c r="T430" s="61"/>
      <c r="U430" s="61"/>
      <c r="V430" s="60"/>
      <c r="W430" s="42"/>
      <c r="X430" s="8"/>
      <c r="Y430" s="8"/>
      <c r="Z430" s="8"/>
      <c r="AA430" s="8"/>
      <c r="AB430" s="8"/>
      <c r="AC430" s="8"/>
      <c r="AD430" s="8"/>
      <c r="AE430" s="8"/>
    </row>
    <row r="431" spans="1:31">
      <c r="A431" s="202">
        <v>43025</v>
      </c>
      <c r="B431" s="57" t="s">
        <v>157</v>
      </c>
      <c r="C431" s="51" t="s">
        <v>156</v>
      </c>
      <c r="D431" s="8">
        <v>6734.49</v>
      </c>
      <c r="E431" s="8">
        <v>6742.24</v>
      </c>
      <c r="F431" s="8">
        <v>6777.79</v>
      </c>
      <c r="G431" s="8">
        <v>6745.46</v>
      </c>
      <c r="H431" s="8">
        <v>6718.61</v>
      </c>
      <c r="I431" s="8">
        <v>6732.85</v>
      </c>
      <c r="J431" s="8">
        <v>6799.71</v>
      </c>
      <c r="K431" s="8">
        <v>6748.23</v>
      </c>
      <c r="L431" s="8">
        <v>6720.05</v>
      </c>
      <c r="M431" s="50"/>
      <c r="N431" s="50"/>
      <c r="O431" s="50"/>
      <c r="P431" s="50"/>
      <c r="Q431" s="57">
        <f>IF((L432=""),"",MAX(D433:L433))</f>
        <v>3523.84</v>
      </c>
      <c r="R431" s="57">
        <f>IF(L432="","",MIN(D433:L433))</f>
        <v>3454.6399999999994</v>
      </c>
      <c r="S431" s="58">
        <f>IF((L433=""),"",AVERAGE(D433:L433))</f>
        <v>3496.4577777777781</v>
      </c>
      <c r="T431" s="57">
        <f>IF((L432=""),"",((Q431-R431)/(Q431+R431))*100)</f>
        <v>0.99161995162271344</v>
      </c>
      <c r="U431" s="56">
        <f>STDEV(D431:L431)</f>
        <v>26.553039845192803</v>
      </c>
      <c r="V431" s="55" t="str">
        <f>IF(L432="","",(IF(T431&lt;7,IF(S431&gt;2800,IF(S431&lt;3800,"Pass","Fail"),"Fail"),"Fail")))</f>
        <v>Pass</v>
      </c>
      <c r="W431" s="63" t="s">
        <v>182</v>
      </c>
      <c r="Y431" s="8"/>
      <c r="Z431" s="53">
        <v>2800</v>
      </c>
      <c r="AA431" s="53">
        <v>3800</v>
      </c>
      <c r="AB431" s="53">
        <v>3100</v>
      </c>
      <c r="AC431" s="53">
        <v>3760</v>
      </c>
      <c r="AD431" s="52">
        <v>6</v>
      </c>
      <c r="AE431" s="52">
        <v>6</v>
      </c>
    </row>
    <row r="432" spans="1:31" ht="16.5" customHeight="1">
      <c r="A432" s="199"/>
      <c r="B432" s="48"/>
      <c r="C432" s="51" t="s">
        <v>155</v>
      </c>
      <c r="D432" s="8">
        <v>4986.17</v>
      </c>
      <c r="E432" s="8">
        <v>4991.16</v>
      </c>
      <c r="F432" s="8">
        <v>5028.28</v>
      </c>
      <c r="G432" s="8">
        <v>5000.38</v>
      </c>
      <c r="H432" s="8">
        <v>4991.29</v>
      </c>
      <c r="I432" s="8">
        <v>4970.93</v>
      </c>
      <c r="J432" s="8">
        <v>5051.33</v>
      </c>
      <c r="K432" s="8">
        <v>4995.57</v>
      </c>
      <c r="L432" s="8">
        <v>4970.26</v>
      </c>
      <c r="M432" s="50"/>
      <c r="N432" s="50"/>
      <c r="O432" s="50"/>
      <c r="P432" s="50"/>
      <c r="Q432" s="48"/>
      <c r="R432" s="48"/>
      <c r="S432" s="49"/>
      <c r="T432" s="48"/>
      <c r="U432" s="48"/>
      <c r="V432" s="47"/>
      <c r="W432" s="48"/>
      <c r="X432" s="8"/>
      <c r="Y432" s="8"/>
      <c r="Z432" s="8"/>
      <c r="AA432" s="8"/>
      <c r="AB432" s="8"/>
      <c r="AC432" s="8"/>
      <c r="AD432" s="8"/>
      <c r="AE432" s="8"/>
    </row>
    <row r="433" spans="1:31" ht="24.75" customHeight="1" thickBot="1">
      <c r="A433" s="199"/>
      <c r="B433" s="42"/>
      <c r="C433" s="45" t="s">
        <v>154</v>
      </c>
      <c r="D433" s="44">
        <f t="shared" ref="D433:L433" si="139">IF(((D431="")*AND(D432="")),"",(D431-D432)*2)</f>
        <v>3496.6399999999994</v>
      </c>
      <c r="E433" s="44">
        <f t="shared" si="139"/>
        <v>3502.16</v>
      </c>
      <c r="F433" s="44">
        <f t="shared" si="139"/>
        <v>3499.0200000000004</v>
      </c>
      <c r="G433" s="44">
        <f t="shared" si="139"/>
        <v>3490.16</v>
      </c>
      <c r="H433" s="44">
        <f t="shared" si="139"/>
        <v>3454.6399999999994</v>
      </c>
      <c r="I433" s="44">
        <f t="shared" si="139"/>
        <v>3523.84</v>
      </c>
      <c r="J433" s="44">
        <f t="shared" si="139"/>
        <v>3496.76</v>
      </c>
      <c r="K433" s="44">
        <f t="shared" si="139"/>
        <v>3505.3199999999997</v>
      </c>
      <c r="L433" s="44">
        <f t="shared" si="139"/>
        <v>3499.58</v>
      </c>
      <c r="M433" s="44"/>
      <c r="N433" s="44"/>
      <c r="O433" s="44"/>
      <c r="P433" s="44"/>
      <c r="Q433" s="42"/>
      <c r="R433" s="42"/>
      <c r="S433" s="43"/>
      <c r="T433" s="42"/>
      <c r="U433" s="42"/>
      <c r="V433" s="41"/>
      <c r="W433" s="42"/>
      <c r="X433" s="8"/>
      <c r="Y433" s="8"/>
      <c r="Z433" s="8"/>
      <c r="AA433" s="8"/>
      <c r="AB433" s="8"/>
      <c r="AC433" s="8"/>
      <c r="AD433" s="8"/>
      <c r="AE433" s="8"/>
    </row>
    <row r="434" spans="1:31">
      <c r="A434" s="201">
        <v>43031</v>
      </c>
      <c r="B434" s="63" t="s">
        <v>158</v>
      </c>
      <c r="C434" s="56" t="s">
        <v>156</v>
      </c>
      <c r="D434" s="8">
        <v>1939.6</v>
      </c>
      <c r="E434" s="8">
        <v>1937.39</v>
      </c>
      <c r="F434" s="8">
        <v>1931.03</v>
      </c>
      <c r="G434" s="8">
        <v>1937.53</v>
      </c>
      <c r="H434" s="8">
        <v>1943.39</v>
      </c>
      <c r="I434" s="8">
        <v>1945.91</v>
      </c>
      <c r="J434" s="8">
        <v>1936.98</v>
      </c>
      <c r="K434" s="8">
        <v>1937.1</v>
      </c>
      <c r="L434" s="8">
        <v>1943.32</v>
      </c>
      <c r="M434" s="62"/>
      <c r="N434" s="62"/>
      <c r="O434" s="62"/>
      <c r="P434" s="62"/>
      <c r="Q434" s="63">
        <f>IF((L435=""),"",MAX(D436:L436))</f>
        <v>2621.12</v>
      </c>
      <c r="R434" s="63">
        <f>IF(L435="","",MIN(D436:L436))</f>
        <v>2464.04</v>
      </c>
      <c r="S434" s="63">
        <f>IF((L436=""),"",AVERAGE(D436:L436))</f>
        <v>2528.1288888888889</v>
      </c>
      <c r="T434" s="63">
        <f>IF((L435=""),"",((Q434-R434)/(Q434+R434))*100)</f>
        <v>3.0889883504157183</v>
      </c>
      <c r="U434" s="51">
        <f>STDEV(D434:L434)</f>
        <v>4.4976839718578079</v>
      </c>
      <c r="V434" s="64" t="str">
        <f>IF(L435="","",(IF(T434&lt;12,IF(S434&gt;2200,IF(S434&lt;3280,"Pass","Fail"),"Fail"),"Fail")))</f>
        <v>Pass</v>
      </c>
      <c r="W434" s="63">
        <v>1159</v>
      </c>
      <c r="X434" s="26" t="s">
        <v>181</v>
      </c>
      <c r="Y434" s="8"/>
      <c r="Z434" s="37">
        <v>2000</v>
      </c>
      <c r="AA434" s="37">
        <v>3000</v>
      </c>
      <c r="AB434" s="37">
        <v>2200</v>
      </c>
      <c r="AC434" s="37">
        <v>3280</v>
      </c>
      <c r="AD434" s="39">
        <v>12</v>
      </c>
      <c r="AE434" s="39">
        <v>12</v>
      </c>
    </row>
    <row r="435" spans="1:31" ht="16.5" customHeight="1">
      <c r="A435" s="199"/>
      <c r="B435" s="48"/>
      <c r="C435" s="51" t="s">
        <v>155</v>
      </c>
      <c r="D435" s="8">
        <v>1312.37</v>
      </c>
      <c r="E435" s="8">
        <v>1310.72</v>
      </c>
      <c r="F435" s="8">
        <v>1315.02</v>
      </c>
      <c r="G435" s="8">
        <v>1303.98</v>
      </c>
      <c r="H435" s="8">
        <v>1299.54</v>
      </c>
      <c r="I435" s="8">
        <v>1322.43</v>
      </c>
      <c r="J435" s="8">
        <v>1315.23</v>
      </c>
      <c r="K435" s="8">
        <v>1296.6300000000001</v>
      </c>
      <c r="L435" s="8">
        <v>1288.04</v>
      </c>
      <c r="M435" s="50"/>
      <c r="N435" s="50"/>
      <c r="O435" s="50"/>
      <c r="P435" s="50"/>
      <c r="Q435" s="48"/>
      <c r="R435" s="48"/>
      <c r="S435" s="48"/>
      <c r="T435" s="48"/>
      <c r="U435" s="48"/>
      <c r="V435" s="47"/>
      <c r="W435" s="48"/>
      <c r="X435" s="8"/>
      <c r="Y435" s="8"/>
      <c r="Z435" s="8"/>
      <c r="AA435" s="8"/>
      <c r="AB435" s="8"/>
      <c r="AC435" s="8"/>
      <c r="AD435" s="8"/>
      <c r="AE435" s="8"/>
    </row>
    <row r="436" spans="1:31" ht="24.75" customHeight="1" thickBot="1">
      <c r="A436" s="199"/>
      <c r="B436" s="61"/>
      <c r="C436" s="51" t="s">
        <v>154</v>
      </c>
      <c r="D436" s="24">
        <f t="shared" ref="D436:L436" si="140">IF(((D434="")*AND(D435="")),"",(D434-D435)*4)</f>
        <v>2508.92</v>
      </c>
      <c r="E436" s="24">
        <f t="shared" si="140"/>
        <v>2506.6800000000003</v>
      </c>
      <c r="F436" s="24">
        <f t="shared" si="140"/>
        <v>2464.04</v>
      </c>
      <c r="G436" s="24">
        <f t="shared" si="140"/>
        <v>2534.1999999999998</v>
      </c>
      <c r="H436" s="24">
        <f t="shared" si="140"/>
        <v>2575.4000000000005</v>
      </c>
      <c r="I436" s="24">
        <f t="shared" si="140"/>
        <v>2493.92</v>
      </c>
      <c r="J436" s="24">
        <f t="shared" si="140"/>
        <v>2487</v>
      </c>
      <c r="K436" s="24">
        <f t="shared" si="140"/>
        <v>2561.8799999999992</v>
      </c>
      <c r="L436" s="24">
        <f t="shared" si="140"/>
        <v>2621.12</v>
      </c>
      <c r="M436" s="24"/>
      <c r="N436" s="24"/>
      <c r="O436" s="24"/>
      <c r="P436" s="24" t="str">
        <f>IF(((P434="")*AND(P435="")),"",(P434-P435)*4)</f>
        <v/>
      </c>
      <c r="Q436" s="61"/>
      <c r="R436" s="61"/>
      <c r="S436" s="61"/>
      <c r="T436" s="61"/>
      <c r="U436" s="61"/>
      <c r="V436" s="60"/>
      <c r="W436" s="61"/>
      <c r="X436" s="8"/>
      <c r="Y436" s="8"/>
      <c r="Z436" s="8"/>
      <c r="AA436" s="8"/>
      <c r="AB436" s="8"/>
      <c r="AC436" s="8"/>
      <c r="AD436" s="8"/>
      <c r="AE436" s="8"/>
    </row>
    <row r="437" spans="1:31">
      <c r="A437" s="202">
        <v>43031</v>
      </c>
      <c r="B437" s="57" t="s">
        <v>157</v>
      </c>
      <c r="C437" s="51" t="s">
        <v>156</v>
      </c>
      <c r="D437" s="8">
        <v>4993.6899999999996</v>
      </c>
      <c r="E437" s="8">
        <v>4997.8599999999997</v>
      </c>
      <c r="F437" s="8">
        <v>5034.8500000000004</v>
      </c>
      <c r="G437" s="8">
        <v>5006.96</v>
      </c>
      <c r="H437" s="8">
        <v>4997.6899999999996</v>
      </c>
      <c r="I437" s="8">
        <v>4977.8999999999996</v>
      </c>
      <c r="J437" s="8">
        <v>5057.33</v>
      </c>
      <c r="K437" s="8">
        <v>5001.91</v>
      </c>
      <c r="L437" s="8">
        <v>4977.55</v>
      </c>
      <c r="M437" s="50"/>
      <c r="N437" s="50"/>
      <c r="O437" s="50"/>
      <c r="P437" s="50"/>
      <c r="Q437" s="57">
        <f>IF((L438=""),"",MAX(D439:L439))</f>
        <v>3469.6799999999994</v>
      </c>
      <c r="R437" s="57">
        <f>IF(L438="","",MIN(D439:L439))</f>
        <v>3411.5399999999991</v>
      </c>
      <c r="S437" s="58">
        <f>IF((L439=""),"",AVERAGE(D439:L439))</f>
        <v>3434.1933333333327</v>
      </c>
      <c r="T437" s="57">
        <f>IF((L438=""),"",((Q437-R437)/(Q437+R437))*100)</f>
        <v>0.84490831567658553</v>
      </c>
      <c r="U437" s="56">
        <f>STDEV(D437:L437)</f>
        <v>25.891660229464627</v>
      </c>
      <c r="V437" s="55" t="str">
        <f>IF(L438="","",(IF(T437&lt;7,IF(S437&gt;2800,IF(S437&lt;3800,"Pass","Fail"),"Fail"),"Fail")))</f>
        <v>Pass</v>
      </c>
      <c r="W437" s="57">
        <v>1159</v>
      </c>
      <c r="X437" s="26" t="s">
        <v>181</v>
      </c>
      <c r="Y437" s="8"/>
      <c r="Z437" s="53">
        <v>2800</v>
      </c>
      <c r="AA437" s="53">
        <v>3800</v>
      </c>
      <c r="AB437" s="53">
        <v>3100</v>
      </c>
      <c r="AC437" s="53">
        <v>3760</v>
      </c>
      <c r="AD437" s="52">
        <v>6</v>
      </c>
      <c r="AE437" s="52">
        <v>6</v>
      </c>
    </row>
    <row r="438" spans="1:31" ht="16.5" customHeight="1">
      <c r="A438" s="199"/>
      <c r="B438" s="48"/>
      <c r="C438" s="51" t="s">
        <v>155</v>
      </c>
      <c r="D438" s="8">
        <v>3287.92</v>
      </c>
      <c r="E438" s="8">
        <v>3276.64</v>
      </c>
      <c r="F438" s="8">
        <v>3317.79</v>
      </c>
      <c r="G438" s="8">
        <v>3291.95</v>
      </c>
      <c r="H438" s="8">
        <v>3288.92</v>
      </c>
      <c r="I438" s="8">
        <v>3243.06</v>
      </c>
      <c r="J438" s="8">
        <v>3346.55</v>
      </c>
      <c r="K438" s="8">
        <v>3276.98</v>
      </c>
      <c r="L438" s="8">
        <v>3262.06</v>
      </c>
      <c r="M438" s="50"/>
      <c r="N438" s="50"/>
      <c r="O438" s="50"/>
      <c r="P438" s="50"/>
      <c r="Q438" s="48"/>
      <c r="R438" s="48"/>
      <c r="S438" s="49"/>
      <c r="T438" s="48"/>
      <c r="U438" s="48"/>
      <c r="V438" s="47"/>
      <c r="W438" s="48"/>
      <c r="X438" s="8"/>
      <c r="Y438" s="8"/>
      <c r="Z438" s="8"/>
      <c r="AA438" s="8"/>
      <c r="AB438" s="8"/>
      <c r="AC438" s="8"/>
      <c r="AD438" s="8"/>
      <c r="AE438" s="8"/>
    </row>
    <row r="439" spans="1:31" ht="24.75" customHeight="1" thickBot="1">
      <c r="A439" s="199"/>
      <c r="B439" s="42"/>
      <c r="C439" s="45" t="s">
        <v>154</v>
      </c>
      <c r="D439" s="44">
        <f t="shared" ref="D439:L439" si="141">IF(((D437="")*AND(D438="")),"",(D437-D438)*2)</f>
        <v>3411.5399999999991</v>
      </c>
      <c r="E439" s="44">
        <f t="shared" si="141"/>
        <v>3442.4399999999996</v>
      </c>
      <c r="F439" s="44">
        <f t="shared" si="141"/>
        <v>3434.1200000000008</v>
      </c>
      <c r="G439" s="44">
        <f t="shared" si="141"/>
        <v>3430.0200000000004</v>
      </c>
      <c r="H439" s="44">
        <f t="shared" si="141"/>
        <v>3417.5399999999991</v>
      </c>
      <c r="I439" s="44">
        <f t="shared" si="141"/>
        <v>3469.6799999999994</v>
      </c>
      <c r="J439" s="44">
        <f t="shared" si="141"/>
        <v>3421.5599999999995</v>
      </c>
      <c r="K439" s="44">
        <f t="shared" si="141"/>
        <v>3449.8599999999997</v>
      </c>
      <c r="L439" s="44">
        <f t="shared" si="141"/>
        <v>3430.9800000000005</v>
      </c>
      <c r="M439" s="44"/>
      <c r="N439" s="44"/>
      <c r="O439" s="44"/>
      <c r="P439" s="44"/>
      <c r="Q439" s="42"/>
      <c r="R439" s="42"/>
      <c r="S439" s="43"/>
      <c r="T439" s="42"/>
      <c r="U439" s="42"/>
      <c r="V439" s="41"/>
      <c r="W439" s="42"/>
      <c r="X439" s="8"/>
      <c r="Y439" s="8"/>
      <c r="Z439" s="8"/>
      <c r="AA439" s="8"/>
      <c r="AB439" s="8"/>
      <c r="AC439" s="8"/>
      <c r="AD439" s="8"/>
      <c r="AE439" s="8"/>
    </row>
    <row r="440" spans="1:31">
      <c r="A440" s="201">
        <v>43038</v>
      </c>
      <c r="B440" s="63" t="s">
        <v>158</v>
      </c>
      <c r="C440" s="56" t="s">
        <v>156</v>
      </c>
      <c r="D440" s="8">
        <v>1992.69</v>
      </c>
      <c r="E440" s="8">
        <v>1975.25</v>
      </c>
      <c r="F440" s="8">
        <v>1965.25</v>
      </c>
      <c r="G440" s="8">
        <v>1976.1</v>
      </c>
      <c r="H440" s="8">
        <v>1993.58</v>
      </c>
      <c r="I440" s="8">
        <v>1995.39</v>
      </c>
      <c r="J440" s="8">
        <v>1974.25</v>
      </c>
      <c r="K440" s="8">
        <v>1973.64</v>
      </c>
      <c r="L440" s="8">
        <v>1992.92</v>
      </c>
      <c r="M440" s="62"/>
      <c r="N440" s="62"/>
      <c r="O440" s="62"/>
      <c r="P440" s="62"/>
      <c r="Q440" s="63">
        <f>IF((L441=""),"",MAX(D442:L442))</f>
        <v>2862.6800000000003</v>
      </c>
      <c r="R440" s="63">
        <f>IF(L441="","",MIN(D442:L442))</f>
        <v>2624.96</v>
      </c>
      <c r="S440" s="63">
        <f>IF((L442=""),"",AVERAGE(D442:L442))</f>
        <v>2725.5422222222223</v>
      </c>
      <c r="T440" s="63">
        <f>IF((L441=""),"",((Q440-R440)/(Q440+R440))*100)</f>
        <v>4.3319168167008089</v>
      </c>
      <c r="U440" s="51">
        <f>STDEV(D440:L440)</f>
        <v>11.388979809959419</v>
      </c>
      <c r="V440" s="64" t="str">
        <f>IF(L441="","",(IF(T440&lt;12,IF(S440&gt;2200,IF(S440&lt;3280,"Pass","Fail"),"Fail"),"Fail")))</f>
        <v>Pass</v>
      </c>
      <c r="W440" s="63">
        <v>1428</v>
      </c>
      <c r="Y440" s="8"/>
      <c r="Z440" s="37">
        <v>2000</v>
      </c>
      <c r="AA440" s="37">
        <v>3000</v>
      </c>
      <c r="AB440" s="37">
        <v>2200</v>
      </c>
      <c r="AC440" s="37">
        <v>3280</v>
      </c>
      <c r="AD440" s="39">
        <v>12</v>
      </c>
      <c r="AE440" s="39">
        <v>12</v>
      </c>
    </row>
    <row r="441" spans="1:31" ht="16.5" customHeight="1">
      <c r="A441" s="199"/>
      <c r="B441" s="48"/>
      <c r="C441" s="51" t="s">
        <v>155</v>
      </c>
      <c r="D441" s="8">
        <v>1303.1400000000001</v>
      </c>
      <c r="E441" s="8">
        <v>1300.96</v>
      </c>
      <c r="F441" s="8">
        <v>1309.01</v>
      </c>
      <c r="G441" s="8">
        <v>1301.8800000000001</v>
      </c>
      <c r="H441" s="8">
        <v>1296.75</v>
      </c>
      <c r="I441" s="8">
        <v>1316.59</v>
      </c>
      <c r="J441" s="8">
        <v>1310.94</v>
      </c>
      <c r="K441" s="8">
        <v>1290.08</v>
      </c>
      <c r="L441" s="8">
        <v>1277.25</v>
      </c>
      <c r="M441" s="50"/>
      <c r="N441" s="50"/>
      <c r="O441" s="50"/>
      <c r="P441" s="50"/>
      <c r="Q441" s="48"/>
      <c r="R441" s="48"/>
      <c r="S441" s="48"/>
      <c r="T441" s="48"/>
      <c r="U441" s="48"/>
      <c r="V441" s="47"/>
      <c r="W441" s="48"/>
      <c r="X441" s="8"/>
      <c r="Y441" s="8"/>
      <c r="Z441" s="8"/>
      <c r="AA441" s="8"/>
      <c r="AB441" s="8"/>
      <c r="AC441" s="8"/>
      <c r="AD441" s="8"/>
      <c r="AE441" s="8"/>
    </row>
    <row r="442" spans="1:31" ht="24.75" customHeight="1" thickBot="1">
      <c r="A442" s="199"/>
      <c r="B442" s="61"/>
      <c r="C442" s="51" t="s">
        <v>154</v>
      </c>
      <c r="D442" s="24">
        <f t="shared" ref="D442:L442" si="142">IF(((D440="")*AND(D441="")),"",(D440-D441)*4)</f>
        <v>2758.2</v>
      </c>
      <c r="E442" s="24">
        <f t="shared" si="142"/>
        <v>2697.16</v>
      </c>
      <c r="F442" s="24">
        <f t="shared" si="142"/>
        <v>2624.96</v>
      </c>
      <c r="G442" s="24">
        <f t="shared" si="142"/>
        <v>2696.8799999999992</v>
      </c>
      <c r="H442" s="24">
        <f t="shared" si="142"/>
        <v>2787.3199999999997</v>
      </c>
      <c r="I442" s="24">
        <f t="shared" si="142"/>
        <v>2715.2000000000007</v>
      </c>
      <c r="J442" s="24">
        <f t="shared" si="142"/>
        <v>2653.24</v>
      </c>
      <c r="K442" s="24">
        <f t="shared" si="142"/>
        <v>2734.2400000000007</v>
      </c>
      <c r="L442" s="24">
        <f t="shared" si="142"/>
        <v>2862.6800000000003</v>
      </c>
      <c r="M442" s="24"/>
      <c r="N442" s="24"/>
      <c r="O442" s="24"/>
      <c r="P442" s="24" t="str">
        <f>IF(((P440="")*AND(P441="")),"",(P440-P441)*4)</f>
        <v/>
      </c>
      <c r="Q442" s="61"/>
      <c r="R442" s="61"/>
      <c r="S442" s="61"/>
      <c r="T442" s="61"/>
      <c r="U442" s="61"/>
      <c r="V442" s="60"/>
      <c r="W442" s="61"/>
      <c r="X442" s="8"/>
      <c r="Y442" s="8"/>
      <c r="Z442" s="8"/>
      <c r="AA442" s="8"/>
      <c r="AB442" s="8"/>
      <c r="AC442" s="8"/>
      <c r="AD442" s="8"/>
      <c r="AE442" s="8"/>
    </row>
    <row r="443" spans="1:31">
      <c r="A443" s="202">
        <v>43038</v>
      </c>
      <c r="B443" s="57" t="s">
        <v>157</v>
      </c>
      <c r="C443" s="51" t="s">
        <v>156</v>
      </c>
      <c r="D443" s="8">
        <v>6868.1</v>
      </c>
      <c r="E443" s="8">
        <v>6838.79</v>
      </c>
      <c r="F443" s="8">
        <v>6879.2</v>
      </c>
      <c r="G443" s="8">
        <v>6855.22</v>
      </c>
      <c r="H443" s="8">
        <v>6895.32</v>
      </c>
      <c r="I443" s="8">
        <v>6911.46</v>
      </c>
      <c r="J443" s="8">
        <v>6910.41</v>
      </c>
      <c r="K443" s="8">
        <v>6856.13</v>
      </c>
      <c r="L443" s="8">
        <v>6866.5</v>
      </c>
      <c r="M443" s="50"/>
      <c r="N443" s="50"/>
      <c r="O443" s="50"/>
      <c r="P443" s="50"/>
      <c r="Q443" s="57">
        <f>IF((L444=""),"",MAX(D445:L445))</f>
        <v>3442.1000000000004</v>
      </c>
      <c r="R443" s="57">
        <f>IF(L444="","",MIN(D445:L445))</f>
        <v>3382.6800000000003</v>
      </c>
      <c r="S443" s="58">
        <f>IF((L445=""),"",AVERAGE(D445:L445))</f>
        <v>3411.4777777777772</v>
      </c>
      <c r="T443" s="57">
        <f>IF((L444=""),"",((Q443-R443)/(Q443+R443))*100)</f>
        <v>0.87065077555613601</v>
      </c>
      <c r="U443" s="56">
        <f>STDEV(D443:L443)</f>
        <v>25.465457704781922</v>
      </c>
      <c r="V443" s="55" t="str">
        <f>IF(L444="","",(IF(T443&lt;7,IF(S443&gt;2800,IF(S443&lt;3800,"Pass","Fail"),"Fail"),"Fail")))</f>
        <v>Pass</v>
      </c>
      <c r="W443" s="57">
        <v>1428</v>
      </c>
      <c r="Y443" s="8"/>
      <c r="Z443" s="53">
        <v>2800</v>
      </c>
      <c r="AA443" s="53">
        <v>3800</v>
      </c>
      <c r="AB443" s="53">
        <v>3100</v>
      </c>
      <c r="AC443" s="53">
        <v>3760</v>
      </c>
      <c r="AD443" s="52">
        <v>6</v>
      </c>
      <c r="AE443" s="52">
        <v>6</v>
      </c>
    </row>
    <row r="444" spans="1:31" ht="16.5" customHeight="1">
      <c r="A444" s="199"/>
      <c r="B444" s="48"/>
      <c r="C444" s="51" t="s">
        <v>155</v>
      </c>
      <c r="D444" s="8">
        <v>5167.17</v>
      </c>
      <c r="E444" s="8">
        <v>5125.42</v>
      </c>
      <c r="F444" s="8">
        <v>5168.46</v>
      </c>
      <c r="G444" s="8">
        <v>5150.6400000000003</v>
      </c>
      <c r="H444" s="8">
        <v>5200.68</v>
      </c>
      <c r="I444" s="8">
        <v>5190.41</v>
      </c>
      <c r="J444" s="8">
        <v>5206.4399999999996</v>
      </c>
      <c r="K444" s="8">
        <v>5145.1000000000004</v>
      </c>
      <c r="L444" s="8">
        <v>5175.16</v>
      </c>
      <c r="M444" s="50"/>
      <c r="N444" s="50"/>
      <c r="O444" s="50"/>
      <c r="P444" s="50"/>
      <c r="Q444" s="48"/>
      <c r="R444" s="48"/>
      <c r="S444" s="49"/>
      <c r="T444" s="48"/>
      <c r="U444" s="48"/>
      <c r="V444" s="47"/>
      <c r="W444" s="48"/>
      <c r="X444" s="8"/>
      <c r="Y444" s="8"/>
      <c r="Z444" s="8"/>
      <c r="AA444" s="8"/>
      <c r="AB444" s="8"/>
      <c r="AC444" s="8"/>
      <c r="AD444" s="8"/>
      <c r="AE444" s="8"/>
    </row>
    <row r="445" spans="1:31" ht="24.75" customHeight="1" thickBot="1">
      <c r="A445" s="199"/>
      <c r="B445" s="42"/>
      <c r="C445" s="45" t="s">
        <v>154</v>
      </c>
      <c r="D445" s="44">
        <f t="shared" ref="D445:L445" si="143">IF(((D443="")*AND(D444="")),"",(D443-D444)*2)</f>
        <v>3401.8600000000006</v>
      </c>
      <c r="E445" s="44">
        <f t="shared" si="143"/>
        <v>3426.74</v>
      </c>
      <c r="F445" s="44">
        <f t="shared" si="143"/>
        <v>3421.4799999999996</v>
      </c>
      <c r="G445" s="44">
        <f t="shared" si="143"/>
        <v>3409.16</v>
      </c>
      <c r="H445" s="44">
        <f t="shared" si="143"/>
        <v>3389.2799999999988</v>
      </c>
      <c r="I445" s="44">
        <f t="shared" si="143"/>
        <v>3442.1000000000004</v>
      </c>
      <c r="J445" s="44">
        <f t="shared" si="143"/>
        <v>3407.9400000000005</v>
      </c>
      <c r="K445" s="44">
        <f t="shared" si="143"/>
        <v>3422.0599999999995</v>
      </c>
      <c r="L445" s="44">
        <f t="shared" si="143"/>
        <v>3382.6800000000003</v>
      </c>
      <c r="M445" s="44"/>
      <c r="N445" s="44"/>
      <c r="O445" s="44"/>
      <c r="P445" s="44"/>
      <c r="Q445" s="42"/>
      <c r="R445" s="42"/>
      <c r="S445" s="43"/>
      <c r="T445" s="42"/>
      <c r="U445" s="42"/>
      <c r="V445" s="41"/>
      <c r="W445" s="42"/>
      <c r="X445" s="8"/>
      <c r="Y445" s="8"/>
      <c r="Z445" s="8"/>
      <c r="AA445" s="8"/>
      <c r="AB445" s="8"/>
      <c r="AC445" s="8"/>
      <c r="AD445" s="8"/>
      <c r="AE445" s="8"/>
    </row>
    <row r="446" spans="1:31">
      <c r="A446" s="201">
        <v>43043</v>
      </c>
      <c r="B446" s="63" t="s">
        <v>158</v>
      </c>
      <c r="C446" s="56" t="s">
        <v>156</v>
      </c>
      <c r="D446" s="8">
        <v>2006.74</v>
      </c>
      <c r="E446" s="8">
        <v>1984.72</v>
      </c>
      <c r="F446" s="8">
        <v>1976.05</v>
      </c>
      <c r="G446" s="8">
        <v>1980.56</v>
      </c>
      <c r="H446" s="8">
        <v>1994.22</v>
      </c>
      <c r="I446" s="8">
        <v>1999.84</v>
      </c>
      <c r="J446" s="8">
        <v>1982.8</v>
      </c>
      <c r="K446" s="8">
        <v>1983.13</v>
      </c>
      <c r="L446" s="8">
        <v>1999.84</v>
      </c>
      <c r="M446" s="62"/>
      <c r="N446" s="62"/>
      <c r="O446" s="62"/>
      <c r="P446" s="62"/>
      <c r="Q446" s="63">
        <f>IF((L447=""),"",MAX(D448:L448))</f>
        <v>2980</v>
      </c>
      <c r="R446" s="63">
        <f>IF(L447="","",MIN(D448:L448))</f>
        <v>2699.3599999999997</v>
      </c>
      <c r="S446" s="63">
        <f>IF((L448=""),"",AVERAGE(D448:L448))</f>
        <v>2825.3244444444445</v>
      </c>
      <c r="T446" s="63">
        <f>IF((L447=""),"",((Q446-R446)/(Q446+R446))*100)</f>
        <v>4.9414018480955662</v>
      </c>
      <c r="U446" s="51">
        <f>STDEV(D446:L446)</f>
        <v>10.617371379087704</v>
      </c>
      <c r="V446" s="64" t="str">
        <f>IF(L447="","",(IF(T446&lt;12,IF(S446&gt;2200,IF(S446&lt;3280,"Pass","Fail"),"Fail"),"Fail")))</f>
        <v>Pass</v>
      </c>
      <c r="W446" s="63">
        <v>1335</v>
      </c>
      <c r="Z446" s="37">
        <v>2000</v>
      </c>
      <c r="AA446" s="37">
        <v>3000</v>
      </c>
      <c r="AB446" s="37">
        <v>2200</v>
      </c>
      <c r="AC446" s="37">
        <v>3280</v>
      </c>
      <c r="AD446" s="39">
        <v>12</v>
      </c>
      <c r="AE446" s="39">
        <v>12</v>
      </c>
    </row>
    <row r="447" spans="1:31" ht="16.5" customHeight="1">
      <c r="A447" s="199"/>
      <c r="B447" s="48"/>
      <c r="C447" s="51" t="s">
        <v>155</v>
      </c>
      <c r="D447" s="8">
        <v>1282.07</v>
      </c>
      <c r="E447" s="8">
        <v>1287.2</v>
      </c>
      <c r="F447" s="8">
        <v>1301.21</v>
      </c>
      <c r="G447" s="8">
        <v>1284.78</v>
      </c>
      <c r="H447" s="8">
        <v>1272.1099999999999</v>
      </c>
      <c r="I447" s="8">
        <v>1292.5899999999999</v>
      </c>
      <c r="J447" s="8">
        <v>1299.8</v>
      </c>
      <c r="K447" s="8">
        <v>1276.32</v>
      </c>
      <c r="L447" s="8">
        <v>1254.8399999999999</v>
      </c>
      <c r="M447" s="50"/>
      <c r="N447" s="50"/>
      <c r="O447" s="50"/>
      <c r="P447" s="50"/>
      <c r="Q447" s="48"/>
      <c r="R447" s="48"/>
      <c r="S447" s="48"/>
      <c r="T447" s="48"/>
      <c r="U447" s="48"/>
      <c r="V447" s="47"/>
      <c r="W447" s="48"/>
      <c r="X447" s="8"/>
    </row>
    <row r="448" spans="1:31" ht="24.75" customHeight="1" thickBot="1">
      <c r="A448" s="199"/>
      <c r="B448" s="61"/>
      <c r="C448" s="51" t="s">
        <v>154</v>
      </c>
      <c r="D448" s="24">
        <f t="shared" ref="D448:L448" si="144">IF(((D446="")*AND(D447="")),"",(D446-D447)*4)</f>
        <v>2898.6800000000003</v>
      </c>
      <c r="E448" s="24">
        <f t="shared" si="144"/>
        <v>2790.08</v>
      </c>
      <c r="F448" s="24">
        <f t="shared" si="144"/>
        <v>2699.3599999999997</v>
      </c>
      <c r="G448" s="24">
        <f t="shared" si="144"/>
        <v>2783.12</v>
      </c>
      <c r="H448" s="24">
        <f t="shared" si="144"/>
        <v>2888.4400000000005</v>
      </c>
      <c r="I448" s="24">
        <f t="shared" si="144"/>
        <v>2829</v>
      </c>
      <c r="J448" s="24">
        <f t="shared" si="144"/>
        <v>2732</v>
      </c>
      <c r="K448" s="24">
        <f t="shared" si="144"/>
        <v>2827.2400000000007</v>
      </c>
      <c r="L448" s="24">
        <f t="shared" si="144"/>
        <v>2980</v>
      </c>
      <c r="M448" s="24"/>
      <c r="N448" s="24"/>
      <c r="O448" s="24"/>
      <c r="P448" s="24" t="str">
        <f>IF(((P446="")*AND(P447="")),"",(P446-P447)*4)</f>
        <v/>
      </c>
      <c r="Q448" s="61"/>
      <c r="R448" s="61"/>
      <c r="S448" s="61"/>
      <c r="T448" s="61"/>
      <c r="U448" s="61"/>
      <c r="V448" s="60"/>
      <c r="W448" s="61"/>
      <c r="X448" s="8"/>
    </row>
    <row r="449" spans="1:31">
      <c r="A449" s="202">
        <v>43043</v>
      </c>
      <c r="B449" s="57" t="s">
        <v>157</v>
      </c>
      <c r="C449" s="51" t="s">
        <v>156</v>
      </c>
      <c r="D449" s="8">
        <v>6871.17</v>
      </c>
      <c r="E449" s="8">
        <v>6858.16</v>
      </c>
      <c r="F449" s="8">
        <v>6892.31</v>
      </c>
      <c r="G449" s="8">
        <v>6855.69</v>
      </c>
      <c r="H449" s="8">
        <v>6865.53</v>
      </c>
      <c r="I449" s="8">
        <v>6890.57</v>
      </c>
      <c r="J449" s="8">
        <v>6913.2</v>
      </c>
      <c r="K449" s="8">
        <v>6872.83</v>
      </c>
      <c r="L449" s="8">
        <v>6862.98</v>
      </c>
      <c r="M449" s="50"/>
      <c r="N449" s="50"/>
      <c r="O449" s="50"/>
      <c r="P449" s="50"/>
      <c r="Q449" s="57">
        <f>IF((L450=""),"",MAX(D451:L451))</f>
        <v>3483.34</v>
      </c>
      <c r="R449" s="57">
        <f>IF(L450="","",MIN(D451:L451))</f>
        <v>3407.9599999999991</v>
      </c>
      <c r="S449" s="58">
        <f>IF((L451=""),"",AVERAGE(D451:L451))</f>
        <v>3445.6155555555542</v>
      </c>
      <c r="T449" s="57">
        <f>IF((L450=""),"",((Q449-R449)/(Q449+R449))*100)</f>
        <v>1.0938429614151324</v>
      </c>
      <c r="U449" s="56">
        <f>STDEV(D449:L449)</f>
        <v>19.056335560549329</v>
      </c>
      <c r="V449" s="55" t="str">
        <f>IF(L450="","",(IF(T449&lt;7,IF(S449&gt;2800,IF(S449&lt;3800,"Pass","Fail"),"Fail"),"Fail")))</f>
        <v>Pass</v>
      </c>
      <c r="W449" s="57">
        <v>1335</v>
      </c>
      <c r="Z449" s="53">
        <v>2800</v>
      </c>
      <c r="AA449" s="53">
        <v>3800</v>
      </c>
      <c r="AB449" s="53">
        <v>3100</v>
      </c>
      <c r="AC449" s="53">
        <v>3760</v>
      </c>
      <c r="AD449" s="52">
        <v>6</v>
      </c>
      <c r="AE449" s="52">
        <v>6</v>
      </c>
    </row>
    <row r="450" spans="1:31" ht="16.5" customHeight="1">
      <c r="A450" s="199"/>
      <c r="B450" s="48"/>
      <c r="C450" s="51" t="s">
        <v>155</v>
      </c>
      <c r="D450" s="8">
        <v>5140.71</v>
      </c>
      <c r="E450" s="8">
        <v>5126.59</v>
      </c>
      <c r="F450" s="8">
        <v>5167.0200000000004</v>
      </c>
      <c r="G450" s="8">
        <v>5137.34</v>
      </c>
      <c r="H450" s="8">
        <v>5161.55</v>
      </c>
      <c r="I450" s="8">
        <v>5148.8999999999996</v>
      </c>
      <c r="J450" s="8">
        <v>5193.5200000000004</v>
      </c>
      <c r="K450" s="8">
        <v>5148.03</v>
      </c>
      <c r="L450" s="8">
        <v>5153.51</v>
      </c>
      <c r="M450" s="50"/>
      <c r="N450" s="50"/>
      <c r="O450" s="50"/>
      <c r="P450" s="50"/>
      <c r="Q450" s="48"/>
      <c r="R450" s="48"/>
      <c r="S450" s="49"/>
      <c r="T450" s="48"/>
      <c r="U450" s="48"/>
      <c r="V450" s="47"/>
      <c r="W450" s="48"/>
      <c r="X450" s="8"/>
    </row>
    <row r="451" spans="1:31" ht="24.75" customHeight="1" thickBot="1">
      <c r="A451" s="199"/>
      <c r="B451" s="42"/>
      <c r="C451" s="45" t="s">
        <v>154</v>
      </c>
      <c r="D451" s="44">
        <f t="shared" ref="D451:L451" si="145">IF(((D449="")*AND(D450="")),"",(D449-D450)*2)</f>
        <v>3460.92</v>
      </c>
      <c r="E451" s="44">
        <f t="shared" si="145"/>
        <v>3463.1399999999994</v>
      </c>
      <c r="F451" s="44">
        <f t="shared" si="145"/>
        <v>3450.58</v>
      </c>
      <c r="G451" s="44">
        <f t="shared" si="145"/>
        <v>3436.6999999999989</v>
      </c>
      <c r="H451" s="44">
        <f t="shared" si="145"/>
        <v>3407.9599999999991</v>
      </c>
      <c r="I451" s="44">
        <f t="shared" si="145"/>
        <v>3483.34</v>
      </c>
      <c r="J451" s="44">
        <f t="shared" si="145"/>
        <v>3439.3599999999988</v>
      </c>
      <c r="K451" s="44">
        <f t="shared" si="145"/>
        <v>3449.6000000000004</v>
      </c>
      <c r="L451" s="44">
        <f t="shared" si="145"/>
        <v>3418.9399999999987</v>
      </c>
      <c r="M451" s="44"/>
      <c r="N451" s="44"/>
      <c r="O451" s="44"/>
      <c r="P451" s="44"/>
      <c r="Q451" s="42"/>
      <c r="R451" s="42"/>
      <c r="S451" s="43"/>
      <c r="T451" s="42"/>
      <c r="U451" s="42"/>
      <c r="V451" s="41"/>
      <c r="W451" s="42"/>
      <c r="X451" s="8"/>
    </row>
    <row r="452" spans="1:31">
      <c r="A452" s="201">
        <v>43047</v>
      </c>
      <c r="B452" s="63" t="s">
        <v>158</v>
      </c>
      <c r="C452" s="56" t="s">
        <v>156</v>
      </c>
      <c r="D452" s="8">
        <v>1947.96</v>
      </c>
      <c r="E452" s="8">
        <v>1941.47</v>
      </c>
      <c r="F452" s="8">
        <v>1939.8</v>
      </c>
      <c r="G452" s="8">
        <v>1946.59</v>
      </c>
      <c r="H452" s="8">
        <v>1953.83</v>
      </c>
      <c r="I452" s="8">
        <v>1950.04</v>
      </c>
      <c r="J452" s="8">
        <v>1941.73</v>
      </c>
      <c r="K452" s="8">
        <v>1945.32</v>
      </c>
      <c r="L452" s="8">
        <v>1950.04</v>
      </c>
      <c r="M452" s="62"/>
      <c r="N452" s="62"/>
      <c r="O452" s="62"/>
      <c r="P452" s="62"/>
      <c r="Q452" s="63">
        <f>IF((L453=""),"",MAX(D454:L454))</f>
        <v>2601.96</v>
      </c>
      <c r="R452" s="63">
        <f>IF(L453="","",MIN(D454:L454))</f>
        <v>2454.2799999999997</v>
      </c>
      <c r="S452" s="63">
        <f>IF((L454=""),"",AVERAGE(D454:L454))</f>
        <v>2536.715555555556</v>
      </c>
      <c r="T452" s="63">
        <f>IF((L453=""),"",((Q452-R452)/(Q452+R452))*100)</f>
        <v>2.9207474328750278</v>
      </c>
      <c r="U452" s="51">
        <f>STDEV(D452:L452)</f>
        <v>4.6762603765849953</v>
      </c>
      <c r="V452" s="64" t="str">
        <f>IF(L453="","",(IF(T452&lt;12,IF(S452&gt;2200,IF(S452&lt;3280,"Pass","Fail"),"Fail"),"Fail")))</f>
        <v>Pass</v>
      </c>
      <c r="W452" s="63">
        <v>1335</v>
      </c>
      <c r="Z452" s="37">
        <v>2000</v>
      </c>
      <c r="AA452" s="37">
        <v>3000</v>
      </c>
      <c r="AB452" s="37">
        <v>2200</v>
      </c>
      <c r="AC452" s="37">
        <v>3280</v>
      </c>
      <c r="AD452" s="39">
        <v>12</v>
      </c>
      <c r="AE452" s="39">
        <v>12</v>
      </c>
    </row>
    <row r="453" spans="1:31" ht="16.5" customHeight="1">
      <c r="A453" s="199"/>
      <c r="B453" s="48"/>
      <c r="C453" s="51" t="s">
        <v>155</v>
      </c>
      <c r="D453" s="8">
        <v>1317.74</v>
      </c>
      <c r="E453" s="8">
        <v>1304.1500000000001</v>
      </c>
      <c r="F453" s="8">
        <v>1313.81</v>
      </c>
      <c r="G453" s="8">
        <v>1308.07</v>
      </c>
      <c r="H453" s="8">
        <v>1320.1</v>
      </c>
      <c r="I453" s="8">
        <v>1336.47</v>
      </c>
      <c r="J453" s="8">
        <v>1313.76</v>
      </c>
      <c r="K453" s="8">
        <v>1295.52</v>
      </c>
      <c r="L453" s="8">
        <v>1299.55</v>
      </c>
      <c r="M453" s="50"/>
      <c r="N453" s="50"/>
      <c r="O453" s="50"/>
      <c r="P453" s="50"/>
      <c r="Q453" s="48"/>
      <c r="R453" s="48"/>
      <c r="S453" s="48"/>
      <c r="T453" s="48"/>
      <c r="U453" s="48"/>
      <c r="V453" s="47"/>
      <c r="W453" s="48"/>
      <c r="X453" s="8"/>
    </row>
    <row r="454" spans="1:31" ht="24.75" customHeight="1" thickBot="1">
      <c r="A454" s="199"/>
      <c r="B454" s="61"/>
      <c r="C454" s="51" t="s">
        <v>154</v>
      </c>
      <c r="D454" s="24">
        <f t="shared" ref="D454:L454" si="146">IF(((D452="")*AND(D453="")),"",(D452-D453)*4)</f>
        <v>2520.88</v>
      </c>
      <c r="E454" s="24">
        <f t="shared" si="146"/>
        <v>2549.2799999999997</v>
      </c>
      <c r="F454" s="24">
        <f t="shared" si="146"/>
        <v>2503.96</v>
      </c>
      <c r="G454" s="24">
        <f t="shared" si="146"/>
        <v>2554.08</v>
      </c>
      <c r="H454" s="24">
        <f t="shared" si="146"/>
        <v>2534.92</v>
      </c>
      <c r="I454" s="24">
        <f t="shared" si="146"/>
        <v>2454.2799999999997</v>
      </c>
      <c r="J454" s="24">
        <f t="shared" si="146"/>
        <v>2511.88</v>
      </c>
      <c r="K454" s="24">
        <f t="shared" si="146"/>
        <v>2599.1999999999998</v>
      </c>
      <c r="L454" s="24">
        <f t="shared" si="146"/>
        <v>2601.96</v>
      </c>
      <c r="M454" s="24"/>
      <c r="N454" s="24"/>
      <c r="O454" s="24"/>
      <c r="P454" s="24" t="str">
        <f>IF(((P452="")*AND(P453="")),"",(P452-P453)*4)</f>
        <v/>
      </c>
      <c r="Q454" s="61"/>
      <c r="R454" s="61"/>
      <c r="S454" s="61"/>
      <c r="T454" s="61"/>
      <c r="U454" s="61"/>
      <c r="V454" s="60"/>
      <c r="W454" s="61"/>
      <c r="X454" s="8"/>
    </row>
    <row r="455" spans="1:31">
      <c r="A455" s="202">
        <v>43047</v>
      </c>
      <c r="B455" s="57" t="s">
        <v>157</v>
      </c>
      <c r="C455" s="51" t="s">
        <v>156</v>
      </c>
      <c r="D455" s="8">
        <v>6882.63</v>
      </c>
      <c r="E455" s="8">
        <v>6845.37</v>
      </c>
      <c r="F455" s="8">
        <v>6879.34</v>
      </c>
      <c r="G455" s="8">
        <v>6852.73</v>
      </c>
      <c r="H455" s="8">
        <v>6901.01</v>
      </c>
      <c r="I455" s="8">
        <v>6916.55</v>
      </c>
      <c r="J455" s="8">
        <v>6909.84</v>
      </c>
      <c r="K455" s="8">
        <v>6861.46</v>
      </c>
      <c r="L455" s="8">
        <v>6874.84</v>
      </c>
      <c r="M455" s="50"/>
      <c r="N455" s="50"/>
      <c r="O455" s="50"/>
      <c r="P455" s="50"/>
      <c r="Q455" s="57">
        <f>IF((L456=""),"",MAX(D457:L457))</f>
        <v>3516.2000000000007</v>
      </c>
      <c r="R455" s="57">
        <f>IF(L456="","",MIN(D457:L457))</f>
        <v>3449.2800000000007</v>
      </c>
      <c r="S455" s="58">
        <f>IF((L457=""),"",AVERAGE(D457:L457))</f>
        <v>3494.7799999999997</v>
      </c>
      <c r="T455" s="57">
        <f>IF((L456=""),"",((Q455-R455)/(Q455+R455))*100)</f>
        <v>0.96073780988532098</v>
      </c>
      <c r="U455" s="56">
        <f>STDEV(D455:L455)</f>
        <v>24.966899309095162</v>
      </c>
      <c r="V455" s="55" t="str">
        <f>IF(L456="","",(IF(T455&lt;7,IF(S455&gt;2800,IF(S455&lt;3800,"Pass","Fail"),"Fail"),"Fail")))</f>
        <v>Pass</v>
      </c>
      <c r="W455" s="57">
        <v>1335</v>
      </c>
      <c r="Z455" s="53">
        <v>2800</v>
      </c>
      <c r="AA455" s="53">
        <v>3800</v>
      </c>
      <c r="AB455" s="53">
        <v>3100</v>
      </c>
      <c r="AC455" s="53">
        <v>3760</v>
      </c>
      <c r="AD455" s="52">
        <v>6</v>
      </c>
      <c r="AE455" s="52">
        <v>6</v>
      </c>
    </row>
    <row r="456" spans="1:31" ht="16.5" customHeight="1">
      <c r="A456" s="199"/>
      <c r="B456" s="48"/>
      <c r="C456" s="51" t="s">
        <v>155</v>
      </c>
      <c r="D456" s="8">
        <v>5130.29</v>
      </c>
      <c r="E456" s="8">
        <v>5090.24</v>
      </c>
      <c r="F456" s="8">
        <v>5128.5200000000004</v>
      </c>
      <c r="G456" s="8">
        <v>5107.74</v>
      </c>
      <c r="H456" s="8">
        <v>5176.37</v>
      </c>
      <c r="I456" s="8">
        <v>5158.45</v>
      </c>
      <c r="J456" s="8">
        <v>5164.2700000000004</v>
      </c>
      <c r="K456" s="8">
        <v>5108.84</v>
      </c>
      <c r="L456" s="8">
        <v>5132.54</v>
      </c>
      <c r="M456" s="50"/>
      <c r="N456" s="50"/>
      <c r="O456" s="50"/>
      <c r="P456" s="50"/>
      <c r="Q456" s="48"/>
      <c r="R456" s="48"/>
      <c r="S456" s="49"/>
      <c r="T456" s="48"/>
      <c r="U456" s="48"/>
      <c r="V456" s="47"/>
      <c r="W456" s="48"/>
      <c r="X456" s="8"/>
    </row>
    <row r="457" spans="1:31" ht="24.75" customHeight="1" thickBot="1">
      <c r="A457" s="199"/>
      <c r="B457" s="42"/>
      <c r="C457" s="45" t="s">
        <v>154</v>
      </c>
      <c r="D457" s="44">
        <f t="shared" ref="D457:L457" si="147">IF(((D455="")*AND(D456="")),"",(D455-D456)*2)</f>
        <v>3504.6800000000003</v>
      </c>
      <c r="E457" s="44">
        <f t="shared" si="147"/>
        <v>3510.26</v>
      </c>
      <c r="F457" s="44">
        <f t="shared" si="147"/>
        <v>3501.6399999999994</v>
      </c>
      <c r="G457" s="44">
        <f t="shared" si="147"/>
        <v>3489.9799999999996</v>
      </c>
      <c r="H457" s="44">
        <f t="shared" si="147"/>
        <v>3449.2800000000007</v>
      </c>
      <c r="I457" s="44">
        <f t="shared" si="147"/>
        <v>3516.2000000000007</v>
      </c>
      <c r="J457" s="44">
        <f t="shared" si="147"/>
        <v>3491.1399999999994</v>
      </c>
      <c r="K457" s="44">
        <f t="shared" si="147"/>
        <v>3505.24</v>
      </c>
      <c r="L457" s="44">
        <f t="shared" si="147"/>
        <v>3484.6000000000004</v>
      </c>
      <c r="M457" s="44"/>
      <c r="N457" s="44"/>
      <c r="O457" s="44"/>
      <c r="P457" s="44"/>
      <c r="Q457" s="42"/>
      <c r="R457" s="42"/>
      <c r="S457" s="43"/>
      <c r="T457" s="42"/>
      <c r="U457" s="42"/>
      <c r="V457" s="41"/>
      <c r="W457" s="42"/>
      <c r="X457" s="8"/>
    </row>
    <row r="458" spans="1:31">
      <c r="A458" s="201">
        <v>43053</v>
      </c>
      <c r="B458" s="63" t="s">
        <v>158</v>
      </c>
      <c r="C458" s="56" t="s">
        <v>156</v>
      </c>
      <c r="D458" s="8">
        <v>1321.42</v>
      </c>
      <c r="E458" s="8">
        <v>1306.51</v>
      </c>
      <c r="F458" s="8">
        <v>1314.91</v>
      </c>
      <c r="G458" s="8">
        <v>1310.78</v>
      </c>
      <c r="H458" s="8">
        <v>1316.06</v>
      </c>
      <c r="I458" s="8">
        <v>1334.25</v>
      </c>
      <c r="J458" s="8">
        <v>1315.74</v>
      </c>
      <c r="K458" s="8">
        <v>1298.82</v>
      </c>
      <c r="L458" s="8">
        <v>1302</v>
      </c>
      <c r="M458" s="62"/>
      <c r="N458" s="62"/>
      <c r="O458" s="62"/>
      <c r="P458" s="62"/>
      <c r="Q458" s="63">
        <f>IF((L459=""),"",MAX(D460:L460))</f>
        <v>2602.12</v>
      </c>
      <c r="R458" s="63">
        <f>IF(L459="","",MIN(D460:L460))</f>
        <v>2447.6799999999998</v>
      </c>
      <c r="S458" s="63">
        <f>IF((L460=""),"",AVERAGE(D460:L460))</f>
        <v>2532.4088888888891</v>
      </c>
      <c r="T458" s="63">
        <f>IF((L459=""),"",((Q458-R458)/(Q458+R458))*100)</f>
        <v>3.0583389441166</v>
      </c>
      <c r="U458" s="51">
        <f>STDEV(D458:L458)</f>
        <v>10.669733803842258</v>
      </c>
      <c r="V458" s="64" t="str">
        <f>IF(L459="","",(IF(T458&lt;12,IF(S458&gt;2200,IF(S458&lt;3280,"Pass","Fail"),"Fail"),"Fail")))</f>
        <v>Pass</v>
      </c>
      <c r="W458" s="63">
        <v>1159</v>
      </c>
      <c r="Z458" s="37">
        <v>2000</v>
      </c>
      <c r="AA458" s="37">
        <v>3000</v>
      </c>
      <c r="AB458" s="37">
        <v>2200</v>
      </c>
      <c r="AC458" s="37">
        <v>3280</v>
      </c>
      <c r="AD458" s="39">
        <v>12</v>
      </c>
      <c r="AE458" s="39">
        <v>12</v>
      </c>
    </row>
    <row r="459" spans="1:31" ht="16.5" customHeight="1">
      <c r="A459" s="199"/>
      <c r="B459" s="48"/>
      <c r="C459" s="51" t="s">
        <v>155</v>
      </c>
      <c r="D459" s="8">
        <v>701.56</v>
      </c>
      <c r="E459" s="8">
        <v>672.39</v>
      </c>
      <c r="F459" s="8">
        <v>689.73</v>
      </c>
      <c r="G459" s="8">
        <v>667.37</v>
      </c>
      <c r="H459" s="8">
        <v>681.43</v>
      </c>
      <c r="I459" s="8">
        <v>722.33</v>
      </c>
      <c r="J459" s="8">
        <v>687.56</v>
      </c>
      <c r="K459" s="8">
        <v>648.73</v>
      </c>
      <c r="L459" s="8">
        <v>651.47</v>
      </c>
      <c r="M459" s="50"/>
      <c r="N459" s="50"/>
      <c r="O459" s="50"/>
      <c r="P459" s="50"/>
      <c r="Q459" s="48"/>
      <c r="R459" s="48"/>
      <c r="S459" s="48"/>
      <c r="T459" s="48"/>
      <c r="U459" s="48"/>
      <c r="V459" s="47"/>
      <c r="W459" s="48"/>
      <c r="X459" s="8"/>
    </row>
    <row r="460" spans="1:31" ht="24.75" customHeight="1" thickBot="1">
      <c r="A460" s="199"/>
      <c r="B460" s="61"/>
      <c r="C460" s="51" t="s">
        <v>154</v>
      </c>
      <c r="D460" s="24">
        <f t="shared" ref="D460:L460" si="148">IF(((D458="")*AND(D459="")),"",(D458-D459)*4)</f>
        <v>2479.4400000000005</v>
      </c>
      <c r="E460" s="24">
        <f t="shared" si="148"/>
        <v>2536.48</v>
      </c>
      <c r="F460" s="24">
        <f t="shared" si="148"/>
        <v>2500.7200000000003</v>
      </c>
      <c r="G460" s="24">
        <f t="shared" si="148"/>
        <v>2573.64</v>
      </c>
      <c r="H460" s="24">
        <f t="shared" si="148"/>
        <v>2538.52</v>
      </c>
      <c r="I460" s="24">
        <f t="shared" si="148"/>
        <v>2447.6799999999998</v>
      </c>
      <c r="J460" s="24">
        <f t="shared" si="148"/>
        <v>2512.7200000000003</v>
      </c>
      <c r="K460" s="24">
        <f t="shared" si="148"/>
        <v>2600.3599999999997</v>
      </c>
      <c r="L460" s="24">
        <f t="shared" si="148"/>
        <v>2602.12</v>
      </c>
      <c r="M460" s="24"/>
      <c r="N460" s="24"/>
      <c r="O460" s="24"/>
      <c r="P460" s="24" t="str">
        <f>IF(((P458="")*AND(P459="")),"",(P458-P459)*4)</f>
        <v/>
      </c>
      <c r="Q460" s="61"/>
      <c r="R460" s="61"/>
      <c r="S460" s="61"/>
      <c r="T460" s="61"/>
      <c r="U460" s="61"/>
      <c r="V460" s="60"/>
      <c r="W460" s="61"/>
      <c r="X460" s="8"/>
    </row>
    <row r="461" spans="1:31">
      <c r="A461" s="202">
        <v>43053</v>
      </c>
      <c r="B461" s="57" t="s">
        <v>157</v>
      </c>
      <c r="C461" s="51" t="s">
        <v>156</v>
      </c>
      <c r="D461" s="8">
        <v>6864.19</v>
      </c>
      <c r="E461" s="8">
        <v>6848.24</v>
      </c>
      <c r="F461" s="8">
        <v>6884.99</v>
      </c>
      <c r="G461" s="8">
        <v>6848.35</v>
      </c>
      <c r="H461" s="8">
        <v>6864.94</v>
      </c>
      <c r="I461" s="8">
        <v>6883.41</v>
      </c>
      <c r="J461" s="8">
        <v>6903.88</v>
      </c>
      <c r="K461" s="8">
        <v>6869.51</v>
      </c>
      <c r="L461" s="8">
        <v>6858.31</v>
      </c>
      <c r="M461" s="50"/>
      <c r="N461" s="50"/>
      <c r="O461" s="50"/>
      <c r="P461" s="50"/>
      <c r="Q461" s="57">
        <f>IF((L462=""),"",MAX(D463:L463))</f>
        <v>3392.66</v>
      </c>
      <c r="R461" s="57">
        <f>IF(L462="","",MIN(D463:L463))</f>
        <v>3296.7999999999993</v>
      </c>
      <c r="S461" s="58">
        <f>IF((L463=""),"",AVERAGE(D463:L463))</f>
        <v>3363.2622222222217</v>
      </c>
      <c r="T461" s="57">
        <f>IF((L462=""),"",((Q461-R461)/(Q461+R461))*100)</f>
        <v>1.433000571047597</v>
      </c>
      <c r="U461" s="56">
        <f>STDEV(D461:L461)</f>
        <v>18.333429924324832</v>
      </c>
      <c r="V461" s="55" t="str">
        <f>IF(L462="","",(IF(T461&lt;7,IF(S461&gt;2800,IF(S461&lt;3800,"Pass","Fail"),"Fail"),"Fail")))</f>
        <v>Pass</v>
      </c>
      <c r="W461" s="57">
        <v>1159</v>
      </c>
      <c r="Z461" s="53">
        <v>2800</v>
      </c>
      <c r="AA461" s="53">
        <v>3800</v>
      </c>
      <c r="AB461" s="53">
        <v>3100</v>
      </c>
      <c r="AC461" s="53">
        <v>3760</v>
      </c>
      <c r="AD461" s="52">
        <v>6</v>
      </c>
      <c r="AE461" s="52">
        <v>6</v>
      </c>
    </row>
    <row r="462" spans="1:31" ht="16.5" customHeight="1">
      <c r="A462" s="199"/>
      <c r="B462" s="48"/>
      <c r="C462" s="51" t="s">
        <v>155</v>
      </c>
      <c r="D462" s="8">
        <v>5180.0600000000004</v>
      </c>
      <c r="E462" s="8">
        <v>5151.91</v>
      </c>
      <c r="F462" s="8">
        <v>5193.0200000000004</v>
      </c>
      <c r="G462" s="8">
        <v>5165.28</v>
      </c>
      <c r="H462" s="8">
        <v>5216.54</v>
      </c>
      <c r="I462" s="8">
        <v>5207.99</v>
      </c>
      <c r="J462" s="8">
        <v>5221.05</v>
      </c>
      <c r="K462" s="8">
        <v>5175.6400000000003</v>
      </c>
      <c r="L462" s="8">
        <v>5179.6499999999996</v>
      </c>
      <c r="M462" s="50"/>
      <c r="N462" s="50"/>
      <c r="O462" s="50"/>
      <c r="P462" s="50"/>
      <c r="Q462" s="48"/>
      <c r="R462" s="48"/>
      <c r="S462" s="49"/>
      <c r="T462" s="48"/>
      <c r="U462" s="48"/>
      <c r="V462" s="47"/>
      <c r="W462" s="48"/>
      <c r="X462" s="8"/>
    </row>
    <row r="463" spans="1:31" ht="24.75" customHeight="1" thickBot="1">
      <c r="A463" s="199"/>
      <c r="B463" s="42"/>
      <c r="C463" s="45" t="s">
        <v>154</v>
      </c>
      <c r="D463" s="44">
        <f t="shared" ref="D463:L463" si="149">IF(((D461="")*AND(D462="")),"",(D461-D462)*2)</f>
        <v>3368.2599999999984</v>
      </c>
      <c r="E463" s="44">
        <f t="shared" si="149"/>
        <v>3392.66</v>
      </c>
      <c r="F463" s="44">
        <f t="shared" si="149"/>
        <v>3383.9399999999987</v>
      </c>
      <c r="G463" s="44">
        <f t="shared" si="149"/>
        <v>3366.1400000000012</v>
      </c>
      <c r="H463" s="44">
        <f t="shared" si="149"/>
        <v>3296.7999999999993</v>
      </c>
      <c r="I463" s="44">
        <f t="shared" si="149"/>
        <v>3350.84</v>
      </c>
      <c r="J463" s="44">
        <f t="shared" si="149"/>
        <v>3365.66</v>
      </c>
      <c r="K463" s="44">
        <f t="shared" si="149"/>
        <v>3387.74</v>
      </c>
      <c r="L463" s="44">
        <f t="shared" si="149"/>
        <v>3357.3200000000015</v>
      </c>
      <c r="M463" s="44"/>
      <c r="N463" s="44"/>
      <c r="O463" s="44"/>
      <c r="P463" s="44"/>
      <c r="Q463" s="42"/>
      <c r="R463" s="42"/>
      <c r="S463" s="43"/>
      <c r="T463" s="42"/>
      <c r="U463" s="42"/>
      <c r="V463" s="41"/>
      <c r="W463" s="42"/>
      <c r="X463" s="8"/>
    </row>
    <row r="464" spans="1:31">
      <c r="A464" s="201">
        <v>43059</v>
      </c>
      <c r="B464" s="63" t="s">
        <v>158</v>
      </c>
      <c r="C464" s="56" t="s">
        <v>156</v>
      </c>
      <c r="D464" s="8">
        <v>1912.9</v>
      </c>
      <c r="E464" s="8">
        <v>1910.87</v>
      </c>
      <c r="F464" s="8">
        <v>1907.35</v>
      </c>
      <c r="G464" s="8">
        <v>1913.65</v>
      </c>
      <c r="H464" s="8">
        <v>1922.52</v>
      </c>
      <c r="I464" s="8">
        <v>1916.71</v>
      </c>
      <c r="J464" s="8">
        <v>1911.35</v>
      </c>
      <c r="K464" s="8">
        <v>1912.01</v>
      </c>
      <c r="L464" s="8">
        <v>1918.61</v>
      </c>
      <c r="M464" s="62"/>
      <c r="N464" s="62"/>
      <c r="O464" s="62"/>
      <c r="P464" s="62"/>
      <c r="Q464" s="63">
        <f>IF((L465=""),"",MAX(D466:L466))</f>
        <v>3206.8799999999992</v>
      </c>
      <c r="R464" s="63">
        <f>IF(L465="","",MIN(D466:L466))</f>
        <v>2755.2</v>
      </c>
      <c r="S464" s="63">
        <f>IF((L466=""),"",AVERAGE(D466:L466))</f>
        <v>2951.7022222222222</v>
      </c>
      <c r="T464" s="63">
        <f>IF((L465=""),"",((Q464-R464)/(Q464+R464))*100)</f>
        <v>7.575879558811681</v>
      </c>
      <c r="U464" s="51">
        <f>STDEV(D464:L464)</f>
        <v>4.5760381336039408</v>
      </c>
      <c r="V464" s="64" t="str">
        <f>IF(L465="","",(IF(T464&lt;12,IF(S464&gt;2200,IF(S464&lt;3280,"Pass","Fail"),"Fail"),"Fail")))</f>
        <v>Pass</v>
      </c>
      <c r="W464" s="63">
        <v>121</v>
      </c>
      <c r="Y464" s="8" t="s">
        <v>178</v>
      </c>
      <c r="Z464" s="37">
        <v>2000</v>
      </c>
      <c r="AA464" s="37">
        <v>3000</v>
      </c>
      <c r="AB464" s="37">
        <v>2200</v>
      </c>
      <c r="AC464" s="37">
        <v>3280</v>
      </c>
      <c r="AD464" s="39">
        <v>12</v>
      </c>
      <c r="AE464" s="39">
        <v>12</v>
      </c>
    </row>
    <row r="465" spans="1:31" ht="16.5" customHeight="1">
      <c r="A465" s="199"/>
      <c r="B465" s="48"/>
      <c r="C465" s="51" t="s">
        <v>155</v>
      </c>
      <c r="D465" s="8">
        <v>1158.04</v>
      </c>
      <c r="E465" s="8">
        <v>1201.2</v>
      </c>
      <c r="F465" s="8">
        <v>1218.55</v>
      </c>
      <c r="G465" s="8">
        <v>1196.76</v>
      </c>
      <c r="H465" s="8">
        <v>1136.96</v>
      </c>
      <c r="I465" s="8">
        <v>1160.57</v>
      </c>
      <c r="J465" s="8">
        <v>1209.22</v>
      </c>
      <c r="K465" s="8">
        <v>1186.45</v>
      </c>
      <c r="L465" s="8">
        <v>1116.8900000000001</v>
      </c>
      <c r="M465" s="50"/>
      <c r="N465" s="50"/>
      <c r="O465" s="50"/>
      <c r="P465" s="50"/>
      <c r="Q465" s="48"/>
      <c r="R465" s="48"/>
      <c r="S465" s="48"/>
      <c r="T465" s="48"/>
      <c r="U465" s="48"/>
      <c r="V465" s="47"/>
      <c r="W465" s="48"/>
      <c r="X465" s="8"/>
    </row>
    <row r="466" spans="1:31" ht="24.75" customHeight="1" thickBot="1">
      <c r="A466" s="199"/>
      <c r="B466" s="61"/>
      <c r="C466" s="51" t="s">
        <v>154</v>
      </c>
      <c r="D466" s="24">
        <f t="shared" ref="D466:L466" si="150">IF(((D464="")*AND(D465="")),"",(D464-D465)*4)</f>
        <v>3019.4400000000005</v>
      </c>
      <c r="E466" s="24">
        <f t="shared" si="150"/>
        <v>2838.6799999999994</v>
      </c>
      <c r="F466" s="24">
        <f t="shared" si="150"/>
        <v>2755.2</v>
      </c>
      <c r="G466" s="24">
        <f t="shared" si="150"/>
        <v>2867.5600000000004</v>
      </c>
      <c r="H466" s="24">
        <f t="shared" si="150"/>
        <v>3142.24</v>
      </c>
      <c r="I466" s="24">
        <f t="shared" si="150"/>
        <v>3024.5600000000004</v>
      </c>
      <c r="J466" s="24">
        <f t="shared" si="150"/>
        <v>2808.5199999999995</v>
      </c>
      <c r="K466" s="24">
        <f t="shared" si="150"/>
        <v>2902.24</v>
      </c>
      <c r="L466" s="24">
        <f t="shared" si="150"/>
        <v>3206.8799999999992</v>
      </c>
      <c r="M466" s="24"/>
      <c r="N466" s="24"/>
      <c r="O466" s="24"/>
      <c r="P466" s="24" t="str">
        <f>IF(((P464="")*AND(P465="")),"",(P464-P465)*4)</f>
        <v/>
      </c>
      <c r="Q466" s="61"/>
      <c r="R466" s="61"/>
      <c r="S466" s="61"/>
      <c r="T466" s="61"/>
      <c r="U466" s="61"/>
      <c r="V466" s="60"/>
      <c r="W466" s="61"/>
      <c r="X466" s="8"/>
    </row>
    <row r="467" spans="1:31">
      <c r="A467" s="202">
        <v>43059</v>
      </c>
      <c r="B467" s="57" t="s">
        <v>157</v>
      </c>
      <c r="C467" s="51" t="s">
        <v>156</v>
      </c>
      <c r="D467" s="8">
        <v>6883.04</v>
      </c>
      <c r="E467" s="8">
        <v>6844.13</v>
      </c>
      <c r="F467" s="8">
        <v>6874.94</v>
      </c>
      <c r="G467" s="8">
        <v>6848.5</v>
      </c>
      <c r="H467" s="8">
        <v>6900.3</v>
      </c>
      <c r="I467" s="8">
        <v>6911.99</v>
      </c>
      <c r="J467" s="8">
        <v>6905.35</v>
      </c>
      <c r="K467" s="8">
        <v>6859.1</v>
      </c>
      <c r="L467" s="8">
        <v>6881.28</v>
      </c>
      <c r="M467" s="50"/>
      <c r="N467" s="50"/>
      <c r="O467" s="50"/>
      <c r="P467" s="50"/>
      <c r="Q467" s="57">
        <f>IF((L468=""),"",MAX(D469:L469))</f>
        <v>3430.24</v>
      </c>
      <c r="R467" s="57">
        <f>IF(L468="","",MIN(D469:L469))</f>
        <v>3344</v>
      </c>
      <c r="S467" s="58">
        <f>IF((L469=""),"",AVERAGE(D469:L469))</f>
        <v>3402.0888888888894</v>
      </c>
      <c r="T467" s="57">
        <f>IF((L468=""),"",((Q467-R467)/(Q467+R467))*100)</f>
        <v>1.2730579371265232</v>
      </c>
      <c r="U467" s="56">
        <f>STDEV(D467:L467)</f>
        <v>24.53545648658055</v>
      </c>
      <c r="V467" s="55" t="str">
        <f>IF(L468="","",(IF(T467&lt;7,IF(S467&gt;2800,IF(S467&lt;3800,"Pass","Fail"),"Fail"),"Fail")))</f>
        <v>Pass</v>
      </c>
      <c r="W467" s="57">
        <v>121</v>
      </c>
      <c r="Z467" s="53">
        <v>2800</v>
      </c>
      <c r="AA467" s="53">
        <v>3800</v>
      </c>
      <c r="AB467" s="53">
        <v>3100</v>
      </c>
      <c r="AC467" s="53">
        <v>3760</v>
      </c>
      <c r="AD467" s="52">
        <v>6</v>
      </c>
      <c r="AE467" s="52">
        <v>6</v>
      </c>
    </row>
    <row r="468" spans="1:31" ht="16.5" customHeight="1">
      <c r="A468" s="199"/>
      <c r="B468" s="48"/>
      <c r="C468" s="51" t="s">
        <v>155</v>
      </c>
      <c r="D468" s="8">
        <v>5188.47</v>
      </c>
      <c r="E468" s="8">
        <v>5129.01</v>
      </c>
      <c r="F468" s="8">
        <v>5159.87</v>
      </c>
      <c r="G468" s="8">
        <v>5139.6499999999996</v>
      </c>
      <c r="H468" s="8">
        <v>5221.71</v>
      </c>
      <c r="I468" s="8">
        <v>5204.24</v>
      </c>
      <c r="J468" s="8">
        <v>5193.0600000000004</v>
      </c>
      <c r="K468" s="8">
        <v>5153.9399999999996</v>
      </c>
      <c r="L468" s="8">
        <v>5209.28</v>
      </c>
      <c r="M468" s="50"/>
      <c r="N468" s="50"/>
      <c r="O468" s="50"/>
      <c r="P468" s="50"/>
      <c r="Q468" s="48"/>
      <c r="R468" s="48"/>
      <c r="S468" s="49"/>
      <c r="T468" s="48"/>
      <c r="U468" s="48"/>
      <c r="V468" s="47"/>
      <c r="W468" s="48"/>
      <c r="X468" s="8"/>
    </row>
    <row r="469" spans="1:31" ht="24.75" customHeight="1" thickBot="1">
      <c r="A469" s="199"/>
      <c r="B469" s="42"/>
      <c r="C469" s="45" t="s">
        <v>154</v>
      </c>
      <c r="D469" s="44">
        <f t="shared" ref="D469:L469" si="151">IF(((D467="")*AND(D468="")),"",(D467-D468)*2)</f>
        <v>3389.1399999999994</v>
      </c>
      <c r="E469" s="44">
        <f t="shared" si="151"/>
        <v>3430.24</v>
      </c>
      <c r="F469" s="44">
        <f t="shared" si="151"/>
        <v>3430.1399999999994</v>
      </c>
      <c r="G469" s="44">
        <f t="shared" si="151"/>
        <v>3417.7000000000007</v>
      </c>
      <c r="H469" s="44">
        <f t="shared" si="151"/>
        <v>3357.1800000000003</v>
      </c>
      <c r="I469" s="44">
        <f t="shared" si="151"/>
        <v>3415.5</v>
      </c>
      <c r="J469" s="44">
        <f t="shared" si="151"/>
        <v>3424.58</v>
      </c>
      <c r="K469" s="44">
        <f t="shared" si="151"/>
        <v>3410.3200000000015</v>
      </c>
      <c r="L469" s="44">
        <f t="shared" si="151"/>
        <v>3344</v>
      </c>
      <c r="M469" s="44"/>
      <c r="N469" s="44"/>
      <c r="O469" s="44"/>
      <c r="P469" s="44"/>
      <c r="Q469" s="42"/>
      <c r="R469" s="42"/>
      <c r="S469" s="43"/>
      <c r="T469" s="42"/>
      <c r="U469" s="42"/>
      <c r="V469" s="41"/>
      <c r="W469" s="42"/>
      <c r="X469" s="8"/>
    </row>
    <row r="470" spans="1:31">
      <c r="A470" s="201">
        <v>43067</v>
      </c>
      <c r="B470" s="63" t="s">
        <v>158</v>
      </c>
      <c r="C470" s="56" t="s">
        <v>156</v>
      </c>
      <c r="D470" s="8">
        <v>1166.73</v>
      </c>
      <c r="E470" s="8">
        <v>1207.21</v>
      </c>
      <c r="F470" s="8">
        <v>1215.3</v>
      </c>
      <c r="G470" s="8">
        <v>1199.3800000000001</v>
      </c>
      <c r="H470" s="8">
        <v>1138.1500000000001</v>
      </c>
      <c r="I470" s="8">
        <v>1163.96</v>
      </c>
      <c r="J470" s="8">
        <v>1213.1300000000001</v>
      </c>
      <c r="K470" s="8">
        <v>1191.53</v>
      </c>
      <c r="L470" s="8">
        <v>1124.1300000000001</v>
      </c>
      <c r="M470" s="62"/>
      <c r="N470" s="62"/>
      <c r="O470" s="62"/>
      <c r="P470" s="62"/>
      <c r="Q470" s="63">
        <f>IF((L471=""),"",MAX(D472:L472))</f>
        <v>3131.1600000000008</v>
      </c>
      <c r="R470" s="63">
        <f>IF(L471="","",MIN(D472:L472))</f>
        <v>2466.9199999999996</v>
      </c>
      <c r="S470" s="63">
        <f>IF((L472=""),"",AVERAGE(D472:L472))</f>
        <v>2871.577777777778</v>
      </c>
      <c r="T470" s="63">
        <f>IF((L471=""),"",((Q470-R470)/(Q470+R470))*100)</f>
        <v>11.865496741740046</v>
      </c>
      <c r="U470" s="51">
        <f>STDEV(D470:L470)</f>
        <v>33.351957588726705</v>
      </c>
      <c r="V470" s="64" t="str">
        <f>IF(L471="","",(IF(T470&lt;12,IF(S470&gt;2200,IF(S470&lt;3280,"Pass","Fail"),"Fail"),"Fail")))</f>
        <v>Pass</v>
      </c>
      <c r="W470" s="63">
        <v>102</v>
      </c>
      <c r="Y470" s="8" t="s">
        <v>178</v>
      </c>
      <c r="Z470" s="37">
        <v>2000</v>
      </c>
      <c r="AA470" s="37">
        <v>3000</v>
      </c>
      <c r="AB470" s="37">
        <v>2200</v>
      </c>
      <c r="AC470" s="37">
        <v>3280</v>
      </c>
      <c r="AD470" s="39">
        <v>12</v>
      </c>
      <c r="AE470" s="39">
        <v>12</v>
      </c>
    </row>
    <row r="471" spans="1:31" ht="16.5" customHeight="1">
      <c r="A471" s="199"/>
      <c r="B471" s="48"/>
      <c r="C471" s="51" t="s">
        <v>155</v>
      </c>
      <c r="D471" s="8">
        <v>419.57</v>
      </c>
      <c r="E471" s="8">
        <v>509.14</v>
      </c>
      <c r="F471" s="8">
        <v>598.57000000000005</v>
      </c>
      <c r="G471" s="8">
        <v>495.6</v>
      </c>
      <c r="H471" s="8">
        <v>375.42</v>
      </c>
      <c r="I471" s="8">
        <v>419.78</v>
      </c>
      <c r="J471" s="8">
        <v>519.39</v>
      </c>
      <c r="K471" s="8">
        <v>479.66</v>
      </c>
      <c r="L471" s="8">
        <v>341.34</v>
      </c>
      <c r="M471" s="50"/>
      <c r="N471" s="50"/>
      <c r="O471" s="50"/>
      <c r="P471" s="50"/>
      <c r="Q471" s="48"/>
      <c r="R471" s="48"/>
      <c r="S471" s="48"/>
      <c r="T471" s="48"/>
      <c r="U471" s="48"/>
      <c r="V471" s="47"/>
      <c r="W471" s="48"/>
      <c r="X471" s="8"/>
    </row>
    <row r="472" spans="1:31" ht="24.75" customHeight="1" thickBot="1">
      <c r="A472" s="199"/>
      <c r="B472" s="61"/>
      <c r="C472" s="51" t="s">
        <v>154</v>
      </c>
      <c r="D472" s="24">
        <f t="shared" ref="D472:L472" si="152">IF(((D470="")*AND(D471="")),"",(D470-D471)*4)</f>
        <v>2988.6400000000003</v>
      </c>
      <c r="E472" s="24">
        <f t="shared" si="152"/>
        <v>2792.28</v>
      </c>
      <c r="F472" s="24">
        <f t="shared" si="152"/>
        <v>2466.9199999999996</v>
      </c>
      <c r="G472" s="24">
        <f t="shared" si="152"/>
        <v>2815.1200000000003</v>
      </c>
      <c r="H472" s="24">
        <f t="shared" si="152"/>
        <v>3050.92</v>
      </c>
      <c r="I472" s="24">
        <f t="shared" si="152"/>
        <v>2976.7200000000003</v>
      </c>
      <c r="J472" s="24">
        <f t="shared" si="152"/>
        <v>2774.9600000000005</v>
      </c>
      <c r="K472" s="24">
        <f t="shared" si="152"/>
        <v>2847.4799999999996</v>
      </c>
      <c r="L472" s="24">
        <f t="shared" si="152"/>
        <v>3131.1600000000008</v>
      </c>
      <c r="M472" s="24"/>
      <c r="N472" s="24"/>
      <c r="O472" s="24"/>
      <c r="P472" s="24" t="str">
        <f>IF(((P470="")*AND(P471="")),"",(P470-P471)*4)</f>
        <v/>
      </c>
      <c r="Q472" s="61"/>
      <c r="R472" s="61"/>
      <c r="S472" s="61"/>
      <c r="T472" s="61"/>
      <c r="U472" s="61"/>
      <c r="V472" s="60"/>
      <c r="W472" s="61"/>
      <c r="X472" s="8"/>
    </row>
    <row r="473" spans="1:31">
      <c r="A473" s="202">
        <v>43067</v>
      </c>
      <c r="B473" s="57" t="s">
        <v>157</v>
      </c>
      <c r="C473" s="51" t="s">
        <v>156</v>
      </c>
      <c r="D473" s="8">
        <v>5200.03</v>
      </c>
      <c r="E473" s="8">
        <v>5140.33</v>
      </c>
      <c r="F473" s="8">
        <v>5171.38</v>
      </c>
      <c r="G473" s="8">
        <v>5150.6099999999997</v>
      </c>
      <c r="H473" s="8">
        <v>5231.92</v>
      </c>
      <c r="I473" s="8">
        <v>5214.84</v>
      </c>
      <c r="J473" s="8">
        <v>5204.62</v>
      </c>
      <c r="K473" s="8">
        <v>5165.08</v>
      </c>
      <c r="L473" s="8">
        <v>5220.5600000000004</v>
      </c>
      <c r="M473" s="50"/>
      <c r="N473" s="50"/>
      <c r="O473" s="50"/>
      <c r="P473" s="50"/>
      <c r="Q473" s="57">
        <f>IF((L474=""),"",MAX(D475:L475))</f>
        <v>3558.8</v>
      </c>
      <c r="R473" s="57">
        <f>IF(L474="","",MIN(D475:L475))</f>
        <v>3473.54</v>
      </c>
      <c r="S473" s="58">
        <f>IF((L475=""),"",AVERAGE(D475:L475))</f>
        <v>3513.3555555555554</v>
      </c>
      <c r="T473" s="57">
        <f>IF((L474=""),"",((Q473-R473)/(Q473+R473))*100)</f>
        <v>1.2123987179231979</v>
      </c>
      <c r="U473" s="56">
        <f>STDEV(D473:L473)</f>
        <v>32.780343746010239</v>
      </c>
      <c r="V473" s="55" t="str">
        <f>IF(L474="","",(IF(T473&lt;7,IF(S473&gt;2800,IF(S473&lt;3800,"Pass","Fail"),"Fail"),"Fail")))</f>
        <v>Pass</v>
      </c>
      <c r="W473" s="57">
        <v>102</v>
      </c>
      <c r="Z473" s="53">
        <v>2800</v>
      </c>
      <c r="AA473" s="53">
        <v>3800</v>
      </c>
      <c r="AB473" s="53">
        <v>3100</v>
      </c>
      <c r="AC473" s="53">
        <v>3760</v>
      </c>
      <c r="AD473" s="52">
        <v>6</v>
      </c>
      <c r="AE473" s="52">
        <v>6</v>
      </c>
    </row>
    <row r="474" spans="1:31" ht="16.5" customHeight="1">
      <c r="A474" s="199"/>
      <c r="B474" s="48"/>
      <c r="C474" s="51" t="s">
        <v>155</v>
      </c>
      <c r="D474" s="8">
        <v>3432.96</v>
      </c>
      <c r="E474" s="8">
        <v>3374.35</v>
      </c>
      <c r="F474" s="8">
        <v>3413.44</v>
      </c>
      <c r="G474" s="8">
        <v>3398.63</v>
      </c>
      <c r="H474" s="8">
        <v>3495.15</v>
      </c>
      <c r="I474" s="8">
        <v>3435.44</v>
      </c>
      <c r="J474" s="8">
        <v>3447.19</v>
      </c>
      <c r="K474" s="8">
        <v>3411.85</v>
      </c>
      <c r="L474" s="8">
        <v>3480.26</v>
      </c>
      <c r="M474" s="50"/>
      <c r="N474" s="50"/>
      <c r="O474" s="50"/>
      <c r="P474" s="50"/>
      <c r="Q474" s="48"/>
      <c r="R474" s="48"/>
      <c r="S474" s="49"/>
      <c r="T474" s="48"/>
      <c r="U474" s="48"/>
      <c r="V474" s="47"/>
      <c r="W474" s="48"/>
      <c r="X474" s="8"/>
    </row>
    <row r="475" spans="1:31" ht="24.75" customHeight="1" thickBot="1">
      <c r="A475" s="199"/>
      <c r="B475" s="42"/>
      <c r="C475" s="45" t="s">
        <v>154</v>
      </c>
      <c r="D475" s="44">
        <f t="shared" ref="D475:L475" si="153">IF(((D473="")*AND(D474="")),"",(D473-D474)*2)</f>
        <v>3534.1399999999994</v>
      </c>
      <c r="E475" s="44">
        <f t="shared" si="153"/>
        <v>3531.96</v>
      </c>
      <c r="F475" s="44">
        <f t="shared" si="153"/>
        <v>3515.88</v>
      </c>
      <c r="G475" s="44">
        <f t="shared" si="153"/>
        <v>3503.9599999999991</v>
      </c>
      <c r="H475" s="44">
        <f t="shared" si="153"/>
        <v>3473.54</v>
      </c>
      <c r="I475" s="44">
        <f t="shared" si="153"/>
        <v>3558.8</v>
      </c>
      <c r="J475" s="44">
        <f t="shared" si="153"/>
        <v>3514.8599999999997</v>
      </c>
      <c r="K475" s="44">
        <f t="shared" si="153"/>
        <v>3506.46</v>
      </c>
      <c r="L475" s="44">
        <f t="shared" si="153"/>
        <v>3480.6000000000004</v>
      </c>
      <c r="M475" s="44"/>
      <c r="N475" s="44"/>
      <c r="O475" s="44"/>
      <c r="P475" s="44"/>
      <c r="Q475" s="42"/>
      <c r="R475" s="42"/>
      <c r="S475" s="43"/>
      <c r="T475" s="42"/>
      <c r="U475" s="42"/>
      <c r="V475" s="41"/>
      <c r="W475" s="42"/>
      <c r="X475" s="8"/>
    </row>
    <row r="476" spans="1:31">
      <c r="A476" s="201">
        <v>43080</v>
      </c>
      <c r="B476" s="63" t="s">
        <v>158</v>
      </c>
      <c r="C476" s="56" t="s">
        <v>156</v>
      </c>
      <c r="D476" s="8">
        <v>1939.08</v>
      </c>
      <c r="E476" s="8">
        <v>1929.64</v>
      </c>
      <c r="F476" s="8">
        <v>1930.52</v>
      </c>
      <c r="G476" s="8">
        <v>1933.82</v>
      </c>
      <c r="H476" s="8">
        <v>1943.23</v>
      </c>
      <c r="I476" s="8">
        <v>1940.6</v>
      </c>
      <c r="J476" s="8">
        <v>1932.92</v>
      </c>
      <c r="K476" s="8">
        <v>1932.28</v>
      </c>
      <c r="L476" s="8">
        <v>1938.28</v>
      </c>
      <c r="M476" s="62"/>
      <c r="N476" s="62"/>
      <c r="O476" s="62"/>
      <c r="P476" s="62"/>
      <c r="Q476" s="63">
        <f>IF((L477=""),"",MAX(D478:L478))</f>
        <v>3219.12</v>
      </c>
      <c r="R476" s="63">
        <f>IF(L477="","",MIN(D478:L478))</f>
        <v>2822.6400000000003</v>
      </c>
      <c r="S476" s="63">
        <f>IF((L478=""),"",AVERAGE(D478:L478))</f>
        <v>2986.1733333333332</v>
      </c>
      <c r="T476" s="63">
        <f>IF((L477=""),"",((Q476-R476)/(Q476+R476))*100)</f>
        <v>6.5623262095813066</v>
      </c>
      <c r="U476" s="51">
        <f>STDEV(D476:L476)</f>
        <v>4.8115849779404174</v>
      </c>
      <c r="V476" s="64" t="str">
        <f>IF(L477="","",(IF(T476&lt;12,IF(S476&gt;2200,IF(S476&lt;3280,"Pass","Fail"),"Fail"),"Fail")))</f>
        <v>Pass</v>
      </c>
      <c r="W476" s="63">
        <v>1335</v>
      </c>
      <c r="Z476" s="37">
        <v>2000</v>
      </c>
      <c r="AA476" s="37">
        <v>3000</v>
      </c>
      <c r="AB476" s="37">
        <v>2200</v>
      </c>
      <c r="AC476" s="37">
        <v>3280</v>
      </c>
      <c r="AD476" s="39">
        <v>12</v>
      </c>
      <c r="AE476" s="39">
        <v>12</v>
      </c>
    </row>
    <row r="477" spans="1:31" ht="16.5" customHeight="1">
      <c r="A477" s="199"/>
      <c r="B477" s="48"/>
      <c r="C477" s="51" t="s">
        <v>155</v>
      </c>
      <c r="D477" s="8">
        <v>1171.8699999999999</v>
      </c>
      <c r="E477" s="8">
        <v>1214.54</v>
      </c>
      <c r="F477" s="8">
        <v>1204</v>
      </c>
      <c r="G477" s="8">
        <v>1215.8</v>
      </c>
      <c r="H477" s="8">
        <v>1153.01</v>
      </c>
      <c r="I477" s="8">
        <v>1180.83</v>
      </c>
      <c r="J477" s="8">
        <v>1227.26</v>
      </c>
      <c r="K477" s="8">
        <v>1200.67</v>
      </c>
      <c r="L477" s="8">
        <v>1133.5</v>
      </c>
      <c r="M477" s="50"/>
      <c r="N477" s="50"/>
      <c r="O477" s="50"/>
      <c r="P477" s="50"/>
      <c r="Q477" s="48"/>
      <c r="R477" s="48"/>
      <c r="S477" s="48"/>
      <c r="T477" s="48"/>
      <c r="U477" s="48"/>
      <c r="V477" s="47"/>
      <c r="W477" s="48"/>
      <c r="X477" s="8"/>
    </row>
    <row r="478" spans="1:31" ht="24.75" customHeight="1" thickBot="1">
      <c r="A478" s="199"/>
      <c r="B478" s="61"/>
      <c r="C478" s="51" t="s">
        <v>154</v>
      </c>
      <c r="D478" s="24">
        <f t="shared" ref="D478:L478" si="154">IF(((D476="")*AND(D477="")),"",(D476-D477)*4)</f>
        <v>3068.84</v>
      </c>
      <c r="E478" s="24">
        <f t="shared" si="154"/>
        <v>2860.4000000000005</v>
      </c>
      <c r="F478" s="24">
        <f t="shared" si="154"/>
        <v>2906.08</v>
      </c>
      <c r="G478" s="24">
        <f t="shared" si="154"/>
        <v>2872.08</v>
      </c>
      <c r="H478" s="24">
        <f t="shared" si="154"/>
        <v>3160.88</v>
      </c>
      <c r="I478" s="24">
        <f t="shared" si="154"/>
        <v>3039.08</v>
      </c>
      <c r="J478" s="24">
        <f t="shared" si="154"/>
        <v>2822.6400000000003</v>
      </c>
      <c r="K478" s="24">
        <f t="shared" si="154"/>
        <v>2926.4399999999996</v>
      </c>
      <c r="L478" s="24">
        <f t="shared" si="154"/>
        <v>3219.12</v>
      </c>
      <c r="M478" s="24"/>
      <c r="N478" s="24"/>
      <c r="O478" s="24"/>
      <c r="P478" s="24" t="str">
        <f>IF(((P476="")*AND(P477="")),"",(P476-P477)*4)</f>
        <v/>
      </c>
      <c r="Q478" s="61"/>
      <c r="R478" s="61"/>
      <c r="S478" s="61"/>
      <c r="T478" s="61"/>
      <c r="U478" s="61"/>
      <c r="V478" s="60"/>
      <c r="W478" s="61"/>
      <c r="X478" s="8"/>
    </row>
    <row r="479" spans="1:31">
      <c r="A479" s="202">
        <v>43080</v>
      </c>
      <c r="B479" s="57" t="s">
        <v>157</v>
      </c>
      <c r="C479" s="51" t="s">
        <v>156</v>
      </c>
      <c r="D479" s="8">
        <v>6879.52</v>
      </c>
      <c r="E479" s="8">
        <v>6855.11</v>
      </c>
      <c r="F479" s="8">
        <v>6873.5</v>
      </c>
      <c r="G479" s="8">
        <v>6847.52</v>
      </c>
      <c r="H479" s="8">
        <v>6881.86</v>
      </c>
      <c r="I479" s="8">
        <v>6894.24</v>
      </c>
      <c r="J479" s="8">
        <v>6891.4</v>
      </c>
      <c r="K479" s="8">
        <v>6859.33</v>
      </c>
      <c r="L479" s="8">
        <v>6862.93</v>
      </c>
      <c r="M479" s="50"/>
      <c r="N479" s="50"/>
      <c r="O479" s="50"/>
      <c r="P479" s="50"/>
      <c r="Q479" s="57">
        <f>IF((L480=""),"",MAX(D481:L481))</f>
        <v>3512.16</v>
      </c>
      <c r="R479" s="57">
        <f>IF(L480="","",MIN(D481:L481))</f>
        <v>3448.08</v>
      </c>
      <c r="S479" s="58">
        <f>IF((L481=""),"",AVERAGE(D481:L481))</f>
        <v>3491.5355555555557</v>
      </c>
      <c r="T479" s="57">
        <f>IF((L480=""),"",((Q479-R479)/(Q479+R479))*100)</f>
        <v>0.920657908347987</v>
      </c>
      <c r="U479" s="56">
        <f>STDEV(D479:L479)</f>
        <v>16.407271846329344</v>
      </c>
      <c r="V479" s="55" t="str">
        <f>IF(L480="","",(IF(T479&lt;7,IF(S479&gt;2800,IF(S479&lt;3800,"Pass","Fail"),"Fail"),"Fail")))</f>
        <v>Pass</v>
      </c>
      <c r="W479" s="57">
        <v>1335</v>
      </c>
      <c r="Z479" s="53">
        <v>2800</v>
      </c>
      <c r="AA479" s="53">
        <v>3800</v>
      </c>
      <c r="AB479" s="53">
        <v>3100</v>
      </c>
      <c r="AC479" s="53">
        <v>3760</v>
      </c>
      <c r="AD479" s="52">
        <v>6</v>
      </c>
      <c r="AE479" s="52">
        <v>6</v>
      </c>
    </row>
    <row r="480" spans="1:31" ht="16.5" customHeight="1">
      <c r="A480" s="199"/>
      <c r="B480" s="48"/>
      <c r="C480" s="51" t="s">
        <v>155</v>
      </c>
      <c r="D480" s="8">
        <v>5127.12</v>
      </c>
      <c r="E480" s="8">
        <v>5099.03</v>
      </c>
      <c r="F480" s="8">
        <v>5123.1099999999997</v>
      </c>
      <c r="G480" s="8">
        <v>5102.2299999999996</v>
      </c>
      <c r="H480" s="8">
        <v>5157.82</v>
      </c>
      <c r="I480" s="8">
        <v>5141.91</v>
      </c>
      <c r="J480" s="8">
        <v>5142.03</v>
      </c>
      <c r="K480" s="8">
        <v>5111.6400000000003</v>
      </c>
      <c r="L480" s="8">
        <v>5128.6099999999997</v>
      </c>
      <c r="M480" s="50"/>
      <c r="N480" s="50"/>
      <c r="O480" s="50"/>
      <c r="P480" s="50"/>
      <c r="Q480" s="48"/>
      <c r="R480" s="48"/>
      <c r="S480" s="49"/>
      <c r="T480" s="48"/>
      <c r="U480" s="48"/>
      <c r="V480" s="47"/>
      <c r="W480" s="48"/>
      <c r="X480" s="8"/>
    </row>
    <row r="481" spans="1:31" ht="24.75" customHeight="1" thickBot="1">
      <c r="A481" s="199"/>
      <c r="B481" s="42"/>
      <c r="C481" s="45" t="s">
        <v>154</v>
      </c>
      <c r="D481" s="44">
        <f t="shared" ref="D481:L481" si="155">IF(((D479="")*AND(D480="")),"",(D479-D480)*2)</f>
        <v>3504.8000000000011</v>
      </c>
      <c r="E481" s="44">
        <f t="shared" si="155"/>
        <v>3512.16</v>
      </c>
      <c r="F481" s="44">
        <f t="shared" si="155"/>
        <v>3500.7800000000007</v>
      </c>
      <c r="G481" s="44">
        <f t="shared" si="155"/>
        <v>3490.5800000000017</v>
      </c>
      <c r="H481" s="44">
        <f t="shared" si="155"/>
        <v>3448.08</v>
      </c>
      <c r="I481" s="44">
        <f t="shared" si="155"/>
        <v>3504.66</v>
      </c>
      <c r="J481" s="44">
        <f t="shared" si="155"/>
        <v>3498.74</v>
      </c>
      <c r="K481" s="44">
        <f t="shared" si="155"/>
        <v>3495.3799999999992</v>
      </c>
      <c r="L481" s="44">
        <f t="shared" si="155"/>
        <v>3468.6400000000012</v>
      </c>
      <c r="M481" s="44"/>
      <c r="N481" s="44"/>
      <c r="O481" s="44"/>
      <c r="P481" s="44"/>
      <c r="Q481" s="42"/>
      <c r="R481" s="42"/>
      <c r="S481" s="43"/>
      <c r="T481" s="42"/>
      <c r="U481" s="42"/>
      <c r="V481" s="41"/>
      <c r="W481" s="42"/>
      <c r="X481" s="8"/>
    </row>
    <row r="482" spans="1:31">
      <c r="A482" s="201">
        <v>43091</v>
      </c>
      <c r="B482" s="63" t="s">
        <v>158</v>
      </c>
      <c r="C482" s="56" t="s">
        <v>156</v>
      </c>
      <c r="D482" s="8">
        <v>1176.07</v>
      </c>
      <c r="E482" s="8">
        <v>1216.77</v>
      </c>
      <c r="F482" s="8">
        <v>1234.1300000000001</v>
      </c>
      <c r="G482" s="8">
        <v>1218.05</v>
      </c>
      <c r="H482" s="8">
        <v>1157.19</v>
      </c>
      <c r="I482" s="8">
        <v>1184.56</v>
      </c>
      <c r="J482" s="8">
        <v>1229.8</v>
      </c>
      <c r="K482" s="8">
        <v>1203.3499999999999</v>
      </c>
      <c r="L482" s="8">
        <v>1136.9000000000001</v>
      </c>
      <c r="M482" s="62"/>
      <c r="N482" s="62"/>
      <c r="O482" s="62"/>
      <c r="P482" s="62"/>
      <c r="Q482" s="63">
        <f>IF((L483=""),"",MAX(D484:L484))</f>
        <v>3153</v>
      </c>
      <c r="R482" s="63">
        <f>IF(L483="","",MIN(D484:L484))</f>
        <v>2752.5200000000004</v>
      </c>
      <c r="S482" s="63">
        <f>IF((L484=""),"",AVERAGE(D484:L484))</f>
        <v>2934.0888888888894</v>
      </c>
      <c r="T482" s="63">
        <f>IF((L483=""),"",((Q482-R482)/(Q482+R482))*100)</f>
        <v>6.7814519297199825</v>
      </c>
      <c r="U482" s="51">
        <f>STDEV(D482:L482)</f>
        <v>33.707067796600249</v>
      </c>
      <c r="V482" s="64" t="str">
        <f>IF(L483="","",(IF(T482&lt;12,IF(S482&gt;2200,IF(S482&lt;3280,"Pass","Fail"),"Fail"),"Fail")))</f>
        <v>Pass</v>
      </c>
      <c r="W482" s="63">
        <v>121</v>
      </c>
      <c r="Z482" s="37">
        <v>2000</v>
      </c>
      <c r="AA482" s="37">
        <v>3000</v>
      </c>
      <c r="AB482" s="37">
        <v>2200</v>
      </c>
      <c r="AC482" s="37">
        <v>3280</v>
      </c>
      <c r="AD482" s="39">
        <v>12</v>
      </c>
      <c r="AE482" s="39">
        <v>12</v>
      </c>
    </row>
    <row r="483" spans="1:31" ht="16.5" customHeight="1">
      <c r="A483" s="199"/>
      <c r="B483" s="48"/>
      <c r="C483" s="51" t="s">
        <v>155</v>
      </c>
      <c r="D483" s="8">
        <v>422.85</v>
      </c>
      <c r="E483" s="8">
        <v>515.74</v>
      </c>
      <c r="F483" s="8">
        <v>546</v>
      </c>
      <c r="G483" s="8">
        <v>508.51</v>
      </c>
      <c r="H483" s="8">
        <v>368.94</v>
      </c>
      <c r="I483" s="8">
        <v>427.44</v>
      </c>
      <c r="J483" s="8">
        <v>532.79</v>
      </c>
      <c r="K483" s="8">
        <v>483.76</v>
      </c>
      <c r="L483" s="8">
        <v>349.09</v>
      </c>
      <c r="M483" s="50"/>
      <c r="N483" s="50"/>
      <c r="O483" s="50"/>
      <c r="P483" s="50"/>
      <c r="Q483" s="48"/>
      <c r="R483" s="48"/>
      <c r="S483" s="48"/>
      <c r="T483" s="48"/>
      <c r="U483" s="48"/>
      <c r="V483" s="47"/>
      <c r="W483" s="48"/>
      <c r="X483" s="8"/>
    </row>
    <row r="484" spans="1:31" ht="24.75" customHeight="1" thickBot="1">
      <c r="A484" s="199"/>
      <c r="B484" s="61"/>
      <c r="C484" s="51" t="s">
        <v>154</v>
      </c>
      <c r="D484" s="24">
        <f t="shared" ref="D484:L484" si="156">IF(((D482="")*AND(D483="")),"",(D482-D483)*4)</f>
        <v>3012.8799999999997</v>
      </c>
      <c r="E484" s="24">
        <f t="shared" si="156"/>
        <v>2804.12</v>
      </c>
      <c r="F484" s="24">
        <f t="shared" si="156"/>
        <v>2752.5200000000004</v>
      </c>
      <c r="G484" s="24">
        <f t="shared" si="156"/>
        <v>2838.16</v>
      </c>
      <c r="H484" s="24">
        <f t="shared" si="156"/>
        <v>3153</v>
      </c>
      <c r="I484" s="24">
        <f t="shared" si="156"/>
        <v>3028.4799999999996</v>
      </c>
      <c r="J484" s="24">
        <f t="shared" si="156"/>
        <v>2788.04</v>
      </c>
      <c r="K484" s="24">
        <f t="shared" si="156"/>
        <v>2878.3599999999997</v>
      </c>
      <c r="L484" s="24">
        <f t="shared" si="156"/>
        <v>3151.2400000000007</v>
      </c>
      <c r="M484" s="24"/>
      <c r="N484" s="24"/>
      <c r="O484" s="24"/>
      <c r="P484" s="24" t="str">
        <f>IF(((P482="")*AND(P483="")),"",(P482-P483)*4)</f>
        <v/>
      </c>
      <c r="Q484" s="61"/>
      <c r="R484" s="61"/>
      <c r="S484" s="61"/>
      <c r="T484" s="61"/>
      <c r="U484" s="61"/>
      <c r="V484" s="60"/>
      <c r="W484" s="61"/>
      <c r="X484" s="8"/>
    </row>
    <row r="485" spans="1:31">
      <c r="A485" s="202">
        <v>43091</v>
      </c>
      <c r="B485" s="57" t="s">
        <v>157</v>
      </c>
      <c r="C485" s="51" t="s">
        <v>156</v>
      </c>
      <c r="D485" s="8">
        <v>5138.3</v>
      </c>
      <c r="E485" s="8">
        <v>5110.26</v>
      </c>
      <c r="F485" s="8">
        <v>5134.78</v>
      </c>
      <c r="G485" s="8">
        <v>5113.59</v>
      </c>
      <c r="H485" s="8">
        <v>5168.2700000000004</v>
      </c>
      <c r="I485" s="8">
        <v>5153.1099999999997</v>
      </c>
      <c r="J485" s="8">
        <v>5153.67</v>
      </c>
      <c r="K485" s="8">
        <v>5122.7</v>
      </c>
      <c r="L485" s="8">
        <v>5139.22</v>
      </c>
      <c r="M485" s="50"/>
      <c r="N485" s="50"/>
      <c r="O485" s="50"/>
      <c r="P485" s="50"/>
      <c r="Q485" s="57">
        <f>IF((L486=""),"",MAX(D487:L487))</f>
        <v>3476.1000000000004</v>
      </c>
      <c r="R485" s="57">
        <f>IF(L486="","",MIN(D487:L487))</f>
        <v>3390.5200000000004</v>
      </c>
      <c r="S485" s="58">
        <f>IF((L487=""),"",AVERAGE(D487:L487))</f>
        <v>3448.4599999999996</v>
      </c>
      <c r="T485" s="57">
        <f>IF((L486=""),"",((Q485-R485)/(Q485+R485))*100)</f>
        <v>1.2463191497417931</v>
      </c>
      <c r="U485" s="56">
        <f>STDEV(D485:L485)</f>
        <v>19.34630584894763</v>
      </c>
      <c r="V485" s="55" t="str">
        <f>IF(L486="","",(IF(T485&lt;7,IF(S485&gt;2800,IF(S485&lt;3800,"Pass","Fail"),"Fail"),"Fail")))</f>
        <v>Pass</v>
      </c>
      <c r="W485" s="57">
        <v>121</v>
      </c>
      <c r="Z485" s="53">
        <v>2800</v>
      </c>
      <c r="AA485" s="53">
        <v>3800</v>
      </c>
      <c r="AB485" s="53">
        <v>3100</v>
      </c>
      <c r="AC485" s="53">
        <v>3760</v>
      </c>
      <c r="AD485" s="52">
        <v>6</v>
      </c>
      <c r="AE485" s="52">
        <v>6</v>
      </c>
    </row>
    <row r="486" spans="1:31" ht="16.5" customHeight="1">
      <c r="A486" s="199"/>
      <c r="B486" s="48"/>
      <c r="C486" s="51" t="s">
        <v>155</v>
      </c>
      <c r="D486" s="8">
        <v>3407.93</v>
      </c>
      <c r="E486" s="8">
        <v>3372.21</v>
      </c>
      <c r="F486" s="8">
        <v>3403.37</v>
      </c>
      <c r="G486" s="8">
        <v>3389.53</v>
      </c>
      <c r="H486" s="8">
        <v>3473.01</v>
      </c>
      <c r="I486" s="8">
        <v>3422.9</v>
      </c>
      <c r="J486" s="8">
        <v>3425.91</v>
      </c>
      <c r="K486" s="8">
        <v>3393.49</v>
      </c>
      <c r="L486" s="8">
        <v>3427.48</v>
      </c>
      <c r="M486" s="50"/>
      <c r="N486" s="50"/>
      <c r="O486" s="50"/>
      <c r="P486" s="50"/>
      <c r="Q486" s="48"/>
      <c r="R486" s="48"/>
      <c r="S486" s="49"/>
      <c r="T486" s="48"/>
      <c r="U486" s="48"/>
      <c r="V486" s="47"/>
      <c r="W486" s="48"/>
      <c r="X486" s="8"/>
    </row>
    <row r="487" spans="1:31" ht="24.75" customHeight="1" thickBot="1">
      <c r="A487" s="199"/>
      <c r="B487" s="42"/>
      <c r="C487" s="45" t="s">
        <v>154</v>
      </c>
      <c r="D487" s="44">
        <f t="shared" ref="D487:L487" si="157">IF(((D485="")*AND(D486="")),"",(D485-D486)*2)</f>
        <v>3460.7400000000007</v>
      </c>
      <c r="E487" s="44">
        <f t="shared" si="157"/>
        <v>3476.1000000000004</v>
      </c>
      <c r="F487" s="44">
        <f t="shared" si="157"/>
        <v>3462.8199999999997</v>
      </c>
      <c r="G487" s="44">
        <f t="shared" si="157"/>
        <v>3448.12</v>
      </c>
      <c r="H487" s="44">
        <f t="shared" si="157"/>
        <v>3390.5200000000004</v>
      </c>
      <c r="I487" s="44">
        <f t="shared" si="157"/>
        <v>3460.4199999999992</v>
      </c>
      <c r="J487" s="44">
        <f t="shared" si="157"/>
        <v>3455.5200000000004</v>
      </c>
      <c r="K487" s="44">
        <f t="shared" si="157"/>
        <v>3458.42</v>
      </c>
      <c r="L487" s="44">
        <f t="shared" si="157"/>
        <v>3423.4800000000005</v>
      </c>
      <c r="M487" s="44"/>
      <c r="N487" s="44"/>
      <c r="O487" s="44"/>
      <c r="P487" s="44"/>
      <c r="Q487" s="42"/>
      <c r="R487" s="42"/>
      <c r="S487" s="43"/>
      <c r="T487" s="42"/>
      <c r="U487" s="42"/>
      <c r="V487" s="41"/>
      <c r="W487" s="42"/>
      <c r="X487" s="8"/>
    </row>
    <row r="488" spans="1:31">
      <c r="A488" s="201">
        <v>43098</v>
      </c>
      <c r="B488" s="63" t="s">
        <v>158</v>
      </c>
      <c r="C488" s="56" t="s">
        <v>156</v>
      </c>
      <c r="D488" s="8">
        <v>1324.47</v>
      </c>
      <c r="E488" s="8">
        <v>1305.76</v>
      </c>
      <c r="F488" s="8">
        <v>1316.87</v>
      </c>
      <c r="G488" s="8">
        <v>1306.49</v>
      </c>
      <c r="H488" s="8">
        <v>1317.37</v>
      </c>
      <c r="I488" s="8">
        <v>1340.26</v>
      </c>
      <c r="J488" s="8">
        <v>1318.06</v>
      </c>
      <c r="K488" s="8">
        <v>1295.8900000000001</v>
      </c>
      <c r="L488" s="8">
        <v>1296.55</v>
      </c>
      <c r="M488" s="62"/>
      <c r="N488" s="62"/>
      <c r="O488" s="62"/>
      <c r="P488" s="62"/>
      <c r="Q488" s="63">
        <f>IF((L489=""),"",MAX(D490:L490))</f>
        <v>3128.9199999999996</v>
      </c>
      <c r="R488" s="63">
        <f>IF(L489="","",MIN(D490:L490))</f>
        <v>2729.0399999999995</v>
      </c>
      <c r="S488" s="63">
        <f>IF((L490=""),"",AVERAGE(D490:L490))</f>
        <v>2892.5244444444443</v>
      </c>
      <c r="T488" s="63">
        <f>IF((L489=""),"",((Q488-R488)/(Q488+R488))*100)</f>
        <v>6.8262671646784918</v>
      </c>
      <c r="U488" s="51">
        <f>STDEV(D488:L488)</f>
        <v>14.097973357115926</v>
      </c>
      <c r="V488" s="64" t="str">
        <f>IF(L489="","",(IF(T488&lt;12,IF(S488&gt;2200,IF(S488&lt;3280,"Pass","Fail"),"Fail"),"Fail")))</f>
        <v>Pass</v>
      </c>
      <c r="W488" s="63"/>
      <c r="Z488" s="37">
        <v>2000</v>
      </c>
      <c r="AA488" s="37">
        <v>3000</v>
      </c>
      <c r="AB488" s="37">
        <v>2200</v>
      </c>
      <c r="AC488" s="37">
        <v>3280</v>
      </c>
      <c r="AD488" s="39">
        <v>12</v>
      </c>
      <c r="AE488" s="39">
        <v>12</v>
      </c>
    </row>
    <row r="489" spans="1:31" ht="16.5" customHeight="1">
      <c r="A489" s="199"/>
      <c r="B489" s="48"/>
      <c r="C489" s="51" t="s">
        <v>155</v>
      </c>
      <c r="D489" s="8">
        <v>584.92999999999995</v>
      </c>
      <c r="E489" s="8">
        <v>608.63</v>
      </c>
      <c r="F489" s="8">
        <v>634.61</v>
      </c>
      <c r="G489" s="8">
        <v>604.71</v>
      </c>
      <c r="H489" s="8">
        <v>556.46</v>
      </c>
      <c r="I489" s="8">
        <v>600.13</v>
      </c>
      <c r="J489" s="8">
        <v>626.52</v>
      </c>
      <c r="K489" s="8">
        <v>583.23</v>
      </c>
      <c r="L489" s="8">
        <v>514.32000000000005</v>
      </c>
      <c r="M489" s="50"/>
      <c r="N489" s="50"/>
      <c r="O489" s="50"/>
      <c r="P489" s="50"/>
      <c r="Q489" s="48"/>
      <c r="R489" s="48"/>
      <c r="S489" s="48"/>
      <c r="T489" s="48"/>
      <c r="U489" s="48"/>
      <c r="V489" s="47"/>
      <c r="W489" s="48"/>
      <c r="X489" s="8"/>
    </row>
    <row r="490" spans="1:31" ht="24.75" customHeight="1" thickBot="1">
      <c r="A490" s="199"/>
      <c r="B490" s="61"/>
      <c r="C490" s="51" t="s">
        <v>154</v>
      </c>
      <c r="D490" s="24">
        <f t="shared" ref="D490:L490" si="158">IF(((D488="")*AND(D489="")),"",(D488-D489)*4)</f>
        <v>2958.1600000000003</v>
      </c>
      <c r="E490" s="24">
        <f t="shared" si="158"/>
        <v>2788.52</v>
      </c>
      <c r="F490" s="24">
        <f t="shared" si="158"/>
        <v>2729.0399999999995</v>
      </c>
      <c r="G490" s="24">
        <f t="shared" si="158"/>
        <v>2807.12</v>
      </c>
      <c r="H490" s="24">
        <f t="shared" si="158"/>
        <v>3043.6399999999994</v>
      </c>
      <c r="I490" s="24">
        <f t="shared" si="158"/>
        <v>2960.52</v>
      </c>
      <c r="J490" s="24">
        <f t="shared" si="158"/>
        <v>2766.16</v>
      </c>
      <c r="K490" s="24">
        <f t="shared" si="158"/>
        <v>2850.6400000000003</v>
      </c>
      <c r="L490" s="24">
        <f t="shared" si="158"/>
        <v>3128.9199999999996</v>
      </c>
      <c r="M490" s="24"/>
      <c r="N490" s="24"/>
      <c r="O490" s="24"/>
      <c r="P490" s="24" t="str">
        <f>IF(((P488="")*AND(P489="")),"",(P488-P489)*4)</f>
        <v/>
      </c>
      <c r="Q490" s="61"/>
      <c r="R490" s="61"/>
      <c r="S490" s="61"/>
      <c r="T490" s="61"/>
      <c r="U490" s="61"/>
      <c r="V490" s="60"/>
      <c r="W490" s="61"/>
      <c r="X490" s="8"/>
    </row>
    <row r="491" spans="1:31">
      <c r="A491" s="202">
        <v>43098</v>
      </c>
      <c r="B491" s="57" t="s">
        <v>157</v>
      </c>
      <c r="C491" s="51" t="s">
        <v>156</v>
      </c>
      <c r="D491" s="8">
        <v>3421.95</v>
      </c>
      <c r="E491" s="8">
        <v>3387.13</v>
      </c>
      <c r="F491" s="8">
        <v>3418.77</v>
      </c>
      <c r="G491" s="8">
        <v>3404.43</v>
      </c>
      <c r="H491" s="8">
        <v>3486.87</v>
      </c>
      <c r="I491" s="8">
        <v>3437.96</v>
      </c>
      <c r="J491" s="8">
        <v>3441.14</v>
      </c>
      <c r="K491" s="8">
        <v>3408.36</v>
      </c>
      <c r="L491" s="8">
        <v>3441.69</v>
      </c>
      <c r="M491" s="50"/>
      <c r="N491" s="50"/>
      <c r="O491" s="50"/>
      <c r="P491" s="50"/>
      <c r="Q491" s="57">
        <f>IF((L492=""),"",MAX(D493:L493))</f>
        <v>3737.1800000000003</v>
      </c>
      <c r="R491" s="57">
        <f>IF(L492="","",MIN(D493:L493))</f>
        <v>3652.54</v>
      </c>
      <c r="S491" s="58">
        <f>IF((L493=""),"",AVERAGE(D493:L493))</f>
        <v>3691.1799999999994</v>
      </c>
      <c r="T491" s="57">
        <f>IF((L492=""),"",((Q491-R491)/(Q491+R491))*100)</f>
        <v>1.1453749262489015</v>
      </c>
      <c r="U491" s="56">
        <f>STDEV(D491:L491)</f>
        <v>28.846273348706898</v>
      </c>
      <c r="V491" s="55" t="str">
        <f>IF(L492="","",(IF(T491&lt;7,IF(S491&gt;2800,IF(S491&lt;3800,"Pass","Fail"),"Fail"),"Fail")))</f>
        <v>Pass</v>
      </c>
      <c r="W491" s="57"/>
      <c r="Z491" s="53">
        <v>2800</v>
      </c>
      <c r="AA491" s="53">
        <v>3800</v>
      </c>
      <c r="AB491" s="53">
        <v>3100</v>
      </c>
      <c r="AC491" s="53">
        <v>3760</v>
      </c>
      <c r="AD491" s="52">
        <v>6</v>
      </c>
      <c r="AE491" s="52">
        <v>6</v>
      </c>
    </row>
    <row r="492" spans="1:31" ht="16.5" customHeight="1">
      <c r="A492" s="199"/>
      <c r="B492" s="48"/>
      <c r="C492" s="51" t="s">
        <v>155</v>
      </c>
      <c r="D492" s="8">
        <v>1560.94</v>
      </c>
      <c r="E492" s="8">
        <v>1538.75</v>
      </c>
      <c r="F492" s="8">
        <v>1578.28</v>
      </c>
      <c r="G492" s="8">
        <v>1567.67</v>
      </c>
      <c r="H492" s="8">
        <v>1660.6</v>
      </c>
      <c r="I492" s="8">
        <v>1569.37</v>
      </c>
      <c r="J492" s="8">
        <v>1598.48</v>
      </c>
      <c r="K492" s="8">
        <v>1568.56</v>
      </c>
      <c r="L492" s="8">
        <v>1595.34</v>
      </c>
      <c r="M492" s="50"/>
      <c r="N492" s="50"/>
      <c r="O492" s="50"/>
      <c r="P492" s="50"/>
      <c r="Q492" s="48"/>
      <c r="R492" s="48"/>
      <c r="S492" s="49"/>
      <c r="T492" s="48"/>
      <c r="U492" s="48"/>
      <c r="V492" s="47"/>
      <c r="W492" s="48"/>
      <c r="X492" s="8"/>
    </row>
    <row r="493" spans="1:31" ht="24.75" customHeight="1" thickBot="1">
      <c r="A493" s="199"/>
      <c r="B493" s="42"/>
      <c r="C493" s="45" t="s">
        <v>154</v>
      </c>
      <c r="D493" s="44">
        <f t="shared" ref="D493:L493" si="159">IF(((D491="")*AND(D492="")),"",(D491-D492)*2)</f>
        <v>3722.0199999999995</v>
      </c>
      <c r="E493" s="44">
        <f t="shared" si="159"/>
        <v>3696.76</v>
      </c>
      <c r="F493" s="44">
        <f t="shared" si="159"/>
        <v>3680.98</v>
      </c>
      <c r="G493" s="44">
        <f t="shared" si="159"/>
        <v>3673.5199999999995</v>
      </c>
      <c r="H493" s="44">
        <f t="shared" si="159"/>
        <v>3652.54</v>
      </c>
      <c r="I493" s="44">
        <f t="shared" si="159"/>
        <v>3737.1800000000003</v>
      </c>
      <c r="J493" s="44">
        <f t="shared" si="159"/>
        <v>3685.3199999999997</v>
      </c>
      <c r="K493" s="44">
        <f t="shared" si="159"/>
        <v>3679.6000000000004</v>
      </c>
      <c r="L493" s="44">
        <f t="shared" si="159"/>
        <v>3692.7000000000003</v>
      </c>
      <c r="M493" s="44"/>
      <c r="N493" s="44"/>
      <c r="O493" s="44"/>
      <c r="P493" s="44"/>
      <c r="Q493" s="42"/>
      <c r="R493" s="42"/>
      <c r="S493" s="43"/>
      <c r="T493" s="42"/>
      <c r="U493" s="42"/>
      <c r="V493" s="41"/>
      <c r="W493" s="42"/>
      <c r="X493" s="8"/>
    </row>
    <row r="494" spans="1:31">
      <c r="A494" s="201">
        <v>43103</v>
      </c>
      <c r="B494" s="63" t="s">
        <v>158</v>
      </c>
      <c r="C494" s="56" t="s">
        <v>156</v>
      </c>
      <c r="D494" s="8">
        <v>1305.1099999999999</v>
      </c>
      <c r="E494" s="8">
        <v>1303.46</v>
      </c>
      <c r="F494" s="8">
        <v>1309.47</v>
      </c>
      <c r="G494" s="8">
        <v>1305.69</v>
      </c>
      <c r="H494" s="8">
        <v>1301.71</v>
      </c>
      <c r="I494" s="8">
        <v>1321.76</v>
      </c>
      <c r="J494" s="8">
        <v>1313.58</v>
      </c>
      <c r="K494" s="8">
        <v>1293.07</v>
      </c>
      <c r="L494" s="8">
        <v>1281.9000000000001</v>
      </c>
      <c r="M494" s="62"/>
      <c r="N494" s="62"/>
      <c r="O494" s="62"/>
      <c r="P494" s="62"/>
      <c r="Q494" s="63">
        <f>IF((L495=""),"",MAX(D496:L496))</f>
        <v>3042.4800000000005</v>
      </c>
      <c r="R494" s="63">
        <f>IF(L495="","",MIN(D496:L496))</f>
        <v>2725.56</v>
      </c>
      <c r="S494" s="63">
        <f>IF((L496=""),"",AVERAGE(D496:L496))</f>
        <v>2889.266666666666</v>
      </c>
      <c r="T494" s="63">
        <f>IF((L495=""),"",((Q494-R494)/(Q494+R494))*100)</f>
        <v>5.4944140470593217</v>
      </c>
      <c r="U494" s="51">
        <f>STDEV(D494:L494)</f>
        <v>11.481543643834039</v>
      </c>
      <c r="V494" s="64" t="str">
        <f>IF(L495="","",(IF(T494&lt;12,IF(S494&gt;2200,IF(S494&lt;3280,"Pass","Fail"),"Fail"),"Fail")))</f>
        <v>Pass</v>
      </c>
      <c r="W494" s="63">
        <v>1335</v>
      </c>
      <c r="Z494" s="37">
        <v>2000</v>
      </c>
      <c r="AA494" s="37">
        <v>3000</v>
      </c>
      <c r="AB494" s="37">
        <v>2200</v>
      </c>
      <c r="AC494" s="37">
        <v>3280</v>
      </c>
      <c r="AD494" s="39">
        <v>12</v>
      </c>
      <c r="AE494" s="39">
        <v>12</v>
      </c>
    </row>
    <row r="495" spans="1:31" ht="16.5" customHeight="1">
      <c r="A495" s="199"/>
      <c r="B495" s="48"/>
      <c r="C495" s="51" t="s">
        <v>155</v>
      </c>
      <c r="D495" s="8">
        <v>557.52</v>
      </c>
      <c r="E495" s="8">
        <v>601.22</v>
      </c>
      <c r="F495" s="8">
        <v>628.08000000000004</v>
      </c>
      <c r="G495" s="8">
        <v>597.26</v>
      </c>
      <c r="H495" s="8">
        <v>578.03</v>
      </c>
      <c r="I495" s="8">
        <v>569.32000000000005</v>
      </c>
      <c r="J495" s="8">
        <v>605.35</v>
      </c>
      <c r="K495" s="8">
        <v>576.84</v>
      </c>
      <c r="L495" s="8">
        <v>521.28</v>
      </c>
      <c r="M495" s="50"/>
      <c r="N495" s="50"/>
      <c r="O495" s="50"/>
      <c r="P495" s="50"/>
      <c r="Q495" s="48"/>
      <c r="R495" s="48"/>
      <c r="S495" s="48"/>
      <c r="T495" s="48"/>
      <c r="U495" s="48"/>
      <c r="V495" s="47"/>
      <c r="W495" s="48"/>
      <c r="X495" s="8"/>
    </row>
    <row r="496" spans="1:31" ht="24.75" customHeight="1" thickBot="1">
      <c r="A496" s="199"/>
      <c r="B496" s="61"/>
      <c r="C496" s="51" t="s">
        <v>154</v>
      </c>
      <c r="D496" s="24">
        <f t="shared" ref="D496:L496" si="160">IF(((D494="")*AND(D495="")),"",(D494-D495)*4)</f>
        <v>2990.3599999999997</v>
      </c>
      <c r="E496" s="24">
        <f t="shared" si="160"/>
        <v>2808.96</v>
      </c>
      <c r="F496" s="24">
        <f t="shared" si="160"/>
        <v>2725.56</v>
      </c>
      <c r="G496" s="24">
        <f t="shared" si="160"/>
        <v>2833.7200000000003</v>
      </c>
      <c r="H496" s="24">
        <f t="shared" si="160"/>
        <v>2894.7200000000003</v>
      </c>
      <c r="I496" s="24">
        <f t="shared" si="160"/>
        <v>3009.7599999999998</v>
      </c>
      <c r="J496" s="24">
        <f t="shared" si="160"/>
        <v>2832.9199999999996</v>
      </c>
      <c r="K496" s="24">
        <f t="shared" si="160"/>
        <v>2864.9199999999996</v>
      </c>
      <c r="L496" s="24">
        <f t="shared" si="160"/>
        <v>3042.4800000000005</v>
      </c>
      <c r="M496" s="24"/>
      <c r="N496" s="24"/>
      <c r="O496" s="24"/>
      <c r="P496" s="24" t="str">
        <f>IF(((P494="")*AND(P495="")),"",(P494-P495)*4)</f>
        <v/>
      </c>
      <c r="Q496" s="61"/>
      <c r="R496" s="61"/>
      <c r="S496" s="61"/>
      <c r="T496" s="61"/>
      <c r="U496" s="61"/>
      <c r="V496" s="60"/>
      <c r="W496" s="61"/>
      <c r="X496" s="8"/>
    </row>
    <row r="497" spans="1:31">
      <c r="A497" s="202">
        <v>43103</v>
      </c>
      <c r="B497" s="57" t="s">
        <v>157</v>
      </c>
      <c r="C497" s="51" t="s">
        <v>156</v>
      </c>
      <c r="D497" s="8">
        <v>7015.58</v>
      </c>
      <c r="E497" s="8">
        <v>6990.19</v>
      </c>
      <c r="F497" s="8">
        <v>7001.5</v>
      </c>
      <c r="G497" s="8">
        <v>6975.62</v>
      </c>
      <c r="H497" s="8">
        <v>7004.62</v>
      </c>
      <c r="I497" s="8">
        <v>7019.98</v>
      </c>
      <c r="J497" s="8">
        <v>7019.49</v>
      </c>
      <c r="K497" s="8">
        <v>6991.74</v>
      </c>
      <c r="L497" s="8">
        <v>6993.5</v>
      </c>
      <c r="M497" s="50"/>
      <c r="N497" s="50"/>
      <c r="O497" s="50"/>
      <c r="P497" s="50"/>
      <c r="Q497" s="57">
        <f>IF((L498=""),"",MAX(D499:L499))</f>
        <v>3645.4799999999996</v>
      </c>
      <c r="R497" s="57">
        <f>IF(L498="","",MIN(D499:L499))</f>
        <v>3578.0599999999995</v>
      </c>
      <c r="S497" s="58">
        <f>IF((L499=""),"",AVERAGE(D499:L499))</f>
        <v>3612.1711111111103</v>
      </c>
      <c r="T497" s="57">
        <f>IF((L498=""),"",((Q497-R497)/(Q497+R497))*100)</f>
        <v>0.9333373941308567</v>
      </c>
      <c r="U497" s="56">
        <f>STDEV(D497:L497)</f>
        <v>15.124059290734742</v>
      </c>
      <c r="V497" s="55" t="str">
        <f>IF(L498="","",(IF(T497&lt;7,IF(S497&gt;2800,IF(S497&lt;3800,"Pass","Fail"),"Fail"),"Fail")))</f>
        <v>Pass</v>
      </c>
      <c r="W497" s="57">
        <v>1335</v>
      </c>
      <c r="Z497" s="53">
        <v>2800</v>
      </c>
      <c r="AA497" s="53">
        <v>3800</v>
      </c>
      <c r="AB497" s="53">
        <v>3100</v>
      </c>
      <c r="AC497" s="53">
        <v>3760</v>
      </c>
      <c r="AD497" s="52">
        <v>6</v>
      </c>
      <c r="AE497" s="52">
        <v>6</v>
      </c>
    </row>
    <row r="498" spans="1:31" ht="16.5" customHeight="1">
      <c r="A498" s="199"/>
      <c r="B498" s="48"/>
      <c r="C498" s="51" t="s">
        <v>155</v>
      </c>
      <c r="D498" s="8">
        <v>5200.8500000000004</v>
      </c>
      <c r="E498" s="8">
        <v>5178.42</v>
      </c>
      <c r="F498" s="8">
        <v>5197.12</v>
      </c>
      <c r="G498" s="8">
        <v>5173.72</v>
      </c>
      <c r="H498" s="8">
        <v>5215.59</v>
      </c>
      <c r="I498" s="8">
        <v>5197.24</v>
      </c>
      <c r="J498" s="8">
        <v>5213.08</v>
      </c>
      <c r="K498" s="8">
        <v>5188.3599999999997</v>
      </c>
      <c r="L498" s="8">
        <v>5193.07</v>
      </c>
      <c r="M498" s="50"/>
      <c r="N498" s="50"/>
      <c r="O498" s="50"/>
      <c r="P498" s="50"/>
      <c r="Q498" s="48"/>
      <c r="R498" s="48"/>
      <c r="S498" s="49"/>
      <c r="T498" s="48"/>
      <c r="U498" s="48"/>
      <c r="V498" s="47"/>
      <c r="W498" s="48"/>
      <c r="X498" s="8"/>
    </row>
    <row r="499" spans="1:31" ht="24.75" customHeight="1" thickBot="1">
      <c r="A499" s="199"/>
      <c r="B499" s="42"/>
      <c r="C499" s="45" t="s">
        <v>154</v>
      </c>
      <c r="D499" s="44">
        <f t="shared" ref="D499:L499" si="161">IF(((D497="")*AND(D498="")),"",(D497-D498)*2)</f>
        <v>3629.4599999999991</v>
      </c>
      <c r="E499" s="44">
        <f t="shared" si="161"/>
        <v>3623.5399999999991</v>
      </c>
      <c r="F499" s="44">
        <f t="shared" si="161"/>
        <v>3608.76</v>
      </c>
      <c r="G499" s="44">
        <f t="shared" si="161"/>
        <v>3603.7999999999993</v>
      </c>
      <c r="H499" s="44">
        <f t="shared" si="161"/>
        <v>3578.0599999999995</v>
      </c>
      <c r="I499" s="44">
        <f t="shared" si="161"/>
        <v>3645.4799999999996</v>
      </c>
      <c r="J499" s="44">
        <f t="shared" si="161"/>
        <v>3612.8199999999997</v>
      </c>
      <c r="K499" s="44">
        <f t="shared" si="161"/>
        <v>3606.76</v>
      </c>
      <c r="L499" s="44">
        <f t="shared" si="161"/>
        <v>3600.8600000000006</v>
      </c>
      <c r="M499" s="44"/>
      <c r="N499" s="44"/>
      <c r="O499" s="44"/>
      <c r="P499" s="44"/>
      <c r="Q499" s="42"/>
      <c r="R499" s="42"/>
      <c r="S499" s="43"/>
      <c r="T499" s="42"/>
      <c r="U499" s="42"/>
      <c r="V499" s="41"/>
      <c r="W499" s="42"/>
      <c r="X499" s="8"/>
    </row>
    <row r="500" spans="1:31">
      <c r="A500" s="201">
        <v>43106</v>
      </c>
      <c r="B500" s="63" t="s">
        <v>158</v>
      </c>
      <c r="C500" s="56" t="s">
        <v>156</v>
      </c>
      <c r="D500" s="8">
        <v>2091.58</v>
      </c>
      <c r="E500" s="8">
        <v>2086.98</v>
      </c>
      <c r="F500" s="8">
        <v>2074.0300000000002</v>
      </c>
      <c r="G500" s="8">
        <v>2085.67</v>
      </c>
      <c r="H500" s="8">
        <v>2092.7399999999998</v>
      </c>
      <c r="I500" s="8">
        <v>2092.52</v>
      </c>
      <c r="J500" s="8">
        <v>2086.9299999999998</v>
      </c>
      <c r="K500" s="8">
        <v>2084.62</v>
      </c>
      <c r="L500" s="8">
        <v>2093.31</v>
      </c>
      <c r="M500" s="62"/>
      <c r="N500" s="62"/>
      <c r="O500" s="62"/>
      <c r="P500" s="62"/>
      <c r="Q500" s="63">
        <f>IF((L501=""),"",MAX(D502:L502))</f>
        <v>3048.12</v>
      </c>
      <c r="R500" s="63">
        <f>IF(L501="","",MIN(D502:L502))</f>
        <v>2778.7199999999993</v>
      </c>
      <c r="S500" s="63">
        <f>IF((L502=""),"",AVERAGE(D502:L502))</f>
        <v>2878.8088888888888</v>
      </c>
      <c r="T500" s="63">
        <f>IF((L501=""),"",((Q500-R500)/(Q500+R500))*100)</f>
        <v>4.6234322548757225</v>
      </c>
      <c r="U500" s="51">
        <f>STDEV(D500:L500)</f>
        <v>6.0894781749090692</v>
      </c>
      <c r="V500" s="64" t="str">
        <f>IF(L501="","",(IF(T500&lt;12,IF(S500&gt;2200,IF(S500&lt;3280,"Pass","Fail"),"Fail"),"Fail")))</f>
        <v>Pass</v>
      </c>
      <c r="W500" s="63">
        <v>102</v>
      </c>
      <c r="Z500" s="37">
        <v>2000</v>
      </c>
      <c r="AA500" s="37">
        <v>3000</v>
      </c>
      <c r="AB500" s="37">
        <v>2200</v>
      </c>
      <c r="AC500" s="37">
        <v>3280</v>
      </c>
      <c r="AD500" s="39">
        <v>12</v>
      </c>
      <c r="AE500" s="39">
        <v>12</v>
      </c>
    </row>
    <row r="501" spans="1:31" ht="16.5" customHeight="1">
      <c r="A501" s="199"/>
      <c r="B501" s="48"/>
      <c r="C501" s="51" t="s">
        <v>155</v>
      </c>
      <c r="D501" s="8">
        <v>1334.93</v>
      </c>
      <c r="E501" s="8">
        <v>1377</v>
      </c>
      <c r="F501" s="8">
        <v>1376.89</v>
      </c>
      <c r="G501" s="8">
        <v>1364.6</v>
      </c>
      <c r="H501" s="8">
        <v>1398.06</v>
      </c>
      <c r="I501" s="8">
        <v>1330.49</v>
      </c>
      <c r="J501" s="8">
        <v>1381.26</v>
      </c>
      <c r="K501" s="8">
        <v>1357.21</v>
      </c>
      <c r="L501" s="8">
        <v>1390.62</v>
      </c>
      <c r="M501" s="50"/>
      <c r="N501" s="50"/>
      <c r="O501" s="50"/>
      <c r="P501" s="50"/>
      <c r="Q501" s="48"/>
      <c r="R501" s="48"/>
      <c r="S501" s="48"/>
      <c r="T501" s="48"/>
      <c r="U501" s="48"/>
      <c r="V501" s="47"/>
      <c r="W501" s="48"/>
      <c r="X501" s="8"/>
    </row>
    <row r="502" spans="1:31" ht="24.75" customHeight="1" thickBot="1">
      <c r="A502" s="199"/>
      <c r="B502" s="61"/>
      <c r="C502" s="51" t="s">
        <v>154</v>
      </c>
      <c r="D502" s="24">
        <f t="shared" ref="D502:L502" si="162">IF(((D500="")*AND(D501="")),"",(D500-D501)*4)</f>
        <v>3026.5999999999995</v>
      </c>
      <c r="E502" s="24">
        <f t="shared" si="162"/>
        <v>2839.92</v>
      </c>
      <c r="F502" s="24">
        <f t="shared" si="162"/>
        <v>2788.5600000000004</v>
      </c>
      <c r="G502" s="24">
        <f t="shared" si="162"/>
        <v>2884.2800000000007</v>
      </c>
      <c r="H502" s="24">
        <f t="shared" si="162"/>
        <v>2778.7199999999993</v>
      </c>
      <c r="I502" s="24">
        <f t="shared" si="162"/>
        <v>3048.12</v>
      </c>
      <c r="J502" s="24">
        <f t="shared" si="162"/>
        <v>2822.6799999999994</v>
      </c>
      <c r="K502" s="24">
        <f t="shared" si="162"/>
        <v>2909.6399999999994</v>
      </c>
      <c r="L502" s="24">
        <f t="shared" si="162"/>
        <v>2810.76</v>
      </c>
      <c r="M502" s="24"/>
      <c r="N502" s="24"/>
      <c r="O502" s="24"/>
      <c r="P502" s="24" t="str">
        <f>IF(((P500="")*AND(P501="")),"",(P500-P501)*4)</f>
        <v/>
      </c>
      <c r="Q502" s="61"/>
      <c r="R502" s="61"/>
      <c r="S502" s="61"/>
      <c r="T502" s="61"/>
      <c r="U502" s="61"/>
      <c r="V502" s="60"/>
      <c r="W502" s="61"/>
      <c r="X502" s="8"/>
    </row>
    <row r="503" spans="1:31">
      <c r="A503" s="202">
        <v>43106</v>
      </c>
      <c r="B503" s="57" t="s">
        <v>157</v>
      </c>
      <c r="C503" s="51" t="s">
        <v>156</v>
      </c>
      <c r="D503" s="8">
        <v>5208.5600000000004</v>
      </c>
      <c r="E503" s="8">
        <v>5185.99</v>
      </c>
      <c r="F503" s="8">
        <v>5205.1000000000004</v>
      </c>
      <c r="G503" s="8">
        <v>5181.47</v>
      </c>
      <c r="H503" s="8">
        <v>5223.88</v>
      </c>
      <c r="I503" s="8">
        <v>5205.18</v>
      </c>
      <c r="J503" s="8">
        <v>5221.1099999999997</v>
      </c>
      <c r="K503" s="8">
        <v>5195.91</v>
      </c>
      <c r="L503" s="8">
        <v>5200.34</v>
      </c>
      <c r="M503" s="50"/>
      <c r="N503" s="50"/>
      <c r="O503" s="50"/>
      <c r="P503" s="50"/>
      <c r="Q503" s="57">
        <f>IF((L504=""),"",MAX(D505:L505))</f>
        <v>3463.08</v>
      </c>
      <c r="R503" s="57">
        <f>IF(L504="","",MIN(D505:L505))</f>
        <v>3363.3</v>
      </c>
      <c r="S503" s="58">
        <f>IF((L505=""),"",AVERAGE(D505:L505))</f>
        <v>3430.4533333333329</v>
      </c>
      <c r="T503" s="57">
        <f>IF((L504=""),"",((Q503-R503)/(Q503+R503))*100)</f>
        <v>1.4616824729944677</v>
      </c>
      <c r="U503" s="56">
        <f>STDEV(D503:L503)</f>
        <v>14.204817844792982</v>
      </c>
      <c r="V503" s="55" t="str">
        <f>IF(L504="","",(IF(T503&lt;7,IF(S503&gt;2800,IF(S503&lt;3800,"Pass","Fail"),"Fail"),"Fail")))</f>
        <v>Pass</v>
      </c>
      <c r="W503" s="57">
        <v>102</v>
      </c>
      <c r="Z503" s="53">
        <v>2800</v>
      </c>
      <c r="AA503" s="53">
        <v>3800</v>
      </c>
      <c r="AB503" s="53">
        <v>3100</v>
      </c>
      <c r="AC503" s="53">
        <v>3760</v>
      </c>
      <c r="AD503" s="52">
        <v>6</v>
      </c>
      <c r="AE503" s="52">
        <v>6</v>
      </c>
    </row>
    <row r="504" spans="1:31" ht="16.5" customHeight="1">
      <c r="A504" s="199"/>
      <c r="B504" s="48"/>
      <c r="C504" s="51" t="s">
        <v>155</v>
      </c>
      <c r="D504" s="8">
        <v>3490.51</v>
      </c>
      <c r="E504" s="8">
        <v>3454.45</v>
      </c>
      <c r="F504" s="8">
        <v>3479.25</v>
      </c>
      <c r="G504" s="8">
        <v>3464.88</v>
      </c>
      <c r="H504" s="8">
        <v>3542.23</v>
      </c>
      <c r="I504" s="8">
        <v>3498.1</v>
      </c>
      <c r="J504" s="8">
        <v>3500.64</v>
      </c>
      <c r="K504" s="8">
        <v>3469.29</v>
      </c>
      <c r="L504" s="8">
        <v>3491.15</v>
      </c>
      <c r="M504" s="50"/>
      <c r="N504" s="50"/>
      <c r="O504" s="50"/>
      <c r="P504" s="50"/>
      <c r="Q504" s="48"/>
      <c r="R504" s="48"/>
      <c r="S504" s="49"/>
      <c r="T504" s="48"/>
      <c r="U504" s="48"/>
      <c r="V504" s="47"/>
      <c r="W504" s="48"/>
      <c r="X504" s="8"/>
    </row>
    <row r="505" spans="1:31" ht="24.75" customHeight="1" thickBot="1">
      <c r="A505" s="199"/>
      <c r="B505" s="42"/>
      <c r="C505" s="45" t="s">
        <v>154</v>
      </c>
      <c r="D505" s="44">
        <f t="shared" ref="D505:L505" si="163">IF(((D503="")*AND(D504="")),"",(D503-D504)*2)</f>
        <v>3436.1000000000004</v>
      </c>
      <c r="E505" s="44">
        <f t="shared" si="163"/>
        <v>3463.08</v>
      </c>
      <c r="F505" s="44">
        <f t="shared" si="163"/>
        <v>3451.7000000000007</v>
      </c>
      <c r="G505" s="44">
        <f t="shared" si="163"/>
        <v>3433.1800000000003</v>
      </c>
      <c r="H505" s="44">
        <f t="shared" si="163"/>
        <v>3363.3</v>
      </c>
      <c r="I505" s="44">
        <f t="shared" si="163"/>
        <v>3414.1600000000008</v>
      </c>
      <c r="J505" s="44">
        <f t="shared" si="163"/>
        <v>3440.9399999999996</v>
      </c>
      <c r="K505" s="44">
        <f t="shared" si="163"/>
        <v>3453.24</v>
      </c>
      <c r="L505" s="44">
        <f t="shared" si="163"/>
        <v>3418.38</v>
      </c>
      <c r="M505" s="44"/>
      <c r="N505" s="44"/>
      <c r="O505" s="44"/>
      <c r="P505" s="44"/>
      <c r="Q505" s="42"/>
      <c r="R505" s="42"/>
      <c r="S505" s="43"/>
      <c r="T505" s="42"/>
      <c r="U505" s="42"/>
      <c r="V505" s="41"/>
      <c r="W505" s="42"/>
      <c r="X505" s="8"/>
    </row>
    <row r="506" spans="1:31">
      <c r="A506" s="201">
        <v>43110</v>
      </c>
      <c r="B506" s="63" t="s">
        <v>158</v>
      </c>
      <c r="C506" s="56" t="s">
        <v>156</v>
      </c>
      <c r="D506" s="69">
        <v>2067.92</v>
      </c>
      <c r="E506" s="69">
        <v>2068.83</v>
      </c>
      <c r="F506" s="69">
        <v>2054.15</v>
      </c>
      <c r="G506" s="69">
        <v>2068.02</v>
      </c>
      <c r="H506" s="69">
        <v>2075.94</v>
      </c>
      <c r="I506" s="69">
        <v>2075.08</v>
      </c>
      <c r="J506" s="69">
        <v>2066.2800000000002</v>
      </c>
      <c r="K506" s="69">
        <v>2066.1799999999998</v>
      </c>
      <c r="L506" s="69">
        <v>2069.35</v>
      </c>
      <c r="M506" s="62"/>
      <c r="N506" s="62"/>
      <c r="O506" s="62"/>
      <c r="P506" s="62"/>
      <c r="Q506" s="63">
        <f>IF((L507=""),"",MAX(D508:L508))</f>
        <v>3280.2799999999997</v>
      </c>
      <c r="R506" s="63">
        <f>IF(L507="","",MIN(D508:L508))</f>
        <v>2852.3200000000006</v>
      </c>
      <c r="S506" s="63">
        <f>IF((L508=""),"",AVERAGE(D508:L508))</f>
        <v>3051.7911111111116</v>
      </c>
      <c r="T506" s="63">
        <f>IF((L507=""),"",((Q506-R506)/(Q506+R506))*100)</f>
        <v>6.9784430747154405</v>
      </c>
      <c r="U506" s="51">
        <f>STDEV(D506:L506)</f>
        <v>6.2627325860649288</v>
      </c>
      <c r="V506" s="64" t="str">
        <f>IF(L507="","",(IF(T506&lt;12,IF(S506&gt;2200,IF(S506&lt;3280,"Pass","Fail"),"Fail"),"Fail")))</f>
        <v>Pass</v>
      </c>
      <c r="W506" s="67">
        <v>1335</v>
      </c>
      <c r="Y506" s="8" t="s">
        <v>180</v>
      </c>
      <c r="Z506" s="37">
        <v>2000</v>
      </c>
      <c r="AA506" s="37">
        <v>3000</v>
      </c>
      <c r="AB506" s="37">
        <v>2200</v>
      </c>
      <c r="AC506" s="37">
        <v>3280</v>
      </c>
      <c r="AD506" s="39">
        <v>12</v>
      </c>
      <c r="AE506" s="39">
        <v>12</v>
      </c>
    </row>
    <row r="507" spans="1:31" ht="16.5" customHeight="1">
      <c r="A507" s="199"/>
      <c r="B507" s="48"/>
      <c r="C507" s="51" t="s">
        <v>155</v>
      </c>
      <c r="D507" s="68">
        <v>1290.78</v>
      </c>
      <c r="E507" s="68">
        <v>1330.28</v>
      </c>
      <c r="F507" s="68">
        <v>1341.07</v>
      </c>
      <c r="G507" s="68">
        <v>1326.26</v>
      </c>
      <c r="H507" s="68">
        <v>1264.49</v>
      </c>
      <c r="I507" s="68">
        <v>1291.1199999999999</v>
      </c>
      <c r="J507" s="68">
        <v>1337.69</v>
      </c>
      <c r="K507" s="68">
        <v>1314.25</v>
      </c>
      <c r="L507" s="68">
        <v>1249.28</v>
      </c>
      <c r="M507" s="50"/>
      <c r="N507" s="50"/>
      <c r="O507" s="50"/>
      <c r="P507" s="50"/>
      <c r="Q507" s="48"/>
      <c r="R507" s="48"/>
      <c r="S507" s="48"/>
      <c r="T507" s="48"/>
      <c r="U507" s="48"/>
      <c r="V507" s="47"/>
      <c r="W507" s="46"/>
      <c r="X507" s="8"/>
    </row>
    <row r="508" spans="1:31" ht="24.75" customHeight="1" thickBot="1">
      <c r="A508" s="199"/>
      <c r="B508" s="61"/>
      <c r="C508" s="51" t="s">
        <v>154</v>
      </c>
      <c r="D508" s="24">
        <f t="shared" ref="D508:L508" si="164">IF(((D506="")*AND(D507="")),"",(D506-D507)*4)</f>
        <v>3108.5600000000004</v>
      </c>
      <c r="E508" s="24">
        <f t="shared" si="164"/>
        <v>2954.2</v>
      </c>
      <c r="F508" s="24">
        <f t="shared" si="164"/>
        <v>2852.3200000000006</v>
      </c>
      <c r="G508" s="24">
        <f t="shared" si="164"/>
        <v>2967.04</v>
      </c>
      <c r="H508" s="24">
        <f t="shared" si="164"/>
        <v>3245.8</v>
      </c>
      <c r="I508" s="24">
        <f t="shared" si="164"/>
        <v>3135.84</v>
      </c>
      <c r="J508" s="24">
        <f t="shared" si="164"/>
        <v>2914.3600000000006</v>
      </c>
      <c r="K508" s="24">
        <f t="shared" si="164"/>
        <v>3007.7199999999993</v>
      </c>
      <c r="L508" s="24">
        <f t="shared" si="164"/>
        <v>3280.2799999999997</v>
      </c>
      <c r="M508" s="24"/>
      <c r="N508" s="24"/>
      <c r="O508" s="24"/>
      <c r="P508" s="24" t="str">
        <f>IF(((P506="")*AND(P507="")),"",(P506-P507)*4)</f>
        <v/>
      </c>
      <c r="Q508" s="61"/>
      <c r="R508" s="61"/>
      <c r="S508" s="61"/>
      <c r="T508" s="61"/>
      <c r="U508" s="61"/>
      <c r="V508" s="60"/>
      <c r="W508" s="59"/>
      <c r="X508" s="8"/>
    </row>
    <row r="509" spans="1:31">
      <c r="A509" s="202">
        <v>43110</v>
      </c>
      <c r="B509" s="57" t="s">
        <v>157</v>
      </c>
      <c r="C509" s="51" t="s">
        <v>156</v>
      </c>
      <c r="D509" s="68">
        <v>6889.62</v>
      </c>
      <c r="E509" s="68">
        <v>6863.37</v>
      </c>
      <c r="F509" s="68">
        <v>6875.35</v>
      </c>
      <c r="G509" s="68">
        <v>6848.44</v>
      </c>
      <c r="H509" s="68">
        <v>6878.53</v>
      </c>
      <c r="I509" s="68">
        <v>6896.76</v>
      </c>
      <c r="J509" s="68">
        <v>6895.22</v>
      </c>
      <c r="K509" s="68">
        <v>6862.75</v>
      </c>
      <c r="L509" s="68">
        <v>6861.71</v>
      </c>
      <c r="M509" s="50"/>
      <c r="N509" s="50"/>
      <c r="O509" s="50"/>
      <c r="P509" s="50"/>
      <c r="Q509" s="57">
        <f>IF((L510=""),"",MAX(D511:L511))</f>
        <v>3469.16</v>
      </c>
      <c r="R509" s="57">
        <f>IF(L510="","",MIN(D511:L511))</f>
        <v>3374.42</v>
      </c>
      <c r="S509" s="58">
        <f>IF((L511=""),"",AVERAGE(D511:L511))</f>
        <v>3437.4555555555553</v>
      </c>
      <c r="T509" s="57">
        <f>IF((L510=""),"",((Q509-R509)/(Q509+R509))*100)</f>
        <v>1.3843631549569053</v>
      </c>
      <c r="U509" s="56">
        <f>STDEV(D509:L509)</f>
        <v>16.862967150230279</v>
      </c>
      <c r="V509" s="55" t="str">
        <f>IF(L510="","",(IF(T509&lt;7,IF(S509&gt;2800,IF(S509&lt;3800,"Pass","Fail"),"Fail"),"Fail")))</f>
        <v>Pass</v>
      </c>
      <c r="W509" s="54">
        <v>1335</v>
      </c>
      <c r="Z509" s="53">
        <v>2800</v>
      </c>
      <c r="AA509" s="53">
        <v>3800</v>
      </c>
      <c r="AB509" s="53">
        <v>3100</v>
      </c>
      <c r="AC509" s="53">
        <v>3760</v>
      </c>
      <c r="AD509" s="52">
        <v>6</v>
      </c>
      <c r="AE509" s="52">
        <v>6</v>
      </c>
    </row>
    <row r="510" spans="1:31" ht="15.75" customHeight="1">
      <c r="A510" s="199"/>
      <c r="B510" s="48"/>
      <c r="C510" s="51" t="s">
        <v>155</v>
      </c>
      <c r="D510" s="68">
        <v>5164.9399999999996</v>
      </c>
      <c r="E510" s="68">
        <v>5128.79</v>
      </c>
      <c r="F510" s="68">
        <v>5146.92</v>
      </c>
      <c r="G510" s="68">
        <v>5127.53</v>
      </c>
      <c r="H510" s="68">
        <v>5191.32</v>
      </c>
      <c r="I510" s="68">
        <v>5182.92</v>
      </c>
      <c r="J510" s="68">
        <v>5169.1400000000003</v>
      </c>
      <c r="K510" s="68">
        <v>5136.21</v>
      </c>
      <c r="L510" s="68">
        <v>5155.43</v>
      </c>
      <c r="M510" s="50"/>
      <c r="N510" s="50"/>
      <c r="O510" s="50"/>
      <c r="P510" s="50"/>
      <c r="Q510" s="48"/>
      <c r="R510" s="48"/>
      <c r="S510" s="49"/>
      <c r="T510" s="48"/>
      <c r="U510" s="48"/>
      <c r="V510" s="47"/>
      <c r="W510" s="46"/>
      <c r="X510" s="8"/>
    </row>
    <row r="511" spans="1:31" ht="24" customHeight="1">
      <c r="A511" s="199"/>
      <c r="B511" s="61"/>
      <c r="C511" s="57" t="s">
        <v>154</v>
      </c>
      <c r="D511" s="71">
        <f t="shared" ref="D511:L511" si="165">IF(((D509="")*AND(D510="")),"",(D509-D510)*2)</f>
        <v>3449.3600000000006</v>
      </c>
      <c r="E511" s="71">
        <f t="shared" si="165"/>
        <v>3469.16</v>
      </c>
      <c r="F511" s="71">
        <f t="shared" si="165"/>
        <v>3456.8600000000006</v>
      </c>
      <c r="G511" s="71">
        <f t="shared" si="165"/>
        <v>3441.8199999999997</v>
      </c>
      <c r="H511" s="71">
        <f t="shared" si="165"/>
        <v>3374.42</v>
      </c>
      <c r="I511" s="71">
        <f t="shared" si="165"/>
        <v>3427.6800000000003</v>
      </c>
      <c r="J511" s="71">
        <f t="shared" si="165"/>
        <v>3452.16</v>
      </c>
      <c r="K511" s="71">
        <f t="shared" si="165"/>
        <v>3453.08</v>
      </c>
      <c r="L511" s="71">
        <f t="shared" si="165"/>
        <v>3412.5599999999995</v>
      </c>
      <c r="M511" s="71"/>
      <c r="N511" s="71"/>
      <c r="O511" s="71"/>
      <c r="P511" s="71"/>
      <c r="Q511" s="61"/>
      <c r="R511" s="61"/>
      <c r="S511" s="49"/>
      <c r="T511" s="48"/>
      <c r="U511" s="48"/>
      <c r="V511" s="60"/>
      <c r="W511" s="59"/>
      <c r="X511" s="8"/>
    </row>
    <row r="512" spans="1:31">
      <c r="A512" s="202">
        <v>43110</v>
      </c>
      <c r="B512" s="57" t="s">
        <v>158</v>
      </c>
      <c r="C512" s="51" t="s">
        <v>156</v>
      </c>
      <c r="D512" s="73">
        <v>2142.7600000000002</v>
      </c>
      <c r="E512" s="73">
        <v>2130.5300000000002</v>
      </c>
      <c r="F512" s="73">
        <v>2107.98</v>
      </c>
      <c r="G512" s="73">
        <v>2133.1</v>
      </c>
      <c r="H512" s="73">
        <v>2145.19</v>
      </c>
      <c r="I512" s="73">
        <v>2138.85</v>
      </c>
      <c r="J512" s="73">
        <v>2134.15</v>
      </c>
      <c r="K512" s="73">
        <v>2132.92</v>
      </c>
      <c r="L512" s="73">
        <v>2144.4899999999998</v>
      </c>
      <c r="M512" s="72"/>
      <c r="N512" s="72"/>
      <c r="O512" s="72"/>
      <c r="P512" s="72"/>
      <c r="Q512" s="57">
        <f>IF((L513=""),"",MAX(D514:L514))</f>
        <v>3440.1599999999989</v>
      </c>
      <c r="R512" s="57">
        <f>IF(L513="","",MIN(D514:L514))</f>
        <v>2914.3199999999997</v>
      </c>
      <c r="S512" s="57">
        <f>IF((L514=""),"",AVERAGE(D514:L514))</f>
        <v>3157.6533333333336</v>
      </c>
      <c r="T512" s="57">
        <f>IF((L513=""),"",((Q512-R512)/(Q512+R512))*100)</f>
        <v>8.2751066963779785</v>
      </c>
      <c r="U512" s="51">
        <f>STDEV(D512:L512)</f>
        <v>11.318377141181555</v>
      </c>
      <c r="V512" s="64" t="str">
        <f>IF(L513="","",(IF(T512&lt;12,IF(S512&gt;2200,IF(S512&lt;3280,"Pass","Fail"),"Fail"),"Fail")))</f>
        <v>Pass</v>
      </c>
      <c r="W512" s="54">
        <v>1335</v>
      </c>
      <c r="Y512" s="8" t="s">
        <v>180</v>
      </c>
      <c r="Z512" s="37">
        <v>2000</v>
      </c>
      <c r="AA512" s="37">
        <v>3000</v>
      </c>
      <c r="AB512" s="37">
        <v>2200</v>
      </c>
      <c r="AC512" s="37">
        <v>3280</v>
      </c>
      <c r="AD512" s="39">
        <v>12</v>
      </c>
      <c r="AE512" s="39">
        <v>12</v>
      </c>
    </row>
    <row r="513" spans="1:31" ht="15.75" customHeight="1">
      <c r="A513" s="199"/>
      <c r="B513" s="48"/>
      <c r="C513" s="51" t="s">
        <v>155</v>
      </c>
      <c r="D513" s="68">
        <v>1328.58</v>
      </c>
      <c r="E513" s="68">
        <v>1373.59</v>
      </c>
      <c r="F513" s="68">
        <v>1379.4</v>
      </c>
      <c r="G513" s="68">
        <v>1371.28</v>
      </c>
      <c r="H513" s="68">
        <v>1299.03</v>
      </c>
      <c r="I513" s="68">
        <v>1328.66</v>
      </c>
      <c r="J513" s="68">
        <v>1381.92</v>
      </c>
      <c r="K513" s="68">
        <v>1358.34</v>
      </c>
      <c r="L513" s="68">
        <v>1284.45</v>
      </c>
      <c r="M513" s="50"/>
      <c r="N513" s="50"/>
      <c r="O513" s="50"/>
      <c r="P513" s="50"/>
      <c r="Q513" s="48"/>
      <c r="R513" s="48"/>
      <c r="S513" s="48"/>
      <c r="T513" s="48"/>
      <c r="U513" s="48"/>
      <c r="V513" s="47"/>
      <c r="W513" s="46"/>
      <c r="X513" s="8"/>
    </row>
    <row r="514" spans="1:31" ht="24" customHeight="1">
      <c r="A514" s="199"/>
      <c r="B514" s="61"/>
      <c r="C514" s="57" t="s">
        <v>154</v>
      </c>
      <c r="D514" s="71">
        <f t="shared" ref="D514:L514" si="166">IF(((D512="")*AND(D513="")),"",(D512-D513)*4)</f>
        <v>3256.7200000000012</v>
      </c>
      <c r="E514" s="71">
        <f t="shared" si="166"/>
        <v>3027.7600000000011</v>
      </c>
      <c r="F514" s="71">
        <f t="shared" si="166"/>
        <v>2914.3199999999997</v>
      </c>
      <c r="G514" s="71">
        <f t="shared" si="166"/>
        <v>3047.2799999999997</v>
      </c>
      <c r="H514" s="71">
        <f t="shared" si="166"/>
        <v>3384.6400000000003</v>
      </c>
      <c r="I514" s="71">
        <f t="shared" si="166"/>
        <v>3240.7599999999993</v>
      </c>
      <c r="J514" s="71">
        <f t="shared" si="166"/>
        <v>3008.92</v>
      </c>
      <c r="K514" s="71">
        <f t="shared" si="166"/>
        <v>3098.3200000000006</v>
      </c>
      <c r="L514" s="71">
        <f t="shared" si="166"/>
        <v>3440.1599999999989</v>
      </c>
      <c r="M514" s="71"/>
      <c r="N514" s="71"/>
      <c r="O514" s="71"/>
      <c r="P514" s="71" t="str">
        <f>IF(((P512="")*AND(P513="")),"",(P512-P513)*4)</f>
        <v/>
      </c>
      <c r="Q514" s="61"/>
      <c r="R514" s="61"/>
      <c r="S514" s="48"/>
      <c r="T514" s="48"/>
      <c r="U514" s="48"/>
      <c r="V514" s="60"/>
      <c r="W514" s="59"/>
      <c r="X514" s="8"/>
    </row>
    <row r="515" spans="1:31">
      <c r="A515" s="202">
        <v>43110</v>
      </c>
      <c r="B515" s="57" t="s">
        <v>158</v>
      </c>
      <c r="C515" s="51" t="s">
        <v>156</v>
      </c>
      <c r="D515" s="73">
        <v>1934.74</v>
      </c>
      <c r="E515" s="73">
        <v>1904.38</v>
      </c>
      <c r="F515" s="73">
        <v>2003.02</v>
      </c>
      <c r="G515" s="73">
        <v>1850.81</v>
      </c>
      <c r="H515" s="73">
        <v>1880.81</v>
      </c>
      <c r="I515" s="73">
        <v>1894.32</v>
      </c>
      <c r="J515" s="73">
        <v>1943.42</v>
      </c>
      <c r="K515" s="73">
        <v>2026.37</v>
      </c>
      <c r="L515" s="73">
        <v>1924.27</v>
      </c>
      <c r="M515" s="72"/>
      <c r="N515" s="72"/>
      <c r="O515" s="72"/>
      <c r="P515" s="72"/>
      <c r="Q515" s="57">
        <f>IF((L516=""),"",MAX(D517:L517))</f>
        <v>2949.9599999999991</v>
      </c>
      <c r="R515" s="57">
        <f>IF(L516="","",MIN(D517:L517))</f>
        <v>2199.4399999999996</v>
      </c>
      <c r="S515" s="57">
        <f>IF((L517=""),"",AVERAGE(D517:L517))</f>
        <v>2600.7822222222221</v>
      </c>
      <c r="T515" s="57">
        <f>IF((L516=""),"",((Q515-R515)/(Q515+R515))*100)</f>
        <v>14.574901930321973</v>
      </c>
      <c r="U515" s="51">
        <f>STDEV(D515:L515)</f>
        <v>56.422279287530941</v>
      </c>
      <c r="V515" s="64" t="str">
        <f>IF(L516="","",(IF(T515&lt;12,IF(S515&gt;2200,IF(S515&lt;3280,"Pass","Fail"),"Fail"),"Fail")))</f>
        <v>Fail</v>
      </c>
      <c r="W515" s="54">
        <v>1335</v>
      </c>
      <c r="Y515" s="8" t="s">
        <v>180</v>
      </c>
      <c r="Z515" s="37">
        <v>2000</v>
      </c>
      <c r="AA515" s="37">
        <v>3000</v>
      </c>
      <c r="AB515" s="37">
        <v>2200</v>
      </c>
      <c r="AC515" s="37">
        <v>3280</v>
      </c>
      <c r="AD515" s="39">
        <v>12</v>
      </c>
      <c r="AE515" s="39">
        <v>12</v>
      </c>
    </row>
    <row r="516" spans="1:31" ht="15.75" customHeight="1">
      <c r="A516" s="199"/>
      <c r="B516" s="48"/>
      <c r="C516" s="51" t="s">
        <v>155</v>
      </c>
      <c r="D516" s="68">
        <v>1260.6400000000001</v>
      </c>
      <c r="E516" s="68">
        <v>1310.6099999999999</v>
      </c>
      <c r="F516" s="68">
        <v>1313.35</v>
      </c>
      <c r="G516" s="68">
        <v>1300.95</v>
      </c>
      <c r="H516" s="68">
        <v>1236.24</v>
      </c>
      <c r="I516" s="68">
        <v>1254.69</v>
      </c>
      <c r="J516" s="68">
        <v>1323.81</v>
      </c>
      <c r="K516" s="68">
        <v>1288.8800000000001</v>
      </c>
      <c r="L516" s="68">
        <v>1221.21</v>
      </c>
      <c r="M516" s="50"/>
      <c r="N516" s="50"/>
      <c r="O516" s="50"/>
      <c r="P516" s="50"/>
      <c r="Q516" s="48"/>
      <c r="R516" s="48"/>
      <c r="S516" s="48"/>
      <c r="T516" s="48"/>
      <c r="U516" s="48"/>
      <c r="V516" s="47"/>
      <c r="W516" s="46"/>
      <c r="X516" s="8"/>
    </row>
    <row r="517" spans="1:31" ht="24" customHeight="1">
      <c r="A517" s="199"/>
      <c r="B517" s="61"/>
      <c r="C517" s="51" t="s">
        <v>154</v>
      </c>
      <c r="D517" s="24">
        <f t="shared" ref="D517:L517" si="167">IF(((D515="")*AND(D516="")),"",(D515-D516)*4)</f>
        <v>2696.3999999999996</v>
      </c>
      <c r="E517" s="24">
        <f t="shared" si="167"/>
        <v>2375.0800000000008</v>
      </c>
      <c r="F517" s="24">
        <f t="shared" si="167"/>
        <v>2758.6800000000003</v>
      </c>
      <c r="G517" s="24">
        <f t="shared" si="167"/>
        <v>2199.4399999999996</v>
      </c>
      <c r="H517" s="24">
        <f t="shared" si="167"/>
        <v>2578.2799999999997</v>
      </c>
      <c r="I517" s="24">
        <f t="shared" si="167"/>
        <v>2558.5199999999995</v>
      </c>
      <c r="J517" s="24">
        <f t="shared" si="167"/>
        <v>2478.4400000000005</v>
      </c>
      <c r="K517" s="24">
        <f t="shared" si="167"/>
        <v>2949.9599999999991</v>
      </c>
      <c r="L517" s="24">
        <f t="shared" si="167"/>
        <v>2812.24</v>
      </c>
      <c r="M517" s="24"/>
      <c r="N517" s="24"/>
      <c r="O517" s="24"/>
      <c r="P517" s="24" t="str">
        <f>IF(((P515="")*AND(P516="")),"",(P515-P516)*4)</f>
        <v/>
      </c>
      <c r="Q517" s="61"/>
      <c r="R517" s="61"/>
      <c r="S517" s="61"/>
      <c r="T517" s="61"/>
      <c r="U517" s="61"/>
      <c r="V517" s="60"/>
      <c r="W517" s="59"/>
      <c r="X517" s="8"/>
    </row>
    <row r="518" spans="1:31">
      <c r="A518" s="202">
        <v>43110</v>
      </c>
      <c r="B518" s="57" t="s">
        <v>158</v>
      </c>
      <c r="C518" s="51" t="s">
        <v>156</v>
      </c>
      <c r="D518" s="73">
        <v>1976.47</v>
      </c>
      <c r="E518" s="73">
        <v>1962.16</v>
      </c>
      <c r="F518" s="73">
        <v>1956.92</v>
      </c>
      <c r="G518" s="73">
        <v>1961.62</v>
      </c>
      <c r="H518" s="73">
        <v>1984.46</v>
      </c>
      <c r="I518" s="73">
        <v>1983.75</v>
      </c>
      <c r="J518" s="73">
        <v>1960.38</v>
      </c>
      <c r="K518" s="73">
        <v>1960.43</v>
      </c>
      <c r="L518" s="73">
        <v>1977.64</v>
      </c>
      <c r="M518" s="72"/>
      <c r="N518" s="72"/>
      <c r="O518" s="72"/>
      <c r="P518" s="72"/>
      <c r="Q518" s="57">
        <f>IF((L519=""),"",MAX(D520:L520))</f>
        <v>3409.5200000000004</v>
      </c>
      <c r="R518" s="57">
        <f>IF(L519="","",MIN(D520:L520))</f>
        <v>2897.6800000000003</v>
      </c>
      <c r="S518" s="57">
        <f>IF((L520=""),"",AVERAGE(D520:L520))</f>
        <v>3137.2177777777779</v>
      </c>
      <c r="T518" s="57">
        <f>IF((L519=""),"",((Q518-R518)/(Q518+R518))*100)</f>
        <v>8.1151699644850339</v>
      </c>
      <c r="U518" s="51">
        <f>STDEV(D518:L518)</f>
        <v>11.073958315637896</v>
      </c>
      <c r="V518" s="64" t="str">
        <f>IF(L519="","",(IF(T518&lt;12,IF(S518&gt;2200,IF(S518&lt;3280,"Pass","Fail"),"Fail"),"Fail")))</f>
        <v>Pass</v>
      </c>
      <c r="W518" s="57">
        <v>1159</v>
      </c>
      <c r="Y518" s="66" t="s">
        <v>179</v>
      </c>
      <c r="Z518" s="37">
        <v>2000</v>
      </c>
      <c r="AA518" s="37">
        <v>3000</v>
      </c>
      <c r="AB518" s="37">
        <v>2200</v>
      </c>
      <c r="AC518" s="37">
        <v>3280</v>
      </c>
      <c r="AD518" s="39">
        <v>12</v>
      </c>
      <c r="AE518" s="39">
        <v>12</v>
      </c>
    </row>
    <row r="519" spans="1:31" ht="15.75" customHeight="1">
      <c r="A519" s="199"/>
      <c r="B519" s="48"/>
      <c r="C519" s="51" t="s">
        <v>155</v>
      </c>
      <c r="D519" s="68">
        <v>1168.99</v>
      </c>
      <c r="E519" s="68">
        <v>1212.9100000000001</v>
      </c>
      <c r="F519" s="68">
        <v>1232.5</v>
      </c>
      <c r="G519" s="68">
        <v>1205.01</v>
      </c>
      <c r="H519" s="68">
        <v>1138.05</v>
      </c>
      <c r="I519" s="68">
        <v>1169.8399999999999</v>
      </c>
      <c r="J519" s="68">
        <v>1218.31</v>
      </c>
      <c r="K519" s="68">
        <v>1194.22</v>
      </c>
      <c r="L519" s="68">
        <v>1125.26</v>
      </c>
      <c r="M519" s="50"/>
      <c r="N519" s="50"/>
      <c r="O519" s="50"/>
      <c r="P519" s="50"/>
      <c r="Q519" s="48"/>
      <c r="R519" s="48"/>
      <c r="S519" s="48"/>
      <c r="T519" s="48"/>
      <c r="U519" s="48"/>
      <c r="V519" s="47"/>
      <c r="W519" s="48"/>
      <c r="X519" s="8"/>
    </row>
    <row r="520" spans="1:31" ht="24" customHeight="1">
      <c r="A520" s="199"/>
      <c r="B520" s="61"/>
      <c r="C520" s="51" t="s">
        <v>154</v>
      </c>
      <c r="D520" s="24">
        <f t="shared" ref="D520:L520" si="168">IF(((D518="")*AND(D519="")),"",(D518-D519)*4)</f>
        <v>3229.92</v>
      </c>
      <c r="E520" s="24">
        <f t="shared" si="168"/>
        <v>2997</v>
      </c>
      <c r="F520" s="24">
        <f t="shared" si="168"/>
        <v>2897.6800000000003</v>
      </c>
      <c r="G520" s="24">
        <f t="shared" si="168"/>
        <v>3026.4399999999996</v>
      </c>
      <c r="H520" s="24">
        <f t="shared" si="168"/>
        <v>3385.6400000000003</v>
      </c>
      <c r="I520" s="24">
        <f t="shared" si="168"/>
        <v>3255.6400000000003</v>
      </c>
      <c r="J520" s="24">
        <f t="shared" si="168"/>
        <v>2968.2800000000007</v>
      </c>
      <c r="K520" s="24">
        <f t="shared" si="168"/>
        <v>3064.84</v>
      </c>
      <c r="L520" s="24">
        <f t="shared" si="168"/>
        <v>3409.5200000000004</v>
      </c>
      <c r="M520" s="24"/>
      <c r="N520" s="24"/>
      <c r="O520" s="24"/>
      <c r="P520" s="24" t="str">
        <f>IF(((P518="")*AND(P519="")),"",(P518-P519)*4)</f>
        <v/>
      </c>
      <c r="Q520" s="61"/>
      <c r="R520" s="61"/>
      <c r="S520" s="61"/>
      <c r="T520" s="61"/>
      <c r="U520" s="61"/>
      <c r="V520" s="60"/>
      <c r="W520" s="61"/>
      <c r="X520" s="8"/>
    </row>
    <row r="521" spans="1:31">
      <c r="A521" s="202">
        <v>43111</v>
      </c>
      <c r="B521" s="57" t="s">
        <v>158</v>
      </c>
      <c r="C521" s="61" t="s">
        <v>156</v>
      </c>
      <c r="D521" s="8">
        <v>1924.96</v>
      </c>
      <c r="E521" s="8">
        <v>1921.97</v>
      </c>
      <c r="F521" s="8">
        <v>1921</v>
      </c>
      <c r="G521" s="8">
        <v>1924.08</v>
      </c>
      <c r="H521" s="8">
        <v>1931.89</v>
      </c>
      <c r="I521" s="8">
        <v>1928.47</v>
      </c>
      <c r="J521" s="8">
        <v>1921.09</v>
      </c>
      <c r="K521" s="8">
        <v>1923.44</v>
      </c>
      <c r="L521" s="8">
        <v>1929.94</v>
      </c>
      <c r="M521" s="50"/>
      <c r="N521" s="50"/>
      <c r="O521" s="50"/>
      <c r="P521" s="50"/>
      <c r="Q521" s="57">
        <f>IF((L522=""),"",MAX(D523:L523))</f>
        <v>3182.4000000000005</v>
      </c>
      <c r="R521" s="57">
        <f>IF(L522="","",MIN(D523:L523))</f>
        <v>2750.5200000000004</v>
      </c>
      <c r="S521" s="48">
        <f>IF((L523=""),"",AVERAGE(D523:L523))</f>
        <v>2932.3999999999996</v>
      </c>
      <c r="T521" s="48">
        <f>IF((L522=""),"",((Q521-R521)/(Q521+R521))*100)</f>
        <v>7.2793835076151376</v>
      </c>
      <c r="U521" s="51">
        <f>STDEV(D521:L521)</f>
        <v>3.9889068399514094</v>
      </c>
      <c r="V521" s="64" t="str">
        <f>IF(L522="","",(IF(T521&lt;12,IF(S521&gt;2200,IF(S521&lt;3280,"Pass","Fail"),"Fail"),"Fail")))</f>
        <v>Pass</v>
      </c>
      <c r="W521" s="57">
        <v>102</v>
      </c>
      <c r="Y521" s="66" t="s">
        <v>279</v>
      </c>
      <c r="Z521" s="37">
        <v>2000</v>
      </c>
      <c r="AA521" s="37">
        <v>3000</v>
      </c>
      <c r="AB521" s="37">
        <v>2200</v>
      </c>
      <c r="AC521" s="37">
        <v>3280</v>
      </c>
      <c r="AD521" s="39">
        <v>12</v>
      </c>
      <c r="AE521" s="39">
        <v>12</v>
      </c>
    </row>
    <row r="522" spans="1:31" ht="16.5" customHeight="1">
      <c r="A522" s="199"/>
      <c r="B522" s="48"/>
      <c r="C522" s="51" t="s">
        <v>155</v>
      </c>
      <c r="D522" s="8">
        <v>1188.01</v>
      </c>
      <c r="E522" s="8">
        <v>1216.26</v>
      </c>
      <c r="F522" s="8">
        <v>1233.3699999999999</v>
      </c>
      <c r="G522" s="8">
        <v>1205.33</v>
      </c>
      <c r="H522" s="8">
        <v>1149.44</v>
      </c>
      <c r="I522" s="8">
        <v>1182.6300000000001</v>
      </c>
      <c r="J522" s="8">
        <v>1222.8599999999999</v>
      </c>
      <c r="K522" s="8">
        <v>1196.7</v>
      </c>
      <c r="L522" s="8">
        <v>1134.3399999999999</v>
      </c>
      <c r="M522" s="50"/>
      <c r="N522" s="50"/>
      <c r="O522" s="50"/>
      <c r="P522" s="50"/>
      <c r="Q522" s="48"/>
      <c r="R522" s="48"/>
      <c r="S522" s="48"/>
      <c r="T522" s="48"/>
      <c r="U522" s="48"/>
      <c r="V522" s="47"/>
      <c r="W522" s="48"/>
      <c r="X522" s="8"/>
    </row>
    <row r="523" spans="1:31" ht="24.75" customHeight="1" thickBot="1">
      <c r="A523" s="199"/>
      <c r="B523" s="42"/>
      <c r="C523" s="57" t="s">
        <v>154</v>
      </c>
      <c r="D523" s="71">
        <f t="shared" ref="D523:L523" si="169">IF(((D521="")*AND(D522="")),"",(D521-D522)*4)</f>
        <v>2947.8</v>
      </c>
      <c r="E523" s="71">
        <f t="shared" si="169"/>
        <v>2822.84</v>
      </c>
      <c r="F523" s="71">
        <f t="shared" si="169"/>
        <v>2750.5200000000004</v>
      </c>
      <c r="G523" s="71">
        <f t="shared" si="169"/>
        <v>2875</v>
      </c>
      <c r="H523" s="71">
        <f t="shared" si="169"/>
        <v>3129.8</v>
      </c>
      <c r="I523" s="71">
        <f t="shared" si="169"/>
        <v>2983.3599999999997</v>
      </c>
      <c r="J523" s="71">
        <f t="shared" si="169"/>
        <v>2792.92</v>
      </c>
      <c r="K523" s="71">
        <f t="shared" si="169"/>
        <v>2906.96</v>
      </c>
      <c r="L523" s="71">
        <f t="shared" si="169"/>
        <v>3182.4000000000005</v>
      </c>
      <c r="M523" s="71"/>
      <c r="N523" s="71"/>
      <c r="O523" s="71"/>
      <c r="P523" s="71" t="str">
        <f>IF(((P521="")*AND(P522="")),"",(P521-P522)*4)</f>
        <v/>
      </c>
      <c r="Q523" s="42"/>
      <c r="R523" s="42"/>
      <c r="S523" s="48"/>
      <c r="T523" s="48"/>
      <c r="U523" s="48"/>
      <c r="V523" s="41"/>
      <c r="W523" s="42"/>
      <c r="X523" s="8"/>
    </row>
    <row r="524" spans="1:31">
      <c r="A524" s="201">
        <v>43117</v>
      </c>
      <c r="B524" s="63" t="s">
        <v>158</v>
      </c>
      <c r="C524" s="56" t="s">
        <v>156</v>
      </c>
      <c r="D524" s="69">
        <v>1170.78</v>
      </c>
      <c r="E524" s="69">
        <v>1214.8499999999999</v>
      </c>
      <c r="F524" s="69">
        <v>1231.04</v>
      </c>
      <c r="G524" s="69">
        <v>1208.71</v>
      </c>
      <c r="H524" s="69">
        <v>1142.56</v>
      </c>
      <c r="I524" s="69">
        <v>1173.6199999999999</v>
      </c>
      <c r="J524" s="69">
        <v>1222.3699999999999</v>
      </c>
      <c r="K524" s="69">
        <v>1198.53</v>
      </c>
      <c r="L524" s="69">
        <v>1128.27</v>
      </c>
      <c r="M524" s="62"/>
      <c r="N524" s="62"/>
      <c r="O524" s="62"/>
      <c r="P524" s="62"/>
      <c r="Q524" s="63">
        <f>IF((L525=""),"",MAX(D526:L526))</f>
        <v>3104.84</v>
      </c>
      <c r="R524" s="63">
        <f>IF(L525="","",MIN(D526:L526))</f>
        <v>2748.7999999999997</v>
      </c>
      <c r="S524" s="63">
        <f>IF((L526=""),"",AVERAGE(D526:L526))</f>
        <v>2906.5422222222219</v>
      </c>
      <c r="T524" s="63">
        <f>IF((L525=""),"",((Q524-R524)/(Q524+R524))*100)</f>
        <v>6.0823692608360007</v>
      </c>
      <c r="U524" s="51">
        <f>STDEV(D524:L524)</f>
        <v>36.107558226923757</v>
      </c>
      <c r="V524" s="64" t="str">
        <f>IF(L525="","",(IF(T524&lt;12,IF(S524&gt;2200,IF(S524&lt;3280,"Pass","Fail"),"Fail"),"Fail")))</f>
        <v>Pass</v>
      </c>
      <c r="W524" s="67">
        <v>121</v>
      </c>
      <c r="Z524" s="37">
        <v>2000</v>
      </c>
      <c r="AA524" s="37">
        <v>3000</v>
      </c>
      <c r="AB524" s="37">
        <v>2200</v>
      </c>
      <c r="AC524" s="37">
        <v>3280</v>
      </c>
      <c r="AD524" s="39">
        <v>12</v>
      </c>
      <c r="AE524" s="39">
        <v>12</v>
      </c>
    </row>
    <row r="525" spans="1:31" ht="16.5" customHeight="1">
      <c r="A525" s="199"/>
      <c r="B525" s="48"/>
      <c r="C525" s="51" t="s">
        <v>155</v>
      </c>
      <c r="D525" s="68">
        <v>431.19</v>
      </c>
      <c r="E525" s="68">
        <v>512.15</v>
      </c>
      <c r="F525" s="68">
        <v>543.84</v>
      </c>
      <c r="G525" s="68">
        <v>501.2</v>
      </c>
      <c r="H525" s="68">
        <v>377.27</v>
      </c>
      <c r="I525" s="68">
        <v>425.49</v>
      </c>
      <c r="J525" s="68">
        <v>524.35</v>
      </c>
      <c r="K525" s="68">
        <v>483.46</v>
      </c>
      <c r="L525" s="68">
        <v>352.06</v>
      </c>
      <c r="M525" s="50"/>
      <c r="N525" s="50"/>
      <c r="O525" s="50"/>
      <c r="P525" s="50"/>
      <c r="Q525" s="48"/>
      <c r="R525" s="48"/>
      <c r="S525" s="48"/>
      <c r="T525" s="48"/>
      <c r="U525" s="48"/>
      <c r="V525" s="47"/>
      <c r="W525" s="46"/>
      <c r="X525" s="8"/>
    </row>
    <row r="526" spans="1:31" ht="24.75" customHeight="1" thickBot="1">
      <c r="A526" s="199"/>
      <c r="B526" s="61"/>
      <c r="C526" s="51" t="s">
        <v>154</v>
      </c>
      <c r="D526" s="24">
        <f t="shared" ref="D526:L526" si="170">IF(((D524="")*AND(D525="")),"",(D524-D525)*4)</f>
        <v>2958.3599999999997</v>
      </c>
      <c r="E526" s="24">
        <f t="shared" si="170"/>
        <v>2810.7999999999997</v>
      </c>
      <c r="F526" s="24">
        <f t="shared" si="170"/>
        <v>2748.7999999999997</v>
      </c>
      <c r="G526" s="24">
        <f t="shared" si="170"/>
        <v>2830.04</v>
      </c>
      <c r="H526" s="24">
        <f t="shared" si="170"/>
        <v>3061.16</v>
      </c>
      <c r="I526" s="24">
        <f t="shared" si="170"/>
        <v>2992.5199999999995</v>
      </c>
      <c r="J526" s="24">
        <f t="shared" si="170"/>
        <v>2792.0799999999995</v>
      </c>
      <c r="K526" s="24">
        <f t="shared" si="170"/>
        <v>2860.2799999999997</v>
      </c>
      <c r="L526" s="24">
        <f t="shared" si="170"/>
        <v>3104.84</v>
      </c>
      <c r="M526" s="24"/>
      <c r="N526" s="24"/>
      <c r="O526" s="24"/>
      <c r="P526" s="24" t="str">
        <f>IF(((P524="")*AND(P525="")),"",(P524-P525)*4)</f>
        <v/>
      </c>
      <c r="Q526" s="61"/>
      <c r="R526" s="61"/>
      <c r="S526" s="61"/>
      <c r="T526" s="61"/>
      <c r="U526" s="61"/>
      <c r="V526" s="60"/>
      <c r="W526" s="59"/>
      <c r="X526" s="8"/>
    </row>
    <row r="527" spans="1:31">
      <c r="A527" s="202">
        <v>43117</v>
      </c>
      <c r="B527" s="57" t="s">
        <v>157</v>
      </c>
      <c r="C527" s="51" t="s">
        <v>156</v>
      </c>
      <c r="D527" s="68">
        <v>5174.12</v>
      </c>
      <c r="E527" s="68">
        <v>5137.79</v>
      </c>
      <c r="F527" s="68">
        <v>5156.25</v>
      </c>
      <c r="G527" s="68">
        <v>5136.5200000000004</v>
      </c>
      <c r="H527" s="68">
        <v>5200.47</v>
      </c>
      <c r="I527" s="68">
        <v>5192.87</v>
      </c>
      <c r="J527" s="68">
        <v>5178.37</v>
      </c>
      <c r="K527" s="68">
        <v>5144.88</v>
      </c>
      <c r="L527" s="68">
        <v>5164.3900000000003</v>
      </c>
      <c r="M527" s="50"/>
      <c r="N527" s="50"/>
      <c r="O527" s="50"/>
      <c r="P527" s="50"/>
      <c r="Q527" s="57">
        <f>IF((L528=""),"",MAX(D529:L529))</f>
        <v>3524.8999999999996</v>
      </c>
      <c r="R527" s="57">
        <f>IF(L528="","",MIN(D529:L529))</f>
        <v>3445.3600000000006</v>
      </c>
      <c r="S527" s="58">
        <f>IF((L529=""),"",AVERAGE(D529:L529))</f>
        <v>3499.4222222222229</v>
      </c>
      <c r="T527" s="57">
        <f>IF((L528=""),"",((Q527-R527)/(Q527+R527))*100)</f>
        <v>1.1411339031829379</v>
      </c>
      <c r="U527" s="56">
        <f>STDEV(D527:L527)</f>
        <v>23.264737802252274</v>
      </c>
      <c r="V527" s="55" t="str">
        <f>IF(L528="","",(IF(T527&lt;7,IF(S527&gt;2800,IF(S527&lt;3800,"Pass","Fail"),"Fail"),"Fail")))</f>
        <v>Pass</v>
      </c>
      <c r="W527" s="54">
        <v>121</v>
      </c>
      <c r="Z527" s="53">
        <v>2800</v>
      </c>
      <c r="AA527" s="53">
        <v>3800</v>
      </c>
      <c r="AB527" s="53">
        <v>3100</v>
      </c>
      <c r="AC527" s="53">
        <v>3760</v>
      </c>
      <c r="AD527" s="52">
        <v>6</v>
      </c>
      <c r="AE527" s="52">
        <v>6</v>
      </c>
    </row>
    <row r="528" spans="1:31" ht="16.5" customHeight="1">
      <c r="A528" s="199"/>
      <c r="B528" s="48"/>
      <c r="C528" s="51" t="s">
        <v>155</v>
      </c>
      <c r="D528" s="68">
        <v>3417.6</v>
      </c>
      <c r="E528" s="68">
        <v>3375.34</v>
      </c>
      <c r="F528" s="68">
        <v>3400.36</v>
      </c>
      <c r="G528" s="68">
        <v>3387.86</v>
      </c>
      <c r="H528" s="68">
        <v>3477.79</v>
      </c>
      <c r="I528" s="68">
        <v>3435.35</v>
      </c>
      <c r="J528" s="68">
        <v>3425.42</v>
      </c>
      <c r="K528" s="68">
        <v>3391.43</v>
      </c>
      <c r="L528" s="68">
        <v>3427.11</v>
      </c>
      <c r="M528" s="50"/>
      <c r="N528" s="50"/>
      <c r="O528" s="50"/>
      <c r="P528" s="50"/>
      <c r="Q528" s="48"/>
      <c r="R528" s="48"/>
      <c r="S528" s="49"/>
      <c r="T528" s="48"/>
      <c r="U528" s="48"/>
      <c r="V528" s="47"/>
      <c r="W528" s="46"/>
      <c r="X528" s="8"/>
    </row>
    <row r="529" spans="1:31" ht="24.75" customHeight="1" thickBot="1">
      <c r="A529" s="199"/>
      <c r="B529" s="42"/>
      <c r="C529" s="45" t="s">
        <v>154</v>
      </c>
      <c r="D529" s="44">
        <f t="shared" ref="D529:L529" si="171">IF(((D527="")*AND(D528="")),"",(D527-D528)*2)</f>
        <v>3513.04</v>
      </c>
      <c r="E529" s="44">
        <f t="shared" si="171"/>
        <v>3524.8999999999996</v>
      </c>
      <c r="F529" s="44">
        <f t="shared" si="171"/>
        <v>3511.7799999999997</v>
      </c>
      <c r="G529" s="44">
        <f t="shared" si="171"/>
        <v>3497.3200000000006</v>
      </c>
      <c r="H529" s="44">
        <f t="shared" si="171"/>
        <v>3445.3600000000006</v>
      </c>
      <c r="I529" s="44">
        <f t="shared" si="171"/>
        <v>3515.04</v>
      </c>
      <c r="J529" s="44">
        <f t="shared" si="171"/>
        <v>3505.8999999999996</v>
      </c>
      <c r="K529" s="44">
        <f t="shared" si="171"/>
        <v>3506.9000000000005</v>
      </c>
      <c r="L529" s="44">
        <f t="shared" si="171"/>
        <v>3474.5600000000004</v>
      </c>
      <c r="M529" s="44"/>
      <c r="N529" s="44"/>
      <c r="O529" s="44"/>
      <c r="P529" s="44"/>
      <c r="Q529" s="42"/>
      <c r="R529" s="42"/>
      <c r="S529" s="43"/>
      <c r="T529" s="42"/>
      <c r="U529" s="42"/>
      <c r="V529" s="41"/>
      <c r="W529" s="40"/>
      <c r="X529" s="8"/>
    </row>
    <row r="530" spans="1:31">
      <c r="A530" s="201">
        <v>43122</v>
      </c>
      <c r="B530" s="63" t="s">
        <v>158</v>
      </c>
      <c r="C530" s="56" t="s">
        <v>156</v>
      </c>
      <c r="D530" s="69">
        <v>1918.34</v>
      </c>
      <c r="E530" s="69">
        <v>1908.68</v>
      </c>
      <c r="F530" s="69">
        <v>1907.46</v>
      </c>
      <c r="G530" s="69">
        <v>1908.03</v>
      </c>
      <c r="H530" s="69">
        <v>1917.44</v>
      </c>
      <c r="I530" s="69">
        <v>1916.47</v>
      </c>
      <c r="J530" s="69">
        <v>1912.81</v>
      </c>
      <c r="K530" s="69">
        <v>1907.78</v>
      </c>
      <c r="L530" s="69">
        <v>1917.61</v>
      </c>
      <c r="M530" s="62"/>
      <c r="N530" s="62"/>
      <c r="O530" s="62"/>
      <c r="P530" s="62"/>
      <c r="Q530" s="63">
        <f>IF((L531=""),"",MAX(D532:L532))</f>
        <v>3128.8399999999992</v>
      </c>
      <c r="R530" s="63">
        <f>IF(L531="","",MIN(D532:L532))</f>
        <v>2739</v>
      </c>
      <c r="S530" s="63">
        <f>IF((L532=""),"",AVERAGE(D532:L532))</f>
        <v>2896.902222222222</v>
      </c>
      <c r="T530" s="63">
        <f>IF((L531=""),"",((Q530-R530)/(Q530+R530))*100)</f>
        <v>6.6436712657468382</v>
      </c>
      <c r="U530" s="51">
        <f>STDEV(D530:L530)</f>
        <v>4.7727379749703385</v>
      </c>
      <c r="V530" s="64" t="str">
        <f>IF(L531="","",(IF(T530&lt;12,IF(S530&gt;2200,IF(S530&lt;3280,"Pass","Fail"),"Fail"),"Fail")))</f>
        <v>Pass</v>
      </c>
      <c r="W530" s="67">
        <v>121</v>
      </c>
      <c r="Z530" s="37">
        <v>2000</v>
      </c>
      <c r="AA530" s="37">
        <v>3000</v>
      </c>
      <c r="AB530" s="37">
        <v>2200</v>
      </c>
      <c r="AC530" s="37">
        <v>3280</v>
      </c>
      <c r="AD530" s="39">
        <v>12</v>
      </c>
      <c r="AE530" s="39">
        <v>12</v>
      </c>
    </row>
    <row r="531" spans="1:31" ht="16.5" customHeight="1">
      <c r="A531" s="199"/>
      <c r="B531" s="48"/>
      <c r="C531" s="51" t="s">
        <v>155</v>
      </c>
      <c r="D531" s="68">
        <v>1179.76</v>
      </c>
      <c r="E531" s="68">
        <v>1206.82</v>
      </c>
      <c r="F531" s="68">
        <v>1222.71</v>
      </c>
      <c r="G531" s="68">
        <v>1202.49</v>
      </c>
      <c r="H531" s="68">
        <v>1155.95</v>
      </c>
      <c r="I531" s="68">
        <v>1183.5999999999999</v>
      </c>
      <c r="J531" s="68">
        <v>1219</v>
      </c>
      <c r="K531" s="68">
        <v>1190.8599999999999</v>
      </c>
      <c r="L531" s="68">
        <v>1135.4000000000001</v>
      </c>
      <c r="M531" s="50"/>
      <c r="N531" s="50"/>
      <c r="O531" s="50"/>
      <c r="P531" s="50"/>
      <c r="Q531" s="48"/>
      <c r="R531" s="48"/>
      <c r="S531" s="48"/>
      <c r="T531" s="48"/>
      <c r="U531" s="48"/>
      <c r="V531" s="47"/>
      <c r="W531" s="46"/>
      <c r="X531" s="8"/>
    </row>
    <row r="532" spans="1:31" ht="24.75" customHeight="1" thickBot="1">
      <c r="A532" s="199"/>
      <c r="B532" s="61"/>
      <c r="C532" s="51" t="s">
        <v>154</v>
      </c>
      <c r="D532" s="24">
        <f t="shared" ref="D532:L532" si="172">IF(((D530="")*AND(D531="")),"",(D530-D531)*4)</f>
        <v>2954.3199999999997</v>
      </c>
      <c r="E532" s="24">
        <f t="shared" si="172"/>
        <v>2807.4400000000005</v>
      </c>
      <c r="F532" s="24">
        <f t="shared" si="172"/>
        <v>2739</v>
      </c>
      <c r="G532" s="24">
        <f t="shared" si="172"/>
        <v>2822.16</v>
      </c>
      <c r="H532" s="24">
        <f t="shared" si="172"/>
        <v>3045.96</v>
      </c>
      <c r="I532" s="24">
        <f t="shared" si="172"/>
        <v>2931.4800000000005</v>
      </c>
      <c r="J532" s="24">
        <f t="shared" si="172"/>
        <v>2775.24</v>
      </c>
      <c r="K532" s="24">
        <f t="shared" si="172"/>
        <v>2867.6800000000003</v>
      </c>
      <c r="L532" s="24">
        <f t="shared" si="172"/>
        <v>3128.8399999999992</v>
      </c>
      <c r="M532" s="24"/>
      <c r="N532" s="24"/>
      <c r="O532" s="24"/>
      <c r="P532" s="24" t="str">
        <f>IF(((P530="")*AND(P531="")),"",(P530-P531)*4)</f>
        <v/>
      </c>
      <c r="Q532" s="61"/>
      <c r="R532" s="61"/>
      <c r="S532" s="61"/>
      <c r="T532" s="61"/>
      <c r="U532" s="61"/>
      <c r="V532" s="60"/>
      <c r="W532" s="59"/>
      <c r="X532" s="8"/>
    </row>
    <row r="533" spans="1:31">
      <c r="A533" s="202">
        <v>43122</v>
      </c>
      <c r="B533" s="57" t="s">
        <v>157</v>
      </c>
      <c r="C533" s="51" t="s">
        <v>156</v>
      </c>
      <c r="D533" s="68">
        <v>3417.6</v>
      </c>
      <c r="E533" s="68">
        <v>3375.34</v>
      </c>
      <c r="F533" s="68">
        <v>3400.36</v>
      </c>
      <c r="G533" s="68">
        <v>3387.86</v>
      </c>
      <c r="H533" s="68">
        <v>3477.79</v>
      </c>
      <c r="I533" s="68">
        <v>3435.35</v>
      </c>
      <c r="J533" s="68">
        <v>3425.42</v>
      </c>
      <c r="K533" s="68">
        <v>3391.43</v>
      </c>
      <c r="L533" s="68">
        <v>3427.11</v>
      </c>
      <c r="M533" s="50"/>
      <c r="N533" s="50"/>
      <c r="O533" s="50"/>
      <c r="P533" s="50"/>
      <c r="Q533" s="57">
        <f>IF((L534=""),"",MAX(D535:L535))</f>
        <v>3740.72</v>
      </c>
      <c r="R533" s="57">
        <f>IF(L534="","",MIN(D535:L535))</f>
        <v>3650.94</v>
      </c>
      <c r="S533" s="58">
        <f>IF((L535=""),"",AVERAGE(D535:L535))</f>
        <v>3680.0755555555556</v>
      </c>
      <c r="T533" s="57">
        <f>IF((L534=""),"",((Q533-R533)/(Q533+R533))*100)</f>
        <v>1.2146121439568345</v>
      </c>
      <c r="U533" s="56">
        <f>STDEV(D533:L533)</f>
        <v>31.017906029386833</v>
      </c>
      <c r="V533" s="55" t="str">
        <f>IF(L534="","",(IF(T533&lt;7,IF(S533&gt;2800,IF(S533&lt;3800,"Pass","Fail"),"Fail"),"Fail")))</f>
        <v>Pass</v>
      </c>
      <c r="W533" s="54">
        <v>121</v>
      </c>
      <c r="Z533" s="53">
        <v>2800</v>
      </c>
      <c r="AA533" s="53">
        <v>3800</v>
      </c>
      <c r="AB533" s="53">
        <v>3100</v>
      </c>
      <c r="AC533" s="53">
        <v>3760</v>
      </c>
      <c r="AD533" s="52">
        <v>6</v>
      </c>
      <c r="AE533" s="52">
        <v>6</v>
      </c>
    </row>
    <row r="534" spans="1:31" ht="16.5" customHeight="1">
      <c r="A534" s="199"/>
      <c r="B534" s="48"/>
      <c r="C534" s="51" t="s">
        <v>155</v>
      </c>
      <c r="D534" s="68">
        <v>1558.48</v>
      </c>
      <c r="E534" s="68">
        <v>1532.67</v>
      </c>
      <c r="F534" s="68">
        <v>1564.8</v>
      </c>
      <c r="G534" s="68">
        <v>1556.52</v>
      </c>
      <c r="H534" s="68">
        <v>1652.32</v>
      </c>
      <c r="I534" s="68">
        <v>1564.99</v>
      </c>
      <c r="J534" s="68">
        <v>1587.11</v>
      </c>
      <c r="K534" s="68">
        <v>1559.89</v>
      </c>
      <c r="L534" s="68">
        <v>1601.14</v>
      </c>
      <c r="M534" s="50"/>
      <c r="N534" s="50"/>
      <c r="O534" s="50"/>
      <c r="P534" s="50"/>
      <c r="Q534" s="48"/>
      <c r="R534" s="48"/>
      <c r="S534" s="49"/>
      <c r="T534" s="48"/>
      <c r="U534" s="48"/>
      <c r="V534" s="47"/>
      <c r="W534" s="46"/>
      <c r="X534" s="8"/>
    </row>
    <row r="535" spans="1:31" ht="24.75" customHeight="1" thickBot="1">
      <c r="A535" s="199"/>
      <c r="B535" s="42"/>
      <c r="C535" s="45" t="s">
        <v>154</v>
      </c>
      <c r="D535" s="44">
        <f t="shared" ref="D535:L535" si="173">IF(((D533="")*AND(D534="")),"",(D533-D534)*2)</f>
        <v>3718.24</v>
      </c>
      <c r="E535" s="44">
        <f t="shared" si="173"/>
        <v>3685.34</v>
      </c>
      <c r="F535" s="44">
        <f t="shared" si="173"/>
        <v>3671.1200000000003</v>
      </c>
      <c r="G535" s="44">
        <f t="shared" si="173"/>
        <v>3662.6800000000003</v>
      </c>
      <c r="H535" s="44">
        <f t="shared" si="173"/>
        <v>3650.94</v>
      </c>
      <c r="I535" s="44">
        <f t="shared" si="173"/>
        <v>3740.72</v>
      </c>
      <c r="J535" s="44">
        <f t="shared" si="173"/>
        <v>3676.6200000000003</v>
      </c>
      <c r="K535" s="44">
        <f t="shared" si="173"/>
        <v>3663.0799999999995</v>
      </c>
      <c r="L535" s="44">
        <f t="shared" si="173"/>
        <v>3651.94</v>
      </c>
      <c r="M535" s="44"/>
      <c r="N535" s="44"/>
      <c r="O535" s="44"/>
      <c r="P535" s="44"/>
      <c r="Q535" s="42"/>
      <c r="R535" s="42"/>
      <c r="S535" s="43"/>
      <c r="T535" s="42"/>
      <c r="U535" s="42"/>
      <c r="V535" s="41"/>
      <c r="W535" s="40"/>
      <c r="X535" s="8"/>
    </row>
    <row r="536" spans="1:31">
      <c r="A536" s="201">
        <v>43125</v>
      </c>
      <c r="B536" s="63" t="s">
        <v>158</v>
      </c>
      <c r="C536" s="56" t="s">
        <v>156</v>
      </c>
      <c r="D536" s="69">
        <v>2166.08</v>
      </c>
      <c r="E536" s="69">
        <v>2138.8200000000002</v>
      </c>
      <c r="F536" s="69">
        <v>2128.2399999999998</v>
      </c>
      <c r="G536" s="69">
        <v>2133.44</v>
      </c>
      <c r="H536" s="69">
        <v>2165.1999999999998</v>
      </c>
      <c r="I536" s="69">
        <v>2176.09</v>
      </c>
      <c r="J536" s="69">
        <v>2138.59</v>
      </c>
      <c r="K536" s="69">
        <v>2132.2600000000002</v>
      </c>
      <c r="L536" s="69">
        <v>2160.59</v>
      </c>
      <c r="M536" s="62"/>
      <c r="N536" s="62"/>
      <c r="O536" s="62"/>
      <c r="P536" s="62"/>
      <c r="Q536" s="63">
        <f>IF((L537=""),"",MAX(D538:L538))</f>
        <v>3409.2800000000007</v>
      </c>
      <c r="R536" s="63">
        <f>IF(L537="","",MIN(D538:L538))</f>
        <v>2962.9599999999991</v>
      </c>
      <c r="S536" s="63">
        <f>IF((L538=""),"",AVERAGE(D538:L538))</f>
        <v>3176.4755555555553</v>
      </c>
      <c r="T536" s="63">
        <f>IF((L537=""),"",((Q536-R536)/(Q536+R536))*100)</f>
        <v>7.004130415678028</v>
      </c>
      <c r="U536" s="51">
        <f>STDEV(D536:L536)</f>
        <v>17.983897504269624</v>
      </c>
      <c r="V536" s="64" t="str">
        <f>IF(L537="","",(IF(T536&lt;12,IF(S536&gt;2200,IF(S536&lt;3280,"Pass","Fail"),"Fail"),"Fail")))</f>
        <v>Pass</v>
      </c>
      <c r="W536" s="67">
        <v>1428</v>
      </c>
      <c r="Z536" s="37">
        <v>2000</v>
      </c>
      <c r="AA536" s="37">
        <v>3000</v>
      </c>
      <c r="AB536" s="37">
        <v>2200</v>
      </c>
      <c r="AC536" s="37">
        <v>3280</v>
      </c>
      <c r="AD536" s="39">
        <v>12</v>
      </c>
      <c r="AE536" s="39">
        <v>12</v>
      </c>
    </row>
    <row r="537" spans="1:31" ht="16.5" customHeight="1">
      <c r="A537" s="199"/>
      <c r="B537" s="48"/>
      <c r="C537" s="51" t="s">
        <v>155</v>
      </c>
      <c r="D537" s="68">
        <v>1344.44</v>
      </c>
      <c r="E537" s="68">
        <v>1373.99</v>
      </c>
      <c r="F537" s="68">
        <v>1387.5</v>
      </c>
      <c r="G537" s="68">
        <v>1372.59</v>
      </c>
      <c r="H537" s="68">
        <v>1318.61</v>
      </c>
      <c r="I537" s="68">
        <v>1343.4</v>
      </c>
      <c r="J537" s="68">
        <v>1380.89</v>
      </c>
      <c r="K537" s="68">
        <v>1362.55</v>
      </c>
      <c r="L537" s="68">
        <v>1308.27</v>
      </c>
      <c r="M537" s="50"/>
      <c r="N537" s="50"/>
      <c r="O537" s="50"/>
      <c r="P537" s="50"/>
      <c r="Q537" s="48"/>
      <c r="R537" s="48"/>
      <c r="S537" s="48"/>
      <c r="T537" s="48"/>
      <c r="U537" s="48"/>
      <c r="V537" s="47"/>
      <c r="W537" s="46"/>
      <c r="X537" s="8"/>
    </row>
    <row r="538" spans="1:31" ht="24.75" customHeight="1" thickBot="1">
      <c r="A538" s="199"/>
      <c r="B538" s="61"/>
      <c r="C538" s="51" t="s">
        <v>154</v>
      </c>
      <c r="D538" s="24">
        <f t="shared" ref="D538:L538" si="174">IF(((D536="")*AND(D537="")),"",(D536-D537)*4)</f>
        <v>3286.5599999999995</v>
      </c>
      <c r="E538" s="24">
        <f t="shared" si="174"/>
        <v>3059.3200000000006</v>
      </c>
      <c r="F538" s="24">
        <f t="shared" si="174"/>
        <v>2962.9599999999991</v>
      </c>
      <c r="G538" s="24">
        <f t="shared" si="174"/>
        <v>3043.4000000000005</v>
      </c>
      <c r="H538" s="24">
        <f t="shared" si="174"/>
        <v>3386.3599999999997</v>
      </c>
      <c r="I538" s="24">
        <f t="shared" si="174"/>
        <v>3330.76</v>
      </c>
      <c r="J538" s="24">
        <f t="shared" si="174"/>
        <v>3030.8</v>
      </c>
      <c r="K538" s="24">
        <f t="shared" si="174"/>
        <v>3078.8400000000011</v>
      </c>
      <c r="L538" s="24">
        <f t="shared" si="174"/>
        <v>3409.2800000000007</v>
      </c>
      <c r="M538" s="24"/>
      <c r="N538" s="24"/>
      <c r="O538" s="24"/>
      <c r="P538" s="24" t="str">
        <f>IF(((P536="")*AND(P537="")),"",(P536-P537)*4)</f>
        <v/>
      </c>
      <c r="Q538" s="61"/>
      <c r="R538" s="61"/>
      <c r="S538" s="61"/>
      <c r="T538" s="61"/>
      <c r="U538" s="61"/>
      <c r="V538" s="60"/>
      <c r="W538" s="59"/>
      <c r="X538" s="8"/>
    </row>
    <row r="539" spans="1:31">
      <c r="A539" s="202">
        <v>43125</v>
      </c>
      <c r="B539" s="57" t="s">
        <v>157</v>
      </c>
      <c r="C539" s="51" t="s">
        <v>156</v>
      </c>
      <c r="D539" s="68">
        <v>6904.53</v>
      </c>
      <c r="E539" s="68">
        <v>6879.3</v>
      </c>
      <c r="F539" s="68">
        <v>6892.88</v>
      </c>
      <c r="G539" s="68">
        <v>6865.89</v>
      </c>
      <c r="H539" s="68">
        <v>6892.66</v>
      </c>
      <c r="I539" s="68">
        <v>6910.2</v>
      </c>
      <c r="J539" s="68">
        <v>6912.38</v>
      </c>
      <c r="K539" s="68">
        <v>6879.66</v>
      </c>
      <c r="L539" s="68">
        <v>6875.38</v>
      </c>
      <c r="M539" s="50"/>
      <c r="N539" s="50"/>
      <c r="O539" s="50"/>
      <c r="P539" s="50"/>
      <c r="Q539" s="57">
        <f>IF((L540=""),"",MAX(D541:L541))</f>
        <v>3487.9600000000009</v>
      </c>
      <c r="R539" s="57">
        <f>IF(L540="","",MIN(D541:L541))</f>
        <v>3416.24</v>
      </c>
      <c r="S539" s="58">
        <f>IF((L541=""),"",AVERAGE(D541:L541))</f>
        <v>3463.4466666666672</v>
      </c>
      <c r="T539" s="57">
        <f>IF((L540=""),"",((Q539-R539)/(Q539+R539))*100)</f>
        <v>1.0387879841256216</v>
      </c>
      <c r="U539" s="56">
        <f>STDEV(D539:L539)</f>
        <v>16.397087395071964</v>
      </c>
      <c r="V539" s="55" t="str">
        <f>IF(L540="","",(IF(T539&lt;7,IF(S539&gt;2800,IF(S539&lt;3800,"Pass","Fail"),"Fail"),"Fail")))</f>
        <v>Pass</v>
      </c>
      <c r="W539" s="54">
        <v>1428</v>
      </c>
      <c r="Z539" s="53">
        <v>2800</v>
      </c>
      <c r="AA539" s="53">
        <v>3800</v>
      </c>
      <c r="AB539" s="53">
        <v>3100</v>
      </c>
      <c r="AC539" s="53">
        <v>3760</v>
      </c>
      <c r="AD539" s="52">
        <v>6</v>
      </c>
      <c r="AE539" s="52">
        <v>6</v>
      </c>
    </row>
    <row r="540" spans="1:31" ht="15.75" customHeight="1">
      <c r="A540" s="199"/>
      <c r="B540" s="48"/>
      <c r="C540" s="51" t="s">
        <v>155</v>
      </c>
      <c r="D540" s="68">
        <v>5164.92</v>
      </c>
      <c r="E540" s="68">
        <v>5135.32</v>
      </c>
      <c r="F540" s="68">
        <v>5155.57</v>
      </c>
      <c r="G540" s="68">
        <v>5134.33</v>
      </c>
      <c r="H540" s="68">
        <v>5184.54</v>
      </c>
      <c r="I540" s="68">
        <v>5172.3500000000004</v>
      </c>
      <c r="J540" s="68">
        <v>5175.9799999999996</v>
      </c>
      <c r="K540" s="68">
        <v>5146.04</v>
      </c>
      <c r="L540" s="68">
        <v>5158.32</v>
      </c>
      <c r="M540" s="50"/>
      <c r="N540" s="50"/>
      <c r="O540" s="50"/>
      <c r="P540" s="50"/>
      <c r="Q540" s="48"/>
      <c r="R540" s="48"/>
      <c r="S540" s="49"/>
      <c r="T540" s="48"/>
      <c r="U540" s="48"/>
      <c r="V540" s="47"/>
      <c r="W540" s="46"/>
      <c r="X540" s="8"/>
    </row>
    <row r="541" spans="1:31" ht="24" customHeight="1">
      <c r="A541" s="199"/>
      <c r="B541" s="61"/>
      <c r="C541" s="57" t="s">
        <v>154</v>
      </c>
      <c r="D541" s="71">
        <f t="shared" ref="D541:L541" si="175">IF(((D539="")*AND(D540="")),"",(D539-D540)*2)</f>
        <v>3479.2199999999993</v>
      </c>
      <c r="E541" s="71">
        <f t="shared" si="175"/>
        <v>3487.9600000000009</v>
      </c>
      <c r="F541" s="71">
        <f t="shared" si="175"/>
        <v>3474.6200000000008</v>
      </c>
      <c r="G541" s="71">
        <f t="shared" si="175"/>
        <v>3463.1200000000008</v>
      </c>
      <c r="H541" s="71">
        <f t="shared" si="175"/>
        <v>3416.24</v>
      </c>
      <c r="I541" s="71">
        <f t="shared" si="175"/>
        <v>3475.6999999999989</v>
      </c>
      <c r="J541" s="71">
        <f t="shared" si="175"/>
        <v>3472.8000000000011</v>
      </c>
      <c r="K541" s="71">
        <f t="shared" si="175"/>
        <v>3467.24</v>
      </c>
      <c r="L541" s="71">
        <f t="shared" si="175"/>
        <v>3434.1200000000008</v>
      </c>
      <c r="M541" s="71"/>
      <c r="N541" s="71"/>
      <c r="O541" s="71"/>
      <c r="P541" s="71"/>
      <c r="Q541" s="61"/>
      <c r="R541" s="61"/>
      <c r="S541" s="49"/>
      <c r="T541" s="48"/>
      <c r="U541" s="48"/>
      <c r="V541" s="60"/>
      <c r="W541" s="59"/>
      <c r="X541" s="8"/>
    </row>
    <row r="542" spans="1:31">
      <c r="A542" s="202">
        <v>43125</v>
      </c>
      <c r="B542" s="57" t="s">
        <v>158</v>
      </c>
      <c r="C542" s="51" t="s">
        <v>156</v>
      </c>
      <c r="D542" s="73">
        <v>1910.05</v>
      </c>
      <c r="E542" s="73">
        <v>1901.47</v>
      </c>
      <c r="F542" s="73">
        <v>1900.18</v>
      </c>
      <c r="G542" s="73">
        <v>1905.83</v>
      </c>
      <c r="H542" s="73">
        <v>1917.14</v>
      </c>
      <c r="I542" s="73">
        <v>1910.02</v>
      </c>
      <c r="J542" s="73">
        <v>1902.23</v>
      </c>
      <c r="K542" s="73">
        <v>1905.17</v>
      </c>
      <c r="L542" s="73">
        <v>1912.83</v>
      </c>
      <c r="M542" s="72"/>
      <c r="N542" s="72"/>
      <c r="O542" s="72"/>
      <c r="P542" s="72"/>
      <c r="Q542" s="57">
        <f>IF((L543=""),"",MAX(D544:L544))</f>
        <v>3211.16</v>
      </c>
      <c r="R542" s="57">
        <f>IF(L543="","",MIN(D544:L544))</f>
        <v>2752</v>
      </c>
      <c r="S542" s="57">
        <f>IF((L544=""),"",AVERAGE(D544:L544))</f>
        <v>2966.6133333333328</v>
      </c>
      <c r="T542" s="57">
        <f>IF((L543=""),"",((Q542-R542)/(Q542+R542))*100)</f>
        <v>7.6999443248210664</v>
      </c>
      <c r="U542" s="51">
        <f>STDEV(D542:L542)</f>
        <v>5.6941395312168401</v>
      </c>
      <c r="V542" s="64" t="str">
        <f>IF(L543="","",(IF(T542&lt;12,IF(S542&gt;2200,IF(S542&lt;3280,"Pass","Fail"),"Fail"),"Fail")))</f>
        <v>Pass</v>
      </c>
      <c r="W542" s="54">
        <v>1519</v>
      </c>
      <c r="Z542" s="37">
        <v>2000</v>
      </c>
      <c r="AA542" s="37">
        <v>3000</v>
      </c>
      <c r="AB542" s="37">
        <v>2200</v>
      </c>
      <c r="AC542" s="37">
        <v>3280</v>
      </c>
      <c r="AD542" s="39">
        <v>12</v>
      </c>
      <c r="AE542" s="39">
        <v>12</v>
      </c>
    </row>
    <row r="543" spans="1:31" ht="15.75" customHeight="1">
      <c r="A543" s="199"/>
      <c r="B543" s="48"/>
      <c r="C543" s="51" t="s">
        <v>155</v>
      </c>
      <c r="D543" s="68">
        <v>1152.1600000000001</v>
      </c>
      <c r="E543" s="68">
        <v>1196.17</v>
      </c>
      <c r="F543" s="68">
        <v>1212.18</v>
      </c>
      <c r="G543" s="68">
        <v>1186.68</v>
      </c>
      <c r="H543" s="68">
        <v>1117.2</v>
      </c>
      <c r="I543" s="68">
        <v>1138.8900000000001</v>
      </c>
      <c r="J543" s="68">
        <v>1197.7</v>
      </c>
      <c r="K543" s="68">
        <v>1179.02</v>
      </c>
      <c r="L543" s="68">
        <v>1110.04</v>
      </c>
      <c r="M543" s="50"/>
      <c r="N543" s="50"/>
      <c r="O543" s="50"/>
      <c r="P543" s="50"/>
      <c r="Q543" s="48"/>
      <c r="R543" s="48"/>
      <c r="S543" s="48"/>
      <c r="T543" s="48"/>
      <c r="U543" s="48"/>
      <c r="V543" s="47"/>
      <c r="W543" s="46"/>
      <c r="X543" s="8"/>
    </row>
    <row r="544" spans="1:31" ht="24" customHeight="1">
      <c r="A544" s="199"/>
      <c r="B544" s="61"/>
      <c r="C544" s="51" t="s">
        <v>154</v>
      </c>
      <c r="D544" s="24">
        <f t="shared" ref="D544:L544" si="176">IF(((D542="")*AND(D543="")),"",(D542-D543)*4)</f>
        <v>3031.5599999999995</v>
      </c>
      <c r="E544" s="24">
        <f t="shared" si="176"/>
        <v>2821.2</v>
      </c>
      <c r="F544" s="24">
        <f t="shared" si="176"/>
        <v>2752</v>
      </c>
      <c r="G544" s="24">
        <f t="shared" si="176"/>
        <v>2876.5999999999995</v>
      </c>
      <c r="H544" s="24">
        <f t="shared" si="176"/>
        <v>3199.76</v>
      </c>
      <c r="I544" s="24">
        <f t="shared" si="176"/>
        <v>3084.5199999999995</v>
      </c>
      <c r="J544" s="24">
        <f t="shared" si="176"/>
        <v>2818.12</v>
      </c>
      <c r="K544" s="24">
        <f t="shared" si="176"/>
        <v>2904.6000000000004</v>
      </c>
      <c r="L544" s="24">
        <f t="shared" si="176"/>
        <v>3211.16</v>
      </c>
      <c r="M544" s="24"/>
      <c r="N544" s="24"/>
      <c r="O544" s="24"/>
      <c r="P544" s="24" t="str">
        <f>IF(((P542="")*AND(P543="")),"",(P542-P543)*4)</f>
        <v/>
      </c>
      <c r="Q544" s="61"/>
      <c r="R544" s="61"/>
      <c r="S544" s="61"/>
      <c r="T544" s="61"/>
      <c r="U544" s="61"/>
      <c r="V544" s="60"/>
      <c r="W544" s="59"/>
      <c r="X544" s="8"/>
    </row>
    <row r="545" spans="1:31">
      <c r="A545" s="202">
        <v>43128</v>
      </c>
      <c r="B545" s="57" t="s">
        <v>158</v>
      </c>
      <c r="C545" s="51" t="s">
        <v>156</v>
      </c>
      <c r="D545" s="73">
        <v>1298.81</v>
      </c>
      <c r="E545" s="73">
        <v>1314.95</v>
      </c>
      <c r="F545" s="73">
        <v>1326.82</v>
      </c>
      <c r="G545" s="73">
        <v>1319.96</v>
      </c>
      <c r="H545" s="73">
        <v>1302.77</v>
      </c>
      <c r="I545" s="73">
        <v>1291.53</v>
      </c>
      <c r="J545" s="73">
        <v>1315.94</v>
      </c>
      <c r="K545" s="73">
        <v>1320.62</v>
      </c>
      <c r="L545" s="73">
        <v>1305.4000000000001</v>
      </c>
      <c r="M545" s="72"/>
      <c r="N545" s="72"/>
      <c r="O545" s="72"/>
      <c r="P545" s="72"/>
      <c r="Q545" s="57">
        <f>IF((L546=""),"",MAX(D547:L547))</f>
        <v>3249.6</v>
      </c>
      <c r="R545" s="57">
        <f>IF(L546="","",MIN(D547:L547))</f>
        <v>2797.5199999999995</v>
      </c>
      <c r="S545" s="57">
        <f>IF((L547=""),"",AVERAGE(D547:L547))</f>
        <v>2998.942222222222</v>
      </c>
      <c r="T545" s="57">
        <f>IF((L546=""),"",((Q545-R545)/(Q545+R545))*100)</f>
        <v>7.4759554961700854</v>
      </c>
      <c r="U545" s="51">
        <f>STDEV(D545:L545)</f>
        <v>11.669064991618042</v>
      </c>
      <c r="V545" s="64" t="str">
        <f>IF(L546="","",(IF(T545&lt;12,IF(S545&gt;2200,IF(S545&lt;3280,"Pass","Fail"),"Fail"),"Fail")))</f>
        <v>Pass</v>
      </c>
      <c r="W545" s="54">
        <v>1519</v>
      </c>
      <c r="Z545" s="37">
        <v>2000</v>
      </c>
      <c r="AA545" s="37">
        <v>3000</v>
      </c>
      <c r="AB545" s="37">
        <v>2200</v>
      </c>
      <c r="AC545" s="37">
        <v>3280</v>
      </c>
      <c r="AD545" s="39">
        <v>12</v>
      </c>
      <c r="AE545" s="39">
        <v>12</v>
      </c>
    </row>
    <row r="546" spans="1:31" ht="15.75" customHeight="1">
      <c r="A546" s="199"/>
      <c r="B546" s="48"/>
      <c r="C546" s="51" t="s">
        <v>155</v>
      </c>
      <c r="D546" s="68">
        <v>540.99</v>
      </c>
      <c r="E546" s="68">
        <v>605.78</v>
      </c>
      <c r="F546" s="68">
        <v>627.44000000000005</v>
      </c>
      <c r="G546" s="68">
        <v>589.58000000000004</v>
      </c>
      <c r="H546" s="68">
        <v>490.37</v>
      </c>
      <c r="I546" s="68">
        <v>502.13</v>
      </c>
      <c r="J546" s="68">
        <v>595.83000000000004</v>
      </c>
      <c r="K546" s="68">
        <v>594.09</v>
      </c>
      <c r="L546" s="68">
        <v>502.97</v>
      </c>
      <c r="M546" s="50"/>
      <c r="N546" s="50"/>
      <c r="O546" s="50"/>
      <c r="P546" s="50"/>
      <c r="Q546" s="48"/>
      <c r="R546" s="48"/>
      <c r="S546" s="48"/>
      <c r="T546" s="48"/>
      <c r="U546" s="48"/>
      <c r="V546" s="47"/>
      <c r="W546" s="46"/>
      <c r="X546" s="8"/>
    </row>
    <row r="547" spans="1:31" ht="24" customHeight="1">
      <c r="A547" s="199"/>
      <c r="B547" s="61"/>
      <c r="C547" s="51" t="s">
        <v>154</v>
      </c>
      <c r="D547" s="24">
        <f t="shared" ref="D547:L547" si="177">IF(((D545="")*AND(D546="")),"",(D545-D546)*4)</f>
        <v>3031.2799999999997</v>
      </c>
      <c r="E547" s="24">
        <f t="shared" si="177"/>
        <v>2836.6800000000003</v>
      </c>
      <c r="F547" s="24">
        <f t="shared" si="177"/>
        <v>2797.5199999999995</v>
      </c>
      <c r="G547" s="24">
        <f t="shared" si="177"/>
        <v>2921.52</v>
      </c>
      <c r="H547" s="24">
        <f t="shared" si="177"/>
        <v>3249.6</v>
      </c>
      <c r="I547" s="24">
        <f t="shared" si="177"/>
        <v>3157.6</v>
      </c>
      <c r="J547" s="24">
        <f t="shared" si="177"/>
        <v>2880.44</v>
      </c>
      <c r="K547" s="24">
        <f t="shared" si="177"/>
        <v>2906.1199999999994</v>
      </c>
      <c r="L547" s="24">
        <f t="shared" si="177"/>
        <v>3209.7200000000003</v>
      </c>
      <c r="M547" s="24"/>
      <c r="N547" s="24"/>
      <c r="O547" s="24"/>
      <c r="P547" s="24" t="str">
        <f>IF(((P545="")*AND(P546="")),"",(P545-P546)*4)</f>
        <v/>
      </c>
      <c r="Q547" s="61"/>
      <c r="R547" s="61"/>
      <c r="S547" s="61"/>
      <c r="T547" s="61"/>
      <c r="U547" s="61"/>
      <c r="V547" s="60"/>
      <c r="W547" s="59"/>
      <c r="X547" s="8"/>
    </row>
    <row r="548" spans="1:31">
      <c r="A548" s="202">
        <v>43128</v>
      </c>
      <c r="B548" s="57" t="s">
        <v>158</v>
      </c>
      <c r="C548" s="51" t="s">
        <v>156</v>
      </c>
      <c r="D548" s="73">
        <v>1346.51</v>
      </c>
      <c r="E548" s="73">
        <v>1376.23</v>
      </c>
      <c r="F548" s="73">
        <v>1392.46</v>
      </c>
      <c r="G548" s="73">
        <v>1374.77</v>
      </c>
      <c r="H548" s="73">
        <v>1321.1</v>
      </c>
      <c r="I548" s="73">
        <v>1344.6</v>
      </c>
      <c r="J548" s="73">
        <v>1383.62</v>
      </c>
      <c r="K548" s="73">
        <v>1365.03</v>
      </c>
      <c r="L548" s="73">
        <v>1313.13</v>
      </c>
      <c r="M548" s="72"/>
      <c r="N548" s="72"/>
      <c r="O548" s="72"/>
      <c r="P548" s="72"/>
      <c r="Q548" s="57">
        <f>IF((L549=""),"",MAX(D550:L550))</f>
        <v>3281.5600000000004</v>
      </c>
      <c r="R548" s="57">
        <f>IF(L549="","",MIN(D550:L550))</f>
        <v>2771.32</v>
      </c>
      <c r="S548" s="57">
        <f>IF((L550=""),"",AVERAGE(D550:L550))</f>
        <v>2995.8577777777773</v>
      </c>
      <c r="T548" s="57">
        <f>IF((L549=""),"",((Q548-R548)/(Q548+R548))*100)</f>
        <v>8.4297061894503127</v>
      </c>
      <c r="U548" s="51">
        <f>STDEV(D548:L548)</f>
        <v>27.818764849959972</v>
      </c>
      <c r="V548" s="64" t="str">
        <f>IF(L549="","",(IF(T548&lt;12,IF(S548&gt;2200,IF(S548&lt;3280,"Pass","Fail"),"Fail"),"Fail")))</f>
        <v>Pass</v>
      </c>
      <c r="W548" s="54">
        <v>1519</v>
      </c>
      <c r="Z548" s="37">
        <v>2000</v>
      </c>
      <c r="AA548" s="37">
        <v>3000</v>
      </c>
      <c r="AB548" s="37">
        <v>2200</v>
      </c>
      <c r="AC548" s="37">
        <v>3280</v>
      </c>
      <c r="AD548" s="39">
        <v>12</v>
      </c>
      <c r="AE548" s="39">
        <v>12</v>
      </c>
    </row>
    <row r="549" spans="1:31" ht="16.5" customHeight="1">
      <c r="A549" s="199"/>
      <c r="B549" s="48"/>
      <c r="C549" s="51" t="s">
        <v>155</v>
      </c>
      <c r="D549" s="68">
        <v>571.26</v>
      </c>
      <c r="E549" s="68">
        <v>664.39</v>
      </c>
      <c r="F549" s="68">
        <v>699.63</v>
      </c>
      <c r="G549" s="68">
        <v>658.02</v>
      </c>
      <c r="H549" s="68">
        <v>514.52</v>
      </c>
      <c r="I549" s="68">
        <v>564.24</v>
      </c>
      <c r="J549" s="68">
        <v>674.19</v>
      </c>
      <c r="K549" s="68">
        <v>637.78</v>
      </c>
      <c r="L549" s="68">
        <v>492.74</v>
      </c>
      <c r="M549" s="50"/>
      <c r="N549" s="50"/>
      <c r="O549" s="50"/>
      <c r="P549" s="50"/>
      <c r="Q549" s="48"/>
      <c r="R549" s="48"/>
      <c r="S549" s="48"/>
      <c r="T549" s="48"/>
      <c r="U549" s="48"/>
      <c r="V549" s="47"/>
      <c r="W549" s="46"/>
      <c r="X549" s="8"/>
    </row>
    <row r="550" spans="1:31" ht="24.75" customHeight="1" thickBot="1">
      <c r="A550" s="199"/>
      <c r="B550" s="42"/>
      <c r="C550" s="57" t="s">
        <v>154</v>
      </c>
      <c r="D550" s="71">
        <f t="shared" ref="D550:L550" si="178">IF(((D548="")*AND(D549="")),"",(D548-D549)*4)</f>
        <v>3101</v>
      </c>
      <c r="E550" s="71">
        <f t="shared" si="178"/>
        <v>2847.36</v>
      </c>
      <c r="F550" s="71">
        <f t="shared" si="178"/>
        <v>2771.32</v>
      </c>
      <c r="G550" s="71">
        <f t="shared" si="178"/>
        <v>2867</v>
      </c>
      <c r="H550" s="71">
        <f t="shared" si="178"/>
        <v>3226.3199999999997</v>
      </c>
      <c r="I550" s="71">
        <f t="shared" si="178"/>
        <v>3121.4399999999996</v>
      </c>
      <c r="J550" s="71">
        <f t="shared" si="178"/>
        <v>2837.7199999999993</v>
      </c>
      <c r="K550" s="71">
        <f t="shared" si="178"/>
        <v>2909</v>
      </c>
      <c r="L550" s="71">
        <f t="shared" si="178"/>
        <v>3281.5600000000004</v>
      </c>
      <c r="M550" s="71"/>
      <c r="N550" s="71"/>
      <c r="O550" s="71"/>
      <c r="P550" s="71" t="str">
        <f>IF(((P548="")*AND(P549="")),"",(P548-P549)*4)</f>
        <v/>
      </c>
      <c r="Q550" s="42"/>
      <c r="R550" s="42"/>
      <c r="S550" s="48"/>
      <c r="T550" s="48"/>
      <c r="U550" s="48"/>
      <c r="V550" s="41"/>
      <c r="W550" s="40"/>
      <c r="X550" s="8"/>
    </row>
    <row r="551" spans="1:31">
      <c r="A551" s="201">
        <v>43129</v>
      </c>
      <c r="B551" s="63" t="s">
        <v>158</v>
      </c>
      <c r="C551" s="56" t="s">
        <v>156</v>
      </c>
      <c r="D551" s="69">
        <v>1922.47</v>
      </c>
      <c r="E551" s="69">
        <v>1914.56</v>
      </c>
      <c r="F551" s="69">
        <v>1909.46</v>
      </c>
      <c r="G551" s="69">
        <v>1917.38</v>
      </c>
      <c r="H551" s="69">
        <v>1925.07</v>
      </c>
      <c r="I551" s="69">
        <v>1924.44</v>
      </c>
      <c r="J551" s="69">
        <v>1919.72</v>
      </c>
      <c r="K551" s="69">
        <v>1914.75</v>
      </c>
      <c r="L551" s="69">
        <v>1923.37</v>
      </c>
      <c r="M551" s="62"/>
      <c r="N551" s="62"/>
      <c r="O551" s="62"/>
      <c r="P551" s="62"/>
      <c r="Q551" s="63">
        <f>IF((L552=""),"",MAX(D553:L553))</f>
        <v>3168.7999999999993</v>
      </c>
      <c r="R551" s="63">
        <f>IF(L552="","",MIN(D553:L553))</f>
        <v>2753.3199999999997</v>
      </c>
      <c r="S551" s="63">
        <f>IF((L553=""),"",AVERAGE(D553:L553))</f>
        <v>2934.5377777777776</v>
      </c>
      <c r="T551" s="63">
        <f>IF((L552=""),"",((Q551-R551)/(Q551+R551))*100)</f>
        <v>7.0157308531404228</v>
      </c>
      <c r="U551" s="51">
        <f>STDEV(D551:L551)</f>
        <v>5.3560879172556808</v>
      </c>
      <c r="V551" s="64" t="str">
        <f>IF(L552="","",(IF(T551&lt;12,IF(S551&gt;2200,IF(S551&lt;3280,"Pass","Fail"),"Fail"),"Fail")))</f>
        <v>Pass</v>
      </c>
      <c r="W551" s="67">
        <v>1335</v>
      </c>
      <c r="Y551" s="8" t="s">
        <v>178</v>
      </c>
      <c r="Z551" s="37">
        <v>2000</v>
      </c>
      <c r="AA551" s="37">
        <v>3000</v>
      </c>
      <c r="AB551" s="37">
        <v>2200</v>
      </c>
      <c r="AC551" s="37">
        <v>3280</v>
      </c>
      <c r="AD551" s="39">
        <v>12</v>
      </c>
      <c r="AE551" s="39">
        <v>12</v>
      </c>
    </row>
    <row r="552" spans="1:31" ht="16.5" customHeight="1">
      <c r="A552" s="199"/>
      <c r="B552" s="48"/>
      <c r="C552" s="51" t="s">
        <v>155</v>
      </c>
      <c r="D552" s="68">
        <v>1175.57</v>
      </c>
      <c r="E552" s="68">
        <v>1207.31</v>
      </c>
      <c r="F552" s="68">
        <v>1221.1300000000001</v>
      </c>
      <c r="G552" s="68">
        <v>1202</v>
      </c>
      <c r="H552" s="68">
        <v>1145.49</v>
      </c>
      <c r="I552" s="68">
        <v>1176.74</v>
      </c>
      <c r="J552" s="68">
        <v>1217.19</v>
      </c>
      <c r="K552" s="68">
        <v>1191.9100000000001</v>
      </c>
      <c r="L552" s="68">
        <v>1131.17</v>
      </c>
      <c r="M552" s="50"/>
      <c r="N552" s="50"/>
      <c r="O552" s="50"/>
      <c r="P552" s="50"/>
      <c r="Q552" s="48"/>
      <c r="R552" s="48"/>
      <c r="S552" s="48"/>
      <c r="T552" s="48"/>
      <c r="U552" s="48"/>
      <c r="V552" s="47"/>
      <c r="W552" s="46"/>
      <c r="X552" s="8"/>
      <c r="Y552" s="8"/>
    </row>
    <row r="553" spans="1:31" ht="24.75" customHeight="1" thickBot="1">
      <c r="A553" s="199"/>
      <c r="B553" s="61"/>
      <c r="C553" s="51" t="s">
        <v>154</v>
      </c>
      <c r="D553" s="24">
        <f t="shared" ref="D553:L553" si="179">IF(((D551="")*AND(D552="")),"",(D551-D552)*4)</f>
        <v>2987.6000000000004</v>
      </c>
      <c r="E553" s="24">
        <f t="shared" si="179"/>
        <v>2829</v>
      </c>
      <c r="F553" s="24">
        <f t="shared" si="179"/>
        <v>2753.3199999999997</v>
      </c>
      <c r="G553" s="24">
        <f t="shared" si="179"/>
        <v>2861.5200000000004</v>
      </c>
      <c r="H553" s="24">
        <f t="shared" si="179"/>
        <v>3118.3199999999997</v>
      </c>
      <c r="I553" s="24">
        <f t="shared" si="179"/>
        <v>2990.8</v>
      </c>
      <c r="J553" s="24">
        <f t="shared" si="179"/>
        <v>2810.12</v>
      </c>
      <c r="K553" s="24">
        <f t="shared" si="179"/>
        <v>2891.3599999999997</v>
      </c>
      <c r="L553" s="24">
        <f t="shared" si="179"/>
        <v>3168.7999999999993</v>
      </c>
      <c r="M553" s="24"/>
      <c r="N553" s="24"/>
      <c r="O553" s="24"/>
      <c r="P553" s="24" t="str">
        <f>IF(((P551="")*AND(P552="")),"",(P551-P552)*4)</f>
        <v/>
      </c>
      <c r="Q553" s="61"/>
      <c r="R553" s="61"/>
      <c r="S553" s="61"/>
      <c r="T553" s="61"/>
      <c r="U553" s="61"/>
      <c r="V553" s="60"/>
      <c r="W553" s="59"/>
      <c r="X553" s="8"/>
      <c r="Y553" s="8"/>
    </row>
    <row r="554" spans="1:31">
      <c r="A554" s="202">
        <v>43129</v>
      </c>
      <c r="B554" s="57" t="s">
        <v>157</v>
      </c>
      <c r="C554" s="51" t="s">
        <v>156</v>
      </c>
      <c r="D554" s="68">
        <v>5171.01</v>
      </c>
      <c r="E554" s="68">
        <v>5141.6400000000003</v>
      </c>
      <c r="F554" s="68">
        <v>5161.83</v>
      </c>
      <c r="G554" s="68">
        <v>5140.8599999999997</v>
      </c>
      <c r="H554" s="68">
        <v>5191.3</v>
      </c>
      <c r="I554" s="68">
        <v>5179.13</v>
      </c>
      <c r="J554" s="68">
        <v>5182.3100000000004</v>
      </c>
      <c r="K554" s="68">
        <v>5151.99</v>
      </c>
      <c r="L554" s="68">
        <v>5164.3900000000003</v>
      </c>
      <c r="M554" s="50"/>
      <c r="N554" s="50"/>
      <c r="O554" s="50"/>
      <c r="P554" s="50"/>
      <c r="Q554" s="57">
        <f>IF((L555=""),"",MAX(D556:L556))</f>
        <v>3489.1000000000004</v>
      </c>
      <c r="R554" s="57">
        <f>IF(L555="","",MIN(D556:L556))</f>
        <v>3397.9800000000005</v>
      </c>
      <c r="S554" s="58">
        <f>IF((L556=""),"",AVERAGE(D556:L556))</f>
        <v>3457.3555555555558</v>
      </c>
      <c r="T554" s="57">
        <f>IF((L555=""),"",((Q554-R554)/(Q554+R554))*100)</f>
        <v>1.3230570866027385</v>
      </c>
      <c r="U554" s="56">
        <f>STDEV(D554:L554)</f>
        <v>17.801618606267521</v>
      </c>
      <c r="V554" s="55" t="str">
        <f>IF(L555="","",(IF(T554&lt;7,IF(S554&gt;2800,IF(S554&lt;3800,"Pass","Fail"),"Fail"),"Fail")))</f>
        <v>Pass</v>
      </c>
      <c r="W554" s="54">
        <v>1335</v>
      </c>
      <c r="Y554" s="8"/>
      <c r="Z554" s="53">
        <v>2800</v>
      </c>
      <c r="AA554" s="53">
        <v>3800</v>
      </c>
      <c r="AB554" s="53">
        <v>3100</v>
      </c>
      <c r="AC554" s="53">
        <v>3760</v>
      </c>
      <c r="AD554" s="52">
        <v>6</v>
      </c>
      <c r="AE554" s="52">
        <v>6</v>
      </c>
    </row>
    <row r="555" spans="1:31" ht="16.5" customHeight="1">
      <c r="A555" s="199"/>
      <c r="B555" s="48"/>
      <c r="C555" s="51" t="s">
        <v>155</v>
      </c>
      <c r="D555" s="68">
        <v>3436.17</v>
      </c>
      <c r="E555" s="68">
        <v>3397.09</v>
      </c>
      <c r="F555" s="68">
        <v>3424.48</v>
      </c>
      <c r="G555" s="68">
        <v>3411.2</v>
      </c>
      <c r="H555" s="68">
        <v>3492.31</v>
      </c>
      <c r="I555" s="68">
        <v>3447.7</v>
      </c>
      <c r="J555" s="68">
        <v>3448.86</v>
      </c>
      <c r="K555" s="68">
        <v>3418.27</v>
      </c>
      <c r="L555" s="68">
        <v>3450.28</v>
      </c>
      <c r="M555" s="50"/>
      <c r="N555" s="50"/>
      <c r="O555" s="50"/>
      <c r="P555" s="50"/>
      <c r="Q555" s="48"/>
      <c r="R555" s="48"/>
      <c r="S555" s="49"/>
      <c r="T555" s="48"/>
      <c r="U555" s="48"/>
      <c r="V555" s="47"/>
      <c r="W555" s="46"/>
      <c r="X555" s="8"/>
      <c r="Y555" s="8"/>
    </row>
    <row r="556" spans="1:31" ht="24.75" customHeight="1" thickBot="1">
      <c r="A556" s="199"/>
      <c r="B556" s="42"/>
      <c r="C556" s="45" t="s">
        <v>154</v>
      </c>
      <c r="D556" s="44">
        <f t="shared" ref="D556:L556" si="180">IF(((D554="")*AND(D555="")),"",(D554-D555)*2)</f>
        <v>3469.6800000000003</v>
      </c>
      <c r="E556" s="44">
        <f t="shared" si="180"/>
        <v>3489.1000000000004</v>
      </c>
      <c r="F556" s="44">
        <f t="shared" si="180"/>
        <v>3474.7</v>
      </c>
      <c r="G556" s="44">
        <f t="shared" si="180"/>
        <v>3459.3199999999997</v>
      </c>
      <c r="H556" s="44">
        <f t="shared" si="180"/>
        <v>3397.9800000000005</v>
      </c>
      <c r="I556" s="44">
        <f t="shared" si="180"/>
        <v>3462.8600000000006</v>
      </c>
      <c r="J556" s="44">
        <f t="shared" si="180"/>
        <v>3466.9000000000005</v>
      </c>
      <c r="K556" s="44">
        <f t="shared" si="180"/>
        <v>3467.4399999999996</v>
      </c>
      <c r="L556" s="44">
        <f t="shared" si="180"/>
        <v>3428.2200000000003</v>
      </c>
      <c r="M556" s="44"/>
      <c r="N556" s="44"/>
      <c r="O556" s="44"/>
      <c r="P556" s="44"/>
      <c r="Q556" s="42"/>
      <c r="R556" s="42"/>
      <c r="S556" s="43"/>
      <c r="T556" s="42"/>
      <c r="U556" s="42"/>
      <c r="V556" s="41"/>
      <c r="W556" s="40"/>
      <c r="X556" s="8"/>
      <c r="Y556" s="8"/>
    </row>
    <row r="557" spans="1:31">
      <c r="A557" s="201">
        <v>43133</v>
      </c>
      <c r="B557" s="63" t="s">
        <v>158</v>
      </c>
      <c r="C557" s="56" t="s">
        <v>156</v>
      </c>
      <c r="D557" s="69">
        <v>1928.74</v>
      </c>
      <c r="E557" s="69">
        <v>1930.9</v>
      </c>
      <c r="F557" s="69">
        <v>1927.95</v>
      </c>
      <c r="G557" s="69">
        <v>1933.18</v>
      </c>
      <c r="H557" s="69">
        <v>1931.34</v>
      </c>
      <c r="I557" s="69">
        <v>1932.9</v>
      </c>
      <c r="J557" s="69">
        <v>1933.12</v>
      </c>
      <c r="K557" s="69">
        <v>1932.31</v>
      </c>
      <c r="L557" s="69">
        <v>1932.59</v>
      </c>
      <c r="M557" s="62"/>
      <c r="N557" s="62"/>
      <c r="O557" s="62"/>
      <c r="P557" s="62"/>
      <c r="Q557" s="63">
        <f>IF((L558=""),"",MAX(D559:L559))</f>
        <v>3167.4399999999996</v>
      </c>
      <c r="R557" s="63">
        <f>IF(L558="","",MIN(D559:L559))</f>
        <v>2721.2799999999997</v>
      </c>
      <c r="S557" s="63">
        <f>IF((L559=""),"",AVERAGE(D559:L559))</f>
        <v>2925.5511111111114</v>
      </c>
      <c r="T557" s="63">
        <f>IF((L558=""),"",((Q557-R557)/(Q557+R557))*100)</f>
        <v>7.5765191756442807</v>
      </c>
      <c r="U557" s="51">
        <f>STDEV(D557:L557)</f>
        <v>1.9310669189251721</v>
      </c>
      <c r="V557" s="64" t="str">
        <f>IF(L558="","",(IF(T557&lt;12,IF(S557&gt;2200,IF(S557&lt;3280,"Pass","Fail"),"Fail"),"Fail")))</f>
        <v>Pass</v>
      </c>
      <c r="W557" s="67">
        <v>1335</v>
      </c>
      <c r="Y557" s="8" t="s">
        <v>178</v>
      </c>
      <c r="Z557" s="37">
        <v>2000</v>
      </c>
      <c r="AA557" s="37">
        <v>3000</v>
      </c>
      <c r="AB557" s="37">
        <v>2200</v>
      </c>
      <c r="AC557" s="37">
        <v>3280</v>
      </c>
      <c r="AD557" s="39">
        <v>12</v>
      </c>
      <c r="AE557" s="39">
        <v>12</v>
      </c>
    </row>
    <row r="558" spans="1:31" ht="16.5" customHeight="1">
      <c r="A558" s="199"/>
      <c r="B558" s="48"/>
      <c r="C558" s="51" t="s">
        <v>155</v>
      </c>
      <c r="D558" s="68">
        <v>1184.08</v>
      </c>
      <c r="E558" s="68">
        <v>1228.3800000000001</v>
      </c>
      <c r="F558" s="68">
        <v>1247.6300000000001</v>
      </c>
      <c r="G558" s="68">
        <v>1221.04</v>
      </c>
      <c r="H558" s="68">
        <v>1150.1099999999999</v>
      </c>
      <c r="I558" s="68">
        <v>1181.45</v>
      </c>
      <c r="J558" s="68">
        <v>1234.23</v>
      </c>
      <c r="K558" s="68">
        <v>1212.8900000000001</v>
      </c>
      <c r="L558" s="68">
        <v>1140.73</v>
      </c>
      <c r="M558" s="50"/>
      <c r="N558" s="50"/>
      <c r="O558" s="50"/>
      <c r="P558" s="50"/>
      <c r="Q558" s="48"/>
      <c r="R558" s="48"/>
      <c r="S558" s="48"/>
      <c r="T558" s="48"/>
      <c r="U558" s="48"/>
      <c r="V558" s="47"/>
      <c r="W558" s="46"/>
      <c r="X558" s="8"/>
    </row>
    <row r="559" spans="1:31" ht="24.75" customHeight="1" thickBot="1">
      <c r="A559" s="199"/>
      <c r="B559" s="61"/>
      <c r="C559" s="51" t="s">
        <v>154</v>
      </c>
      <c r="D559" s="24">
        <f t="shared" ref="D559:L559" si="181">IF(((D557="")*AND(D558="")),"",(D557-D558)*4)</f>
        <v>2978.6400000000003</v>
      </c>
      <c r="E559" s="24">
        <f t="shared" si="181"/>
        <v>2810.08</v>
      </c>
      <c r="F559" s="24">
        <f t="shared" si="181"/>
        <v>2721.2799999999997</v>
      </c>
      <c r="G559" s="24">
        <f t="shared" si="181"/>
        <v>2848.5600000000004</v>
      </c>
      <c r="H559" s="24">
        <f t="shared" si="181"/>
        <v>3124.92</v>
      </c>
      <c r="I559" s="24">
        <f t="shared" si="181"/>
        <v>3005.8</v>
      </c>
      <c r="J559" s="24">
        <f t="shared" si="181"/>
        <v>2795.5599999999995</v>
      </c>
      <c r="K559" s="24">
        <f t="shared" si="181"/>
        <v>2877.6799999999994</v>
      </c>
      <c r="L559" s="24">
        <f t="shared" si="181"/>
        <v>3167.4399999999996</v>
      </c>
      <c r="M559" s="24"/>
      <c r="N559" s="24"/>
      <c r="O559" s="24"/>
      <c r="P559" s="24" t="str">
        <f>IF(((P557="")*AND(P558="")),"",(P557-P558)*4)</f>
        <v/>
      </c>
      <c r="Q559" s="61"/>
      <c r="R559" s="61"/>
      <c r="S559" s="61"/>
      <c r="T559" s="61"/>
      <c r="U559" s="61"/>
      <c r="V559" s="60"/>
      <c r="W559" s="59"/>
      <c r="X559" s="8"/>
    </row>
    <row r="560" spans="1:31">
      <c r="A560" s="202">
        <v>43133</v>
      </c>
      <c r="B560" s="57" t="s">
        <v>157</v>
      </c>
      <c r="C560" s="51" t="s">
        <v>156</v>
      </c>
      <c r="D560" s="68">
        <v>3449.22</v>
      </c>
      <c r="E560" s="68">
        <v>3410.38</v>
      </c>
      <c r="F560" s="68">
        <v>3437.77</v>
      </c>
      <c r="G560" s="68">
        <v>3424.3</v>
      </c>
      <c r="H560" s="68">
        <v>3505.06</v>
      </c>
      <c r="I560" s="68">
        <v>3461.17</v>
      </c>
      <c r="J560" s="68">
        <v>3462.06</v>
      </c>
      <c r="K560" s="68">
        <v>3431.31</v>
      </c>
      <c r="L560" s="68">
        <v>3462.84</v>
      </c>
      <c r="M560" s="50"/>
      <c r="N560" s="50"/>
      <c r="O560" s="50"/>
      <c r="P560" s="50"/>
      <c r="Q560" s="57">
        <f>IF((L561=""),"",MAX(D562:L562))</f>
        <v>3478.38</v>
      </c>
      <c r="R560" s="57">
        <f>IF(L561="","",MIN(D562:L562))</f>
        <v>3363.7</v>
      </c>
      <c r="S560" s="58">
        <f>IF((L562=""),"",AVERAGE(D562:L562))</f>
        <v>3440.557777777778</v>
      </c>
      <c r="T560" s="57">
        <f>IF((L561=""),"",((Q560-R560)/(Q560+R560))*100)</f>
        <v>1.6760984963636834</v>
      </c>
      <c r="U560" s="56">
        <f>STDEV(D560:L560)</f>
        <v>27.822110861237018</v>
      </c>
      <c r="V560" s="55" t="str">
        <f>IF(L561="","",(IF(T560&lt;7,IF(S560&gt;2800,IF(S560&lt;3800,"Pass","Fail"),"Fail"),"Fail")))</f>
        <v>Pass</v>
      </c>
      <c r="W560" s="54">
        <v>1335</v>
      </c>
      <c r="Z560" s="53">
        <v>2800</v>
      </c>
      <c r="AA560" s="53">
        <v>3800</v>
      </c>
      <c r="AB560" s="53">
        <v>3100</v>
      </c>
      <c r="AC560" s="53">
        <v>3760</v>
      </c>
      <c r="AD560" s="52">
        <v>6</v>
      </c>
      <c r="AE560" s="52">
        <v>6</v>
      </c>
    </row>
    <row r="561" spans="1:31" ht="16.5" customHeight="1">
      <c r="A561" s="199"/>
      <c r="B561" s="48"/>
      <c r="C561" s="51" t="s">
        <v>155</v>
      </c>
      <c r="D561" s="68">
        <v>1721.91</v>
      </c>
      <c r="E561" s="68">
        <v>1671.19</v>
      </c>
      <c r="F561" s="68">
        <v>1704.8</v>
      </c>
      <c r="G561" s="68">
        <v>1701.84</v>
      </c>
      <c r="H561" s="68">
        <v>1823.21</v>
      </c>
      <c r="I561" s="68">
        <v>1745.37</v>
      </c>
      <c r="J561" s="68">
        <v>1734.6</v>
      </c>
      <c r="K561" s="68">
        <v>1701.85</v>
      </c>
      <c r="L561" s="68">
        <v>1756.83</v>
      </c>
      <c r="M561" s="50"/>
      <c r="N561" s="50"/>
      <c r="O561" s="50"/>
      <c r="P561" s="50"/>
      <c r="Q561" s="48"/>
      <c r="R561" s="48"/>
      <c r="S561" s="49"/>
      <c r="T561" s="48"/>
      <c r="U561" s="48"/>
      <c r="V561" s="47"/>
      <c r="W561" s="46"/>
      <c r="X561" s="8"/>
    </row>
    <row r="562" spans="1:31" ht="24.75" customHeight="1" thickBot="1">
      <c r="A562" s="199"/>
      <c r="B562" s="42"/>
      <c r="C562" s="45" t="s">
        <v>154</v>
      </c>
      <c r="D562" s="44">
        <f t="shared" ref="D562:L562" si="182">IF(((D560="")*AND(D561="")),"",(D560-D561)*2)</f>
        <v>3454.6199999999994</v>
      </c>
      <c r="E562" s="44">
        <f t="shared" si="182"/>
        <v>3478.38</v>
      </c>
      <c r="F562" s="44">
        <f t="shared" si="182"/>
        <v>3465.94</v>
      </c>
      <c r="G562" s="44">
        <f t="shared" si="182"/>
        <v>3444.9200000000005</v>
      </c>
      <c r="H562" s="44">
        <f t="shared" si="182"/>
        <v>3363.7</v>
      </c>
      <c r="I562" s="44">
        <f t="shared" si="182"/>
        <v>3431.6000000000004</v>
      </c>
      <c r="J562" s="44">
        <f t="shared" si="182"/>
        <v>3454.92</v>
      </c>
      <c r="K562" s="44">
        <f t="shared" si="182"/>
        <v>3458.92</v>
      </c>
      <c r="L562" s="44">
        <f t="shared" si="182"/>
        <v>3412.0200000000004</v>
      </c>
      <c r="M562" s="44"/>
      <c r="N562" s="44"/>
      <c r="O562" s="44"/>
      <c r="P562" s="44"/>
      <c r="Q562" s="42"/>
      <c r="R562" s="42"/>
      <c r="S562" s="43"/>
      <c r="T562" s="42"/>
      <c r="U562" s="42"/>
      <c r="V562" s="41"/>
      <c r="W562" s="40"/>
      <c r="X562" s="8"/>
    </row>
    <row r="563" spans="1:31">
      <c r="A563" s="201">
        <v>43144</v>
      </c>
      <c r="B563" s="63" t="s">
        <v>158</v>
      </c>
      <c r="C563" s="56" t="s">
        <v>156</v>
      </c>
      <c r="D563" s="8">
        <v>1936.88</v>
      </c>
      <c r="E563" s="8">
        <v>1930.44</v>
      </c>
      <c r="F563" s="8">
        <v>1922.5</v>
      </c>
      <c r="G563" s="8">
        <v>1928.77</v>
      </c>
      <c r="H563" s="8">
        <v>1933.66</v>
      </c>
      <c r="I563" s="8">
        <v>1937.45</v>
      </c>
      <c r="J563" s="8">
        <v>1926.98</v>
      </c>
      <c r="K563" s="8">
        <v>1928.49</v>
      </c>
      <c r="L563" s="8">
        <v>1935.08</v>
      </c>
      <c r="M563" s="62"/>
      <c r="N563" s="62"/>
      <c r="O563" s="62"/>
      <c r="P563" s="62"/>
      <c r="Q563" s="63">
        <f>IF((L564=""),"",MAX(D565:L565))</f>
        <v>3171.4799999999996</v>
      </c>
      <c r="R563" s="63">
        <f>IF(L564="","",MIN(D565:L565))</f>
        <v>2774.76</v>
      </c>
      <c r="S563" s="63">
        <f>IF((L565=""),"",AVERAGE(D565:L565))</f>
        <v>2947.2977777777783</v>
      </c>
      <c r="T563" s="63">
        <f>IF((L564=""),"",((Q563-R563)/(Q563+R563))*100)</f>
        <v>6.6717791411042837</v>
      </c>
      <c r="U563" s="51">
        <f>STDEV(D563:L563)</f>
        <v>4.9965274052544872</v>
      </c>
      <c r="V563" s="64" t="str">
        <f>IF(L564="","",(IF(T563&lt;12,IF(S563&gt;2200,IF(S563&lt;3280,"Pass","Fail"),"Fail"),"Fail")))</f>
        <v>Pass</v>
      </c>
      <c r="W563" s="63">
        <v>1428</v>
      </c>
      <c r="Z563" s="37">
        <v>2000</v>
      </c>
      <c r="AA563" s="37">
        <v>3000</v>
      </c>
      <c r="AB563" s="37">
        <v>2200</v>
      </c>
      <c r="AC563" s="37">
        <v>3280</v>
      </c>
      <c r="AD563" s="39">
        <v>12</v>
      </c>
      <c r="AE563" s="39">
        <v>12</v>
      </c>
    </row>
    <row r="564" spans="1:31" ht="16.5" customHeight="1">
      <c r="A564" s="199"/>
      <c r="B564" s="48"/>
      <c r="C564" s="51" t="s">
        <v>155</v>
      </c>
      <c r="D564" s="8">
        <v>1187.18</v>
      </c>
      <c r="E564" s="8">
        <v>1220.94</v>
      </c>
      <c r="F564" s="8">
        <v>1228.81</v>
      </c>
      <c r="G564" s="8">
        <v>1210.96</v>
      </c>
      <c r="H564" s="8">
        <v>1151.33</v>
      </c>
      <c r="I564" s="8">
        <v>1182.1400000000001</v>
      </c>
      <c r="J564" s="8">
        <v>1223.29</v>
      </c>
      <c r="K564" s="8">
        <v>1201.97</v>
      </c>
      <c r="L564" s="8">
        <v>1142.21</v>
      </c>
      <c r="M564" s="50"/>
      <c r="N564" s="50"/>
      <c r="O564" s="50"/>
      <c r="P564" s="50"/>
      <c r="Q564" s="48"/>
      <c r="R564" s="48"/>
      <c r="S564" s="48"/>
      <c r="T564" s="48"/>
      <c r="U564" s="48"/>
      <c r="V564" s="47"/>
      <c r="W564" s="48"/>
      <c r="X564" s="8"/>
    </row>
    <row r="565" spans="1:31" ht="24.75" customHeight="1" thickBot="1">
      <c r="A565" s="199"/>
      <c r="B565" s="61"/>
      <c r="C565" s="51" t="s">
        <v>154</v>
      </c>
      <c r="D565" s="24">
        <f t="shared" ref="D565:L565" si="183">IF(((D563="")*AND(D564="")),"",(D563-D564)*4)</f>
        <v>2998.8</v>
      </c>
      <c r="E565" s="24">
        <f t="shared" si="183"/>
        <v>2838</v>
      </c>
      <c r="F565" s="24">
        <f t="shared" si="183"/>
        <v>2774.76</v>
      </c>
      <c r="G565" s="24">
        <f t="shared" si="183"/>
        <v>2871.24</v>
      </c>
      <c r="H565" s="24">
        <f t="shared" si="183"/>
        <v>3129.3200000000006</v>
      </c>
      <c r="I565" s="24">
        <f t="shared" si="183"/>
        <v>3021.24</v>
      </c>
      <c r="J565" s="24">
        <f t="shared" si="183"/>
        <v>2814.76</v>
      </c>
      <c r="K565" s="24">
        <f t="shared" si="183"/>
        <v>2906.08</v>
      </c>
      <c r="L565" s="24">
        <f t="shared" si="183"/>
        <v>3171.4799999999996</v>
      </c>
      <c r="M565" s="24"/>
      <c r="N565" s="24"/>
      <c r="O565" s="24"/>
      <c r="P565" s="24" t="str">
        <f>IF(((P563="")*AND(P564="")),"",(P563-P564)*4)</f>
        <v/>
      </c>
      <c r="Q565" s="61"/>
      <c r="R565" s="61"/>
      <c r="S565" s="61"/>
      <c r="T565" s="61"/>
      <c r="U565" s="61"/>
      <c r="V565" s="60"/>
      <c r="W565" s="61"/>
      <c r="X565" s="8"/>
    </row>
    <row r="566" spans="1:31">
      <c r="A566" s="202">
        <v>43144</v>
      </c>
      <c r="B566" s="57" t="s">
        <v>157</v>
      </c>
      <c r="C566" s="51" t="s">
        <v>156</v>
      </c>
      <c r="D566" s="8">
        <v>6630.11</v>
      </c>
      <c r="E566" s="8">
        <v>6573.48</v>
      </c>
      <c r="F566" s="8">
        <v>6675.72</v>
      </c>
      <c r="G566" s="8">
        <v>6683.62</v>
      </c>
      <c r="H566" s="8">
        <v>6817.2</v>
      </c>
      <c r="I566" s="8">
        <v>6680.1</v>
      </c>
      <c r="J566" s="8">
        <v>6649.4</v>
      </c>
      <c r="K566" s="8">
        <v>6666.54</v>
      </c>
      <c r="L566" s="8">
        <v>6739.22</v>
      </c>
      <c r="M566" s="50"/>
      <c r="N566" s="50"/>
      <c r="O566" s="50"/>
      <c r="P566" s="50"/>
      <c r="Q566" s="57">
        <f>IF((L567=""),"",MAX(D568:L568))</f>
        <v>3415.5</v>
      </c>
      <c r="R566" s="57">
        <f>IF(L567="","",MIN(D568:L568))</f>
        <v>3360.0200000000004</v>
      </c>
      <c r="S566" s="58">
        <f>IF((L568=""),"",AVERAGE(D568:L568))</f>
        <v>3400.7955555555559</v>
      </c>
      <c r="T566" s="57">
        <f>IF((L567=""),"",((Q566-R566)/(Q566+R566))*100)</f>
        <v>0.81883014145039146</v>
      </c>
      <c r="U566" s="56">
        <f>STDEV(D566:L566)</f>
        <v>68.294375642902736</v>
      </c>
      <c r="V566" s="55" t="str">
        <f>IF(L567="","",(IF(T566&lt;7,IF(S566&gt;2800,IF(S566&lt;3800,"Pass","Fail"),"Fail"),"Fail")))</f>
        <v>Pass</v>
      </c>
      <c r="W566" s="57">
        <v>1428</v>
      </c>
      <c r="Z566" s="53">
        <v>2800</v>
      </c>
      <c r="AA566" s="53">
        <v>3800</v>
      </c>
      <c r="AB566" s="53">
        <v>3100</v>
      </c>
      <c r="AC566" s="53">
        <v>3760</v>
      </c>
      <c r="AD566" s="52">
        <v>6</v>
      </c>
      <c r="AE566" s="52">
        <v>6</v>
      </c>
    </row>
    <row r="567" spans="1:31" ht="16.5" customHeight="1">
      <c r="A567" s="199"/>
      <c r="B567" s="48"/>
      <c r="C567" s="51" t="s">
        <v>155</v>
      </c>
      <c r="D567" s="8">
        <v>4922.3599999999997</v>
      </c>
      <c r="E567" s="8">
        <v>4866.83</v>
      </c>
      <c r="F567" s="8">
        <v>4970.71</v>
      </c>
      <c r="G567" s="8">
        <v>4980.41</v>
      </c>
      <c r="H567" s="8">
        <v>5137.1899999999996</v>
      </c>
      <c r="I567" s="8">
        <v>4978.18</v>
      </c>
      <c r="J567" s="8">
        <v>4943.66</v>
      </c>
      <c r="K567" s="8">
        <v>4963.2</v>
      </c>
      <c r="L567" s="8">
        <v>5049.2700000000004</v>
      </c>
      <c r="M567" s="50"/>
      <c r="N567" s="50"/>
      <c r="O567" s="50"/>
      <c r="P567" s="50"/>
      <c r="Q567" s="48"/>
      <c r="R567" s="48"/>
      <c r="S567" s="49"/>
      <c r="T567" s="48"/>
      <c r="U567" s="48"/>
      <c r="V567" s="47"/>
      <c r="W567" s="48"/>
      <c r="X567" s="8"/>
    </row>
    <row r="568" spans="1:31" ht="24.75" customHeight="1" thickBot="1">
      <c r="A568" s="199"/>
      <c r="B568" s="42"/>
      <c r="C568" s="45" t="s">
        <v>154</v>
      </c>
      <c r="D568" s="44">
        <f t="shared" ref="D568:L568" si="184">IF(((D566="")*AND(D567="")),"",(D566-D567)*2)</f>
        <v>3415.5</v>
      </c>
      <c r="E568" s="44">
        <f t="shared" si="184"/>
        <v>3413.2999999999993</v>
      </c>
      <c r="F568" s="44">
        <f t="shared" si="184"/>
        <v>3410.0200000000004</v>
      </c>
      <c r="G568" s="44">
        <f t="shared" si="184"/>
        <v>3406.42</v>
      </c>
      <c r="H568" s="44">
        <f t="shared" si="184"/>
        <v>3360.0200000000004</v>
      </c>
      <c r="I568" s="44">
        <f t="shared" si="184"/>
        <v>3403.84</v>
      </c>
      <c r="J568" s="44">
        <f t="shared" si="184"/>
        <v>3411.4799999999996</v>
      </c>
      <c r="K568" s="44">
        <f t="shared" si="184"/>
        <v>3406.6800000000003</v>
      </c>
      <c r="L568" s="44">
        <f t="shared" si="184"/>
        <v>3379.8999999999996</v>
      </c>
      <c r="M568" s="44"/>
      <c r="N568" s="44"/>
      <c r="O568" s="44"/>
      <c r="P568" s="44"/>
      <c r="Q568" s="42"/>
      <c r="R568" s="42"/>
      <c r="S568" s="43"/>
      <c r="T568" s="42"/>
      <c r="U568" s="42"/>
      <c r="V568" s="41"/>
      <c r="W568" s="42"/>
      <c r="X568" s="8"/>
    </row>
    <row r="569" spans="1:31">
      <c r="A569" s="202">
        <v>43160</v>
      </c>
      <c r="B569" s="63" t="s">
        <v>158</v>
      </c>
      <c r="C569" s="56" t="s">
        <v>156</v>
      </c>
      <c r="D569" s="8">
        <v>1910.98</v>
      </c>
      <c r="E569" s="8">
        <v>1906.39</v>
      </c>
      <c r="F569" s="8">
        <v>1905.69</v>
      </c>
      <c r="G569" s="8">
        <v>1905.19</v>
      </c>
      <c r="H569" s="8">
        <v>1915.48</v>
      </c>
      <c r="I569" s="8">
        <v>1912.63</v>
      </c>
      <c r="J569" s="8">
        <v>1903.69</v>
      </c>
      <c r="K569" s="8">
        <v>1909.71</v>
      </c>
      <c r="L569" s="8">
        <v>1915.49</v>
      </c>
      <c r="M569" s="62"/>
      <c r="N569" s="62"/>
      <c r="O569" s="62"/>
      <c r="P569" s="62"/>
      <c r="Q569" s="63">
        <f>IF((L570=""),"",MAX(D571:L571))</f>
        <v>3165.6400000000003</v>
      </c>
      <c r="R569" s="63">
        <f>IF(L570="","",MIN(D571:L571))</f>
        <v>2742.84</v>
      </c>
      <c r="S569" s="63">
        <f>IF((L571=""),"",AVERAGE(D571:L571))</f>
        <v>2910.5733333333337</v>
      </c>
      <c r="T569" s="63">
        <f>IF((L570=""),"",((Q569-R569)/(Q569+R569))*100)</f>
        <v>7.155816724436745</v>
      </c>
      <c r="U569" s="51">
        <f>STDEV(D569:L569)</f>
        <v>4.4747256276794545</v>
      </c>
      <c r="V569" s="64" t="str">
        <f>IF(L570="","",(IF(T569&lt;12,IF(S569&gt;2200,IF(S569&lt;3280,"Pass","Fail"),"Fail"),"Fail")))</f>
        <v>Pass</v>
      </c>
      <c r="W569" s="63">
        <v>1159</v>
      </c>
      <c r="Y569" s="8" t="s">
        <v>177</v>
      </c>
      <c r="Z569" s="37">
        <v>2000</v>
      </c>
      <c r="AA569" s="37">
        <v>3000</v>
      </c>
      <c r="AB569" s="37">
        <v>2200</v>
      </c>
      <c r="AC569" s="37">
        <v>3280</v>
      </c>
      <c r="AD569" s="39">
        <v>12</v>
      </c>
      <c r="AE569" s="39">
        <v>12</v>
      </c>
    </row>
    <row r="570" spans="1:31" ht="16.5" customHeight="1">
      <c r="A570" s="199"/>
      <c r="B570" s="48"/>
      <c r="C570" s="51" t="s">
        <v>155</v>
      </c>
      <c r="D570" s="8">
        <v>1173.4100000000001</v>
      </c>
      <c r="E570" s="8">
        <v>1201.3800000000001</v>
      </c>
      <c r="F570" s="8">
        <v>1219.98</v>
      </c>
      <c r="G570" s="8">
        <v>1196.98</v>
      </c>
      <c r="H570" s="8">
        <v>1145</v>
      </c>
      <c r="I570" s="8">
        <v>1179</v>
      </c>
      <c r="J570" s="8">
        <v>1212.27</v>
      </c>
      <c r="K570" s="8">
        <v>1184.3599999999999</v>
      </c>
      <c r="L570" s="8">
        <v>1124.08</v>
      </c>
      <c r="M570" s="50"/>
      <c r="N570" s="50"/>
      <c r="O570" s="50"/>
      <c r="P570" s="50"/>
      <c r="Q570" s="48"/>
      <c r="R570" s="48"/>
      <c r="S570" s="48"/>
      <c r="T570" s="48"/>
      <c r="U570" s="48"/>
      <c r="V570" s="47"/>
      <c r="W570" s="48"/>
      <c r="X570" s="8"/>
    </row>
    <row r="571" spans="1:31" ht="24.75" customHeight="1" thickBot="1">
      <c r="A571" s="199"/>
      <c r="B571" s="61"/>
      <c r="C571" s="51" t="s">
        <v>154</v>
      </c>
      <c r="D571" s="24">
        <f t="shared" ref="D571:L571" si="185">IF(((D569="")*AND(D570="")),"",(D569-D570)*4)</f>
        <v>2950.2799999999997</v>
      </c>
      <c r="E571" s="24">
        <f t="shared" si="185"/>
        <v>2820.04</v>
      </c>
      <c r="F571" s="24">
        <f t="shared" si="185"/>
        <v>2742.84</v>
      </c>
      <c r="G571" s="24">
        <f t="shared" si="185"/>
        <v>2832.84</v>
      </c>
      <c r="H571" s="24">
        <f t="shared" si="185"/>
        <v>3081.92</v>
      </c>
      <c r="I571" s="24">
        <f t="shared" si="185"/>
        <v>2934.5200000000004</v>
      </c>
      <c r="J571" s="24">
        <f t="shared" si="185"/>
        <v>2765.6800000000003</v>
      </c>
      <c r="K571" s="24">
        <f t="shared" si="185"/>
        <v>2901.4000000000005</v>
      </c>
      <c r="L571" s="24">
        <f t="shared" si="185"/>
        <v>3165.6400000000003</v>
      </c>
      <c r="M571" s="24"/>
      <c r="N571" s="24"/>
      <c r="O571" s="24"/>
      <c r="P571" s="24" t="str">
        <f>IF(((P569="")*AND(P570="")),"",(P569-P570)*4)</f>
        <v/>
      </c>
      <c r="Q571" s="61"/>
      <c r="R571" s="61"/>
      <c r="S571" s="61"/>
      <c r="T571" s="61"/>
      <c r="U571" s="61"/>
      <c r="V571" s="60"/>
      <c r="W571" s="61"/>
      <c r="X571" s="8"/>
    </row>
    <row r="572" spans="1:31">
      <c r="A572" s="202">
        <v>43160</v>
      </c>
      <c r="B572" s="57" t="s">
        <v>157</v>
      </c>
      <c r="C572" s="51" t="s">
        <v>156</v>
      </c>
      <c r="D572" s="8">
        <v>6887.88</v>
      </c>
      <c r="E572" s="8">
        <v>6808.06</v>
      </c>
      <c r="F572" s="8">
        <v>6916.37</v>
      </c>
      <c r="G572" s="8">
        <v>6908.59</v>
      </c>
      <c r="H572" s="8">
        <v>7000</v>
      </c>
      <c r="I572" s="8">
        <v>6981.67</v>
      </c>
      <c r="J572" s="8">
        <v>6879.29</v>
      </c>
      <c r="K572" s="8">
        <v>6897.86</v>
      </c>
      <c r="L572" s="8">
        <v>6999.96</v>
      </c>
      <c r="M572" s="50"/>
      <c r="N572" s="50"/>
      <c r="O572" s="50"/>
      <c r="P572" s="50"/>
      <c r="Q572" s="57">
        <f>IF((L573=""),"",MAX(D574:L574))</f>
        <v>3649.3999999999996</v>
      </c>
      <c r="R572" s="57">
        <f>IF(L573="","",MIN(D574:L574))</f>
        <v>3350.6200000000008</v>
      </c>
      <c r="S572" s="58">
        <f>IF((L574=""),"",AVERAGE(D574:L574))</f>
        <v>3587.9733333333334</v>
      </c>
      <c r="T572" s="57">
        <f>IF((L573=""),"",((Q572-R572)/(Q572+R572))*100)</f>
        <v>4.2682735192185</v>
      </c>
      <c r="U572" s="56">
        <f>STDEV(D572:L572)</f>
        <v>63.68858396745501</v>
      </c>
      <c r="V572" s="55" t="str">
        <f>IF(L573="","",(IF(T572&lt;7,IF(S572&gt;2800,IF(S572&lt;3800,"Pass","Fail"),"Fail"),"Fail")))</f>
        <v>Pass</v>
      </c>
      <c r="W572" s="57">
        <v>1159</v>
      </c>
      <c r="Z572" s="53">
        <v>2800</v>
      </c>
      <c r="AA572" s="53">
        <v>3800</v>
      </c>
      <c r="AB572" s="53">
        <v>3100</v>
      </c>
      <c r="AC572" s="53">
        <v>3760</v>
      </c>
      <c r="AD572" s="52">
        <v>6</v>
      </c>
      <c r="AE572" s="52">
        <v>6</v>
      </c>
    </row>
    <row r="573" spans="1:31" ht="16.5" customHeight="1">
      <c r="A573" s="199"/>
      <c r="B573" s="48"/>
      <c r="C573" s="51" t="s">
        <v>155</v>
      </c>
      <c r="D573" s="8">
        <v>5065.92</v>
      </c>
      <c r="E573" s="8">
        <v>4998.16</v>
      </c>
      <c r="F573" s="8">
        <v>5115.71</v>
      </c>
      <c r="G573" s="8">
        <v>5108.09</v>
      </c>
      <c r="H573" s="8">
        <v>5324.69</v>
      </c>
      <c r="I573" s="8">
        <v>5156.97</v>
      </c>
      <c r="J573" s="8">
        <v>5073.25</v>
      </c>
      <c r="K573" s="8">
        <v>5096.24</v>
      </c>
      <c r="L573" s="8">
        <v>5194.7700000000004</v>
      </c>
      <c r="M573" s="50"/>
      <c r="N573" s="50"/>
      <c r="O573" s="50"/>
      <c r="P573" s="50"/>
      <c r="Q573" s="48"/>
      <c r="R573" s="48"/>
      <c r="S573" s="49"/>
      <c r="T573" s="48"/>
      <c r="U573" s="48"/>
      <c r="V573" s="47"/>
      <c r="W573" s="48"/>
      <c r="X573" s="8"/>
    </row>
    <row r="574" spans="1:31" ht="24.75" customHeight="1" thickBot="1">
      <c r="A574" s="199"/>
      <c r="B574" s="42"/>
      <c r="C574" s="57" t="s">
        <v>154</v>
      </c>
      <c r="D574" s="71">
        <f t="shared" ref="D574:L574" si="186">IF(((D572="")*AND(D573="")),"",(D572-D573)*2)</f>
        <v>3643.92</v>
      </c>
      <c r="E574" s="71">
        <f t="shared" si="186"/>
        <v>3619.8000000000011</v>
      </c>
      <c r="F574" s="71">
        <f t="shared" si="186"/>
        <v>3601.3199999999997</v>
      </c>
      <c r="G574" s="71">
        <f t="shared" si="186"/>
        <v>3601</v>
      </c>
      <c r="H574" s="71">
        <f t="shared" si="186"/>
        <v>3350.6200000000008</v>
      </c>
      <c r="I574" s="71">
        <f t="shared" si="186"/>
        <v>3649.3999999999996</v>
      </c>
      <c r="J574" s="71">
        <f t="shared" si="186"/>
        <v>3612.08</v>
      </c>
      <c r="K574" s="71">
        <f t="shared" si="186"/>
        <v>3603.24</v>
      </c>
      <c r="L574" s="71">
        <f t="shared" si="186"/>
        <v>3610.3799999999992</v>
      </c>
      <c r="M574" s="71"/>
      <c r="N574" s="71"/>
      <c r="O574" s="71"/>
      <c r="P574" s="71"/>
      <c r="Q574" s="42"/>
      <c r="R574" s="42"/>
      <c r="S574" s="49"/>
      <c r="T574" s="48"/>
      <c r="U574" s="48"/>
      <c r="V574" s="41"/>
      <c r="W574" s="42"/>
      <c r="X574" s="8"/>
    </row>
    <row r="575" spans="1:31">
      <c r="A575" s="201">
        <v>43169</v>
      </c>
      <c r="B575" s="63" t="s">
        <v>158</v>
      </c>
      <c r="C575" s="56" t="s">
        <v>156</v>
      </c>
      <c r="D575" s="69">
        <v>1174.8499999999999</v>
      </c>
      <c r="E575" s="69">
        <v>1203.23</v>
      </c>
      <c r="F575" s="69">
        <v>1224.76</v>
      </c>
      <c r="G575" s="69">
        <v>1199.1099999999999</v>
      </c>
      <c r="H575" s="69">
        <v>1147.83</v>
      </c>
      <c r="I575" s="69">
        <v>1180.33</v>
      </c>
      <c r="J575" s="69">
        <v>1212.92</v>
      </c>
      <c r="K575" s="69">
        <v>1184.72</v>
      </c>
      <c r="L575" s="69">
        <v>1125.76</v>
      </c>
      <c r="M575" s="62"/>
      <c r="N575" s="62" t="s">
        <v>176</v>
      </c>
      <c r="O575" s="62"/>
      <c r="P575" s="62"/>
      <c r="Q575" s="63">
        <f>IF((L576=""),"",MAX(D577:L577))</f>
        <v>3165</v>
      </c>
      <c r="R575" s="63">
        <f>IF(L576="","",MIN(D577:L577))</f>
        <v>2771.96</v>
      </c>
      <c r="S575" s="63">
        <f>IF((L577=""),"",AVERAGE(D577:L577))</f>
        <v>2944.8888888888887</v>
      </c>
      <c r="T575" s="63">
        <f>IF((L576=""),"",((Q575-R575)/(Q575+R575))*100)</f>
        <v>6.6202231445049318</v>
      </c>
      <c r="U575" s="51">
        <f>STDEV(D575:L575)</f>
        <v>31.410659814789309</v>
      </c>
      <c r="V575" s="64" t="str">
        <f>IF(L576="","",(IF(T575&lt;12,IF(S575&gt;2200,IF(S575&lt;3280,"Pass","Fail"),"Fail"),"Fail")))</f>
        <v>Pass</v>
      </c>
      <c r="W575" s="67">
        <v>102</v>
      </c>
      <c r="X575" s="249" t="s">
        <v>175</v>
      </c>
      <c r="Z575" s="37">
        <v>2000</v>
      </c>
      <c r="AA575" s="37">
        <v>3000</v>
      </c>
      <c r="AB575" s="37">
        <v>2200</v>
      </c>
      <c r="AC575" s="37">
        <v>3280</v>
      </c>
      <c r="AD575" s="39">
        <v>12</v>
      </c>
      <c r="AE575" s="39">
        <v>12</v>
      </c>
    </row>
    <row r="576" spans="1:31" ht="16.5" customHeight="1">
      <c r="A576" s="199"/>
      <c r="B576" s="48"/>
      <c r="C576" s="51" t="s">
        <v>155</v>
      </c>
      <c r="D576" s="68">
        <v>420.17</v>
      </c>
      <c r="E576" s="68">
        <v>497.37</v>
      </c>
      <c r="F576" s="68">
        <v>531.77</v>
      </c>
      <c r="G576" s="68">
        <v>487.21</v>
      </c>
      <c r="H576" s="68">
        <v>361.98</v>
      </c>
      <c r="I576" s="68">
        <v>418.7</v>
      </c>
      <c r="J576" s="68">
        <v>511.63</v>
      </c>
      <c r="K576" s="68">
        <v>464.17</v>
      </c>
      <c r="L576" s="68">
        <v>334.51</v>
      </c>
      <c r="M576" s="50"/>
      <c r="N576" s="50"/>
      <c r="O576" s="50"/>
      <c r="P576" s="50"/>
      <c r="Q576" s="48"/>
      <c r="R576" s="48"/>
      <c r="S576" s="48"/>
      <c r="T576" s="48"/>
      <c r="U576" s="48"/>
      <c r="V576" s="47"/>
      <c r="W576" s="46"/>
      <c r="X576" s="70"/>
    </row>
    <row r="577" spans="1:31" ht="24.75" customHeight="1" thickBot="1">
      <c r="A577" s="199"/>
      <c r="B577" s="61"/>
      <c r="C577" s="51" t="s">
        <v>154</v>
      </c>
      <c r="D577" s="24">
        <f t="shared" ref="D577:L577" si="187">IF(((D575="")*AND(D576="")),"",(D575-D576)*4)</f>
        <v>3018.7199999999993</v>
      </c>
      <c r="E577" s="24">
        <f t="shared" si="187"/>
        <v>2823.44</v>
      </c>
      <c r="F577" s="24">
        <f t="shared" si="187"/>
        <v>2771.96</v>
      </c>
      <c r="G577" s="24">
        <f t="shared" si="187"/>
        <v>2847.5999999999995</v>
      </c>
      <c r="H577" s="24">
        <f t="shared" si="187"/>
        <v>3143.3999999999996</v>
      </c>
      <c r="I577" s="24">
        <f t="shared" si="187"/>
        <v>3046.5199999999995</v>
      </c>
      <c r="J577" s="24">
        <f t="shared" si="187"/>
        <v>2805.1600000000003</v>
      </c>
      <c r="K577" s="24">
        <f t="shared" si="187"/>
        <v>2882.2</v>
      </c>
      <c r="L577" s="24">
        <f t="shared" si="187"/>
        <v>3165</v>
      </c>
      <c r="M577" s="24"/>
      <c r="N577" s="24"/>
      <c r="O577" s="24"/>
      <c r="P577" s="24" t="str">
        <f>IF(((P575="")*AND(P576="")),"",(P575-P576)*4)</f>
        <v/>
      </c>
      <c r="Q577" s="61"/>
      <c r="R577" s="61"/>
      <c r="S577" s="61"/>
      <c r="T577" s="61"/>
      <c r="U577" s="61"/>
      <c r="V577" s="60"/>
      <c r="W577" s="59"/>
      <c r="X577" s="70"/>
    </row>
    <row r="578" spans="1:31">
      <c r="A578" s="202">
        <v>43169</v>
      </c>
      <c r="B578" s="57" t="s">
        <v>157</v>
      </c>
      <c r="C578" s="51" t="s">
        <v>156</v>
      </c>
      <c r="D578" s="68">
        <v>5086.96</v>
      </c>
      <c r="E578" s="68">
        <v>5020.99</v>
      </c>
      <c r="F578" s="68">
        <v>5139.12</v>
      </c>
      <c r="G578" s="68">
        <v>5131.03</v>
      </c>
      <c r="H578" s="68">
        <v>5343.67</v>
      </c>
      <c r="I578" s="68">
        <v>5172.74</v>
      </c>
      <c r="J578" s="68">
        <v>5096.25</v>
      </c>
      <c r="K578" s="68">
        <v>5119.04</v>
      </c>
      <c r="L578" s="68">
        <v>5216.93</v>
      </c>
      <c r="M578" s="50"/>
      <c r="N578" s="50"/>
      <c r="O578" s="50"/>
      <c r="P578" s="50"/>
      <c r="Q578" s="57">
        <f>IF((L579=""),"",MAX(D580:L580))</f>
        <v>3497.3999999999996</v>
      </c>
      <c r="R578" s="57">
        <f>IF(L579="","",MIN(D580:L580))</f>
        <v>3421.9000000000005</v>
      </c>
      <c r="S578" s="58">
        <f>IF((L580=""),"",AVERAGE(D580:L580))</f>
        <v>3465.06</v>
      </c>
      <c r="T578" s="57">
        <f>IF((L579=""),"",((Q578-R578)/(Q578+R578))*100)</f>
        <v>1.0911508389576849</v>
      </c>
      <c r="U578" s="56">
        <f>STDEV(D578:L578)</f>
        <v>91.77967954718892</v>
      </c>
      <c r="V578" s="55" t="str">
        <f>IF(L579="","",(IF(T578&lt;7,IF(S578&gt;2800,IF(S578&lt;3800,"Pass","Fail"),"Fail"),"Fail")))</f>
        <v>Pass</v>
      </c>
      <c r="W578" s="54">
        <v>102</v>
      </c>
      <c r="X578" s="249" t="s">
        <v>175</v>
      </c>
      <c r="Z578" s="53">
        <v>2800</v>
      </c>
      <c r="AA578" s="53">
        <v>3800</v>
      </c>
      <c r="AB578" s="53">
        <v>3100</v>
      </c>
      <c r="AC578" s="53">
        <v>3760</v>
      </c>
      <c r="AD578" s="52">
        <v>6</v>
      </c>
      <c r="AE578" s="52">
        <v>6</v>
      </c>
    </row>
    <row r="579" spans="1:31" ht="16.5" customHeight="1">
      <c r="A579" s="199"/>
      <c r="B579" s="48"/>
      <c r="C579" s="51" t="s">
        <v>155</v>
      </c>
      <c r="D579" s="68">
        <v>3344.96</v>
      </c>
      <c r="E579" s="68">
        <v>3272.29</v>
      </c>
      <c r="F579" s="68">
        <v>3404.01</v>
      </c>
      <c r="G579" s="68">
        <v>3399.98</v>
      </c>
      <c r="H579" s="68">
        <v>3632.72</v>
      </c>
      <c r="I579" s="68">
        <v>3436.16</v>
      </c>
      <c r="J579" s="68">
        <v>3359.23</v>
      </c>
      <c r="K579" s="68">
        <v>3385.43</v>
      </c>
      <c r="L579" s="68">
        <v>3499.18</v>
      </c>
      <c r="M579" s="50"/>
      <c r="N579" s="50"/>
      <c r="O579" s="50"/>
      <c r="P579" s="50"/>
      <c r="Q579" s="48"/>
      <c r="R579" s="48"/>
      <c r="S579" s="49"/>
      <c r="T579" s="48"/>
      <c r="U579" s="48"/>
      <c r="V579" s="47"/>
      <c r="W579" s="46"/>
      <c r="X579" s="70"/>
    </row>
    <row r="580" spans="1:31" ht="24.75" customHeight="1" thickBot="1">
      <c r="A580" s="199"/>
      <c r="B580" s="42"/>
      <c r="C580" s="45" t="s">
        <v>154</v>
      </c>
      <c r="D580" s="44">
        <f t="shared" ref="D580:L580" si="188">IF(((D578="")*AND(D579="")),"",(D578-D579)*2)</f>
        <v>3484</v>
      </c>
      <c r="E580" s="44">
        <f t="shared" si="188"/>
        <v>3497.3999999999996</v>
      </c>
      <c r="F580" s="44">
        <f t="shared" si="188"/>
        <v>3470.2199999999993</v>
      </c>
      <c r="G580" s="44">
        <f t="shared" si="188"/>
        <v>3462.0999999999995</v>
      </c>
      <c r="H580" s="44">
        <f t="shared" si="188"/>
        <v>3421.9000000000005</v>
      </c>
      <c r="I580" s="44">
        <f t="shared" si="188"/>
        <v>3473.16</v>
      </c>
      <c r="J580" s="44">
        <f t="shared" si="188"/>
        <v>3474.04</v>
      </c>
      <c r="K580" s="44">
        <f t="shared" si="188"/>
        <v>3467.2200000000003</v>
      </c>
      <c r="L580" s="44">
        <f t="shared" si="188"/>
        <v>3435.5000000000009</v>
      </c>
      <c r="M580" s="44"/>
      <c r="N580" s="44"/>
      <c r="O580" s="44"/>
      <c r="P580" s="44"/>
      <c r="Q580" s="42"/>
      <c r="R580" s="42"/>
      <c r="S580" s="43"/>
      <c r="T580" s="42"/>
      <c r="U580" s="42"/>
      <c r="V580" s="41"/>
      <c r="W580" s="40"/>
      <c r="X580" s="70"/>
    </row>
    <row r="581" spans="1:31">
      <c r="A581" s="201">
        <v>43179</v>
      </c>
      <c r="B581" s="63" t="s">
        <v>158</v>
      </c>
      <c r="C581" s="56" t="s">
        <v>156</v>
      </c>
      <c r="D581" s="8">
        <v>1916.73</v>
      </c>
      <c r="E581" s="8">
        <v>1908.84</v>
      </c>
      <c r="F581" s="8">
        <v>1915.25</v>
      </c>
      <c r="G581" s="8">
        <v>1909.53</v>
      </c>
      <c r="H581" s="8">
        <v>1919.46</v>
      </c>
      <c r="I581" s="8">
        <v>1920.14</v>
      </c>
      <c r="J581" s="8">
        <v>1910.22</v>
      </c>
      <c r="K581" s="8">
        <v>1907.7</v>
      </c>
      <c r="L581" s="8">
        <v>1916.38</v>
      </c>
      <c r="M581" s="62"/>
      <c r="N581" s="62"/>
      <c r="O581" s="62"/>
      <c r="P581" s="62"/>
      <c r="Q581" s="63">
        <f>IF((L582=""),"",MAX(D583:L583))</f>
        <v>3085.1200000000008</v>
      </c>
      <c r="R581" s="63">
        <f>IF(L582="","",MIN(D583:L583))</f>
        <v>2725.08</v>
      </c>
      <c r="S581" s="63">
        <f>IF((L583=""),"",AVERAGE(D583:L583))</f>
        <v>2878.8799999999997</v>
      </c>
      <c r="T581" s="63">
        <f>IF((L582=""),"",((Q581-R581)/(Q581+R581))*100)</f>
        <v>6.1966885821486493</v>
      </c>
      <c r="U581" s="51">
        <f>STDEV(D581:L581)</f>
        <v>4.7754007976614758</v>
      </c>
      <c r="V581" s="64" t="str">
        <f>IF(L582="","",(IF(T581&lt;12,IF(S581&gt;2200,IF(S581&lt;3280,"Pass","Fail"),"Fail"),"Fail")))</f>
        <v>Pass</v>
      </c>
      <c r="W581" s="63">
        <v>121</v>
      </c>
      <c r="Z581" s="37">
        <v>2000</v>
      </c>
      <c r="AA581" s="37">
        <v>3000</v>
      </c>
      <c r="AB581" s="37">
        <v>2200</v>
      </c>
      <c r="AC581" s="37">
        <v>3280</v>
      </c>
      <c r="AD581" s="39">
        <v>12</v>
      </c>
      <c r="AE581" s="39">
        <v>12</v>
      </c>
    </row>
    <row r="582" spans="1:31" ht="16.5" customHeight="1">
      <c r="A582" s="199"/>
      <c r="B582" s="48"/>
      <c r="C582" s="51" t="s">
        <v>155</v>
      </c>
      <c r="D582" s="8">
        <v>1185.8</v>
      </c>
      <c r="E582" s="8">
        <v>1214.4000000000001</v>
      </c>
      <c r="F582" s="8">
        <v>1233.98</v>
      </c>
      <c r="G582" s="8">
        <v>1206.1300000000001</v>
      </c>
      <c r="H582" s="8">
        <v>1157.3699999999999</v>
      </c>
      <c r="I582" s="8">
        <v>1187.77</v>
      </c>
      <c r="J582" s="8">
        <v>1220.19</v>
      </c>
      <c r="K582" s="8">
        <v>1196.03</v>
      </c>
      <c r="L582" s="8">
        <v>1145.0999999999999</v>
      </c>
      <c r="M582" s="50"/>
      <c r="N582" s="50"/>
      <c r="O582" s="50"/>
      <c r="P582" s="50"/>
      <c r="Q582" s="48"/>
      <c r="R582" s="48"/>
      <c r="S582" s="48"/>
      <c r="T582" s="48"/>
      <c r="U582" s="48"/>
      <c r="V582" s="47"/>
      <c r="W582" s="48"/>
      <c r="X582" s="8"/>
    </row>
    <row r="583" spans="1:31" ht="24.75" customHeight="1" thickBot="1">
      <c r="A583" s="199"/>
      <c r="B583" s="61"/>
      <c r="C583" s="51" t="s">
        <v>154</v>
      </c>
      <c r="D583" s="24">
        <f t="shared" ref="D583:L583" si="189">IF(((D581="")*AND(D582="")),"",(D581-D582)*4)</f>
        <v>2923.7200000000003</v>
      </c>
      <c r="E583" s="24">
        <f t="shared" si="189"/>
        <v>2777.7599999999993</v>
      </c>
      <c r="F583" s="24">
        <f t="shared" si="189"/>
        <v>2725.08</v>
      </c>
      <c r="G583" s="24">
        <f t="shared" si="189"/>
        <v>2813.5999999999995</v>
      </c>
      <c r="H583" s="24">
        <f t="shared" si="189"/>
        <v>3048.3600000000006</v>
      </c>
      <c r="I583" s="24">
        <f t="shared" si="189"/>
        <v>2929.4800000000005</v>
      </c>
      <c r="J583" s="24">
        <f t="shared" si="189"/>
        <v>2760.12</v>
      </c>
      <c r="K583" s="24">
        <f t="shared" si="189"/>
        <v>2846.6800000000003</v>
      </c>
      <c r="L583" s="24">
        <f t="shared" si="189"/>
        <v>3085.1200000000008</v>
      </c>
      <c r="M583" s="24"/>
      <c r="N583" s="24"/>
      <c r="O583" s="24"/>
      <c r="P583" s="24" t="str">
        <f>IF(((P581="")*AND(P582="")),"",(P581-P582)*4)</f>
        <v/>
      </c>
      <c r="Q583" s="61"/>
      <c r="R583" s="61"/>
      <c r="S583" s="61"/>
      <c r="T583" s="61"/>
      <c r="U583" s="61"/>
      <c r="V583" s="60"/>
      <c r="W583" s="61"/>
      <c r="X583" s="8"/>
    </row>
    <row r="584" spans="1:31">
      <c r="A584" s="202">
        <v>43179</v>
      </c>
      <c r="B584" s="57" t="s">
        <v>157</v>
      </c>
      <c r="C584" s="51" t="s">
        <v>156</v>
      </c>
      <c r="D584" s="8">
        <v>6801.6</v>
      </c>
      <c r="E584" s="8">
        <v>6718.8</v>
      </c>
      <c r="F584" s="8">
        <v>6828.9</v>
      </c>
      <c r="G584" s="8">
        <v>6827.29</v>
      </c>
      <c r="H584" s="8">
        <v>6997.17</v>
      </c>
      <c r="I584" s="8">
        <v>6869.74</v>
      </c>
      <c r="J584" s="8">
        <v>6790.11</v>
      </c>
      <c r="K584" s="8">
        <v>6819.02</v>
      </c>
      <c r="L584" s="8">
        <v>6902.89</v>
      </c>
      <c r="M584" s="50"/>
      <c r="N584" s="50"/>
      <c r="O584" s="50"/>
      <c r="P584" s="50"/>
      <c r="Q584" s="57">
        <f>IF((L585=""),"",MAX(D586:L586))</f>
        <v>3566.5599999999995</v>
      </c>
      <c r="R584" s="57">
        <f>IF(L585="","",MIN(D586:L586))</f>
        <v>3519.42</v>
      </c>
      <c r="S584" s="58">
        <f>IF((L586=""),"",AVERAGE(D586:L586))</f>
        <v>3544.2666666666669</v>
      </c>
      <c r="T584" s="57">
        <f>IF((L585=""),"",((Q584-R584)/(Q584+R584))*100)</f>
        <v>0.66525731091534857</v>
      </c>
      <c r="U584" s="56">
        <f>STDEV(D584:L584)</f>
        <v>78.196647271056932</v>
      </c>
      <c r="V584" s="55" t="str">
        <f>IF(L585="","",(IF(T584&lt;7,IF(S584&gt;2800,IF(S584&lt;3800,"Pass","Fail"),"Fail"),"Fail")))</f>
        <v>Pass</v>
      </c>
      <c r="W584" s="57">
        <v>121</v>
      </c>
      <c r="Z584" s="53">
        <v>2800</v>
      </c>
      <c r="AA584" s="53">
        <v>3800</v>
      </c>
      <c r="AB584" s="53">
        <v>3100</v>
      </c>
      <c r="AC584" s="53">
        <v>3760</v>
      </c>
      <c r="AD584" s="52">
        <v>6</v>
      </c>
      <c r="AE584" s="52">
        <v>6</v>
      </c>
    </row>
    <row r="585" spans="1:31" ht="16.5" customHeight="1">
      <c r="A585" s="199"/>
      <c r="B585" s="48"/>
      <c r="C585" s="51" t="s">
        <v>155</v>
      </c>
      <c r="D585" s="8">
        <v>5020.6899999999996</v>
      </c>
      <c r="E585" s="8">
        <v>4943.24</v>
      </c>
      <c r="F585" s="8">
        <v>5059.9799999999996</v>
      </c>
      <c r="G585" s="8">
        <v>5057.4399999999996</v>
      </c>
      <c r="H585" s="8">
        <v>5237.46</v>
      </c>
      <c r="I585" s="8">
        <v>5086.46</v>
      </c>
      <c r="J585" s="8">
        <v>5016.1899999999996</v>
      </c>
      <c r="K585" s="8">
        <v>5049.78</v>
      </c>
      <c r="L585" s="8">
        <v>5135.08</v>
      </c>
      <c r="M585" s="50"/>
      <c r="N585" s="50"/>
      <c r="O585" s="50"/>
      <c r="P585" s="50"/>
      <c r="Q585" s="48"/>
      <c r="R585" s="48"/>
      <c r="S585" s="49"/>
      <c r="T585" s="48"/>
      <c r="U585" s="48"/>
      <c r="V585" s="47"/>
      <c r="W585" s="48"/>
      <c r="X585" s="8"/>
    </row>
    <row r="586" spans="1:31" ht="24.75" customHeight="1" thickBot="1">
      <c r="A586" s="199"/>
      <c r="B586" s="42"/>
      <c r="C586" s="45" t="s">
        <v>154</v>
      </c>
      <c r="D586" s="44">
        <f t="shared" ref="D586:L586" si="190">IF(((D584="")*AND(D585="")),"",(D584-D585)*2)</f>
        <v>3561.8200000000015</v>
      </c>
      <c r="E586" s="44">
        <f t="shared" si="190"/>
        <v>3551.1200000000008</v>
      </c>
      <c r="F586" s="44">
        <f t="shared" si="190"/>
        <v>3537.84</v>
      </c>
      <c r="G586" s="44">
        <f t="shared" si="190"/>
        <v>3539.7000000000007</v>
      </c>
      <c r="H586" s="44">
        <f t="shared" si="190"/>
        <v>3519.42</v>
      </c>
      <c r="I586" s="44">
        <f t="shared" si="190"/>
        <v>3566.5599999999995</v>
      </c>
      <c r="J586" s="44">
        <f t="shared" si="190"/>
        <v>3547.84</v>
      </c>
      <c r="K586" s="44">
        <f t="shared" si="190"/>
        <v>3538.4800000000014</v>
      </c>
      <c r="L586" s="44">
        <f t="shared" si="190"/>
        <v>3535.6200000000008</v>
      </c>
      <c r="M586" s="44"/>
      <c r="N586" s="44"/>
      <c r="O586" s="44"/>
      <c r="P586" s="44"/>
      <c r="Q586" s="42"/>
      <c r="R586" s="42"/>
      <c r="S586" s="43"/>
      <c r="T586" s="42"/>
      <c r="U586" s="42"/>
      <c r="V586" s="41"/>
      <c r="W586" s="42"/>
      <c r="X586" s="8"/>
    </row>
    <row r="587" spans="1:31">
      <c r="A587" s="201">
        <v>43187</v>
      </c>
      <c r="B587" s="63" t="s">
        <v>158</v>
      </c>
      <c r="C587" s="56" t="s">
        <v>156</v>
      </c>
      <c r="D587" s="8">
        <v>1919.77</v>
      </c>
      <c r="E587" s="8">
        <v>1913.72</v>
      </c>
      <c r="F587" s="8">
        <v>1930.53</v>
      </c>
      <c r="G587" s="8">
        <v>1912.4</v>
      </c>
      <c r="H587" s="8">
        <v>1920.63</v>
      </c>
      <c r="I587" s="8">
        <v>1917.67</v>
      </c>
      <c r="J587" s="8">
        <v>1910.78</v>
      </c>
      <c r="K587" s="8">
        <v>1909.96</v>
      </c>
      <c r="L587" s="8">
        <v>1922.67</v>
      </c>
      <c r="M587" s="62"/>
      <c r="N587" s="62"/>
      <c r="O587" s="62"/>
      <c r="P587" s="62"/>
      <c r="Q587" s="63">
        <f>IF((L588=""),"",MAX(D589:L589))</f>
        <v>3208.2000000000007</v>
      </c>
      <c r="R587" s="63">
        <f>IF(L588="","",MIN(D589:L589))</f>
        <v>2808.4399999999996</v>
      </c>
      <c r="S587" s="63">
        <f>IF((L589=""),"",AVERAGE(D589:L589))</f>
        <v>2969.08</v>
      </c>
      <c r="T587" s="63">
        <f>IF((L588=""),"",((Q587-R587)/(Q587+R587))*100)</f>
        <v>6.6442399744708194</v>
      </c>
      <c r="U587" s="51">
        <f>STDEV(D587:L587)</f>
        <v>6.6497443560837803</v>
      </c>
      <c r="V587" s="64" t="str">
        <f>IF(L588="","",(IF(T587&lt;12,IF(S587&gt;2200,IF(S587&lt;3280,"Pass","Fail"),"Fail"),"Fail")))</f>
        <v>Pass</v>
      </c>
      <c r="W587" s="67">
        <v>1335</v>
      </c>
      <c r="Z587" s="37">
        <v>2000</v>
      </c>
      <c r="AA587" s="37">
        <v>3000</v>
      </c>
      <c r="AB587" s="37">
        <v>2200</v>
      </c>
      <c r="AC587" s="37">
        <v>3280</v>
      </c>
      <c r="AD587" s="39">
        <v>12</v>
      </c>
      <c r="AE587" s="39">
        <v>12</v>
      </c>
    </row>
    <row r="588" spans="1:31" ht="16.5" customHeight="1">
      <c r="A588" s="199"/>
      <c r="B588" s="48"/>
      <c r="C588" s="51" t="s">
        <v>155</v>
      </c>
      <c r="D588" s="8">
        <v>1158.54</v>
      </c>
      <c r="E588" s="8">
        <v>1200.94</v>
      </c>
      <c r="F588" s="8">
        <v>1214.3900000000001</v>
      </c>
      <c r="G588" s="8">
        <v>1196.27</v>
      </c>
      <c r="H588" s="8">
        <v>1132.0899999999999</v>
      </c>
      <c r="I588" s="8">
        <v>1159.94</v>
      </c>
      <c r="J588" s="8">
        <v>1208.67</v>
      </c>
      <c r="K588" s="8">
        <v>1186.24</v>
      </c>
      <c r="L588" s="8">
        <v>1120.6199999999999</v>
      </c>
      <c r="M588" s="50"/>
      <c r="N588" s="50"/>
      <c r="O588" s="50"/>
      <c r="P588" s="50"/>
      <c r="Q588" s="48"/>
      <c r="R588" s="48"/>
      <c r="S588" s="48"/>
      <c r="T588" s="48"/>
      <c r="U588" s="48"/>
      <c r="V588" s="47"/>
      <c r="W588" s="46"/>
      <c r="X588" s="8"/>
    </row>
    <row r="589" spans="1:31" ht="24.75" customHeight="1" thickBot="1">
      <c r="A589" s="199"/>
      <c r="B589" s="61"/>
      <c r="C589" s="51" t="s">
        <v>154</v>
      </c>
      <c r="D589" s="24">
        <f t="shared" ref="D589:L589" si="191">IF(((D587="")*AND(D588="")),"",(D587-D588)*4)</f>
        <v>3044.92</v>
      </c>
      <c r="E589" s="24">
        <f t="shared" si="191"/>
        <v>2851.12</v>
      </c>
      <c r="F589" s="24">
        <f t="shared" si="191"/>
        <v>2864.5599999999995</v>
      </c>
      <c r="G589" s="24">
        <f t="shared" si="191"/>
        <v>2864.5200000000004</v>
      </c>
      <c r="H589" s="24">
        <f t="shared" si="191"/>
        <v>3154.1600000000008</v>
      </c>
      <c r="I589" s="24">
        <f t="shared" si="191"/>
        <v>3030.92</v>
      </c>
      <c r="J589" s="24">
        <f t="shared" si="191"/>
        <v>2808.4399999999996</v>
      </c>
      <c r="K589" s="24">
        <f t="shared" si="191"/>
        <v>2894.88</v>
      </c>
      <c r="L589" s="24">
        <f t="shared" si="191"/>
        <v>3208.2000000000007</v>
      </c>
      <c r="M589" s="24"/>
      <c r="N589" s="24"/>
      <c r="O589" s="24"/>
      <c r="P589" s="24" t="str">
        <f>IF(((P587="")*AND(P588="")),"",(P587-P588)*4)</f>
        <v/>
      </c>
      <c r="Q589" s="61"/>
      <c r="R589" s="61"/>
      <c r="S589" s="61"/>
      <c r="T589" s="61"/>
      <c r="U589" s="61"/>
      <c r="V589" s="60"/>
      <c r="W589" s="59"/>
      <c r="X589" s="8"/>
    </row>
    <row r="590" spans="1:31">
      <c r="A590" s="202">
        <v>43187</v>
      </c>
      <c r="B590" s="57" t="s">
        <v>157</v>
      </c>
      <c r="C590" s="51" t="s">
        <v>156</v>
      </c>
      <c r="D590" s="8">
        <v>5020.6899999999996</v>
      </c>
      <c r="E590" s="8">
        <v>4943.24</v>
      </c>
      <c r="F590" s="8">
        <v>5059.9799999999996</v>
      </c>
      <c r="G590" s="8">
        <v>5057.4399999999996</v>
      </c>
      <c r="H590" s="8">
        <v>5237.46</v>
      </c>
      <c r="I590" s="8">
        <v>5086.46</v>
      </c>
      <c r="J590" s="8">
        <v>5016.1899999999996</v>
      </c>
      <c r="K590" s="8">
        <v>5049.78</v>
      </c>
      <c r="L590" s="8">
        <v>5135.08</v>
      </c>
      <c r="M590" s="50"/>
      <c r="N590" s="50"/>
      <c r="O590" s="50"/>
      <c r="P590" s="50"/>
      <c r="Q590" s="57">
        <f>IF((L591=""),"",MAX(D592:L592))</f>
        <v>3387.62</v>
      </c>
      <c r="R590" s="57">
        <f>IF(L591="","",MIN(D592:L592))</f>
        <v>3293.96</v>
      </c>
      <c r="S590" s="58">
        <f>IF((L592=""),"",AVERAGE(D592:L592))</f>
        <v>3348.8777777777773</v>
      </c>
      <c r="T590" s="57">
        <f>IF((L591=""),"",((Q590-R590)/(Q590+R590))*100)</f>
        <v>1.4017642533652199</v>
      </c>
      <c r="U590" s="56">
        <f>STDEV(D590:L590)</f>
        <v>82.57494859888547</v>
      </c>
      <c r="V590" s="55" t="str">
        <f>IF(L591="","",(IF(T590&lt;7,IF(S590&gt;2800,IF(S590&lt;3800,"Pass","Fail"),"Fail"),"Fail")))</f>
        <v>Pass</v>
      </c>
      <c r="W590" s="54">
        <v>1335</v>
      </c>
      <c r="Z590" s="53">
        <v>2800</v>
      </c>
      <c r="AA590" s="53">
        <v>3800</v>
      </c>
      <c r="AB590" s="53">
        <v>3100</v>
      </c>
      <c r="AC590" s="53">
        <v>3760</v>
      </c>
      <c r="AD590" s="52">
        <v>6</v>
      </c>
      <c r="AE590" s="52">
        <v>6</v>
      </c>
    </row>
    <row r="591" spans="1:31" ht="16.5" customHeight="1">
      <c r="A591" s="199"/>
      <c r="B591" s="48"/>
      <c r="C591" s="51" t="s">
        <v>155</v>
      </c>
      <c r="D591" s="8">
        <v>3342.35</v>
      </c>
      <c r="E591" s="8">
        <v>3249.43</v>
      </c>
      <c r="F591" s="8">
        <v>3376.99</v>
      </c>
      <c r="G591" s="8">
        <v>3378.52</v>
      </c>
      <c r="H591" s="8">
        <v>3590.48</v>
      </c>
      <c r="I591" s="8">
        <v>3424.57</v>
      </c>
      <c r="J591" s="8">
        <v>3333.92</v>
      </c>
      <c r="K591" s="8">
        <v>3365.52</v>
      </c>
      <c r="L591" s="8">
        <v>3474.59</v>
      </c>
      <c r="M591" s="50"/>
      <c r="N591" s="50"/>
      <c r="O591" s="50"/>
      <c r="P591" s="50"/>
      <c r="Q591" s="48"/>
      <c r="R591" s="48"/>
      <c r="S591" s="49"/>
      <c r="T591" s="48"/>
      <c r="U591" s="48"/>
      <c r="V591" s="47"/>
      <c r="W591" s="46"/>
      <c r="X591" s="8"/>
    </row>
    <row r="592" spans="1:31" ht="24.75" customHeight="1" thickBot="1">
      <c r="A592" s="199"/>
      <c r="B592" s="42"/>
      <c r="C592" s="45" t="s">
        <v>154</v>
      </c>
      <c r="D592" s="44">
        <f t="shared" ref="D592:L592" si="192">IF(((D590="")*AND(D591="")),"",(D590-D591)*2)</f>
        <v>3356.6799999999994</v>
      </c>
      <c r="E592" s="44">
        <f t="shared" si="192"/>
        <v>3387.62</v>
      </c>
      <c r="F592" s="44">
        <f t="shared" si="192"/>
        <v>3365.9799999999996</v>
      </c>
      <c r="G592" s="44">
        <f t="shared" si="192"/>
        <v>3357.8399999999992</v>
      </c>
      <c r="H592" s="44">
        <f t="shared" si="192"/>
        <v>3293.96</v>
      </c>
      <c r="I592" s="44">
        <f t="shared" si="192"/>
        <v>3323.7799999999997</v>
      </c>
      <c r="J592" s="44">
        <f t="shared" si="192"/>
        <v>3364.5399999999991</v>
      </c>
      <c r="K592" s="44">
        <f t="shared" si="192"/>
        <v>3368.5199999999995</v>
      </c>
      <c r="L592" s="44">
        <f t="shared" si="192"/>
        <v>3320.9799999999996</v>
      </c>
      <c r="M592" s="44"/>
      <c r="N592" s="44"/>
      <c r="O592" s="44"/>
      <c r="P592" s="44"/>
      <c r="Q592" s="42"/>
      <c r="R592" s="42"/>
      <c r="S592" s="43"/>
      <c r="T592" s="42"/>
      <c r="U592" s="42"/>
      <c r="V592" s="41"/>
      <c r="W592" s="40"/>
      <c r="X592" s="8"/>
    </row>
    <row r="593" spans="1:31">
      <c r="A593" s="201">
        <v>43216</v>
      </c>
      <c r="B593" s="63" t="s">
        <v>158</v>
      </c>
      <c r="C593" s="56" t="s">
        <v>156</v>
      </c>
      <c r="D593" s="8">
        <v>1946.96</v>
      </c>
      <c r="E593" s="8">
        <v>1944.77</v>
      </c>
      <c r="F593" s="8">
        <v>1941.34</v>
      </c>
      <c r="G593" s="8">
        <v>1946.79</v>
      </c>
      <c r="H593" s="8">
        <v>1955.17</v>
      </c>
      <c r="I593" s="8">
        <v>1948.73</v>
      </c>
      <c r="J593" s="8">
        <v>1946.17</v>
      </c>
      <c r="K593" s="8">
        <v>1944.56</v>
      </c>
      <c r="L593" s="8">
        <v>1949.37</v>
      </c>
      <c r="M593" s="62"/>
      <c r="N593" s="62"/>
      <c r="O593" s="62"/>
      <c r="P593" s="62"/>
      <c r="Q593" s="63">
        <f>IF((L594=""),"",MAX(D595:L595))</f>
        <v>3145.4399999999996</v>
      </c>
      <c r="R593" s="63">
        <f>IF(L594="","",MIN(D595:L595))</f>
        <v>2709.96</v>
      </c>
      <c r="S593" s="63">
        <f>IF((L595=""),"",AVERAGE(D595:L595))</f>
        <v>2910.471111111111</v>
      </c>
      <c r="T593" s="63">
        <f>IF((L594=""),"",((Q593-R593)/(Q593+R593))*100)</f>
        <v>7.4372374218669881</v>
      </c>
      <c r="U593" s="51">
        <f>STDEV(D593:L593)</f>
        <v>3.8563781946407567</v>
      </c>
      <c r="V593" s="64" t="str">
        <f>IF(L594="","",(IF(T593&lt;12,IF(S593&gt;2200,IF(S593&lt;3280,"Pass","Fail"),"Fail"),"Fail")))</f>
        <v>Pass</v>
      </c>
      <c r="W593" s="67">
        <v>121</v>
      </c>
      <c r="X593" s="26" t="s">
        <v>174</v>
      </c>
      <c r="Z593" s="37">
        <v>2000</v>
      </c>
      <c r="AA593" s="37">
        <v>3000</v>
      </c>
      <c r="AB593" s="37">
        <v>2200</v>
      </c>
      <c r="AC593" s="37">
        <v>3280</v>
      </c>
      <c r="AD593" s="39">
        <v>12</v>
      </c>
      <c r="AE593" s="39">
        <v>12</v>
      </c>
    </row>
    <row r="594" spans="1:31" ht="16.5" customHeight="1">
      <c r="A594" s="199"/>
      <c r="B594" s="48"/>
      <c r="C594" s="51" t="s">
        <v>155</v>
      </c>
      <c r="D594" s="8">
        <v>1204.5999999999999</v>
      </c>
      <c r="E594" s="8">
        <v>1245.1400000000001</v>
      </c>
      <c r="F594" s="8">
        <v>1263.8499999999999</v>
      </c>
      <c r="G594" s="8">
        <v>1240.4100000000001</v>
      </c>
      <c r="H594" s="8">
        <v>1173.08</v>
      </c>
      <c r="I594" s="8">
        <v>1204.74</v>
      </c>
      <c r="J594" s="8">
        <v>1250.82</v>
      </c>
      <c r="K594" s="8">
        <v>1229.6500000000001</v>
      </c>
      <c r="L594" s="8">
        <v>1163.01</v>
      </c>
      <c r="M594" s="50"/>
      <c r="N594" s="50"/>
      <c r="O594" s="50"/>
      <c r="P594" s="50"/>
      <c r="Q594" s="48"/>
      <c r="R594" s="48"/>
      <c r="S594" s="48"/>
      <c r="T594" s="48"/>
      <c r="U594" s="48"/>
      <c r="V594" s="47"/>
      <c r="W594" s="46"/>
      <c r="X594" s="8"/>
    </row>
    <row r="595" spans="1:31" ht="24.75" customHeight="1" thickBot="1">
      <c r="A595" s="199"/>
      <c r="B595" s="61"/>
      <c r="C595" s="51" t="s">
        <v>154</v>
      </c>
      <c r="D595" s="24">
        <f t="shared" ref="D595:L595" si="193">IF(((D593="")*AND(D594="")),"",(D593-D594)*4)</f>
        <v>2969.4400000000005</v>
      </c>
      <c r="E595" s="24">
        <f t="shared" si="193"/>
        <v>2798.5199999999995</v>
      </c>
      <c r="F595" s="24">
        <f t="shared" si="193"/>
        <v>2709.96</v>
      </c>
      <c r="G595" s="24">
        <f t="shared" si="193"/>
        <v>2825.5199999999995</v>
      </c>
      <c r="H595" s="24">
        <f t="shared" si="193"/>
        <v>3128.3600000000006</v>
      </c>
      <c r="I595" s="24">
        <f t="shared" si="193"/>
        <v>2975.96</v>
      </c>
      <c r="J595" s="24">
        <f t="shared" si="193"/>
        <v>2781.4000000000005</v>
      </c>
      <c r="K595" s="24">
        <f t="shared" si="193"/>
        <v>2859.6399999999994</v>
      </c>
      <c r="L595" s="24">
        <f t="shared" si="193"/>
        <v>3145.4399999999996</v>
      </c>
      <c r="M595" s="24"/>
      <c r="N595" s="24"/>
      <c r="O595" s="24"/>
      <c r="P595" s="24" t="str">
        <f>IF(((P593="")*AND(P594="")),"",(P593-P594)*4)</f>
        <v/>
      </c>
      <c r="Q595" s="61"/>
      <c r="R595" s="61"/>
      <c r="S595" s="61"/>
      <c r="T595" s="61"/>
      <c r="U595" s="61"/>
      <c r="V595" s="60"/>
      <c r="W595" s="59"/>
      <c r="X595" s="8"/>
    </row>
    <row r="596" spans="1:31">
      <c r="A596" s="202">
        <v>43216</v>
      </c>
      <c r="B596" s="57" t="s">
        <v>157</v>
      </c>
      <c r="C596" s="51" t="s">
        <v>156</v>
      </c>
      <c r="D596" s="8">
        <v>3342.35</v>
      </c>
      <c r="E596" s="8">
        <v>3249.43</v>
      </c>
      <c r="F596" s="8">
        <v>3376.99</v>
      </c>
      <c r="G596" s="8">
        <v>3378.52</v>
      </c>
      <c r="H596" s="8">
        <v>3590.48</v>
      </c>
      <c r="I596" s="8">
        <v>3424.57</v>
      </c>
      <c r="J596" s="8">
        <v>3333.92</v>
      </c>
      <c r="K596" s="8">
        <v>3365.52</v>
      </c>
      <c r="L596" s="8">
        <v>3474.59</v>
      </c>
      <c r="M596" s="50"/>
      <c r="N596" s="50"/>
      <c r="O596" s="50"/>
      <c r="P596" s="50"/>
      <c r="Q596" s="57">
        <f>IF((L597=""),"",MAX(D598:L598))</f>
        <v>3366.7599999999998</v>
      </c>
      <c r="R596" s="57">
        <f>IF(L597="","",MIN(D598:L598))</f>
        <v>3245.1</v>
      </c>
      <c r="S596" s="58">
        <f>IF((L598=""),"",AVERAGE(D598:L598))</f>
        <v>3320.4822222222219</v>
      </c>
      <c r="T596" s="57">
        <f>IF((L597=""),"",((Q596-R596)/(Q596+R596))*100)</f>
        <v>1.8400268608228223</v>
      </c>
      <c r="U596" s="56">
        <f>STDEV(D596:L596)</f>
        <v>96.52801018355909</v>
      </c>
      <c r="V596" s="55" t="str">
        <f>IF(L597="","",(IF(T596&lt;7,IF(S596&gt;2800,IF(S596&lt;3800,"Pass","Fail"),"Fail"),"Fail")))</f>
        <v>Pass</v>
      </c>
      <c r="W596" s="54">
        <v>121</v>
      </c>
      <c r="X596" s="26" t="s">
        <v>174</v>
      </c>
      <c r="Z596" s="53">
        <v>2800</v>
      </c>
      <c r="AA596" s="53">
        <v>3800</v>
      </c>
      <c r="AB596" s="53">
        <v>3100</v>
      </c>
      <c r="AC596" s="53">
        <v>3760</v>
      </c>
      <c r="AD596" s="52">
        <v>6</v>
      </c>
      <c r="AE596" s="52">
        <v>6</v>
      </c>
    </row>
    <row r="597" spans="1:31" ht="16.5" customHeight="1">
      <c r="A597" s="199"/>
      <c r="B597" s="48"/>
      <c r="C597" s="51" t="s">
        <v>155</v>
      </c>
      <c r="D597" s="8">
        <v>1680.08</v>
      </c>
      <c r="E597" s="8">
        <v>1566.05</v>
      </c>
      <c r="F597" s="8">
        <v>1700.61</v>
      </c>
      <c r="G597" s="8">
        <v>1706.05</v>
      </c>
      <c r="H597" s="8">
        <v>1967.93</v>
      </c>
      <c r="I597" s="8">
        <v>1789.02</v>
      </c>
      <c r="J597" s="8">
        <v>1660.28</v>
      </c>
      <c r="K597" s="8">
        <v>1689.57</v>
      </c>
      <c r="L597" s="8">
        <v>1834.61</v>
      </c>
      <c r="M597" s="50"/>
      <c r="N597" s="50"/>
      <c r="O597" s="50"/>
      <c r="P597" s="50"/>
      <c r="Q597" s="48"/>
      <c r="R597" s="48"/>
      <c r="S597" s="49"/>
      <c r="T597" s="48"/>
      <c r="U597" s="48"/>
      <c r="V597" s="47"/>
      <c r="W597" s="46"/>
      <c r="X597" s="8"/>
    </row>
    <row r="598" spans="1:31" ht="24.75" customHeight="1" thickBot="1">
      <c r="A598" s="199"/>
      <c r="B598" s="42"/>
      <c r="C598" s="45" t="s">
        <v>154</v>
      </c>
      <c r="D598" s="44">
        <f t="shared" ref="D598:L598" si="194">IF(((D596="")*AND(D597="")),"",(D596-D597)*2)</f>
        <v>3324.54</v>
      </c>
      <c r="E598" s="44">
        <f t="shared" si="194"/>
        <v>3366.7599999999998</v>
      </c>
      <c r="F598" s="44">
        <f t="shared" si="194"/>
        <v>3352.7599999999998</v>
      </c>
      <c r="G598" s="44">
        <f t="shared" si="194"/>
        <v>3344.94</v>
      </c>
      <c r="H598" s="44">
        <f t="shared" si="194"/>
        <v>3245.1</v>
      </c>
      <c r="I598" s="44">
        <f t="shared" si="194"/>
        <v>3271.1000000000004</v>
      </c>
      <c r="J598" s="44">
        <f t="shared" si="194"/>
        <v>3347.28</v>
      </c>
      <c r="K598" s="44">
        <f t="shared" si="194"/>
        <v>3351.9</v>
      </c>
      <c r="L598" s="44">
        <f t="shared" si="194"/>
        <v>3279.9600000000005</v>
      </c>
      <c r="M598" s="44"/>
      <c r="N598" s="44"/>
      <c r="O598" s="44"/>
      <c r="P598" s="44"/>
      <c r="Q598" s="42"/>
      <c r="R598" s="42"/>
      <c r="S598" s="43"/>
      <c r="T598" s="42"/>
      <c r="U598" s="42"/>
      <c r="V598" s="41"/>
      <c r="W598" s="40"/>
      <c r="X598" s="8"/>
    </row>
    <row r="599" spans="1:31">
      <c r="A599" s="201">
        <v>43229</v>
      </c>
      <c r="B599" s="63" t="s">
        <v>158</v>
      </c>
      <c r="C599" s="56" t="s">
        <v>156</v>
      </c>
      <c r="D599" s="8">
        <v>1205.72</v>
      </c>
      <c r="E599" s="8">
        <v>1249.2</v>
      </c>
      <c r="F599" s="8">
        <v>1266.96</v>
      </c>
      <c r="G599" s="8">
        <v>1242.9000000000001</v>
      </c>
      <c r="H599" s="8">
        <v>1175.8399999999999</v>
      </c>
      <c r="I599" s="8">
        <v>1208.54</v>
      </c>
      <c r="J599" s="8">
        <v>1255.96</v>
      </c>
      <c r="K599" s="8">
        <v>1232.1600000000001</v>
      </c>
      <c r="L599" s="8">
        <v>1166.3</v>
      </c>
      <c r="M599" s="62"/>
      <c r="N599" s="62"/>
      <c r="O599" s="62"/>
      <c r="P599" s="62"/>
      <c r="Q599" s="63">
        <f>IF((L600=""),"",MAX(D601:L601))</f>
        <v>3148.3999999999996</v>
      </c>
      <c r="R599" s="63">
        <f>IF(L600="","",MIN(D601:L601))</f>
        <v>2723.32</v>
      </c>
      <c r="S599" s="63">
        <f>IF((L601=""),"",AVERAGE(D601:L601))</f>
        <v>2928.8088888888888</v>
      </c>
      <c r="T599" s="63">
        <f>IF((L600=""),"",((Q599-R599)/(Q599+R599))*100)</f>
        <v>7.2394460226304984</v>
      </c>
      <c r="U599" s="51">
        <f>STDEV(D599:L599)</f>
        <v>35.585363564252553</v>
      </c>
      <c r="V599" s="64" t="str">
        <f>IF(L600="","",(IF(T599&lt;12,IF(S599&gt;2200,IF(S599&lt;3280,"Pass","Fail"),"Fail"),"Fail")))</f>
        <v>Pass</v>
      </c>
      <c r="W599" s="67">
        <v>121</v>
      </c>
      <c r="X599" s="26" t="s">
        <v>173</v>
      </c>
      <c r="Z599" s="37">
        <v>2000</v>
      </c>
      <c r="AA599" s="37">
        <v>3000</v>
      </c>
      <c r="AB599" s="37">
        <v>2200</v>
      </c>
      <c r="AC599" s="37">
        <v>3280</v>
      </c>
      <c r="AD599" s="39">
        <v>12</v>
      </c>
      <c r="AE599" s="39">
        <v>12</v>
      </c>
    </row>
    <row r="600" spans="1:31" ht="16.5" customHeight="1">
      <c r="A600" s="199"/>
      <c r="B600" s="48"/>
      <c r="C600" s="51" t="s">
        <v>155</v>
      </c>
      <c r="D600" s="8">
        <v>453.66</v>
      </c>
      <c r="E600" s="8">
        <v>546.89</v>
      </c>
      <c r="F600" s="8">
        <v>586.13</v>
      </c>
      <c r="G600" s="8">
        <v>535.42999999999995</v>
      </c>
      <c r="H600" s="8">
        <v>389.07</v>
      </c>
      <c r="I600" s="8">
        <v>447.96</v>
      </c>
      <c r="J600" s="8">
        <v>556.73</v>
      </c>
      <c r="K600" s="8">
        <v>518.69000000000005</v>
      </c>
      <c r="L600" s="8">
        <v>379.2</v>
      </c>
      <c r="M600" s="50"/>
      <c r="N600" s="50"/>
      <c r="O600" s="50"/>
      <c r="P600" s="50"/>
      <c r="Q600" s="48"/>
      <c r="R600" s="48"/>
      <c r="S600" s="48"/>
      <c r="T600" s="48"/>
      <c r="U600" s="48"/>
      <c r="V600" s="47"/>
      <c r="W600" s="46"/>
      <c r="X600" s="8"/>
    </row>
    <row r="601" spans="1:31" ht="24.75" customHeight="1" thickBot="1">
      <c r="A601" s="199"/>
      <c r="B601" s="61"/>
      <c r="C601" s="51" t="s">
        <v>154</v>
      </c>
      <c r="D601" s="24">
        <f t="shared" ref="D601:L601" si="195">IF(((D599="")*AND(D600="")),"",(D599-D600)*4)</f>
        <v>3008.24</v>
      </c>
      <c r="E601" s="24">
        <f t="shared" si="195"/>
        <v>2809.2400000000002</v>
      </c>
      <c r="F601" s="24">
        <f t="shared" si="195"/>
        <v>2723.32</v>
      </c>
      <c r="G601" s="24">
        <f t="shared" si="195"/>
        <v>2829.8800000000006</v>
      </c>
      <c r="H601" s="24">
        <f t="shared" si="195"/>
        <v>3147.08</v>
      </c>
      <c r="I601" s="24">
        <f t="shared" si="195"/>
        <v>3042.3199999999997</v>
      </c>
      <c r="J601" s="24">
        <f t="shared" si="195"/>
        <v>2796.92</v>
      </c>
      <c r="K601" s="24">
        <f t="shared" si="195"/>
        <v>2853.88</v>
      </c>
      <c r="L601" s="24">
        <f t="shared" si="195"/>
        <v>3148.3999999999996</v>
      </c>
      <c r="M601" s="24"/>
      <c r="N601" s="24"/>
      <c r="O601" s="24"/>
      <c r="P601" s="24" t="str">
        <f>IF(((P599="")*AND(P600="")),"",(P599-P600)*4)</f>
        <v/>
      </c>
      <c r="Q601" s="61"/>
      <c r="R601" s="61"/>
      <c r="S601" s="61"/>
      <c r="T601" s="61"/>
      <c r="U601" s="61"/>
      <c r="V601" s="60"/>
      <c r="W601" s="59"/>
      <c r="X601" s="8"/>
    </row>
    <row r="602" spans="1:31">
      <c r="A602" s="202">
        <v>43229</v>
      </c>
      <c r="B602" s="57" t="s">
        <v>157</v>
      </c>
      <c r="C602" s="51" t="s">
        <v>156</v>
      </c>
      <c r="D602" s="8">
        <v>6825.84</v>
      </c>
      <c r="E602" s="8">
        <v>6815.8</v>
      </c>
      <c r="F602" s="8">
        <v>6884.75</v>
      </c>
      <c r="G602" s="8">
        <v>6861.54</v>
      </c>
      <c r="H602" s="8">
        <v>7000</v>
      </c>
      <c r="I602" s="8">
        <v>6913.43</v>
      </c>
      <c r="J602" s="8">
        <v>6866.37</v>
      </c>
      <c r="K602" s="8">
        <v>6854.84</v>
      </c>
      <c r="L602" s="8">
        <v>6946.61</v>
      </c>
      <c r="M602" s="50"/>
      <c r="N602" s="50"/>
      <c r="O602" s="50"/>
      <c r="P602" s="50"/>
      <c r="Q602" s="57">
        <f>IF((L603=""),"",MAX(D604:L604))</f>
        <v>3425.6200000000008</v>
      </c>
      <c r="R602" s="57">
        <f>IF(L603="","",MIN(D604:L604))</f>
        <v>3322.5599999999995</v>
      </c>
      <c r="S602" s="58">
        <f>IF((L604=""),"",AVERAGE(D604:L604))</f>
        <v>3394.1111111111113</v>
      </c>
      <c r="T602" s="57">
        <f>IF((L603=""),"",((Q602-R602)/(Q602+R602))*100)</f>
        <v>1.5272266003574491</v>
      </c>
      <c r="U602" s="56">
        <f>STDEV(D602:L602)</f>
        <v>59.079181847455587</v>
      </c>
      <c r="V602" s="55" t="str">
        <f>IF(L603="","",(IF(T602&lt;7,IF(S602&gt;2800,IF(S602&lt;3800,"Pass","Fail"),"Fail"),"Fail")))</f>
        <v>Pass</v>
      </c>
      <c r="W602" s="54">
        <v>121</v>
      </c>
      <c r="X602" s="26" t="s">
        <v>173</v>
      </c>
      <c r="Z602" s="53">
        <v>2800</v>
      </c>
      <c r="AA602" s="53">
        <v>3800</v>
      </c>
      <c r="AB602" s="53">
        <v>3100</v>
      </c>
      <c r="AC602" s="53">
        <v>3760</v>
      </c>
      <c r="AD602" s="52">
        <v>6</v>
      </c>
      <c r="AE602" s="52">
        <v>6</v>
      </c>
    </row>
    <row r="603" spans="1:31" ht="16.5" customHeight="1">
      <c r="A603" s="199"/>
      <c r="B603" s="48"/>
      <c r="C603" s="51" t="s">
        <v>155</v>
      </c>
      <c r="D603" s="8">
        <v>5142.9399999999996</v>
      </c>
      <c r="E603" s="8">
        <v>5104.2</v>
      </c>
      <c r="F603" s="8">
        <v>5171.9399999999996</v>
      </c>
      <c r="G603" s="8">
        <v>5155.5600000000004</v>
      </c>
      <c r="H603" s="8">
        <v>5338.72</v>
      </c>
      <c r="I603" s="8">
        <v>5227.12</v>
      </c>
      <c r="J603" s="8">
        <v>5158.6400000000003</v>
      </c>
      <c r="K603" s="8">
        <v>5143.04</v>
      </c>
      <c r="L603" s="8">
        <v>5253.52</v>
      </c>
      <c r="M603" s="50"/>
      <c r="N603" s="50"/>
      <c r="O603" s="50"/>
      <c r="P603" s="50"/>
      <c r="Q603" s="48"/>
      <c r="R603" s="48"/>
      <c r="S603" s="49"/>
      <c r="T603" s="48"/>
      <c r="U603" s="48"/>
      <c r="V603" s="47"/>
      <c r="W603" s="46"/>
      <c r="X603" s="8"/>
    </row>
    <row r="604" spans="1:31" ht="24.75" customHeight="1" thickBot="1">
      <c r="A604" s="199"/>
      <c r="B604" s="42"/>
      <c r="C604" s="45" t="s">
        <v>154</v>
      </c>
      <c r="D604" s="44">
        <f t="shared" ref="D604:L604" si="196">IF(((D602="")*AND(D603="")),"",(D602-D603)*2)</f>
        <v>3365.8000000000011</v>
      </c>
      <c r="E604" s="44">
        <f t="shared" si="196"/>
        <v>3423.2000000000007</v>
      </c>
      <c r="F604" s="44">
        <f t="shared" si="196"/>
        <v>3425.6200000000008</v>
      </c>
      <c r="G604" s="44">
        <f t="shared" si="196"/>
        <v>3411.9599999999991</v>
      </c>
      <c r="H604" s="44">
        <f t="shared" si="196"/>
        <v>3322.5599999999995</v>
      </c>
      <c r="I604" s="44">
        <f t="shared" si="196"/>
        <v>3372.6200000000008</v>
      </c>
      <c r="J604" s="44">
        <f t="shared" si="196"/>
        <v>3415.4599999999991</v>
      </c>
      <c r="K604" s="44">
        <f t="shared" si="196"/>
        <v>3423.6000000000004</v>
      </c>
      <c r="L604" s="44">
        <f t="shared" si="196"/>
        <v>3386.1799999999985</v>
      </c>
      <c r="M604" s="44"/>
      <c r="N604" s="44"/>
      <c r="O604" s="44"/>
      <c r="P604" s="44"/>
      <c r="Q604" s="42"/>
      <c r="R604" s="42"/>
      <c r="S604" s="43"/>
      <c r="T604" s="42"/>
      <c r="U604" s="42"/>
      <c r="V604" s="41"/>
      <c r="W604" s="40"/>
      <c r="X604" s="8"/>
    </row>
    <row r="605" spans="1:31">
      <c r="A605" s="201">
        <v>43235</v>
      </c>
      <c r="B605" s="63" t="s">
        <v>158</v>
      </c>
      <c r="C605" s="56" t="s">
        <v>156</v>
      </c>
      <c r="D605" s="69">
        <v>1962.54</v>
      </c>
      <c r="E605" s="69">
        <v>1951.6</v>
      </c>
      <c r="F605" s="69">
        <v>1949.04</v>
      </c>
      <c r="G605" s="69">
        <v>1949.69</v>
      </c>
      <c r="H605" s="69">
        <v>1959.49</v>
      </c>
      <c r="I605" s="69">
        <v>1963.84</v>
      </c>
      <c r="J605" s="69">
        <v>1951.61</v>
      </c>
      <c r="K605" s="69">
        <v>1952.44</v>
      </c>
      <c r="L605" s="69">
        <v>1964.21</v>
      </c>
      <c r="M605" s="62"/>
      <c r="N605" s="62"/>
      <c r="O605" s="62"/>
      <c r="P605" s="62"/>
      <c r="Q605" s="63">
        <f>IF((L606=""),"",MAX(D607:L607))</f>
        <v>3255.12</v>
      </c>
      <c r="R605" s="63">
        <f>IF(L606="","",MIN(D607:L607))</f>
        <v>2879.12</v>
      </c>
      <c r="S605" s="63">
        <f>IF((L607=""),"",AVERAGE(D607:L607))</f>
        <v>3042.0222222222219</v>
      </c>
      <c r="T605" s="63">
        <f>IF((L606=""),"",((Q605-R605)/(Q605+R605))*100)</f>
        <v>6.1295286783692848</v>
      </c>
      <c r="U605" s="51">
        <f>STDEV(D605:L605)</f>
        <v>6.3576852005598452</v>
      </c>
      <c r="V605" s="64" t="str">
        <f>IF(L606="","",(IF(T605&lt;12,IF(S605&gt;2200,IF(S605&lt;3280,"Pass","Fail"),"Fail"),"Fail")))</f>
        <v>Pass</v>
      </c>
      <c r="W605" s="67">
        <v>102</v>
      </c>
      <c r="Z605" s="37">
        <v>2000</v>
      </c>
      <c r="AA605" s="37">
        <v>3000</v>
      </c>
      <c r="AB605" s="37">
        <v>2200</v>
      </c>
      <c r="AC605" s="37">
        <v>3280</v>
      </c>
      <c r="AD605" s="39">
        <v>12</v>
      </c>
      <c r="AE605" s="39">
        <v>12</v>
      </c>
    </row>
    <row r="606" spans="1:31" ht="16.5" customHeight="1">
      <c r="A606" s="199"/>
      <c r="B606" s="48"/>
      <c r="C606" s="51" t="s">
        <v>155</v>
      </c>
      <c r="D606" s="65">
        <v>1164</v>
      </c>
      <c r="E606" s="65">
        <v>1209.19</v>
      </c>
      <c r="F606" s="65">
        <v>1229.26</v>
      </c>
      <c r="G606" s="65">
        <v>1210.3599999999999</v>
      </c>
      <c r="H606" s="65">
        <v>1186.04</v>
      </c>
      <c r="I606" s="65">
        <v>1150.06</v>
      </c>
      <c r="J606" s="65">
        <v>1194.18</v>
      </c>
      <c r="K606" s="65">
        <v>1221.96</v>
      </c>
      <c r="L606" s="8">
        <v>1194.8599999999999</v>
      </c>
      <c r="M606" s="50"/>
      <c r="N606" s="50"/>
      <c r="O606" s="50"/>
      <c r="P606" s="50"/>
      <c r="Q606" s="48"/>
      <c r="R606" s="48"/>
      <c r="S606" s="48"/>
      <c r="T606" s="48"/>
      <c r="U606" s="48"/>
      <c r="V606" s="47"/>
      <c r="W606" s="46"/>
      <c r="X606" s="8"/>
    </row>
    <row r="607" spans="1:31" ht="24.75" customHeight="1" thickBot="1">
      <c r="A607" s="199"/>
      <c r="B607" s="61"/>
      <c r="C607" s="51" t="s">
        <v>154</v>
      </c>
      <c r="D607" s="24">
        <f t="shared" ref="D607:L607" si="197">IF(((D605="")*AND(D606="")),"",(D605-D606)*4)</f>
        <v>3194.16</v>
      </c>
      <c r="E607" s="24">
        <f t="shared" si="197"/>
        <v>2969.6399999999994</v>
      </c>
      <c r="F607" s="24">
        <f t="shared" si="197"/>
        <v>2879.12</v>
      </c>
      <c r="G607" s="24">
        <f t="shared" si="197"/>
        <v>2957.3200000000006</v>
      </c>
      <c r="H607" s="24">
        <f t="shared" si="197"/>
        <v>3093.8</v>
      </c>
      <c r="I607" s="24">
        <f t="shared" si="197"/>
        <v>3255.12</v>
      </c>
      <c r="J607" s="24">
        <f t="shared" si="197"/>
        <v>3029.7199999999993</v>
      </c>
      <c r="K607" s="24">
        <f t="shared" si="197"/>
        <v>2921.92</v>
      </c>
      <c r="L607" s="24">
        <f t="shared" si="197"/>
        <v>3077.4000000000005</v>
      </c>
      <c r="M607" s="24"/>
      <c r="N607" s="24"/>
      <c r="O607" s="24"/>
      <c r="P607" s="24" t="str">
        <f>IF(((P605="")*AND(P606="")),"",(P605-P606)*4)</f>
        <v/>
      </c>
      <c r="Q607" s="61"/>
      <c r="R607" s="61"/>
      <c r="S607" s="61"/>
      <c r="T607" s="61"/>
      <c r="U607" s="61"/>
      <c r="V607" s="60"/>
      <c r="W607" s="59"/>
      <c r="X607" s="8"/>
    </row>
    <row r="608" spans="1:31">
      <c r="A608" s="202">
        <v>43235</v>
      </c>
      <c r="B608" s="57" t="s">
        <v>157</v>
      </c>
      <c r="C608" s="51" t="s">
        <v>156</v>
      </c>
      <c r="D608" s="65">
        <v>5147.24</v>
      </c>
      <c r="E608" s="65">
        <v>5166.0200000000004</v>
      </c>
      <c r="F608" s="65">
        <v>5253.14</v>
      </c>
      <c r="G608" s="65">
        <v>5248.6</v>
      </c>
      <c r="H608" s="65">
        <v>5524.12</v>
      </c>
      <c r="I608" s="65">
        <v>5387.77</v>
      </c>
      <c r="J608" s="65">
        <v>5273.63</v>
      </c>
      <c r="K608" s="65">
        <v>5227.57</v>
      </c>
      <c r="L608" s="65">
        <v>5486.92</v>
      </c>
      <c r="M608" s="50"/>
      <c r="N608" s="50"/>
      <c r="O608" s="50"/>
      <c r="P608" s="50"/>
      <c r="Q608" s="57">
        <f>IF((L609=""),"",MAX(D610:L610))</f>
        <v>3756.5600000000013</v>
      </c>
      <c r="R608" s="57">
        <f>IF(L609="","",MIN(D610:L610))</f>
        <v>3659.9399999999996</v>
      </c>
      <c r="S608" s="58">
        <f>IF((L610=""),"",AVERAGE(D610:L610))</f>
        <v>3713.9377777777781</v>
      </c>
      <c r="T608" s="57">
        <f>IF((L609=""),"",((Q608-R608)/(Q608+R608))*100)</f>
        <v>1.3027708487831418</v>
      </c>
      <c r="U608" s="56">
        <f>STDEV(D608:L608)</f>
        <v>134.58870669359172</v>
      </c>
      <c r="V608" s="55" t="str">
        <f>IF(L609="","",(IF(T608&lt;7,IF(S608&gt;2800,IF(S608&lt;3800,"Pass","Fail"),"Fail"),"Fail")))</f>
        <v>Pass</v>
      </c>
      <c r="W608" s="54">
        <v>102</v>
      </c>
      <c r="Z608" s="53">
        <v>2800</v>
      </c>
      <c r="AA608" s="53">
        <v>3800</v>
      </c>
      <c r="AB608" s="53">
        <v>3100</v>
      </c>
      <c r="AC608" s="53">
        <v>3760</v>
      </c>
      <c r="AD608" s="52">
        <v>6</v>
      </c>
      <c r="AE608" s="52">
        <v>6</v>
      </c>
    </row>
    <row r="609" spans="1:31" ht="16.5" customHeight="1">
      <c r="A609" s="199"/>
      <c r="B609" s="48"/>
      <c r="C609" s="51" t="s">
        <v>155</v>
      </c>
      <c r="D609" s="65">
        <v>3317.27</v>
      </c>
      <c r="E609" s="65">
        <v>3320.03</v>
      </c>
      <c r="F609" s="65">
        <v>3397.88</v>
      </c>
      <c r="G609" s="65">
        <v>3396.59</v>
      </c>
      <c r="H609" s="65">
        <v>3654.83</v>
      </c>
      <c r="I609" s="65">
        <v>3509.49</v>
      </c>
      <c r="J609" s="65">
        <v>3409.54</v>
      </c>
      <c r="K609" s="65">
        <v>3383.13</v>
      </c>
      <c r="L609" s="65">
        <v>3613.53</v>
      </c>
      <c r="M609" s="50"/>
      <c r="N609" s="50"/>
      <c r="O609" s="50"/>
      <c r="P609" s="50"/>
      <c r="Q609" s="48"/>
      <c r="R609" s="48"/>
      <c r="S609" s="49"/>
      <c r="T609" s="48"/>
      <c r="U609" s="48"/>
      <c r="V609" s="47"/>
      <c r="W609" s="46"/>
      <c r="X609" s="8"/>
    </row>
    <row r="610" spans="1:31" ht="24.75" customHeight="1" thickBot="1">
      <c r="A610" s="199"/>
      <c r="B610" s="42"/>
      <c r="C610" s="45" t="s">
        <v>154</v>
      </c>
      <c r="D610" s="44">
        <f t="shared" ref="D610:L610" si="198">IF(((D608="")*AND(D609="")),"",(D608-D609)*2)</f>
        <v>3659.9399999999996</v>
      </c>
      <c r="E610" s="44">
        <f t="shared" si="198"/>
        <v>3691.9800000000005</v>
      </c>
      <c r="F610" s="44">
        <f t="shared" si="198"/>
        <v>3710.5200000000004</v>
      </c>
      <c r="G610" s="44">
        <f t="shared" si="198"/>
        <v>3704.0200000000004</v>
      </c>
      <c r="H610" s="44">
        <f t="shared" si="198"/>
        <v>3738.58</v>
      </c>
      <c r="I610" s="44">
        <f t="shared" si="198"/>
        <v>3756.5600000000013</v>
      </c>
      <c r="J610" s="44">
        <f t="shared" si="198"/>
        <v>3728.1800000000003</v>
      </c>
      <c r="K610" s="44">
        <f t="shared" si="198"/>
        <v>3688.8799999999992</v>
      </c>
      <c r="L610" s="44">
        <f t="shared" si="198"/>
        <v>3746.7799999999997</v>
      </c>
      <c r="M610" s="44"/>
      <c r="N610" s="44"/>
      <c r="O610" s="44"/>
      <c r="P610" s="44"/>
      <c r="Q610" s="42"/>
      <c r="R610" s="42"/>
      <c r="S610" s="43"/>
      <c r="T610" s="42"/>
      <c r="U610" s="42"/>
      <c r="V610" s="41"/>
      <c r="W610" s="40"/>
      <c r="X610" s="8"/>
    </row>
    <row r="611" spans="1:31">
      <c r="A611" s="195">
        <v>43241</v>
      </c>
      <c r="B611" s="63" t="s">
        <v>158</v>
      </c>
      <c r="C611" s="56" t="s">
        <v>156</v>
      </c>
      <c r="D611" s="69">
        <v>1190</v>
      </c>
      <c r="E611" s="69">
        <v>1213</v>
      </c>
      <c r="F611" s="69">
        <v>1231</v>
      </c>
      <c r="G611" s="69">
        <v>1211</v>
      </c>
      <c r="H611" s="69">
        <v>1167</v>
      </c>
      <c r="I611" s="69">
        <v>1198</v>
      </c>
      <c r="J611" s="69">
        <v>1224</v>
      </c>
      <c r="K611" s="69">
        <v>1198</v>
      </c>
      <c r="L611" s="69">
        <v>1150</v>
      </c>
      <c r="M611" s="62"/>
      <c r="N611" s="62"/>
      <c r="O611" s="62"/>
      <c r="P611" s="62"/>
      <c r="Q611" s="63">
        <f>IF((L612=""),"",MAX(D613:L613))</f>
        <v>3052</v>
      </c>
      <c r="R611" s="63">
        <f>IF(L612="","",MIN(D613:L613))</f>
        <v>2688</v>
      </c>
      <c r="S611" s="63">
        <f>IF((L613=""),"",AVERAGE(D613:L613))</f>
        <v>2855.5555555555557</v>
      </c>
      <c r="T611" s="63">
        <f>IF((L612=""),"",((Q611-R611)/(Q611+R611))*100)</f>
        <v>6.3414634146341466</v>
      </c>
      <c r="U611" s="51">
        <f>STDEV(D611:L611)</f>
        <v>26.19160170741759</v>
      </c>
      <c r="V611" s="64" t="str">
        <f>IF(L612="","",(IF(T611&lt;12,IF(S611&gt;2200,IF(S611&lt;3280,"Pass","Fail"),"Fail"),"Fail")))</f>
        <v>Pass</v>
      </c>
      <c r="W611" s="67">
        <v>1335</v>
      </c>
      <c r="Z611" s="37">
        <v>2000</v>
      </c>
      <c r="AA611" s="37">
        <v>3000</v>
      </c>
      <c r="AB611" s="37">
        <v>2200</v>
      </c>
      <c r="AC611" s="37">
        <v>3280</v>
      </c>
      <c r="AD611" s="39">
        <v>12</v>
      </c>
      <c r="AE611" s="39">
        <v>12</v>
      </c>
    </row>
    <row r="612" spans="1:31" ht="16.5" customHeight="1">
      <c r="A612" s="199"/>
      <c r="B612" s="48"/>
      <c r="C612" s="51" t="s">
        <v>155</v>
      </c>
      <c r="D612" s="65">
        <v>460</v>
      </c>
      <c r="E612" s="65">
        <v>523</v>
      </c>
      <c r="F612" s="65">
        <v>559</v>
      </c>
      <c r="G612" s="65">
        <v>516</v>
      </c>
      <c r="H612" s="65">
        <v>414</v>
      </c>
      <c r="I612" s="65">
        <v>465</v>
      </c>
      <c r="J612" s="65">
        <v>538</v>
      </c>
      <c r="K612" s="65">
        <v>495</v>
      </c>
      <c r="L612" s="65">
        <v>387</v>
      </c>
      <c r="M612" s="50"/>
      <c r="N612" s="50"/>
      <c r="O612" s="50"/>
      <c r="P612" s="50"/>
      <c r="Q612" s="48"/>
      <c r="R612" s="48"/>
      <c r="S612" s="48"/>
      <c r="T612" s="48"/>
      <c r="U612" s="48"/>
      <c r="V612" s="47"/>
      <c r="W612" s="46"/>
      <c r="X612" s="8"/>
    </row>
    <row r="613" spans="1:31" ht="24.75" customHeight="1" thickBot="1">
      <c r="A613" s="199"/>
      <c r="B613" s="61"/>
      <c r="C613" s="51" t="s">
        <v>154</v>
      </c>
      <c r="D613" s="24">
        <f t="shared" ref="D613:L613" si="199">IF(((D611="")*AND(D612="")),"",(D611-D612)*4)</f>
        <v>2920</v>
      </c>
      <c r="E613" s="24">
        <f t="shared" si="199"/>
        <v>2760</v>
      </c>
      <c r="F613" s="24">
        <f t="shared" si="199"/>
        <v>2688</v>
      </c>
      <c r="G613" s="24">
        <f t="shared" si="199"/>
        <v>2780</v>
      </c>
      <c r="H613" s="24">
        <f t="shared" si="199"/>
        <v>3012</v>
      </c>
      <c r="I613" s="24">
        <f t="shared" si="199"/>
        <v>2932</v>
      </c>
      <c r="J613" s="24">
        <f t="shared" si="199"/>
        <v>2744</v>
      </c>
      <c r="K613" s="24">
        <f t="shared" si="199"/>
        <v>2812</v>
      </c>
      <c r="L613" s="24">
        <f t="shared" si="199"/>
        <v>3052</v>
      </c>
      <c r="M613" s="24"/>
      <c r="N613" s="24"/>
      <c r="O613" s="24"/>
      <c r="P613" s="24" t="str">
        <f>IF(((P611="")*AND(P612="")),"",(P611-P612)*4)</f>
        <v/>
      </c>
      <c r="Q613" s="61"/>
      <c r="R613" s="61"/>
      <c r="S613" s="61"/>
      <c r="T613" s="61"/>
      <c r="U613" s="61"/>
      <c r="V613" s="60"/>
      <c r="W613" s="59"/>
      <c r="X613" s="8"/>
    </row>
    <row r="614" spans="1:31">
      <c r="A614" s="195">
        <v>43241</v>
      </c>
      <c r="B614" s="57" t="s">
        <v>157</v>
      </c>
      <c r="C614" s="51" t="s">
        <v>156</v>
      </c>
      <c r="D614" s="65">
        <v>3416</v>
      </c>
      <c r="E614" s="65">
        <v>3360</v>
      </c>
      <c r="F614" s="65">
        <v>3430</v>
      </c>
      <c r="G614" s="65">
        <v>3418</v>
      </c>
      <c r="H614" s="65">
        <v>3610</v>
      </c>
      <c r="I614" s="65">
        <v>3467</v>
      </c>
      <c r="J614" s="65">
        <v>3416</v>
      </c>
      <c r="K614" s="65">
        <v>3405</v>
      </c>
      <c r="L614" s="65">
        <v>3520</v>
      </c>
      <c r="M614" s="50"/>
      <c r="N614" s="50"/>
      <c r="O614" s="50"/>
      <c r="P614" s="50"/>
      <c r="Q614" s="57">
        <f>IF((L615=""),"",MAX(D616:L616))</f>
        <v>3446</v>
      </c>
      <c r="R614" s="57">
        <f>IF(L615="","",MIN(D616:L616))</f>
        <v>3320</v>
      </c>
      <c r="S614" s="58">
        <f>IF((L616=""),"",AVERAGE(D616:L616))</f>
        <v>3402.4444444444443</v>
      </c>
      <c r="T614" s="57">
        <f>IF((L615=""),"",((Q614-R614)/(Q614+R614))*100)</f>
        <v>1.8622524386639077</v>
      </c>
      <c r="U614" s="56">
        <f>STDEV(D614:L614)</f>
        <v>74.70181464403619</v>
      </c>
      <c r="V614" s="55" t="str">
        <f>IF(L615="","",(IF(T614&lt;7,IF(S614&gt;2800,IF(S614&lt;3800,"Pass","Fail"),"Fail"),"Fail")))</f>
        <v>Pass</v>
      </c>
      <c r="W614" s="54">
        <v>1335</v>
      </c>
      <c r="Z614" s="53">
        <v>2800</v>
      </c>
      <c r="AA614" s="53">
        <v>3800</v>
      </c>
      <c r="AB614" s="53">
        <v>3100</v>
      </c>
      <c r="AC614" s="53">
        <v>3760</v>
      </c>
      <c r="AD614" s="52">
        <v>6</v>
      </c>
      <c r="AE614" s="52">
        <v>6</v>
      </c>
    </row>
    <row r="615" spans="1:31" ht="16.5" customHeight="1">
      <c r="A615" s="199"/>
      <c r="B615" s="48"/>
      <c r="C615" s="51" t="s">
        <v>155</v>
      </c>
      <c r="D615" s="65">
        <v>1726</v>
      </c>
      <c r="E615" s="65">
        <v>1637</v>
      </c>
      <c r="F615" s="65">
        <v>1710</v>
      </c>
      <c r="G615" s="65">
        <v>1706</v>
      </c>
      <c r="H615" s="65">
        <v>1950</v>
      </c>
      <c r="I615" s="65">
        <v>1781</v>
      </c>
      <c r="J615" s="65">
        <v>1701</v>
      </c>
      <c r="K615" s="65">
        <v>1687</v>
      </c>
      <c r="L615" s="65">
        <v>1833</v>
      </c>
      <c r="M615" s="50"/>
      <c r="N615" s="50"/>
      <c r="O615" s="50"/>
      <c r="P615" s="50"/>
      <c r="Q615" s="48"/>
      <c r="R615" s="48"/>
      <c r="S615" s="49"/>
      <c r="T615" s="48"/>
      <c r="U615" s="48"/>
      <c r="V615" s="47"/>
      <c r="W615" s="46"/>
      <c r="X615" s="8"/>
    </row>
    <row r="616" spans="1:31" ht="24.75" customHeight="1" thickBot="1">
      <c r="A616" s="199"/>
      <c r="B616" s="42"/>
      <c r="C616" s="45" t="s">
        <v>154</v>
      </c>
      <c r="D616" s="44">
        <f t="shared" ref="D616:L616" si="200">IF(((D614="")*AND(D615="")),"",(D614-D615)*2)</f>
        <v>3380</v>
      </c>
      <c r="E616" s="44">
        <f t="shared" si="200"/>
        <v>3446</v>
      </c>
      <c r="F616" s="44">
        <f t="shared" si="200"/>
        <v>3440</v>
      </c>
      <c r="G616" s="44">
        <f t="shared" si="200"/>
        <v>3424</v>
      </c>
      <c r="H616" s="44">
        <f t="shared" si="200"/>
        <v>3320</v>
      </c>
      <c r="I616" s="44">
        <f t="shared" si="200"/>
        <v>3372</v>
      </c>
      <c r="J616" s="44">
        <f t="shared" si="200"/>
        <v>3430</v>
      </c>
      <c r="K616" s="44">
        <f t="shared" si="200"/>
        <v>3436</v>
      </c>
      <c r="L616" s="44">
        <f t="shared" si="200"/>
        <v>3374</v>
      </c>
      <c r="M616" s="44"/>
      <c r="N616" s="44"/>
      <c r="O616" s="44"/>
      <c r="P616" s="44"/>
      <c r="Q616" s="42"/>
      <c r="R616" s="42"/>
      <c r="S616" s="43"/>
      <c r="T616" s="42"/>
      <c r="U616" s="42"/>
      <c r="V616" s="41"/>
      <c r="W616" s="40"/>
      <c r="X616" s="8"/>
    </row>
    <row r="617" spans="1:31">
      <c r="A617" s="201">
        <v>43251</v>
      </c>
      <c r="B617" s="63" t="s">
        <v>158</v>
      </c>
      <c r="C617" s="56" t="s">
        <v>156</v>
      </c>
      <c r="D617" s="68"/>
      <c r="E617" s="68"/>
      <c r="F617" s="68"/>
      <c r="G617" s="68"/>
      <c r="H617" s="68"/>
      <c r="I617" s="68"/>
      <c r="J617" s="68"/>
      <c r="K617" s="68"/>
      <c r="L617" s="68"/>
      <c r="M617" s="50"/>
      <c r="N617" s="50"/>
      <c r="O617" s="50"/>
      <c r="P617" s="50"/>
      <c r="Q617" s="57" t="str">
        <f>IF((L618=""),"",MAX(D619:L619))</f>
        <v/>
      </c>
      <c r="R617" s="57" t="str">
        <f>IF(L618="","",MIN(D619:L619))</f>
        <v/>
      </c>
      <c r="S617" s="58" t="str">
        <f>IF((L619=""),"",AVERAGE(D619:L619))</f>
        <v/>
      </c>
      <c r="T617" s="57" t="str">
        <f>IF((L618=""),"",((Q617-R617)/(Q617+R617))*100)</f>
        <v/>
      </c>
      <c r="U617" s="56"/>
      <c r="V617" s="55" t="str">
        <f>IF(L618="","",(IF(T617&lt;7,IF(S617&gt;2800,IF(S617&lt;3800,"Pass","Fail"),"Fail"),"Fail")))</f>
        <v/>
      </c>
      <c r="W617" s="54"/>
      <c r="Y617" s="8" t="s">
        <v>172</v>
      </c>
      <c r="Z617" s="37">
        <v>2000</v>
      </c>
      <c r="AA617" s="37">
        <v>3000</v>
      </c>
      <c r="AB617" s="37">
        <v>2200</v>
      </c>
      <c r="AC617" s="37">
        <v>3280</v>
      </c>
      <c r="AD617" s="39">
        <v>12</v>
      </c>
      <c r="AE617" s="39">
        <v>12</v>
      </c>
    </row>
    <row r="618" spans="1:31" ht="16.5" customHeight="1">
      <c r="A618" s="199"/>
      <c r="B618" s="48"/>
      <c r="C618" s="51" t="s">
        <v>155</v>
      </c>
      <c r="D618" s="68"/>
      <c r="E618" s="68"/>
      <c r="F618" s="68"/>
      <c r="G618" s="68"/>
      <c r="H618" s="68"/>
      <c r="I618" s="68"/>
      <c r="J618" s="68"/>
      <c r="K618" s="68"/>
      <c r="L618" s="68"/>
      <c r="M618" s="50"/>
      <c r="N618" s="50"/>
      <c r="O618" s="50"/>
      <c r="P618" s="50"/>
      <c r="Q618" s="48"/>
      <c r="R618" s="48"/>
      <c r="S618" s="49"/>
      <c r="T618" s="48"/>
      <c r="U618" s="48"/>
      <c r="V618" s="47"/>
      <c r="W618" s="46"/>
      <c r="X618" s="8"/>
      <c r="Y618" s="8"/>
    </row>
    <row r="619" spans="1:31" ht="24.75" customHeight="1" thickBot="1">
      <c r="A619" s="199"/>
      <c r="B619" s="61"/>
      <c r="C619" s="51" t="s">
        <v>154</v>
      </c>
      <c r="D619" s="44" t="str">
        <f t="shared" ref="D619:L619" si="201">IF(((D617="")*AND(D618="")),"",(D617-D618)*2)</f>
        <v/>
      </c>
      <c r="E619" s="44" t="str">
        <f t="shared" si="201"/>
        <v/>
      </c>
      <c r="F619" s="44" t="str">
        <f t="shared" si="201"/>
        <v/>
      </c>
      <c r="G619" s="44" t="str">
        <f t="shared" si="201"/>
        <v/>
      </c>
      <c r="H619" s="44" t="str">
        <f t="shared" si="201"/>
        <v/>
      </c>
      <c r="I619" s="44" t="str">
        <f t="shared" si="201"/>
        <v/>
      </c>
      <c r="J619" s="44" t="str">
        <f t="shared" si="201"/>
        <v/>
      </c>
      <c r="K619" s="44" t="str">
        <f t="shared" si="201"/>
        <v/>
      </c>
      <c r="L619" s="44" t="str">
        <f t="shared" si="201"/>
        <v/>
      </c>
      <c r="M619" s="44"/>
      <c r="N619" s="44"/>
      <c r="O619" s="44"/>
      <c r="P619" s="44"/>
      <c r="Q619" s="42"/>
      <c r="R619" s="42"/>
      <c r="S619" s="43"/>
      <c r="T619" s="42"/>
      <c r="U619" s="42"/>
      <c r="V619" s="41"/>
      <c r="W619" s="40"/>
      <c r="X619" s="8"/>
      <c r="Y619" s="8"/>
    </row>
    <row r="620" spans="1:31">
      <c r="A620" s="202">
        <v>43251</v>
      </c>
      <c r="B620" s="57" t="s">
        <v>157</v>
      </c>
      <c r="C620" s="51" t="s">
        <v>156</v>
      </c>
      <c r="D620" s="69"/>
      <c r="E620" s="69"/>
      <c r="F620" s="69"/>
      <c r="G620" s="69"/>
      <c r="H620" s="69"/>
      <c r="I620" s="69"/>
      <c r="J620" s="69"/>
      <c r="K620" s="69"/>
      <c r="L620" s="69"/>
      <c r="M620" s="62"/>
      <c r="N620" s="62"/>
      <c r="O620" s="62"/>
      <c r="P620" s="62"/>
      <c r="Q620" s="63" t="str">
        <f>IF((L621=""),"",MAX(D622:L622))</f>
        <v/>
      </c>
      <c r="R620" s="63" t="str">
        <f>IF(L621="","",MIN(D622:L622))</f>
        <v/>
      </c>
      <c r="S620" s="63" t="str">
        <f>IF((L622=""),"",AVERAGE(D622:L622))</f>
        <v/>
      </c>
      <c r="T620" s="63" t="str">
        <f>IF((L621=""),"",((Q620-R620)/(Q620+R620))*100)</f>
        <v/>
      </c>
      <c r="U620" s="63"/>
      <c r="V620" s="55" t="str">
        <f>IF(L621="","",(IF(T620&lt;7,IF(S620&gt;2000,IF(S620&lt;3000,"Pass","Fail"),"Fail"),"Fail")))</f>
        <v/>
      </c>
      <c r="W620" s="67"/>
      <c r="Y620" s="8" t="s">
        <v>172</v>
      </c>
      <c r="Z620" s="53">
        <v>2800</v>
      </c>
      <c r="AA620" s="53">
        <v>3800</v>
      </c>
      <c r="AB620" s="53">
        <v>3100</v>
      </c>
      <c r="AC620" s="53">
        <v>3760</v>
      </c>
      <c r="AD620" s="52">
        <v>6</v>
      </c>
      <c r="AE620" s="52">
        <v>6</v>
      </c>
    </row>
    <row r="621" spans="1:31" ht="16.5" customHeight="1">
      <c r="A621" s="199"/>
      <c r="B621" s="48"/>
      <c r="C621" s="51" t="s">
        <v>155</v>
      </c>
      <c r="D621" s="68"/>
      <c r="E621" s="68"/>
      <c r="F621" s="68"/>
      <c r="G621" s="68"/>
      <c r="H621" s="68"/>
      <c r="I621" s="68"/>
      <c r="J621" s="68"/>
      <c r="K621" s="68"/>
      <c r="L621" s="68"/>
      <c r="M621" s="50"/>
      <c r="N621" s="50"/>
      <c r="O621" s="50"/>
      <c r="P621" s="50"/>
      <c r="Q621" s="48"/>
      <c r="R621" s="48"/>
      <c r="S621" s="48"/>
      <c r="T621" s="48"/>
      <c r="U621" s="48"/>
      <c r="V621" s="47"/>
      <c r="W621" s="46"/>
      <c r="X621" s="8"/>
    </row>
    <row r="622" spans="1:31" ht="24.75" customHeight="1" thickBot="1">
      <c r="A622" s="199"/>
      <c r="B622" s="42"/>
      <c r="C622" s="45" t="s">
        <v>154</v>
      </c>
      <c r="D622" s="24" t="str">
        <f t="shared" ref="D622:L622" si="202">IF(((D620="")*AND(D621="")),"",(D620-D621)*4)</f>
        <v/>
      </c>
      <c r="E622" s="24" t="str">
        <f t="shared" si="202"/>
        <v/>
      </c>
      <c r="F622" s="24" t="str">
        <f t="shared" si="202"/>
        <v/>
      </c>
      <c r="G622" s="24" t="str">
        <f t="shared" si="202"/>
        <v/>
      </c>
      <c r="H622" s="24" t="str">
        <f t="shared" si="202"/>
        <v/>
      </c>
      <c r="I622" s="24" t="str">
        <f t="shared" si="202"/>
        <v/>
      </c>
      <c r="J622" s="24" t="str">
        <f t="shared" si="202"/>
        <v/>
      </c>
      <c r="K622" s="24" t="str">
        <f t="shared" si="202"/>
        <v/>
      </c>
      <c r="L622" s="24" t="str">
        <f t="shared" si="202"/>
        <v/>
      </c>
      <c r="M622" s="24"/>
      <c r="N622" s="24"/>
      <c r="O622" s="24"/>
      <c r="P622" s="24" t="str">
        <f>IF(((P620="")*AND(P621="")),"",(P620-P621)*4)</f>
        <v/>
      </c>
      <c r="Q622" s="61"/>
      <c r="R622" s="61"/>
      <c r="S622" s="61"/>
      <c r="T622" s="61"/>
      <c r="U622" s="61"/>
      <c r="V622" s="60"/>
      <c r="W622" s="59"/>
      <c r="X622" s="8"/>
    </row>
    <row r="623" spans="1:31">
      <c r="A623" s="195">
        <v>43255</v>
      </c>
      <c r="B623" s="63" t="s">
        <v>158</v>
      </c>
      <c r="C623" s="56" t="s">
        <v>156</v>
      </c>
      <c r="D623" s="8">
        <v>1911.41</v>
      </c>
      <c r="E623" s="8">
        <v>1904.31</v>
      </c>
      <c r="F623" s="8">
        <v>1899.18</v>
      </c>
      <c r="G623" s="8">
        <v>1907.02</v>
      </c>
      <c r="H623" s="8">
        <v>1913.61</v>
      </c>
      <c r="I623" s="8">
        <v>1916.39</v>
      </c>
      <c r="J623" s="8">
        <v>1908.22</v>
      </c>
      <c r="K623" s="8">
        <v>1902.9</v>
      </c>
      <c r="L623" s="8">
        <v>1911.26</v>
      </c>
      <c r="M623" s="62"/>
      <c r="N623" s="62"/>
      <c r="O623" s="62"/>
      <c r="P623" s="62"/>
      <c r="Q623" s="63">
        <f>IF((L624=""),"",MAX(D625:L625))</f>
        <v>3158.8</v>
      </c>
      <c r="R623" s="63">
        <f>IF(L624="","",MIN(D625:L625))</f>
        <v>2728.76</v>
      </c>
      <c r="S623" s="63">
        <f>IF((L625=""),"",AVERAGE(D625:L625))</f>
        <v>2921.9466666666663</v>
      </c>
      <c r="T623" s="63">
        <f>IF((L624=""),"",((Q623-R623)/(Q623+R623))*100)</f>
        <v>7.3042143094932355</v>
      </c>
      <c r="U623" s="51">
        <f>STDEV(D623:L623)</f>
        <v>5.4995388696121061</v>
      </c>
      <c r="V623" s="64" t="str">
        <f>IF(L624="","",(IF(T623&lt;12,IF(S623&gt;2200,IF(S623&lt;3280,"Pass","Fail"),"Fail"),"Fail")))</f>
        <v>Pass</v>
      </c>
      <c r="W623" s="67"/>
      <c r="Z623" s="37">
        <v>2000</v>
      </c>
      <c r="AA623" s="37">
        <v>3000</v>
      </c>
      <c r="AB623" s="37">
        <v>2200</v>
      </c>
      <c r="AC623" s="37">
        <v>3280</v>
      </c>
      <c r="AD623" s="39">
        <v>12</v>
      </c>
      <c r="AE623" s="39">
        <v>12</v>
      </c>
    </row>
    <row r="624" spans="1:31" ht="16.5" customHeight="1">
      <c r="A624" s="199"/>
      <c r="B624" s="48"/>
      <c r="C624" s="51" t="s">
        <v>155</v>
      </c>
      <c r="D624" s="8">
        <v>1161.57</v>
      </c>
      <c r="E624" s="8">
        <v>1202.3</v>
      </c>
      <c r="F624" s="8">
        <v>1216.99</v>
      </c>
      <c r="G624" s="8">
        <v>1198.1600000000001</v>
      </c>
      <c r="H624" s="8">
        <v>1135.93</v>
      </c>
      <c r="I624" s="8">
        <v>1167.6600000000001</v>
      </c>
      <c r="J624" s="8">
        <v>1211.81</v>
      </c>
      <c r="K624" s="8">
        <v>1183.94</v>
      </c>
      <c r="L624" s="8">
        <v>1121.56</v>
      </c>
      <c r="M624" s="50"/>
      <c r="N624" s="50"/>
      <c r="O624" s="50"/>
      <c r="P624" s="50"/>
      <c r="Q624" s="48"/>
      <c r="R624" s="48"/>
      <c r="S624" s="48"/>
      <c r="T624" s="48"/>
      <c r="U624" s="48"/>
      <c r="V624" s="47"/>
      <c r="W624" s="46"/>
      <c r="X624" s="8"/>
    </row>
    <row r="625" spans="1:31" ht="24.75" customHeight="1" thickBot="1">
      <c r="A625" s="199"/>
      <c r="B625" s="61"/>
      <c r="C625" s="51" t="s">
        <v>154</v>
      </c>
      <c r="D625" s="24">
        <f t="shared" ref="D625:L625" si="203">IF(((D623="")*AND(D624="")),"",(D623-D624)*4)</f>
        <v>2999.3600000000006</v>
      </c>
      <c r="E625" s="24">
        <f t="shared" si="203"/>
        <v>2808.04</v>
      </c>
      <c r="F625" s="24">
        <f t="shared" si="203"/>
        <v>2728.76</v>
      </c>
      <c r="G625" s="24">
        <f t="shared" si="203"/>
        <v>2835.4399999999996</v>
      </c>
      <c r="H625" s="24">
        <f t="shared" si="203"/>
        <v>3110.7199999999993</v>
      </c>
      <c r="I625" s="24">
        <f t="shared" si="203"/>
        <v>2994.92</v>
      </c>
      <c r="J625" s="24">
        <f t="shared" si="203"/>
        <v>2785.6400000000003</v>
      </c>
      <c r="K625" s="24">
        <f t="shared" si="203"/>
        <v>2875.84</v>
      </c>
      <c r="L625" s="24">
        <f t="shared" si="203"/>
        <v>3158.8</v>
      </c>
      <c r="M625" s="24"/>
      <c r="N625" s="24"/>
      <c r="O625" s="24"/>
      <c r="P625" s="24" t="str">
        <f>IF(((P623="")*AND(P624="")),"",(P623-P624)*4)</f>
        <v/>
      </c>
      <c r="Q625" s="61"/>
      <c r="R625" s="61"/>
      <c r="S625" s="61"/>
      <c r="T625" s="61"/>
      <c r="U625" s="61"/>
      <c r="V625" s="60"/>
      <c r="W625" s="59"/>
      <c r="X625" s="8"/>
    </row>
    <row r="626" spans="1:31">
      <c r="A626" s="195">
        <v>43255</v>
      </c>
      <c r="B626" s="57" t="s">
        <v>157</v>
      </c>
      <c r="C626" s="51" t="s">
        <v>156</v>
      </c>
      <c r="D626" s="8">
        <v>5320.07</v>
      </c>
      <c r="E626" s="8">
        <v>5287.98</v>
      </c>
      <c r="F626" s="8">
        <v>5368.57</v>
      </c>
      <c r="G626" s="8">
        <v>5345.42</v>
      </c>
      <c r="H626" s="8">
        <v>5500.83</v>
      </c>
      <c r="I626" s="8">
        <v>5399.88</v>
      </c>
      <c r="J626" s="8">
        <v>5346.84</v>
      </c>
      <c r="K626" s="8">
        <v>5337.33</v>
      </c>
      <c r="L626" s="8">
        <v>5436.02</v>
      </c>
      <c r="M626" s="50"/>
      <c r="N626" s="50"/>
      <c r="O626" s="50"/>
      <c r="P626" s="50"/>
      <c r="Q626" s="57">
        <f>IF((L627=""),"",MAX(D628:L628))</f>
        <v>3528.7200000000003</v>
      </c>
      <c r="R626" s="57">
        <f>IF(L627="","",MIN(D628:L628))</f>
        <v>3480.2</v>
      </c>
      <c r="S626" s="58">
        <f>IF((L628=""),"",AVERAGE(D628:L628))</f>
        <v>3499.9555555555553</v>
      </c>
      <c r="T626" s="57">
        <f>IF((L627=""),"",((Q626-R626)/(Q626+R626))*100)</f>
        <v>0.69226071919782839</v>
      </c>
      <c r="U626" s="56">
        <f>STDEV(D626:L626)</f>
        <v>64.980343138845953</v>
      </c>
      <c r="V626" s="55" t="str">
        <f>IF(L627="","",(IF(T626&lt;7,IF(S626&gt;2800,IF(S626&lt;3800,"Pass","Fail"),"Fail"),"Fail")))</f>
        <v>Pass</v>
      </c>
      <c r="W626" s="54"/>
      <c r="Z626" s="53">
        <v>2800</v>
      </c>
      <c r="AA626" s="53">
        <v>3800</v>
      </c>
      <c r="AB626" s="53">
        <v>3100</v>
      </c>
      <c r="AC626" s="53">
        <v>3760</v>
      </c>
      <c r="AD626" s="52">
        <v>6</v>
      </c>
      <c r="AE626" s="52">
        <v>6</v>
      </c>
    </row>
    <row r="627" spans="1:31" ht="16.5" customHeight="1">
      <c r="A627" s="199"/>
      <c r="B627" s="48"/>
      <c r="C627" s="51" t="s">
        <v>155</v>
      </c>
      <c r="D627" s="8">
        <v>3576.06</v>
      </c>
      <c r="E627" s="8">
        <v>3532.92</v>
      </c>
      <c r="F627" s="8">
        <v>3617.15</v>
      </c>
      <c r="G627" s="8">
        <v>3597.42</v>
      </c>
      <c r="H627" s="8">
        <v>3760.73</v>
      </c>
      <c r="I627" s="8">
        <v>3635.52</v>
      </c>
      <c r="J627" s="8">
        <v>3595.06</v>
      </c>
      <c r="K627" s="8">
        <v>3588.74</v>
      </c>
      <c r="L627" s="8">
        <v>3689.54</v>
      </c>
      <c r="M627" s="50"/>
      <c r="N627" s="50"/>
      <c r="O627" s="50"/>
      <c r="P627" s="50"/>
      <c r="Q627" s="48"/>
      <c r="R627" s="48"/>
      <c r="S627" s="49"/>
      <c r="T627" s="48"/>
      <c r="U627" s="48"/>
      <c r="V627" s="47"/>
      <c r="W627" s="46"/>
      <c r="X627" s="8"/>
    </row>
    <row r="628" spans="1:31" ht="24.75" customHeight="1" thickBot="1">
      <c r="A628" s="199"/>
      <c r="B628" s="42"/>
      <c r="C628" s="45" t="s">
        <v>154</v>
      </c>
      <c r="D628" s="44">
        <f t="shared" ref="D628:L628" si="204">IF(((D626="")*AND(D627="")),"",(D626-D627)*2)</f>
        <v>3488.0199999999995</v>
      </c>
      <c r="E628" s="44">
        <f t="shared" si="204"/>
        <v>3510.119999999999</v>
      </c>
      <c r="F628" s="44">
        <f t="shared" si="204"/>
        <v>3502.8399999999992</v>
      </c>
      <c r="G628" s="44">
        <f t="shared" si="204"/>
        <v>3496</v>
      </c>
      <c r="H628" s="44">
        <f t="shared" si="204"/>
        <v>3480.2</v>
      </c>
      <c r="I628" s="44">
        <f t="shared" si="204"/>
        <v>3528.7200000000003</v>
      </c>
      <c r="J628" s="44">
        <f t="shared" si="204"/>
        <v>3503.5600000000004</v>
      </c>
      <c r="K628" s="44">
        <f t="shared" si="204"/>
        <v>3497.1800000000003</v>
      </c>
      <c r="L628" s="44">
        <f t="shared" si="204"/>
        <v>3492.9600000000009</v>
      </c>
      <c r="M628" s="44"/>
      <c r="N628" s="44"/>
      <c r="O628" s="44"/>
      <c r="P628" s="44"/>
      <c r="Q628" s="42"/>
      <c r="R628" s="42"/>
      <c r="S628" s="43"/>
      <c r="T628" s="42"/>
      <c r="U628" s="42"/>
      <c r="V628" s="41"/>
      <c r="W628" s="40"/>
      <c r="X628" s="8"/>
    </row>
    <row r="629" spans="1:31">
      <c r="A629" s="195">
        <v>43258</v>
      </c>
      <c r="B629" s="63" t="s">
        <v>158</v>
      </c>
      <c r="C629" s="56" t="s">
        <v>156</v>
      </c>
      <c r="D629" s="8">
        <v>1164.1600000000001</v>
      </c>
      <c r="E629" s="8">
        <v>1201.69</v>
      </c>
      <c r="F629" s="8">
        <v>1219.9100000000001</v>
      </c>
      <c r="G629" s="8">
        <v>1199.02</v>
      </c>
      <c r="H629" s="8">
        <v>1136.1300000000001</v>
      </c>
      <c r="I629" s="8">
        <v>1171.0999999999999</v>
      </c>
      <c r="J629" s="8">
        <v>1212.1500000000001</v>
      </c>
      <c r="K629" s="8">
        <v>1183.44</v>
      </c>
      <c r="L629" s="8">
        <v>1123.0899999999999</v>
      </c>
      <c r="M629" s="62"/>
      <c r="N629" s="62"/>
      <c r="O629" s="62"/>
      <c r="P629" s="62"/>
      <c r="Q629" s="63">
        <f>IF((L630=""),"",MAX(D631:L631))</f>
        <v>3128.6399999999994</v>
      </c>
      <c r="R629" s="63">
        <f>IF(L630="","",MIN(D631:L631))</f>
        <v>2722.1600000000003</v>
      </c>
      <c r="S629" s="63">
        <f>IF((L631=""),"",AVERAGE(D631:L631))</f>
        <v>2906.266666666666</v>
      </c>
      <c r="T629" s="63">
        <f>IF((L630=""),"",((Q629-R629)/(Q629+R629))*100)</f>
        <v>6.9474259930265809</v>
      </c>
      <c r="U629" s="51">
        <f>STDEV(D629:L629)</f>
        <v>33.455736844040118</v>
      </c>
      <c r="V629" s="64" t="str">
        <f>IF(L630="","",(IF(T629&lt;12,IF(S629&gt;2200,IF(S629&lt;3280,"Pass","Fail"),"Fail"),"Fail")))</f>
        <v>Pass</v>
      </c>
      <c r="W629" s="67">
        <v>1428</v>
      </c>
      <c r="X629" s="26" t="s">
        <v>171</v>
      </c>
      <c r="Z629" s="37">
        <v>2000</v>
      </c>
      <c r="AA629" s="37">
        <v>3000</v>
      </c>
      <c r="AB629" s="37">
        <v>2200</v>
      </c>
      <c r="AC629" s="37">
        <v>3280</v>
      </c>
      <c r="AD629" s="39">
        <v>12</v>
      </c>
      <c r="AE629" s="39">
        <v>12</v>
      </c>
    </row>
    <row r="630" spans="1:31" ht="16.5" customHeight="1">
      <c r="A630" s="199"/>
      <c r="B630" s="48"/>
      <c r="C630" s="51" t="s">
        <v>155</v>
      </c>
      <c r="D630" s="8">
        <v>416.95</v>
      </c>
      <c r="E630" s="8">
        <v>500.66</v>
      </c>
      <c r="F630" s="8">
        <v>539.37</v>
      </c>
      <c r="G630" s="8">
        <v>496.88</v>
      </c>
      <c r="H630" s="8">
        <v>364.93</v>
      </c>
      <c r="I630" s="8">
        <v>418.42</v>
      </c>
      <c r="J630" s="8">
        <v>519.49</v>
      </c>
      <c r="K630" s="8">
        <v>473.96</v>
      </c>
      <c r="L630" s="8">
        <v>340.93</v>
      </c>
      <c r="M630" s="50"/>
      <c r="N630" s="50"/>
      <c r="O630" s="50"/>
      <c r="P630" s="50"/>
      <c r="Q630" s="48"/>
      <c r="R630" s="48"/>
      <c r="S630" s="48"/>
      <c r="T630" s="48"/>
      <c r="U630" s="48"/>
      <c r="V630" s="47"/>
      <c r="W630" s="46"/>
      <c r="X630" s="8"/>
    </row>
    <row r="631" spans="1:31" ht="24.75" customHeight="1" thickBot="1">
      <c r="A631" s="199"/>
      <c r="B631" s="61"/>
      <c r="C631" s="51" t="s">
        <v>154</v>
      </c>
      <c r="D631" s="24">
        <f t="shared" ref="D631:L631" si="205">IF(((D629="")*AND(D630="")),"",(D629-D630)*4)</f>
        <v>2988.84</v>
      </c>
      <c r="E631" s="24">
        <f t="shared" si="205"/>
        <v>2804.12</v>
      </c>
      <c r="F631" s="24">
        <f t="shared" si="205"/>
        <v>2722.1600000000003</v>
      </c>
      <c r="G631" s="24">
        <f t="shared" si="205"/>
        <v>2808.56</v>
      </c>
      <c r="H631" s="24">
        <f t="shared" si="205"/>
        <v>3084.8</v>
      </c>
      <c r="I631" s="24">
        <f t="shared" si="205"/>
        <v>3010.7199999999993</v>
      </c>
      <c r="J631" s="24">
        <f t="shared" si="205"/>
        <v>2770.6400000000003</v>
      </c>
      <c r="K631" s="24">
        <f t="shared" si="205"/>
        <v>2837.92</v>
      </c>
      <c r="L631" s="24">
        <f t="shared" si="205"/>
        <v>3128.6399999999994</v>
      </c>
      <c r="M631" s="24"/>
      <c r="N631" s="24"/>
      <c r="O631" s="24"/>
      <c r="P631" s="24" t="str">
        <f>IF(((P629="")*AND(P630="")),"",(P629-P630)*4)</f>
        <v/>
      </c>
      <c r="Q631" s="61"/>
      <c r="R631" s="61"/>
      <c r="S631" s="61"/>
      <c r="T631" s="61"/>
      <c r="U631" s="61"/>
      <c r="V631" s="60"/>
      <c r="W631" s="59"/>
      <c r="X631" s="8"/>
    </row>
    <row r="632" spans="1:31">
      <c r="A632" s="195">
        <v>43258</v>
      </c>
      <c r="B632" s="57" t="s">
        <v>157</v>
      </c>
      <c r="C632" s="51" t="s">
        <v>156</v>
      </c>
      <c r="D632" s="8">
        <v>3589.45</v>
      </c>
      <c r="E632" s="8">
        <v>3547.09</v>
      </c>
      <c r="F632" s="8">
        <v>3629.76</v>
      </c>
      <c r="G632" s="8">
        <v>3610.11</v>
      </c>
      <c r="H632" s="8">
        <v>3773.29</v>
      </c>
      <c r="I632" s="8">
        <v>3649.41</v>
      </c>
      <c r="J632" s="8">
        <v>3607.84</v>
      </c>
      <c r="K632" s="8">
        <v>3601.59</v>
      </c>
      <c r="L632" s="8">
        <v>3701.02</v>
      </c>
      <c r="M632" s="50"/>
      <c r="N632" s="50"/>
      <c r="O632" s="50"/>
      <c r="P632" s="50"/>
      <c r="Q632" s="57">
        <f>IF((L633=""),"",MAX(D634:L634))</f>
        <v>3486.7000000000003</v>
      </c>
      <c r="R632" s="57">
        <f>IF(L633="","",MIN(D634:L634))</f>
        <v>3392.0599999999995</v>
      </c>
      <c r="S632" s="58">
        <f>IF((L634=""),"",AVERAGE(D634:L634))</f>
        <v>3449.3466666666668</v>
      </c>
      <c r="T632" s="57">
        <f>IF((L633=""),"",((Q632-R632)/(Q632+R632))*100)</f>
        <v>1.375829364594793</v>
      </c>
      <c r="U632" s="56">
        <f>STDEV(D632:L632)</f>
        <v>67.073614803250777</v>
      </c>
      <c r="V632" s="55" t="str">
        <f>IF(L633="","",(IF(T632&lt;7,IF(S632&gt;2800,IF(S632&lt;3800,"Pass","Fail"),"Fail"),"Fail")))</f>
        <v>Pass</v>
      </c>
      <c r="W632" s="54">
        <v>1428</v>
      </c>
      <c r="X632" s="26" t="s">
        <v>171</v>
      </c>
      <c r="Z632" s="53">
        <v>2800</v>
      </c>
      <c r="AA632" s="53">
        <v>3800</v>
      </c>
      <c r="AB632" s="53">
        <v>3100</v>
      </c>
      <c r="AC632" s="53">
        <v>3760</v>
      </c>
      <c r="AD632" s="52">
        <v>6</v>
      </c>
      <c r="AE632" s="52">
        <v>6</v>
      </c>
    </row>
    <row r="633" spans="1:31" ht="16.5" customHeight="1">
      <c r="A633" s="199"/>
      <c r="B633" s="48"/>
      <c r="C633" s="51" t="s">
        <v>155</v>
      </c>
      <c r="D633" s="8">
        <v>1865.04</v>
      </c>
      <c r="E633" s="8">
        <v>1803.74</v>
      </c>
      <c r="F633" s="8">
        <v>1899.17</v>
      </c>
      <c r="G633" s="8">
        <v>1883.25</v>
      </c>
      <c r="H633" s="8">
        <v>2077.2600000000002</v>
      </c>
      <c r="I633" s="8">
        <v>1927.92</v>
      </c>
      <c r="J633" s="8">
        <v>1878.4</v>
      </c>
      <c r="K633" s="8">
        <v>1867.63</v>
      </c>
      <c r="L633" s="8">
        <v>1985.09</v>
      </c>
      <c r="M633" s="50"/>
      <c r="N633" s="50"/>
      <c r="O633" s="50"/>
      <c r="P633" s="50"/>
      <c r="Q633" s="48"/>
      <c r="R633" s="48"/>
      <c r="S633" s="49"/>
      <c r="T633" s="48"/>
      <c r="U633" s="48"/>
      <c r="V633" s="47"/>
      <c r="W633" s="46"/>
      <c r="X633" s="8"/>
    </row>
    <row r="634" spans="1:31" ht="24.75" customHeight="1" thickBot="1">
      <c r="A634" s="199"/>
      <c r="B634" s="42"/>
      <c r="C634" s="45" t="s">
        <v>154</v>
      </c>
      <c r="D634" s="44">
        <f t="shared" ref="D634:L634" si="206">IF(((D632="")*AND(D633="")),"",(D632-D633)*2)</f>
        <v>3448.8199999999997</v>
      </c>
      <c r="E634" s="44">
        <f t="shared" si="206"/>
        <v>3486.7000000000003</v>
      </c>
      <c r="F634" s="44">
        <f t="shared" si="206"/>
        <v>3461.1800000000003</v>
      </c>
      <c r="G634" s="44">
        <f t="shared" si="206"/>
        <v>3453.7200000000003</v>
      </c>
      <c r="H634" s="44">
        <f t="shared" si="206"/>
        <v>3392.0599999999995</v>
      </c>
      <c r="I634" s="44">
        <f t="shared" si="206"/>
        <v>3442.9799999999996</v>
      </c>
      <c r="J634" s="44">
        <f t="shared" si="206"/>
        <v>3458.88</v>
      </c>
      <c r="K634" s="44">
        <f t="shared" si="206"/>
        <v>3467.92</v>
      </c>
      <c r="L634" s="44">
        <f t="shared" si="206"/>
        <v>3431.86</v>
      </c>
      <c r="M634" s="44"/>
      <c r="N634" s="44"/>
      <c r="O634" s="44"/>
      <c r="P634" s="44"/>
      <c r="Q634" s="42"/>
      <c r="R634" s="42"/>
      <c r="S634" s="43"/>
      <c r="T634" s="42"/>
      <c r="U634" s="42"/>
      <c r="V634" s="41"/>
      <c r="W634" s="40"/>
      <c r="X634" s="8"/>
    </row>
    <row r="635" spans="1:31">
      <c r="A635" s="195">
        <v>43271</v>
      </c>
      <c r="B635" s="63" t="s">
        <v>158</v>
      </c>
      <c r="C635" s="56" t="s">
        <v>156</v>
      </c>
      <c r="D635" s="8">
        <v>1910.57</v>
      </c>
      <c r="E635" s="8">
        <v>1901.6</v>
      </c>
      <c r="F635" s="8">
        <v>1900.34</v>
      </c>
      <c r="G635" s="8">
        <v>1903.66</v>
      </c>
      <c r="H635" s="8">
        <v>1910.09</v>
      </c>
      <c r="I635" s="8">
        <v>1911.24</v>
      </c>
      <c r="J635" s="8">
        <v>1900.94</v>
      </c>
      <c r="K635" s="8">
        <v>1903.4</v>
      </c>
      <c r="L635" s="8">
        <v>1906.07</v>
      </c>
      <c r="M635" s="62"/>
      <c r="N635" s="62"/>
      <c r="O635" s="62"/>
      <c r="P635" s="62"/>
      <c r="Q635" s="63">
        <f>IF((L636=""),"",MAX(D637:L637))</f>
        <v>3133.04</v>
      </c>
      <c r="R635" s="63">
        <f>IF(L636="","",MIN(D637:L637))</f>
        <v>2761.5599999999995</v>
      </c>
      <c r="S635" s="63">
        <f>IF((L637=""),"",AVERAGE(D637:L637))</f>
        <v>2919.7955555555554</v>
      </c>
      <c r="T635" s="63">
        <f>IF((L636=""),"",((Q635-R635)/(Q635+R635))*100)</f>
        <v>6.3020391544803811</v>
      </c>
      <c r="U635" s="51">
        <f>STDEV(D635:L635)</f>
        <v>4.3328599100166372</v>
      </c>
      <c r="V635" s="64" t="str">
        <f>IF(L636="","",(IF(T635&lt;12,IF(S635&gt;2200,IF(S635&lt;3280,"Pass","Fail"),"Fail"),"Fail")))</f>
        <v>Pass</v>
      </c>
      <c r="W635" s="67">
        <v>1159</v>
      </c>
      <c r="X635" s="26" t="s">
        <v>170</v>
      </c>
      <c r="Z635" s="37">
        <v>2000</v>
      </c>
      <c r="AA635" s="37">
        <v>3000</v>
      </c>
      <c r="AB635" s="37">
        <v>2200</v>
      </c>
      <c r="AC635" s="37">
        <v>3280</v>
      </c>
      <c r="AD635" s="39">
        <v>12</v>
      </c>
      <c r="AE635" s="39">
        <v>12</v>
      </c>
    </row>
    <row r="636" spans="1:31" ht="16.5" customHeight="1">
      <c r="A636" s="199"/>
      <c r="B636" s="48"/>
      <c r="C636" s="51" t="s">
        <v>155</v>
      </c>
      <c r="D636" s="8">
        <v>1165.31</v>
      </c>
      <c r="E636" s="8">
        <v>1195.19</v>
      </c>
      <c r="F636" s="8">
        <v>1209.95</v>
      </c>
      <c r="G636" s="8">
        <v>1192.33</v>
      </c>
      <c r="H636" s="8">
        <v>1138.26</v>
      </c>
      <c r="I636" s="8">
        <v>1170.1099999999999</v>
      </c>
      <c r="J636" s="8">
        <v>1204.55</v>
      </c>
      <c r="K636" s="8">
        <v>1179.8599999999999</v>
      </c>
      <c r="L636" s="8">
        <v>1122.81</v>
      </c>
      <c r="M636" s="50"/>
      <c r="N636" s="50"/>
      <c r="O636" s="50"/>
      <c r="P636" s="50"/>
      <c r="Q636" s="48"/>
      <c r="R636" s="48"/>
      <c r="S636" s="48"/>
      <c r="T636" s="48"/>
      <c r="U636" s="48"/>
      <c r="V636" s="47"/>
      <c r="W636" s="46"/>
      <c r="X636" s="8"/>
    </row>
    <row r="637" spans="1:31" ht="24.75" customHeight="1" thickBot="1">
      <c r="A637" s="199"/>
      <c r="B637" s="61"/>
      <c r="C637" s="51" t="s">
        <v>154</v>
      </c>
      <c r="D637" s="24">
        <f t="shared" ref="D637:L637" si="207">IF(((D635="")*AND(D636="")),"",(D635-D636)*4)</f>
        <v>2981.04</v>
      </c>
      <c r="E637" s="24">
        <f t="shared" si="207"/>
        <v>2825.6399999999994</v>
      </c>
      <c r="F637" s="24">
        <f t="shared" si="207"/>
        <v>2761.5599999999995</v>
      </c>
      <c r="G637" s="24">
        <f t="shared" si="207"/>
        <v>2845.3200000000006</v>
      </c>
      <c r="H637" s="24">
        <f t="shared" si="207"/>
        <v>3087.3199999999997</v>
      </c>
      <c r="I637" s="24">
        <f t="shared" si="207"/>
        <v>2964.5200000000004</v>
      </c>
      <c r="J637" s="24">
        <f t="shared" si="207"/>
        <v>2785.5600000000004</v>
      </c>
      <c r="K637" s="24">
        <f t="shared" si="207"/>
        <v>2894.1600000000008</v>
      </c>
      <c r="L637" s="24">
        <f t="shared" si="207"/>
        <v>3133.04</v>
      </c>
      <c r="M637" s="24"/>
      <c r="N637" s="24"/>
      <c r="O637" s="24"/>
      <c r="P637" s="24" t="str">
        <f>IF(((P635="")*AND(P636="")),"",(P635-P636)*4)</f>
        <v/>
      </c>
      <c r="Q637" s="61"/>
      <c r="R637" s="61"/>
      <c r="S637" s="61"/>
      <c r="T637" s="61"/>
      <c r="U637" s="61"/>
      <c r="V637" s="60"/>
      <c r="W637" s="59"/>
      <c r="X637" s="8"/>
    </row>
    <row r="638" spans="1:31">
      <c r="A638" s="195">
        <v>43271</v>
      </c>
      <c r="B638" s="57" t="s">
        <v>157</v>
      </c>
      <c r="C638" s="51" t="s">
        <v>156</v>
      </c>
      <c r="D638" s="8">
        <v>3517.04</v>
      </c>
      <c r="E638" s="8">
        <v>3479.14</v>
      </c>
      <c r="F638" s="8">
        <v>3507.05</v>
      </c>
      <c r="G638" s="8">
        <v>3493.5</v>
      </c>
      <c r="H638" s="8">
        <v>3574.53</v>
      </c>
      <c r="I638" s="8">
        <v>3526.49</v>
      </c>
      <c r="J638" s="8">
        <v>3530.12</v>
      </c>
      <c r="K638" s="8">
        <v>3498.5</v>
      </c>
      <c r="L638" s="8">
        <v>3511.89</v>
      </c>
      <c r="M638" s="50"/>
      <c r="N638" s="50"/>
      <c r="O638" s="50"/>
      <c r="P638" s="50"/>
      <c r="Q638" s="57">
        <f>IF((L639=""),"",MAX(D640:L640))</f>
        <v>3495.8999999999996</v>
      </c>
      <c r="R638" s="57">
        <f>IF(L639="","",MIN(D640:L640))</f>
        <v>3389.26</v>
      </c>
      <c r="S638" s="58">
        <f>IF((L640=""),"",AVERAGE(D640:L640))</f>
        <v>3460.3911111111106</v>
      </c>
      <c r="T638" s="57">
        <f>IF((L639=""),"",((Q638-R638)/(Q638+R638))*100)</f>
        <v>1.5488383712215752</v>
      </c>
      <c r="U638" s="56">
        <f>STDEV(D638:L638)</f>
        <v>27.38784026612382</v>
      </c>
      <c r="V638" s="55" t="str">
        <f>IF(L639="","",(IF(T638&lt;7,IF(S638&gt;2800,IF(S638&lt;3800,"Pass","Fail"),"Fail"),"Fail")))</f>
        <v>Pass</v>
      </c>
      <c r="W638" s="54">
        <v>1159</v>
      </c>
      <c r="X638" s="26" t="s">
        <v>170</v>
      </c>
      <c r="Z638" s="53">
        <v>2800</v>
      </c>
      <c r="AA638" s="53">
        <v>3800</v>
      </c>
      <c r="AB638" s="53">
        <v>3100</v>
      </c>
      <c r="AC638" s="53">
        <v>3760</v>
      </c>
      <c r="AD638" s="52">
        <v>6</v>
      </c>
      <c r="AE638" s="52">
        <v>6</v>
      </c>
    </row>
    <row r="639" spans="1:31" ht="16.5" customHeight="1">
      <c r="A639" s="199"/>
      <c r="B639" s="48"/>
      <c r="C639" s="51" t="s">
        <v>155</v>
      </c>
      <c r="D639" s="8">
        <v>1786.32</v>
      </c>
      <c r="E639" s="8">
        <v>1731.19</v>
      </c>
      <c r="F639" s="8">
        <v>1764.83</v>
      </c>
      <c r="G639" s="8">
        <v>1760.06</v>
      </c>
      <c r="H639" s="8">
        <v>1879.9</v>
      </c>
      <c r="I639" s="8">
        <v>1798.21</v>
      </c>
      <c r="J639" s="8">
        <v>1794.01</v>
      </c>
      <c r="K639" s="8">
        <v>1757.64</v>
      </c>
      <c r="L639" s="8">
        <v>1794.34</v>
      </c>
      <c r="M639" s="50"/>
      <c r="N639" s="50"/>
      <c r="O639" s="50"/>
      <c r="P639" s="50"/>
      <c r="Q639" s="48"/>
      <c r="R639" s="48"/>
      <c r="S639" s="49"/>
      <c r="T639" s="48"/>
      <c r="U639" s="48"/>
      <c r="V639" s="47"/>
      <c r="W639" s="46"/>
      <c r="X639" s="8"/>
    </row>
    <row r="640" spans="1:31" ht="24.75" customHeight="1" thickBot="1">
      <c r="A640" s="199"/>
      <c r="B640" s="42"/>
      <c r="C640" s="45" t="s">
        <v>154</v>
      </c>
      <c r="D640" s="44">
        <f t="shared" ref="D640:L640" si="208">IF(((D638="")*AND(D639="")),"",(D638-D639)*2)</f>
        <v>3461.44</v>
      </c>
      <c r="E640" s="44">
        <f t="shared" si="208"/>
        <v>3495.8999999999996</v>
      </c>
      <c r="F640" s="44">
        <f t="shared" si="208"/>
        <v>3484.4400000000005</v>
      </c>
      <c r="G640" s="44">
        <f t="shared" si="208"/>
        <v>3466.88</v>
      </c>
      <c r="H640" s="44">
        <f t="shared" si="208"/>
        <v>3389.26</v>
      </c>
      <c r="I640" s="44">
        <f t="shared" si="208"/>
        <v>3456.5599999999995</v>
      </c>
      <c r="J640" s="44">
        <f t="shared" si="208"/>
        <v>3472.22</v>
      </c>
      <c r="K640" s="44">
        <f t="shared" si="208"/>
        <v>3481.72</v>
      </c>
      <c r="L640" s="44">
        <f t="shared" si="208"/>
        <v>3435.1</v>
      </c>
      <c r="M640" s="44"/>
      <c r="N640" s="44"/>
      <c r="O640" s="44"/>
      <c r="P640" s="44"/>
      <c r="Q640" s="42"/>
      <c r="R640" s="42"/>
      <c r="S640" s="43"/>
      <c r="T640" s="42"/>
      <c r="U640" s="42"/>
      <c r="V640" s="41"/>
      <c r="W640" s="40"/>
      <c r="X640" s="8"/>
    </row>
    <row r="641" spans="1:31">
      <c r="A641" s="195">
        <v>43285</v>
      </c>
      <c r="B641" s="63" t="s">
        <v>158</v>
      </c>
      <c r="C641" s="56" t="s">
        <v>156</v>
      </c>
      <c r="D641" s="8">
        <v>1112</v>
      </c>
      <c r="E641" s="8">
        <v>1192</v>
      </c>
      <c r="F641" s="8">
        <v>1213</v>
      </c>
      <c r="G641" s="8">
        <v>1211</v>
      </c>
      <c r="H641" s="8">
        <v>1138</v>
      </c>
      <c r="I641" s="8">
        <v>1139</v>
      </c>
      <c r="J641" s="8">
        <v>1205</v>
      </c>
      <c r="K641" s="8">
        <v>1195</v>
      </c>
      <c r="L641" s="8">
        <v>1112</v>
      </c>
      <c r="M641" s="62"/>
      <c r="N641" s="62"/>
      <c r="O641" s="62"/>
      <c r="P641" s="62"/>
      <c r="Q641" s="63">
        <f>IF((L642=""),"",MAX(D643:L643))</f>
        <v>3092</v>
      </c>
      <c r="R641" s="63">
        <f>IF(L642="","",MIN(D643:L643))</f>
        <v>2720</v>
      </c>
      <c r="S641" s="63">
        <f>IF((L643=""),"",AVERAGE(D643:L643))</f>
        <v>2870.6666666666665</v>
      </c>
      <c r="T641" s="63">
        <f>IF((L642=""),"",((Q641-R641)/(Q641+R641))*100)</f>
        <v>6.4005505849965587</v>
      </c>
      <c r="U641" s="51">
        <f>STDEV(D641:L641)</f>
        <v>42.658853451279626</v>
      </c>
      <c r="V641" s="64" t="str">
        <f>IF(L642="","",(IF(T641&lt;12,IF(S641&gt;2200,IF(S641&lt;3280,"Pass","Fail"),"Fail"),"Fail")))</f>
        <v>Pass</v>
      </c>
      <c r="W641" s="67">
        <v>1159</v>
      </c>
      <c r="X641" s="26" t="s">
        <v>169</v>
      </c>
      <c r="Z641" s="37">
        <v>2000</v>
      </c>
      <c r="AA641" s="37">
        <v>3000</v>
      </c>
      <c r="AB641" s="37">
        <v>2200</v>
      </c>
      <c r="AC641" s="37">
        <v>3280</v>
      </c>
      <c r="AD641" s="39">
        <v>12</v>
      </c>
      <c r="AE641" s="39">
        <v>12</v>
      </c>
    </row>
    <row r="642" spans="1:31" ht="16.5" customHeight="1">
      <c r="A642" s="199"/>
      <c r="B642" s="48"/>
      <c r="C642" s="51" t="s">
        <v>155</v>
      </c>
      <c r="D642" s="8">
        <v>415</v>
      </c>
      <c r="E642" s="8">
        <v>497</v>
      </c>
      <c r="F642" s="8">
        <v>533</v>
      </c>
      <c r="G642" s="8">
        <v>493</v>
      </c>
      <c r="H642" s="8">
        <v>369</v>
      </c>
      <c r="I642" s="8">
        <v>422</v>
      </c>
      <c r="J642" s="8">
        <v>516</v>
      </c>
      <c r="K642" s="8">
        <v>474</v>
      </c>
      <c r="L642" s="8">
        <v>339</v>
      </c>
      <c r="M642" s="50"/>
      <c r="N642" s="50"/>
      <c r="O642" s="50"/>
      <c r="P642" s="50"/>
      <c r="Q642" s="48"/>
      <c r="R642" s="48"/>
      <c r="S642" s="48"/>
      <c r="T642" s="48"/>
      <c r="U642" s="48"/>
      <c r="V642" s="47"/>
      <c r="W642" s="46"/>
      <c r="X642" s="8"/>
    </row>
    <row r="643" spans="1:31" ht="24.75" customHeight="1" thickBot="1">
      <c r="A643" s="199"/>
      <c r="B643" s="61"/>
      <c r="C643" s="51" t="s">
        <v>154</v>
      </c>
      <c r="D643" s="24">
        <f t="shared" ref="D643:L643" si="209">IF(((D641="")*AND(D642="")),"",(D641-D642)*4)</f>
        <v>2788</v>
      </c>
      <c r="E643" s="24">
        <f t="shared" si="209"/>
        <v>2780</v>
      </c>
      <c r="F643" s="24">
        <f t="shared" si="209"/>
        <v>2720</v>
      </c>
      <c r="G643" s="24">
        <f t="shared" si="209"/>
        <v>2872</v>
      </c>
      <c r="H643" s="24">
        <f t="shared" si="209"/>
        <v>3076</v>
      </c>
      <c r="I643" s="24">
        <f t="shared" si="209"/>
        <v>2868</v>
      </c>
      <c r="J643" s="24">
        <f t="shared" si="209"/>
        <v>2756</v>
      </c>
      <c r="K643" s="24">
        <f t="shared" si="209"/>
        <v>2884</v>
      </c>
      <c r="L643" s="24">
        <f t="shared" si="209"/>
        <v>3092</v>
      </c>
      <c r="M643" s="24"/>
      <c r="N643" s="24"/>
      <c r="O643" s="24"/>
      <c r="P643" s="24" t="str">
        <f>IF(((P641="")*AND(P642="")),"",(P641-P642)*4)</f>
        <v/>
      </c>
      <c r="Q643" s="61"/>
      <c r="R643" s="61"/>
      <c r="S643" s="61"/>
      <c r="T643" s="61"/>
      <c r="U643" s="61"/>
      <c r="V643" s="60"/>
      <c r="W643" s="59"/>
      <c r="X643" s="8"/>
    </row>
    <row r="644" spans="1:31">
      <c r="A644" s="195">
        <v>43285</v>
      </c>
      <c r="B644" s="57" t="s">
        <v>157</v>
      </c>
      <c r="C644" s="51" t="s">
        <v>156</v>
      </c>
      <c r="D644" s="8">
        <v>6661</v>
      </c>
      <c r="E644" s="8">
        <v>6688</v>
      </c>
      <c r="F644" s="8">
        <v>6733</v>
      </c>
      <c r="G644" s="8">
        <v>6705</v>
      </c>
      <c r="H644" s="8">
        <v>6697</v>
      </c>
      <c r="I644" s="8">
        <v>6650</v>
      </c>
      <c r="J644" s="8">
        <v>6723</v>
      </c>
      <c r="K644" s="8">
        <v>6724</v>
      </c>
      <c r="L644" s="8">
        <v>6762</v>
      </c>
      <c r="M644" s="50"/>
      <c r="N644" s="50"/>
      <c r="O644" s="50"/>
      <c r="P644" s="50"/>
      <c r="Q644" s="57">
        <f>IF((L645=""),"",MAX(D646:L646))</f>
        <v>3512</v>
      </c>
      <c r="R644" s="57">
        <f>IF(L645="","",MIN(D646:L646))</f>
        <v>3456</v>
      </c>
      <c r="S644" s="58">
        <f>IF((L646=""),"",AVERAGE(D646:L646))</f>
        <v>3491.3333333333335</v>
      </c>
      <c r="T644" s="57">
        <f>IF((L645=""),"",((Q644-R644)/(Q644+R644))*100)</f>
        <v>0.80367393800229625</v>
      </c>
      <c r="U644" s="56">
        <f>STDEV(D644:L644)</f>
        <v>35.411077990478567</v>
      </c>
      <c r="V644" s="55" t="str">
        <f>IF(L645="","",(IF(T644&lt;7,IF(S644&gt;2800,IF(S644&lt;3800,"Pass","Fail"),"Fail"),"Fail")))</f>
        <v>Pass</v>
      </c>
      <c r="W644" s="54">
        <v>1159</v>
      </c>
      <c r="X644" s="26" t="s">
        <v>169</v>
      </c>
      <c r="Z644" s="53">
        <v>2800</v>
      </c>
      <c r="AA644" s="53">
        <v>3800</v>
      </c>
      <c r="AB644" s="53">
        <v>3100</v>
      </c>
      <c r="AC644" s="53">
        <v>3760</v>
      </c>
      <c r="AD644" s="52">
        <v>6</v>
      </c>
      <c r="AE644" s="52">
        <v>6</v>
      </c>
    </row>
    <row r="645" spans="1:31" ht="16.5" customHeight="1">
      <c r="A645" s="199"/>
      <c r="B645" s="48"/>
      <c r="C645" s="51" t="s">
        <v>155</v>
      </c>
      <c r="D645" s="8">
        <v>4912</v>
      </c>
      <c r="E645" s="8">
        <v>4936</v>
      </c>
      <c r="F645" s="8">
        <v>4986</v>
      </c>
      <c r="G645" s="8">
        <v>4962</v>
      </c>
      <c r="H645" s="8">
        <v>4969</v>
      </c>
      <c r="I645" s="8">
        <v>4894</v>
      </c>
      <c r="J645" s="8">
        <v>4974</v>
      </c>
      <c r="K645" s="8">
        <v>4979</v>
      </c>
      <c r="L645" s="8">
        <v>5020</v>
      </c>
      <c r="M645" s="50"/>
      <c r="N645" s="50"/>
      <c r="O645" s="50"/>
      <c r="P645" s="50"/>
      <c r="Q645" s="48"/>
      <c r="R645" s="48"/>
      <c r="S645" s="49"/>
      <c r="T645" s="48"/>
      <c r="U645" s="48"/>
      <c r="V645" s="47"/>
      <c r="W645" s="46"/>
      <c r="X645" s="8"/>
    </row>
    <row r="646" spans="1:31" ht="24.75" customHeight="1" thickBot="1">
      <c r="A646" s="199"/>
      <c r="B646" s="42"/>
      <c r="C646" s="45" t="s">
        <v>154</v>
      </c>
      <c r="D646" s="44">
        <f t="shared" ref="D646:L646" si="210">IF(((D644="")*AND(D645="")),"",(D644-D645)*2)</f>
        <v>3498</v>
      </c>
      <c r="E646" s="44">
        <f t="shared" si="210"/>
        <v>3504</v>
      </c>
      <c r="F646" s="44">
        <f t="shared" si="210"/>
        <v>3494</v>
      </c>
      <c r="G646" s="44">
        <f t="shared" si="210"/>
        <v>3486</v>
      </c>
      <c r="H646" s="44">
        <f t="shared" si="210"/>
        <v>3456</v>
      </c>
      <c r="I646" s="44">
        <f t="shared" si="210"/>
        <v>3512</v>
      </c>
      <c r="J646" s="44">
        <f t="shared" si="210"/>
        <v>3498</v>
      </c>
      <c r="K646" s="44">
        <f t="shared" si="210"/>
        <v>3490</v>
      </c>
      <c r="L646" s="44">
        <f t="shared" si="210"/>
        <v>3484</v>
      </c>
      <c r="M646" s="44"/>
      <c r="N646" s="44"/>
      <c r="O646" s="44"/>
      <c r="P646" s="44"/>
      <c r="Q646" s="42"/>
      <c r="R646" s="42"/>
      <c r="S646" s="43"/>
      <c r="T646" s="42"/>
      <c r="U646" s="42"/>
      <c r="V646" s="41"/>
      <c r="W646" s="40"/>
      <c r="X646" s="8"/>
    </row>
    <row r="647" spans="1:31">
      <c r="A647" s="195">
        <v>43294</v>
      </c>
      <c r="B647" s="63" t="s">
        <v>158</v>
      </c>
      <c r="C647" s="56" t="s">
        <v>156</v>
      </c>
      <c r="D647" s="8">
        <v>1140.98</v>
      </c>
      <c r="E647" s="8">
        <v>1194.58</v>
      </c>
      <c r="F647" s="8">
        <v>1227.71</v>
      </c>
      <c r="G647" s="8">
        <v>1220.53</v>
      </c>
      <c r="H647" s="8">
        <v>1187.26</v>
      </c>
      <c r="I647" s="8">
        <v>1178.8900000000001</v>
      </c>
      <c r="J647" s="8">
        <v>1209.6500000000001</v>
      </c>
      <c r="K647" s="8">
        <v>1208.3399999999999</v>
      </c>
      <c r="L647" s="8">
        <v>1163.21</v>
      </c>
      <c r="M647" s="62"/>
      <c r="N647" s="62"/>
      <c r="O647" s="62"/>
      <c r="P647" s="62"/>
      <c r="Q647" s="63">
        <f>IF((L648=""),"",MAX(D649:L649))</f>
        <v>3248.2</v>
      </c>
      <c r="R647" s="63">
        <f>IF(L648="","",MIN(D649:L649))</f>
        <v>2749.7200000000003</v>
      </c>
      <c r="S647" s="63">
        <f>IF((L649=""),"",AVERAGE(D649:L649))</f>
        <v>2931.2577777777783</v>
      </c>
      <c r="T647" s="63">
        <f>IF((L648=""),"",((Q647-R647)/(Q647+R647))*100)</f>
        <v>8.3108811054498819</v>
      </c>
      <c r="U647" s="51">
        <f>STDEV(D647:L647)</f>
        <v>28.061274917576377</v>
      </c>
      <c r="V647" s="64" t="str">
        <f>IF(L648="","",(IF(T647&lt;12,IF(S647&gt;2200,IF(S647&lt;3280,"Pass","Fail"),"Fail"),"Fail")))</f>
        <v>Pass</v>
      </c>
      <c r="W647" s="67">
        <v>1335</v>
      </c>
      <c r="Z647" s="37">
        <v>2000</v>
      </c>
      <c r="AA647" s="37">
        <v>3000</v>
      </c>
      <c r="AB647" s="37">
        <v>2200</v>
      </c>
      <c r="AC647" s="37">
        <v>3280</v>
      </c>
      <c r="AD647" s="39">
        <v>12</v>
      </c>
      <c r="AE647" s="39">
        <v>12</v>
      </c>
    </row>
    <row r="648" spans="1:31" ht="16.5" customHeight="1">
      <c r="A648" s="199"/>
      <c r="B648" s="48"/>
      <c r="C648" s="51" t="s">
        <v>155</v>
      </c>
      <c r="D648" s="8">
        <v>424.23</v>
      </c>
      <c r="E648" s="8">
        <v>503.05</v>
      </c>
      <c r="F648" s="8">
        <v>536.84</v>
      </c>
      <c r="G648" s="8">
        <v>498.28</v>
      </c>
      <c r="H648" s="8">
        <v>390.12</v>
      </c>
      <c r="I648" s="8">
        <v>434.21</v>
      </c>
      <c r="J648" s="8">
        <v>522.22</v>
      </c>
      <c r="K648" s="8">
        <v>475.71</v>
      </c>
      <c r="L648" s="8">
        <v>351.16</v>
      </c>
      <c r="M648" s="50"/>
      <c r="N648" s="50"/>
      <c r="O648" s="50"/>
      <c r="P648" s="50"/>
      <c r="Q648" s="48"/>
      <c r="R648" s="48"/>
      <c r="S648" s="48"/>
      <c r="T648" s="48"/>
      <c r="U648" s="48"/>
      <c r="V648" s="47"/>
      <c r="W648" s="46"/>
      <c r="X648" s="8"/>
    </row>
    <row r="649" spans="1:31" ht="24.75" customHeight="1" thickBot="1">
      <c r="A649" s="199"/>
      <c r="B649" s="61"/>
      <c r="C649" s="51" t="s">
        <v>154</v>
      </c>
      <c r="D649" s="24">
        <f t="shared" ref="D649:L649" si="211">IF(((D647="")*AND(D648="")),"",(D647-D648)*4)</f>
        <v>2867</v>
      </c>
      <c r="E649" s="24">
        <f t="shared" si="211"/>
        <v>2766.12</v>
      </c>
      <c r="F649" s="24">
        <f t="shared" si="211"/>
        <v>2763.48</v>
      </c>
      <c r="G649" s="24">
        <f t="shared" si="211"/>
        <v>2889</v>
      </c>
      <c r="H649" s="24">
        <f t="shared" si="211"/>
        <v>3188.56</v>
      </c>
      <c r="I649" s="24">
        <f t="shared" si="211"/>
        <v>2978.7200000000003</v>
      </c>
      <c r="J649" s="24">
        <f t="shared" si="211"/>
        <v>2749.7200000000003</v>
      </c>
      <c r="K649" s="24">
        <f t="shared" si="211"/>
        <v>2930.5199999999995</v>
      </c>
      <c r="L649" s="24">
        <f t="shared" si="211"/>
        <v>3248.2</v>
      </c>
      <c r="M649" s="24"/>
      <c r="N649" s="24"/>
      <c r="O649" s="24"/>
      <c r="P649" s="24" t="str">
        <f>IF(((P647="")*AND(P648="")),"",(P647-P648)*4)</f>
        <v/>
      </c>
      <c r="Q649" s="61"/>
      <c r="R649" s="61"/>
      <c r="S649" s="61"/>
      <c r="T649" s="61"/>
      <c r="U649" s="61"/>
      <c r="V649" s="60"/>
      <c r="W649" s="59"/>
      <c r="X649" s="8"/>
    </row>
    <row r="650" spans="1:31">
      <c r="A650" s="195">
        <v>43294</v>
      </c>
      <c r="B650" s="57" t="s">
        <v>157</v>
      </c>
      <c r="C650" s="51" t="s">
        <v>156</v>
      </c>
      <c r="D650" s="8">
        <v>4933.4799999999996</v>
      </c>
      <c r="E650" s="8">
        <v>4957.4799999999996</v>
      </c>
      <c r="F650" s="8">
        <v>5005.17</v>
      </c>
      <c r="G650" s="8">
        <v>4980.42</v>
      </c>
      <c r="H650" s="8">
        <v>4987.51</v>
      </c>
      <c r="I650" s="8">
        <v>4912.4399999999996</v>
      </c>
      <c r="J650" s="8">
        <v>4993.3500000000004</v>
      </c>
      <c r="K650" s="8">
        <v>4998.3900000000003</v>
      </c>
      <c r="L650" s="8">
        <v>5038.75</v>
      </c>
      <c r="M650" s="50"/>
      <c r="N650" s="50"/>
      <c r="O650" s="50"/>
      <c r="P650" s="50"/>
      <c r="Q650" s="57">
        <f>IF((L651=""),"",MAX(D652:L652))</f>
        <v>3252.8199999999988</v>
      </c>
      <c r="R650" s="57">
        <f>IF(L651="","",MIN(D652:L652))</f>
        <v>3167.5600000000004</v>
      </c>
      <c r="S650" s="58">
        <f>IF((L652=""),"",AVERAGE(D652:L652))</f>
        <v>3215.8911111111106</v>
      </c>
      <c r="T650" s="57">
        <f>IF((L651=""),"",((Q650-R650)/(Q650+R650))*100)</f>
        <v>1.3279587812559133</v>
      </c>
      <c r="U650" s="56">
        <f>STDEV(D650:L650)</f>
        <v>38.527409435023998</v>
      </c>
      <c r="V650" s="55" t="str">
        <f>IF(L651="","",(IF(T650&lt;7,IF(S650&gt;2800,IF(S650&lt;3800,"Pass","Fail"),"Fail"),"Fail")))</f>
        <v>Pass</v>
      </c>
      <c r="W650" s="54">
        <v>1335</v>
      </c>
      <c r="Z650" s="53">
        <v>2800</v>
      </c>
      <c r="AA650" s="53">
        <v>3800</v>
      </c>
      <c r="AB650" s="53">
        <v>3100</v>
      </c>
      <c r="AC650" s="53">
        <v>3760</v>
      </c>
      <c r="AD650" s="52">
        <v>6</v>
      </c>
      <c r="AE650" s="52">
        <v>6</v>
      </c>
    </row>
    <row r="651" spans="1:31" ht="16.5" customHeight="1">
      <c r="A651" s="199"/>
      <c r="B651" s="48"/>
      <c r="C651" s="51" t="s">
        <v>155</v>
      </c>
      <c r="D651" s="8">
        <v>3337.04</v>
      </c>
      <c r="E651" s="8">
        <v>3331.07</v>
      </c>
      <c r="F651" s="8">
        <v>3380.52</v>
      </c>
      <c r="G651" s="8">
        <v>3360.9</v>
      </c>
      <c r="H651" s="8">
        <v>3403.73</v>
      </c>
      <c r="I651" s="8">
        <v>3326.95</v>
      </c>
      <c r="J651" s="8">
        <v>3378.04</v>
      </c>
      <c r="K651" s="8">
        <v>3373.22</v>
      </c>
      <c r="L651" s="8">
        <v>3444.01</v>
      </c>
      <c r="M651" s="50"/>
      <c r="N651" s="50"/>
      <c r="O651" s="50"/>
      <c r="P651" s="50"/>
      <c r="Q651" s="48"/>
      <c r="R651" s="48"/>
      <c r="S651" s="49"/>
      <c r="T651" s="48"/>
      <c r="U651" s="48"/>
      <c r="V651" s="47"/>
      <c r="W651" s="46"/>
      <c r="X651" s="8"/>
    </row>
    <row r="652" spans="1:31" ht="24.75" customHeight="1" thickBot="1">
      <c r="A652" s="199"/>
      <c r="B652" s="42"/>
      <c r="C652" s="45" t="s">
        <v>154</v>
      </c>
      <c r="D652" s="44">
        <f t="shared" ref="D652:L652" si="212">IF(((D650="")*AND(D651="")),"",(D650-D651)*2)</f>
        <v>3192.8799999999992</v>
      </c>
      <c r="E652" s="44">
        <f t="shared" si="212"/>
        <v>3252.8199999999988</v>
      </c>
      <c r="F652" s="44">
        <f t="shared" si="212"/>
        <v>3249.3</v>
      </c>
      <c r="G652" s="44">
        <f t="shared" si="212"/>
        <v>3239.04</v>
      </c>
      <c r="H652" s="44">
        <f t="shared" si="212"/>
        <v>3167.5600000000004</v>
      </c>
      <c r="I652" s="44">
        <f t="shared" si="212"/>
        <v>3170.9799999999996</v>
      </c>
      <c r="J652" s="44">
        <f t="shared" si="212"/>
        <v>3230.6200000000008</v>
      </c>
      <c r="K652" s="44">
        <f t="shared" si="212"/>
        <v>3250.3400000000011</v>
      </c>
      <c r="L652" s="44">
        <f t="shared" si="212"/>
        <v>3189.4799999999996</v>
      </c>
      <c r="M652" s="44"/>
      <c r="N652" s="44"/>
      <c r="O652" s="44"/>
      <c r="P652" s="44"/>
      <c r="Q652" s="42"/>
      <c r="R652" s="42"/>
      <c r="S652" s="43"/>
      <c r="T652" s="42"/>
      <c r="U652" s="42"/>
      <c r="V652" s="41"/>
      <c r="W652" s="40"/>
      <c r="X652" s="8"/>
    </row>
    <row r="653" spans="1:31">
      <c r="A653" s="195">
        <v>43296</v>
      </c>
      <c r="B653" s="63" t="s">
        <v>158</v>
      </c>
      <c r="C653" s="56" t="s">
        <v>156</v>
      </c>
      <c r="D653" s="8">
        <v>1149.3399999999999</v>
      </c>
      <c r="E653" s="8">
        <v>1205.7</v>
      </c>
      <c r="F653" s="8">
        <v>1232.25</v>
      </c>
      <c r="G653" s="8">
        <v>1226.05</v>
      </c>
      <c r="H653" s="8">
        <v>1184.94</v>
      </c>
      <c r="I653" s="8">
        <v>1187.25</v>
      </c>
      <c r="J653" s="8">
        <v>1223.8599999999999</v>
      </c>
      <c r="K653" s="8">
        <v>1213.28</v>
      </c>
      <c r="L653" s="8">
        <v>1152.23</v>
      </c>
      <c r="M653" s="62"/>
      <c r="N653" s="62"/>
      <c r="O653" s="62"/>
      <c r="P653" s="62"/>
      <c r="Q653" s="63">
        <f>IF((L654=""),"",MAX(D655:L655))</f>
        <v>3219.2400000000002</v>
      </c>
      <c r="R653" s="63">
        <f>IF(L654="","",MIN(D655:L655))</f>
        <v>2759.56</v>
      </c>
      <c r="S653" s="63">
        <f>IF((L655=""),"",AVERAGE(D655:L655))</f>
        <v>2944.9644444444439</v>
      </c>
      <c r="T653" s="63">
        <f>IF((L654=""),"",((Q653-R653)/(Q653+R653))*100)</f>
        <v>7.6884993644209585</v>
      </c>
      <c r="U653" s="51">
        <f>STDEV(D653:L653)</f>
        <v>30.952759345666188</v>
      </c>
      <c r="V653" s="64" t="str">
        <f>IF(L654="","",(IF(T653&lt;12,IF(S653&gt;2200,IF(S653&lt;3280,"Pass","Fail"),"Fail"),"Fail")))</f>
        <v>Pass</v>
      </c>
      <c r="W653" s="67">
        <v>74</v>
      </c>
      <c r="X653" s="247"/>
      <c r="Y653" s="66" t="s">
        <v>145</v>
      </c>
      <c r="Z653" s="37">
        <v>2000</v>
      </c>
      <c r="AA653" s="37">
        <v>3000</v>
      </c>
      <c r="AB653" s="37">
        <v>2200</v>
      </c>
      <c r="AC653" s="37">
        <v>3280</v>
      </c>
      <c r="AD653" s="39">
        <v>12</v>
      </c>
      <c r="AE653" s="39">
        <v>12</v>
      </c>
    </row>
    <row r="654" spans="1:31" ht="16.5" customHeight="1">
      <c r="A654" s="199"/>
      <c r="B654" s="48"/>
      <c r="C654" s="51" t="s">
        <v>155</v>
      </c>
      <c r="D654" s="8">
        <v>423.4</v>
      </c>
      <c r="E654" s="8">
        <v>510.34</v>
      </c>
      <c r="F654" s="8">
        <v>542.36</v>
      </c>
      <c r="G654" s="8">
        <v>501.79</v>
      </c>
      <c r="H654" s="8">
        <v>380.13</v>
      </c>
      <c r="I654" s="8">
        <v>427.12</v>
      </c>
      <c r="J654" s="8">
        <v>524.66999999999996</v>
      </c>
      <c r="K654" s="8">
        <v>482.06</v>
      </c>
      <c r="L654" s="8">
        <v>356.86</v>
      </c>
      <c r="M654" s="50"/>
      <c r="N654" s="50"/>
      <c r="O654" s="50"/>
      <c r="P654" s="50"/>
      <c r="Q654" s="48"/>
      <c r="R654" s="48"/>
      <c r="S654" s="48"/>
      <c r="T654" s="48"/>
      <c r="U654" s="48"/>
      <c r="V654" s="47"/>
      <c r="W654" s="46"/>
      <c r="X654" s="8"/>
      <c r="Y654" s="8"/>
    </row>
    <row r="655" spans="1:31" ht="24.75" customHeight="1" thickBot="1">
      <c r="A655" s="199"/>
      <c r="B655" s="61"/>
      <c r="C655" s="51" t="s">
        <v>154</v>
      </c>
      <c r="D655" s="24">
        <f t="shared" ref="D655:L655" si="213">IF(((D653="")*AND(D654="")),"",(D653-D654)*4)</f>
        <v>2903.7599999999998</v>
      </c>
      <c r="E655" s="24">
        <f t="shared" si="213"/>
        <v>2781.4400000000005</v>
      </c>
      <c r="F655" s="24">
        <f t="shared" si="213"/>
        <v>2759.56</v>
      </c>
      <c r="G655" s="24">
        <f t="shared" si="213"/>
        <v>2897.04</v>
      </c>
      <c r="H655" s="24">
        <f t="shared" si="213"/>
        <v>3219.2400000000002</v>
      </c>
      <c r="I655" s="24">
        <f t="shared" si="213"/>
        <v>3040.52</v>
      </c>
      <c r="J655" s="24">
        <f t="shared" si="213"/>
        <v>2796.7599999999998</v>
      </c>
      <c r="K655" s="24">
        <f t="shared" si="213"/>
        <v>2924.88</v>
      </c>
      <c r="L655" s="24">
        <f t="shared" si="213"/>
        <v>3181.48</v>
      </c>
      <c r="M655" s="24"/>
      <c r="N655" s="24"/>
      <c r="O655" s="24"/>
      <c r="P655" s="24" t="str">
        <f>IF(((P653="")*AND(P654="")),"",(P653-P654)*4)</f>
        <v/>
      </c>
      <c r="Q655" s="61"/>
      <c r="R655" s="61"/>
      <c r="S655" s="61"/>
      <c r="T655" s="61"/>
      <c r="U655" s="61"/>
      <c r="V655" s="60"/>
      <c r="W655" s="59"/>
      <c r="X655" s="8"/>
      <c r="Y655" s="8"/>
    </row>
    <row r="656" spans="1:31">
      <c r="A656" s="195">
        <v>43296</v>
      </c>
      <c r="B656" s="57" t="s">
        <v>157</v>
      </c>
      <c r="C656" s="51" t="s">
        <v>156</v>
      </c>
      <c r="D656" s="8">
        <v>6808.86</v>
      </c>
      <c r="E656" s="8">
        <v>6799.41</v>
      </c>
      <c r="F656" s="8">
        <v>6844.25</v>
      </c>
      <c r="G656" s="8">
        <v>6810.53</v>
      </c>
      <c r="H656" s="8">
        <v>6862.47</v>
      </c>
      <c r="I656" s="8">
        <v>6826.03</v>
      </c>
      <c r="J656" s="8">
        <v>6834.5</v>
      </c>
      <c r="K656" s="8">
        <v>6837.46</v>
      </c>
      <c r="L656" s="8">
        <v>6923.26</v>
      </c>
      <c r="M656" s="50"/>
      <c r="N656" s="50"/>
      <c r="O656" s="50"/>
      <c r="P656" s="50"/>
      <c r="Q656" s="57">
        <f>IF((L657=""),"",MAX(D658:L658))</f>
        <v>3333</v>
      </c>
      <c r="R656" s="57">
        <f>IF(L657="","",MIN(D658:L658))</f>
        <v>3257.1000000000004</v>
      </c>
      <c r="S656" s="58">
        <f>IF((L658=""),"",AVERAGE(D658:L658))</f>
        <v>3300.0244444444438</v>
      </c>
      <c r="T656" s="57">
        <f>IF((L657=""),"",((Q656-R656)/(Q656+R656))*100)</f>
        <v>1.151727591387075</v>
      </c>
      <c r="U656" s="56">
        <f>STDEV(D656:L656)</f>
        <v>37.338542419314216</v>
      </c>
      <c r="V656" s="55" t="str">
        <f>IF(L657="","",(IF(T656&lt;7,IF(S656&gt;2800,IF(S656&lt;3800,"Pass","Fail"),"Fail"),"Fail")))</f>
        <v>Pass</v>
      </c>
      <c r="W656" s="54">
        <v>74</v>
      </c>
      <c r="X656" s="247"/>
      <c r="Y656" s="66" t="s">
        <v>145</v>
      </c>
      <c r="Z656" s="53">
        <v>2800</v>
      </c>
      <c r="AA656" s="53">
        <v>3800</v>
      </c>
      <c r="AB656" s="53">
        <v>3100</v>
      </c>
      <c r="AC656" s="53">
        <v>3760</v>
      </c>
      <c r="AD656" s="52">
        <v>6</v>
      </c>
      <c r="AE656" s="52">
        <v>6</v>
      </c>
    </row>
    <row r="657" spans="1:31" ht="16.5" customHeight="1">
      <c r="A657" s="199"/>
      <c r="B657" s="48"/>
      <c r="C657" s="51" t="s">
        <v>155</v>
      </c>
      <c r="D657" s="8">
        <v>5163.42</v>
      </c>
      <c r="E657" s="8">
        <v>5133.54</v>
      </c>
      <c r="F657" s="8">
        <v>5177.75</v>
      </c>
      <c r="G657" s="8">
        <v>5149.82</v>
      </c>
      <c r="H657" s="8">
        <v>5232.37</v>
      </c>
      <c r="I657" s="8">
        <v>5197.4799999999996</v>
      </c>
      <c r="J657" s="8">
        <v>5174.47</v>
      </c>
      <c r="K657" s="8">
        <v>5175.3</v>
      </c>
      <c r="L657" s="8">
        <v>5292.51</v>
      </c>
      <c r="M657" s="50"/>
      <c r="N657" s="50"/>
      <c r="O657" s="50"/>
      <c r="P657" s="50"/>
      <c r="Q657" s="48"/>
      <c r="R657" s="48"/>
      <c r="S657" s="49"/>
      <c r="T657" s="48"/>
      <c r="U657" s="48"/>
      <c r="V657" s="47"/>
      <c r="W657" s="46"/>
      <c r="X657" s="8"/>
    </row>
    <row r="658" spans="1:31" ht="24.75" customHeight="1" thickBot="1">
      <c r="A658" s="199"/>
      <c r="B658" s="42"/>
      <c r="C658" s="45" t="s">
        <v>154</v>
      </c>
      <c r="D658" s="44">
        <f t="shared" ref="D658:L658" si="214">IF(((D656="")*AND(D657="")),"",(D656-D657)*2)</f>
        <v>3290.8799999999992</v>
      </c>
      <c r="E658" s="44">
        <f t="shared" si="214"/>
        <v>3331.74</v>
      </c>
      <c r="F658" s="44">
        <f t="shared" si="214"/>
        <v>3333</v>
      </c>
      <c r="G658" s="44">
        <f t="shared" si="214"/>
        <v>3321.42</v>
      </c>
      <c r="H658" s="44">
        <f t="shared" si="214"/>
        <v>3260.2000000000007</v>
      </c>
      <c r="I658" s="44">
        <f t="shared" si="214"/>
        <v>3257.1000000000004</v>
      </c>
      <c r="J658" s="44">
        <f t="shared" si="214"/>
        <v>3320.0599999999995</v>
      </c>
      <c r="K658" s="44">
        <f t="shared" si="214"/>
        <v>3324.3199999999997</v>
      </c>
      <c r="L658" s="44">
        <f t="shared" si="214"/>
        <v>3261.5</v>
      </c>
      <c r="M658" s="44"/>
      <c r="N658" s="44"/>
      <c r="O658" s="44"/>
      <c r="P658" s="44"/>
      <c r="Q658" s="42"/>
      <c r="R658" s="42"/>
      <c r="S658" s="43"/>
      <c r="T658" s="42"/>
      <c r="U658" s="42"/>
      <c r="V658" s="41"/>
      <c r="W658" s="40"/>
      <c r="X658" s="8"/>
    </row>
    <row r="659" spans="1:31">
      <c r="A659" s="195">
        <v>43306</v>
      </c>
      <c r="B659" s="63" t="s">
        <v>158</v>
      </c>
      <c r="C659" s="56" t="s">
        <v>156</v>
      </c>
      <c r="D659" s="8">
        <v>1908</v>
      </c>
      <c r="E659" s="8">
        <v>1904</v>
      </c>
      <c r="F659" s="8">
        <v>1903</v>
      </c>
      <c r="G659" s="8">
        <v>1906</v>
      </c>
      <c r="H659" s="8">
        <v>1909</v>
      </c>
      <c r="I659" s="65">
        <v>1911</v>
      </c>
      <c r="J659" s="65">
        <v>1905</v>
      </c>
      <c r="K659" s="65">
        <v>1903</v>
      </c>
      <c r="L659" s="65">
        <v>1908</v>
      </c>
      <c r="M659" s="62"/>
      <c r="N659" s="62"/>
      <c r="O659" s="62"/>
      <c r="P659" s="62"/>
      <c r="Q659" s="57">
        <f>IF((L660=""),"",MAX(D661:L661))</f>
        <v>3092</v>
      </c>
      <c r="R659" s="57">
        <f>IF(L660="","",MIN(D661:L661))</f>
        <v>2704</v>
      </c>
      <c r="S659" s="58">
        <f>IF((L661=""),"",AVERAGE(D661:L661))</f>
        <v>2882.2222222222222</v>
      </c>
      <c r="T659" s="57">
        <f>IF((L660=""),"",((Q659-R659)/(Q659+R659))*100)</f>
        <v>6.6942719116632157</v>
      </c>
      <c r="U659" s="56">
        <f>STDEV(D659:L659)</f>
        <v>2.8284271247461903</v>
      </c>
      <c r="V659" s="55" t="str">
        <f>IF(L660="","",(IF(T659&lt;12,IF(S659&gt;2200,IF(S659&lt;3280,"Pass","Fail"),"Fail"),"Fail")))</f>
        <v>Pass</v>
      </c>
      <c r="W659" s="54">
        <v>121</v>
      </c>
      <c r="Z659" s="37">
        <v>2000</v>
      </c>
      <c r="AA659" s="37">
        <v>3000</v>
      </c>
      <c r="AB659" s="37">
        <v>2200</v>
      </c>
      <c r="AC659" s="37">
        <v>3280</v>
      </c>
      <c r="AD659" s="39">
        <v>12</v>
      </c>
      <c r="AE659" s="39">
        <v>12</v>
      </c>
    </row>
    <row r="660" spans="1:31" ht="16.5" customHeight="1">
      <c r="A660" s="199"/>
      <c r="B660" s="48"/>
      <c r="C660" s="51" t="s">
        <v>155</v>
      </c>
      <c r="D660" s="8">
        <v>1168</v>
      </c>
      <c r="E660" s="8">
        <v>1205</v>
      </c>
      <c r="F660" s="8">
        <v>1227</v>
      </c>
      <c r="G660" s="8">
        <v>1202</v>
      </c>
      <c r="H660" s="8">
        <v>1154</v>
      </c>
      <c r="I660" s="8">
        <v>1176</v>
      </c>
      <c r="J660" s="8">
        <v>1214</v>
      </c>
      <c r="K660" s="8">
        <v>1191</v>
      </c>
      <c r="L660" s="8">
        <v>1135</v>
      </c>
      <c r="M660" s="50"/>
      <c r="N660" s="50"/>
      <c r="O660" s="50"/>
      <c r="P660" s="50"/>
      <c r="Q660" s="48"/>
      <c r="R660" s="48"/>
      <c r="S660" s="48"/>
      <c r="T660" s="48"/>
      <c r="U660" s="48"/>
      <c r="V660" s="47"/>
      <c r="W660" s="46"/>
      <c r="X660" s="8"/>
    </row>
    <row r="661" spans="1:31" ht="24.75" customHeight="1" thickBot="1">
      <c r="A661" s="199"/>
      <c r="B661" s="61"/>
      <c r="C661" s="51" t="s">
        <v>154</v>
      </c>
      <c r="D661" s="24">
        <f t="shared" ref="D661:L661" si="215">IF(((D659="")*AND(D660="")),"",(D659-D660)*4)</f>
        <v>2960</v>
      </c>
      <c r="E661" s="24">
        <f t="shared" si="215"/>
        <v>2796</v>
      </c>
      <c r="F661" s="24">
        <f t="shared" si="215"/>
        <v>2704</v>
      </c>
      <c r="G661" s="24">
        <f t="shared" si="215"/>
        <v>2816</v>
      </c>
      <c r="H661" s="24">
        <f t="shared" si="215"/>
        <v>3020</v>
      </c>
      <c r="I661" s="24">
        <f t="shared" si="215"/>
        <v>2940</v>
      </c>
      <c r="J661" s="24">
        <f t="shared" si="215"/>
        <v>2764</v>
      </c>
      <c r="K661" s="24">
        <f t="shared" si="215"/>
        <v>2848</v>
      </c>
      <c r="L661" s="24">
        <f t="shared" si="215"/>
        <v>3092</v>
      </c>
      <c r="M661" s="24"/>
      <c r="N661" s="24"/>
      <c r="O661" s="24"/>
      <c r="P661" s="24" t="str">
        <f>IF(((P659="")*AND(P660="")),"",(P659-P660)*4)</f>
        <v/>
      </c>
      <c r="Q661" s="61"/>
      <c r="R661" s="61"/>
      <c r="S661" s="61"/>
      <c r="T661" s="61"/>
      <c r="U661" s="61"/>
      <c r="V661" s="60"/>
      <c r="W661" s="59"/>
      <c r="X661" s="8"/>
    </row>
    <row r="662" spans="1:31">
      <c r="A662" s="195">
        <v>43306</v>
      </c>
      <c r="B662" s="57" t="s">
        <v>157</v>
      </c>
      <c r="C662" s="51" t="s">
        <v>156</v>
      </c>
      <c r="D662" s="8">
        <v>6934</v>
      </c>
      <c r="E662" s="8">
        <v>6931</v>
      </c>
      <c r="F662" s="8">
        <v>6981</v>
      </c>
      <c r="G662" s="8">
        <v>6942</v>
      </c>
      <c r="H662" s="8">
        <v>6981</v>
      </c>
      <c r="I662" s="8">
        <v>6943</v>
      </c>
      <c r="J662" s="8">
        <v>6962</v>
      </c>
      <c r="K662" s="8">
        <v>6974</v>
      </c>
      <c r="L662" s="8">
        <v>7044</v>
      </c>
      <c r="M662" s="50"/>
      <c r="N662" s="50"/>
      <c r="O662" s="50"/>
      <c r="P662" s="50"/>
      <c r="Q662" s="57">
        <f>IF((L663=""),"",MAX(D664:L664))</f>
        <v>3382</v>
      </c>
      <c r="R662" s="57">
        <f>IF(L663="","",MIN(D664:L664))</f>
        <v>3310</v>
      </c>
      <c r="S662" s="58">
        <f>IF((L664=""),"",AVERAGE(D664:L664))</f>
        <v>3353.1111111111113</v>
      </c>
      <c r="T662" s="57">
        <f>IF((L663=""),"",((Q662-R662)/(Q662+R662))*100)</f>
        <v>1.0759115361625822</v>
      </c>
      <c r="U662" s="56">
        <f>STDEV(D662:L662)</f>
        <v>35.297938246415413</v>
      </c>
      <c r="V662" s="55" t="str">
        <f>IF(L663="","",(IF(T662&lt;7,IF(S662&gt;2800,IF(S662&lt;3800,"Pass","Fail"),"Fail"),"Fail")))</f>
        <v>Pass</v>
      </c>
      <c r="W662" s="54">
        <v>121</v>
      </c>
      <c r="Z662" s="53">
        <v>2800</v>
      </c>
      <c r="AA662" s="53">
        <v>3800</v>
      </c>
      <c r="AB662" s="53">
        <v>3100</v>
      </c>
      <c r="AC662" s="53">
        <v>3760</v>
      </c>
      <c r="AD662" s="52">
        <v>6</v>
      </c>
      <c r="AE662" s="52">
        <v>6</v>
      </c>
    </row>
    <row r="663" spans="1:31" ht="16.5" customHeight="1">
      <c r="A663" s="199"/>
      <c r="B663" s="48"/>
      <c r="C663" s="51" t="s">
        <v>155</v>
      </c>
      <c r="D663" s="8">
        <v>5256</v>
      </c>
      <c r="E663" s="8">
        <v>5240</v>
      </c>
      <c r="F663" s="8">
        <v>5292</v>
      </c>
      <c r="G663" s="8">
        <v>5256</v>
      </c>
      <c r="H663" s="8">
        <v>5320</v>
      </c>
      <c r="I663" s="8">
        <v>5282</v>
      </c>
      <c r="J663" s="8">
        <v>5278</v>
      </c>
      <c r="K663" s="8">
        <v>5290</v>
      </c>
      <c r="L663" s="8">
        <v>5389</v>
      </c>
      <c r="M663" s="50"/>
      <c r="N663" s="50"/>
      <c r="O663" s="50"/>
      <c r="P663" s="50"/>
      <c r="Q663" s="48"/>
      <c r="R663" s="48"/>
      <c r="S663" s="49"/>
      <c r="T663" s="48"/>
      <c r="U663" s="48"/>
      <c r="V663" s="47"/>
      <c r="W663" s="46"/>
      <c r="X663" s="8"/>
    </row>
    <row r="664" spans="1:31" ht="24.75" customHeight="1" thickBot="1">
      <c r="A664" s="199"/>
      <c r="B664" s="42"/>
      <c r="C664" s="45" t="s">
        <v>154</v>
      </c>
      <c r="D664" s="44">
        <f t="shared" ref="D664:L664" si="216">IF(((D662="")*AND(D663="")),"",(D662-D663)*2)</f>
        <v>3356</v>
      </c>
      <c r="E664" s="44">
        <f t="shared" si="216"/>
        <v>3382</v>
      </c>
      <c r="F664" s="44">
        <f t="shared" si="216"/>
        <v>3378</v>
      </c>
      <c r="G664" s="44">
        <f t="shared" si="216"/>
        <v>3372</v>
      </c>
      <c r="H664" s="44">
        <f t="shared" si="216"/>
        <v>3322</v>
      </c>
      <c r="I664" s="44">
        <f t="shared" si="216"/>
        <v>3322</v>
      </c>
      <c r="J664" s="44">
        <f t="shared" si="216"/>
        <v>3368</v>
      </c>
      <c r="K664" s="44">
        <f t="shared" si="216"/>
        <v>3368</v>
      </c>
      <c r="L664" s="44">
        <f t="shared" si="216"/>
        <v>3310</v>
      </c>
      <c r="M664" s="44"/>
      <c r="N664" s="44"/>
      <c r="O664" s="44"/>
      <c r="P664" s="44"/>
      <c r="Q664" s="42"/>
      <c r="R664" s="42"/>
      <c r="S664" s="43"/>
      <c r="T664" s="42"/>
      <c r="U664" s="42"/>
      <c r="V664" s="41"/>
      <c r="W664" s="40"/>
      <c r="X664" s="8"/>
    </row>
    <row r="665" spans="1:31">
      <c r="A665" s="195">
        <v>43311</v>
      </c>
      <c r="B665" s="63" t="s">
        <v>158</v>
      </c>
      <c r="C665" s="56" t="s">
        <v>156</v>
      </c>
      <c r="D665" s="8">
        <v>1169.6199999999999</v>
      </c>
      <c r="E665" s="8">
        <v>1206.01</v>
      </c>
      <c r="F665" s="8">
        <v>1229.58</v>
      </c>
      <c r="G665" s="8">
        <v>1206.02</v>
      </c>
      <c r="H665" s="8">
        <v>1157.44</v>
      </c>
      <c r="I665" s="8">
        <v>1177.81</v>
      </c>
      <c r="J665" s="8">
        <v>1217.07</v>
      </c>
      <c r="K665" s="8">
        <v>1193.1500000000001</v>
      </c>
      <c r="L665" s="8">
        <v>1138.18</v>
      </c>
      <c r="M665" s="62"/>
      <c r="N665" s="62"/>
      <c r="O665" s="62"/>
      <c r="P665" s="62"/>
      <c r="Q665" s="57">
        <f>IF((L666=""),"",MAX(D667:L667))</f>
        <v>3143.2400000000002</v>
      </c>
      <c r="R665" s="57">
        <f>IF(L666="","",MIN(D667:L667))</f>
        <v>2781.16</v>
      </c>
      <c r="S665" s="58">
        <f>IF((L667=""),"",AVERAGE(D667:L667))</f>
        <v>2930.0800000000004</v>
      </c>
      <c r="T665" s="57">
        <f>IF((L666=""),"",((Q665-R665)/(Q665+R665))*100)</f>
        <v>6.1116737559921743</v>
      </c>
      <c r="U665" s="56">
        <f>STDEV(D665:L665)</f>
        <v>29.804045866294224</v>
      </c>
      <c r="V665" s="64" t="str">
        <f>IF(L666="","",(IF(T665&lt;12,IF(S665&gt;2200,IF(S665&lt;3280,"Pass","Fail"),"Fail"),"Fail")))</f>
        <v>Pass</v>
      </c>
      <c r="W665" s="54">
        <v>1428</v>
      </c>
      <c r="Z665" s="37">
        <v>2000</v>
      </c>
      <c r="AA665" s="37">
        <v>3000</v>
      </c>
      <c r="AB665" s="37">
        <v>2200</v>
      </c>
      <c r="AC665" s="37">
        <v>3280</v>
      </c>
      <c r="AD665" s="39">
        <v>12</v>
      </c>
      <c r="AE665" s="39">
        <v>12</v>
      </c>
    </row>
    <row r="666" spans="1:31" ht="16.5" customHeight="1">
      <c r="A666" s="199"/>
      <c r="B666" s="48"/>
      <c r="C666" s="51" t="s">
        <v>155</v>
      </c>
      <c r="D666" s="8">
        <v>411.37</v>
      </c>
      <c r="E666" s="8">
        <v>505.33</v>
      </c>
      <c r="F666" s="8">
        <v>505.33</v>
      </c>
      <c r="G666" s="8">
        <v>503.12</v>
      </c>
      <c r="H666" s="8">
        <v>392.06</v>
      </c>
      <c r="I666" s="8">
        <v>427.76</v>
      </c>
      <c r="J666" s="8">
        <v>521.78</v>
      </c>
      <c r="K666" s="8">
        <v>483.08</v>
      </c>
      <c r="L666" s="8">
        <v>352.37</v>
      </c>
      <c r="M666" s="50"/>
      <c r="N666" s="50"/>
      <c r="O666" s="50"/>
      <c r="P666" s="50"/>
      <c r="Q666" s="48"/>
      <c r="R666" s="48"/>
      <c r="S666" s="48"/>
      <c r="T666" s="48"/>
      <c r="U666" s="48"/>
      <c r="V666" s="47"/>
      <c r="W666" s="46"/>
      <c r="X666" s="8"/>
    </row>
    <row r="667" spans="1:31" ht="24.75" customHeight="1" thickBot="1">
      <c r="A667" s="199"/>
      <c r="B667" s="61"/>
      <c r="C667" s="51" t="s">
        <v>154</v>
      </c>
      <c r="D667" s="24">
        <f t="shared" ref="D667:L667" si="217">IF(((D665="")*AND(D666="")),"",(D665-D666)*4)</f>
        <v>3032.9999999999995</v>
      </c>
      <c r="E667" s="24">
        <f t="shared" si="217"/>
        <v>2802.7200000000003</v>
      </c>
      <c r="F667" s="24">
        <f t="shared" si="217"/>
        <v>2897</v>
      </c>
      <c r="G667" s="24">
        <f t="shared" si="217"/>
        <v>2811.6</v>
      </c>
      <c r="H667" s="24">
        <f t="shared" si="217"/>
        <v>3061.5200000000004</v>
      </c>
      <c r="I667" s="24">
        <f t="shared" si="217"/>
        <v>3000.2</v>
      </c>
      <c r="J667" s="24">
        <f t="shared" si="217"/>
        <v>2781.16</v>
      </c>
      <c r="K667" s="24">
        <f t="shared" si="217"/>
        <v>2840.2800000000007</v>
      </c>
      <c r="L667" s="24">
        <f t="shared" si="217"/>
        <v>3143.2400000000002</v>
      </c>
      <c r="M667" s="24"/>
      <c r="N667" s="24"/>
      <c r="O667" s="24"/>
      <c r="P667" s="24" t="str">
        <f>IF(((P665="")*AND(P666="")),"",(P665-P666)*4)</f>
        <v/>
      </c>
      <c r="Q667" s="61"/>
      <c r="R667" s="61"/>
      <c r="S667" s="61"/>
      <c r="T667" s="61"/>
      <c r="U667" s="61"/>
      <c r="V667" s="60"/>
      <c r="W667" s="59"/>
      <c r="X667" s="8"/>
    </row>
    <row r="668" spans="1:31">
      <c r="A668" s="195">
        <v>43311</v>
      </c>
      <c r="B668" s="57" t="s">
        <v>157</v>
      </c>
      <c r="C668" s="51" t="s">
        <v>156</v>
      </c>
      <c r="D668" s="8">
        <v>6934</v>
      </c>
      <c r="E668" s="8">
        <v>6931</v>
      </c>
      <c r="F668" s="8">
        <v>6981</v>
      </c>
      <c r="G668" s="8">
        <v>6942</v>
      </c>
      <c r="H668" s="8">
        <v>6981</v>
      </c>
      <c r="I668" s="8">
        <v>6943</v>
      </c>
      <c r="J668" s="8">
        <v>6962</v>
      </c>
      <c r="K668" s="8">
        <v>6974</v>
      </c>
      <c r="L668" s="8">
        <v>7044</v>
      </c>
      <c r="M668" s="50"/>
      <c r="N668" s="50"/>
      <c r="O668" s="50"/>
      <c r="P668" s="50"/>
      <c r="Q668" s="57">
        <f>IF((L669=""),"",MAX(D670:L670))</f>
        <v>3382</v>
      </c>
      <c r="R668" s="57">
        <f>IF(L669="","",MIN(D670:L670))</f>
        <v>3310</v>
      </c>
      <c r="S668" s="58">
        <f>IF((L670=""),"",AVERAGE(D670:L670))</f>
        <v>3353.1111111111113</v>
      </c>
      <c r="T668" s="57">
        <f>IF((L669=""),"",((Q668-R668)/(Q668+R668))*100)</f>
        <v>1.0759115361625822</v>
      </c>
      <c r="U668" s="56">
        <f>STDEV(D668:L668)</f>
        <v>35.297938246415413</v>
      </c>
      <c r="V668" s="55" t="str">
        <f>IF(L669="","",(IF(T668&lt;7,IF(S668&gt;2800,IF(S668&lt;3800,"Pass","Fail"),"Fail"),"Fail")))</f>
        <v>Pass</v>
      </c>
      <c r="W668" s="54">
        <v>1428</v>
      </c>
      <c r="Z668" s="53">
        <v>2800</v>
      </c>
      <c r="AA668" s="53">
        <v>3800</v>
      </c>
      <c r="AB668" s="53">
        <v>3100</v>
      </c>
      <c r="AC668" s="53">
        <v>3760</v>
      </c>
      <c r="AD668" s="52">
        <v>6</v>
      </c>
      <c r="AE668" s="52">
        <v>6</v>
      </c>
    </row>
    <row r="669" spans="1:31" ht="16.5" customHeight="1">
      <c r="A669" s="199"/>
      <c r="B669" s="48"/>
      <c r="C669" s="51" t="s">
        <v>155</v>
      </c>
      <c r="D669" s="8">
        <v>5256</v>
      </c>
      <c r="E669" s="8">
        <v>5240</v>
      </c>
      <c r="F669" s="8">
        <v>5292</v>
      </c>
      <c r="G669" s="8">
        <v>5256</v>
      </c>
      <c r="H669" s="8">
        <v>5320</v>
      </c>
      <c r="I669" s="8">
        <v>5282</v>
      </c>
      <c r="J669" s="8">
        <v>5278</v>
      </c>
      <c r="K669" s="8">
        <v>5290</v>
      </c>
      <c r="L669" s="8">
        <v>5389</v>
      </c>
      <c r="M669" s="50"/>
      <c r="N669" s="50"/>
      <c r="O669" s="50"/>
      <c r="P669" s="50"/>
      <c r="Q669" s="48"/>
      <c r="R669" s="48"/>
      <c r="S669" s="49"/>
      <c r="T669" s="48"/>
      <c r="U669" s="48"/>
      <c r="V669" s="47"/>
      <c r="W669" s="46"/>
      <c r="X669" s="8"/>
    </row>
    <row r="670" spans="1:31" ht="24.75" customHeight="1" thickBot="1">
      <c r="A670" s="199"/>
      <c r="B670" s="42"/>
      <c r="C670" s="45" t="s">
        <v>154</v>
      </c>
      <c r="D670" s="44">
        <f t="shared" ref="D670:L670" si="218">IF(((D668="")*AND(D669="")),"",(D668-D669)*2)</f>
        <v>3356</v>
      </c>
      <c r="E670" s="44">
        <f t="shared" si="218"/>
        <v>3382</v>
      </c>
      <c r="F670" s="44">
        <f t="shared" si="218"/>
        <v>3378</v>
      </c>
      <c r="G670" s="44">
        <f t="shared" si="218"/>
        <v>3372</v>
      </c>
      <c r="H670" s="44">
        <f t="shared" si="218"/>
        <v>3322</v>
      </c>
      <c r="I670" s="44">
        <f t="shared" si="218"/>
        <v>3322</v>
      </c>
      <c r="J670" s="44">
        <f t="shared" si="218"/>
        <v>3368</v>
      </c>
      <c r="K670" s="44">
        <f t="shared" si="218"/>
        <v>3368</v>
      </c>
      <c r="L670" s="44">
        <f t="shared" si="218"/>
        <v>3310</v>
      </c>
      <c r="M670" s="44"/>
      <c r="N670" s="44"/>
      <c r="O670" s="44"/>
      <c r="P670" s="44"/>
      <c r="Q670" s="42"/>
      <c r="R670" s="42"/>
      <c r="S670" s="43"/>
      <c r="T670" s="42"/>
      <c r="U670" s="42"/>
      <c r="V670" s="41"/>
      <c r="W670" s="40"/>
      <c r="X670" s="8"/>
    </row>
    <row r="671" spans="1:31">
      <c r="A671" s="195">
        <v>43319</v>
      </c>
      <c r="B671" s="63" t="s">
        <v>158</v>
      </c>
      <c r="C671" s="56" t="s">
        <v>156</v>
      </c>
      <c r="D671" s="8">
        <v>1975.06</v>
      </c>
      <c r="E671" s="8">
        <v>1960.83</v>
      </c>
      <c r="F671" s="8">
        <v>1951.79</v>
      </c>
      <c r="G671" s="8">
        <v>1954.17</v>
      </c>
      <c r="H671" s="8">
        <v>1970.43</v>
      </c>
      <c r="I671" s="8">
        <v>1975.5</v>
      </c>
      <c r="J671" s="8">
        <v>1956.68</v>
      </c>
      <c r="K671" s="8">
        <v>1957.76</v>
      </c>
      <c r="L671" s="8">
        <v>1973.33</v>
      </c>
      <c r="M671" s="62"/>
      <c r="N671" s="62"/>
      <c r="O671" s="62"/>
      <c r="P671" s="62"/>
      <c r="Q671" s="57">
        <f>IF((L672=""),"",MAX(D673:L673))</f>
        <v>3307</v>
      </c>
      <c r="R671" s="57">
        <f>IF(L672="","",MIN(D673:L673))</f>
        <v>2921.5999999999995</v>
      </c>
      <c r="S671" s="58">
        <f>IF((L673=""),"",AVERAGE(D673:L673))</f>
        <v>3122.9955555555553</v>
      </c>
      <c r="T671" s="57">
        <f>IF((L672=""),"",((Q671-R671)/(Q671+R671))*100)</f>
        <v>6.1875862954757181</v>
      </c>
      <c r="U671" s="56">
        <f>STDEV(D671:L671)</f>
        <v>9.5605099235557027</v>
      </c>
      <c r="V671" s="55" t="str">
        <f>IF(L672="","",(IF(T671&lt;12,IF(S671&gt;2200,IF(S671&lt;3280,"Pass","Fail"),"Fail"),"Fail")))</f>
        <v>Pass</v>
      </c>
      <c r="W671" s="54">
        <v>1340</v>
      </c>
      <c r="Z671" s="37">
        <v>2000</v>
      </c>
      <c r="AA671" s="37">
        <v>3000</v>
      </c>
      <c r="AB671" s="37">
        <v>2200</v>
      </c>
      <c r="AC671" s="37">
        <v>3280</v>
      </c>
      <c r="AD671" s="39">
        <v>12</v>
      </c>
      <c r="AE671" s="39">
        <v>12</v>
      </c>
    </row>
    <row r="672" spans="1:31" ht="16.5" customHeight="1">
      <c r="A672" s="199"/>
      <c r="B672" s="48"/>
      <c r="C672" s="51" t="s">
        <v>155</v>
      </c>
      <c r="D672" s="8">
        <v>1155.1400000000001</v>
      </c>
      <c r="E672" s="8">
        <v>1203.9100000000001</v>
      </c>
      <c r="F672" s="8">
        <v>1221.3900000000001</v>
      </c>
      <c r="G672" s="8">
        <v>1202.49</v>
      </c>
      <c r="H672" s="8">
        <v>1148.3499999999999</v>
      </c>
      <c r="I672" s="8">
        <v>1166.95</v>
      </c>
      <c r="J672" s="8">
        <v>1213.57</v>
      </c>
      <c r="K672" s="8">
        <v>1190.43</v>
      </c>
      <c r="L672" s="8">
        <v>1146.58</v>
      </c>
      <c r="M672" s="50"/>
      <c r="N672" s="50"/>
      <c r="O672" s="50"/>
      <c r="P672" s="50"/>
      <c r="Q672" s="48"/>
      <c r="R672" s="48"/>
      <c r="S672" s="48"/>
      <c r="T672" s="48"/>
      <c r="U672" s="48"/>
      <c r="V672" s="47"/>
      <c r="W672" s="46"/>
      <c r="X672" s="8"/>
    </row>
    <row r="673" spans="1:31" ht="24.75" customHeight="1" thickBot="1">
      <c r="A673" s="199"/>
      <c r="B673" s="61"/>
      <c r="C673" s="51" t="s">
        <v>154</v>
      </c>
      <c r="D673" s="24">
        <f t="shared" ref="D673:L673" si="219">IF(((D671="")*AND(D672="")),"",(D671-D672)*4)</f>
        <v>3279.6799999999994</v>
      </c>
      <c r="E673" s="24">
        <f t="shared" si="219"/>
        <v>3027.6799999999994</v>
      </c>
      <c r="F673" s="24">
        <f t="shared" si="219"/>
        <v>2921.5999999999995</v>
      </c>
      <c r="G673" s="24">
        <f t="shared" si="219"/>
        <v>3006.7200000000003</v>
      </c>
      <c r="H673" s="24">
        <f t="shared" si="219"/>
        <v>3288.3200000000006</v>
      </c>
      <c r="I673" s="24">
        <f t="shared" si="219"/>
        <v>3234.2</v>
      </c>
      <c r="J673" s="24">
        <f t="shared" si="219"/>
        <v>2972.4400000000005</v>
      </c>
      <c r="K673" s="24">
        <f t="shared" si="219"/>
        <v>3069.3199999999997</v>
      </c>
      <c r="L673" s="24">
        <f t="shared" si="219"/>
        <v>3307</v>
      </c>
      <c r="M673" s="24"/>
      <c r="N673" s="24"/>
      <c r="O673" s="24"/>
      <c r="P673" s="24" t="str">
        <f>IF(((P671="")*AND(P672="")),"",(P671-P672)*4)</f>
        <v/>
      </c>
      <c r="Q673" s="61"/>
      <c r="R673" s="61"/>
      <c r="S673" s="61"/>
      <c r="T673" s="61"/>
      <c r="U673" s="61"/>
      <c r="V673" s="60"/>
      <c r="W673" s="59"/>
      <c r="X673" s="8"/>
    </row>
    <row r="674" spans="1:31">
      <c r="A674" s="195">
        <v>43319</v>
      </c>
      <c r="B674" s="57" t="s">
        <v>157</v>
      </c>
      <c r="C674" s="51" t="s">
        <v>156</v>
      </c>
      <c r="D674" s="8">
        <v>6842</v>
      </c>
      <c r="E674" s="8">
        <v>6852</v>
      </c>
      <c r="F674" s="8">
        <v>6903</v>
      </c>
      <c r="G674" s="8">
        <v>6857</v>
      </c>
      <c r="H674" s="8">
        <v>6880</v>
      </c>
      <c r="I674" s="8">
        <v>6844</v>
      </c>
      <c r="J674" s="8">
        <v>6878</v>
      </c>
      <c r="K674" s="8">
        <v>6895</v>
      </c>
      <c r="L674" s="8">
        <v>6951</v>
      </c>
      <c r="M674" s="50"/>
      <c r="N674" s="50"/>
      <c r="O674" s="50"/>
      <c r="P674" s="50"/>
      <c r="Q674" s="57">
        <f>IF((L675=""),"",MAX(D676:L676))</f>
        <v>3224</v>
      </c>
      <c r="R674" s="57">
        <f>IF(L675="","",MIN(D676:L676))</f>
        <v>3120</v>
      </c>
      <c r="S674" s="58">
        <f>IF((L676=""),"",AVERAGE(D676:L676))</f>
        <v>3177.5555555555557</v>
      </c>
      <c r="T674" s="57">
        <f>IF((L675=""),"",((Q674-R674)/(Q674+R674))*100)</f>
        <v>1.639344262295082</v>
      </c>
      <c r="U674" s="56">
        <f>STDEV(D674:L674)</f>
        <v>35.028559776273987</v>
      </c>
      <c r="V674" s="55" t="str">
        <f>IF(L675="","",(IF(T674&lt;7,IF(S674&gt;2800,IF(S674&lt;3800,"Pass","Fail"),"Fail"),"Fail")))</f>
        <v>Pass</v>
      </c>
      <c r="W674" s="54">
        <v>1340</v>
      </c>
      <c r="Z674" s="53">
        <v>2800</v>
      </c>
      <c r="AA674" s="53">
        <v>3800</v>
      </c>
      <c r="AB674" s="53">
        <v>3100</v>
      </c>
      <c r="AC674" s="53">
        <v>3760</v>
      </c>
      <c r="AD674" s="52">
        <v>6</v>
      </c>
      <c r="AE674" s="52">
        <v>6</v>
      </c>
    </row>
    <row r="675" spans="1:31" ht="16.5" customHeight="1">
      <c r="A675" s="199"/>
      <c r="B675" s="48"/>
      <c r="C675" s="51" t="s">
        <v>155</v>
      </c>
      <c r="D675" s="8">
        <v>5256</v>
      </c>
      <c r="E675" s="8">
        <v>5240</v>
      </c>
      <c r="F675" s="8">
        <v>5292</v>
      </c>
      <c r="G675" s="8">
        <v>5256</v>
      </c>
      <c r="H675" s="8">
        <v>5320</v>
      </c>
      <c r="I675" s="8">
        <v>5282</v>
      </c>
      <c r="J675" s="8">
        <v>5278</v>
      </c>
      <c r="K675" s="8">
        <v>5290</v>
      </c>
      <c r="L675" s="8">
        <v>5389</v>
      </c>
      <c r="M675" s="50"/>
      <c r="N675" s="50"/>
      <c r="O675" s="50"/>
      <c r="P675" s="50"/>
      <c r="Q675" s="48"/>
      <c r="R675" s="48"/>
      <c r="S675" s="49"/>
      <c r="T675" s="48"/>
      <c r="U675" s="48"/>
      <c r="V675" s="47"/>
      <c r="W675" s="46"/>
      <c r="X675" s="8"/>
    </row>
    <row r="676" spans="1:31" ht="24.75" customHeight="1" thickBot="1">
      <c r="A676" s="199"/>
      <c r="B676" s="42"/>
      <c r="C676" s="45" t="s">
        <v>154</v>
      </c>
      <c r="D676" s="44">
        <f t="shared" ref="D676:L676" si="220">IF(((D674="")*AND(D675="")),"",(D674-D675)*2)</f>
        <v>3172</v>
      </c>
      <c r="E676" s="44">
        <f t="shared" si="220"/>
        <v>3224</v>
      </c>
      <c r="F676" s="44">
        <f t="shared" si="220"/>
        <v>3222</v>
      </c>
      <c r="G676" s="44">
        <f t="shared" si="220"/>
        <v>3202</v>
      </c>
      <c r="H676" s="44">
        <f t="shared" si="220"/>
        <v>3120</v>
      </c>
      <c r="I676" s="44">
        <f t="shared" si="220"/>
        <v>3124</v>
      </c>
      <c r="J676" s="44">
        <f t="shared" si="220"/>
        <v>3200</v>
      </c>
      <c r="K676" s="44">
        <f t="shared" si="220"/>
        <v>3210</v>
      </c>
      <c r="L676" s="44">
        <f t="shared" si="220"/>
        <v>3124</v>
      </c>
      <c r="M676" s="44"/>
      <c r="N676" s="44"/>
      <c r="O676" s="44"/>
      <c r="P676" s="44"/>
      <c r="Q676" s="42"/>
      <c r="R676" s="42"/>
      <c r="S676" s="43"/>
      <c r="T676" s="42"/>
      <c r="U676" s="42"/>
      <c r="V676" s="41"/>
      <c r="W676" s="40"/>
      <c r="X676" s="8"/>
    </row>
    <row r="677" spans="1:31">
      <c r="A677" s="195">
        <v>43328</v>
      </c>
      <c r="B677" s="63" t="s">
        <v>158</v>
      </c>
      <c r="C677" s="56" t="s">
        <v>156</v>
      </c>
      <c r="D677" s="8">
        <v>1156.4100000000001</v>
      </c>
      <c r="E677" s="8">
        <v>1203.6600000000001</v>
      </c>
      <c r="F677" s="8">
        <v>1219.28</v>
      </c>
      <c r="G677" s="8">
        <v>1205.1500000000001</v>
      </c>
      <c r="H677" s="8">
        <v>1150.33</v>
      </c>
      <c r="I677" s="8">
        <v>1168.81</v>
      </c>
      <c r="J677" s="8">
        <v>1212.79</v>
      </c>
      <c r="K677" s="8">
        <v>1192.26</v>
      </c>
      <c r="L677" s="8">
        <v>1129.6199999999999</v>
      </c>
      <c r="M677" s="62"/>
      <c r="N677" s="62"/>
      <c r="O677" s="62"/>
      <c r="P677" s="62"/>
      <c r="Q677" s="57">
        <f>IF((L678=""),"",MAX(D679:L679))</f>
        <v>3082.2</v>
      </c>
      <c r="R677" s="57">
        <f>IF(L678="","",MIN(D679:L679))</f>
        <v>2690.4</v>
      </c>
      <c r="S677" s="58">
        <f>IF((L679=""),"",AVERAGE(D679:L679))</f>
        <v>2860.5555555555557</v>
      </c>
      <c r="T677" s="57">
        <f>IF((L678=""),"",((Q677-R677)/(Q677+R677))*100)</f>
        <v>6.7872362540276425</v>
      </c>
      <c r="U677" s="56">
        <f>STDEV(D677:L677)</f>
        <v>31.669454964956515</v>
      </c>
      <c r="V677" s="55" t="str">
        <f>IF(L678="","",(IF(T677&lt;12,IF(S677&gt;2200,IF(S677&lt;3280,"Pass","Fail"),"Fail"),"Fail")))</f>
        <v>Pass</v>
      </c>
      <c r="W677" s="54">
        <v>1159</v>
      </c>
      <c r="X677" s="26" t="s">
        <v>168</v>
      </c>
      <c r="Z677" s="37">
        <v>2000</v>
      </c>
      <c r="AA677" s="37">
        <v>3000</v>
      </c>
      <c r="AB677" s="37">
        <v>2200</v>
      </c>
      <c r="AC677" s="37">
        <v>3280</v>
      </c>
      <c r="AD677" s="39">
        <v>12</v>
      </c>
      <c r="AE677" s="39">
        <v>12</v>
      </c>
    </row>
    <row r="678" spans="1:31" ht="16.5" customHeight="1">
      <c r="A678" s="199"/>
      <c r="B678" s="48"/>
      <c r="C678" s="51" t="s">
        <v>155</v>
      </c>
      <c r="D678" s="8">
        <v>417.69</v>
      </c>
      <c r="E678" s="8">
        <v>507.93</v>
      </c>
      <c r="F678" s="8">
        <v>546.67999999999995</v>
      </c>
      <c r="G678" s="8">
        <v>508.98</v>
      </c>
      <c r="H678" s="8">
        <v>408.42</v>
      </c>
      <c r="I678" s="8">
        <v>440.1</v>
      </c>
      <c r="J678" s="8">
        <v>526.79</v>
      </c>
      <c r="K678" s="8">
        <v>486.4</v>
      </c>
      <c r="L678" s="8">
        <v>359.07</v>
      </c>
      <c r="M678" s="50"/>
      <c r="N678" s="50"/>
      <c r="O678" s="50"/>
      <c r="P678" s="50"/>
      <c r="Q678" s="48"/>
      <c r="R678" s="48"/>
      <c r="S678" s="48"/>
      <c r="T678" s="48"/>
      <c r="U678" s="48"/>
      <c r="V678" s="47"/>
      <c r="W678" s="46"/>
      <c r="X678" s="8"/>
    </row>
    <row r="679" spans="1:31" ht="24.75" customHeight="1" thickBot="1">
      <c r="A679" s="199"/>
      <c r="B679" s="61"/>
      <c r="C679" s="51" t="s">
        <v>154</v>
      </c>
      <c r="D679" s="24">
        <f t="shared" ref="D679:L679" si="221">IF(((D677="")*AND(D678="")),"",(D677-D678)*4)</f>
        <v>2954.88</v>
      </c>
      <c r="E679" s="24">
        <f t="shared" si="221"/>
        <v>2782.92</v>
      </c>
      <c r="F679" s="24">
        <f t="shared" si="221"/>
        <v>2690.4</v>
      </c>
      <c r="G679" s="24">
        <f t="shared" si="221"/>
        <v>2784.6800000000003</v>
      </c>
      <c r="H679" s="24">
        <f t="shared" si="221"/>
        <v>2967.6399999999994</v>
      </c>
      <c r="I679" s="24">
        <f t="shared" si="221"/>
        <v>2914.8399999999997</v>
      </c>
      <c r="J679" s="24">
        <f t="shared" si="221"/>
        <v>2744</v>
      </c>
      <c r="K679" s="24">
        <f t="shared" si="221"/>
        <v>2823.44</v>
      </c>
      <c r="L679" s="24">
        <f t="shared" si="221"/>
        <v>3082.2</v>
      </c>
      <c r="M679" s="24"/>
      <c r="N679" s="24"/>
      <c r="O679" s="24"/>
      <c r="P679" s="24" t="str">
        <f>IF(((P677="")*AND(P678="")),"",(P677-P678)*4)</f>
        <v/>
      </c>
      <c r="Q679" s="61"/>
      <c r="R679" s="61"/>
      <c r="S679" s="61"/>
      <c r="T679" s="61"/>
      <c r="U679" s="61"/>
      <c r="V679" s="60"/>
      <c r="W679" s="59"/>
      <c r="X679" s="8"/>
    </row>
    <row r="680" spans="1:31">
      <c r="A680" s="195">
        <v>43328</v>
      </c>
      <c r="B680" s="57" t="s">
        <v>157</v>
      </c>
      <c r="C680" s="51" t="s">
        <v>156</v>
      </c>
      <c r="D680" s="8">
        <v>5183.6000000000004</v>
      </c>
      <c r="E680" s="8">
        <v>5183.5</v>
      </c>
      <c r="F680" s="8">
        <v>5234.24</v>
      </c>
      <c r="G680" s="8">
        <v>5193.0600000000004</v>
      </c>
      <c r="H680" s="8">
        <v>5239.51</v>
      </c>
      <c r="I680" s="8">
        <v>5189.46</v>
      </c>
      <c r="J680" s="8">
        <v>5213.32</v>
      </c>
      <c r="K680" s="8">
        <v>5230.67</v>
      </c>
      <c r="L680" s="8">
        <v>5316.19</v>
      </c>
      <c r="M680" s="50"/>
      <c r="N680" s="50"/>
      <c r="O680" s="50"/>
      <c r="P680" s="50"/>
      <c r="Q680" s="57">
        <f>IF((L681=""),"",MAX(D682:L682))</f>
        <v>3381.6399999999994</v>
      </c>
      <c r="R680" s="57">
        <f>IF(L681="","",MIN(D682:L682))</f>
        <v>3308.8</v>
      </c>
      <c r="S680" s="58">
        <f>IF((L682=""),"",AVERAGE(D682:L682))</f>
        <v>3350.704444444445</v>
      </c>
      <c r="T680" s="57">
        <f>IF((L681=""),"",((Q680-R680)/(Q680+R680))*100)</f>
        <v>1.0887176329209924</v>
      </c>
      <c r="U680" s="56">
        <f>STDEV(D680:L680)</f>
        <v>42.291651100113157</v>
      </c>
      <c r="V680" s="55" t="str">
        <f>IF(L681="","",(IF(T680&lt;7,IF(S680&gt;2800,IF(S680&lt;3800,"Pass","Fail"),"Fail"),"Fail")))</f>
        <v>Pass</v>
      </c>
      <c r="W680" s="54">
        <v>1159</v>
      </c>
      <c r="X680" s="26" t="s">
        <v>168</v>
      </c>
      <c r="Z680" s="53">
        <v>2800</v>
      </c>
      <c r="AA680" s="53">
        <v>3800</v>
      </c>
      <c r="AB680" s="53">
        <v>3100</v>
      </c>
      <c r="AC680" s="53">
        <v>3760</v>
      </c>
      <c r="AD680" s="52">
        <v>6</v>
      </c>
      <c r="AE680" s="52">
        <v>6</v>
      </c>
    </row>
    <row r="681" spans="1:31" ht="16.5" customHeight="1">
      <c r="A681" s="199"/>
      <c r="B681" s="48"/>
      <c r="C681" s="51" t="s">
        <v>155</v>
      </c>
      <c r="D681" s="8">
        <v>3522.05</v>
      </c>
      <c r="E681" s="8">
        <v>3495.74</v>
      </c>
      <c r="F681" s="8">
        <v>3543.42</v>
      </c>
      <c r="G681" s="8">
        <v>3507.85</v>
      </c>
      <c r="H681" s="8">
        <v>3584.64</v>
      </c>
      <c r="I681" s="8">
        <v>3535.06</v>
      </c>
      <c r="J681" s="8">
        <v>3529.87</v>
      </c>
      <c r="K681" s="8">
        <v>3540.32</v>
      </c>
      <c r="L681" s="8">
        <v>3646.43</v>
      </c>
      <c r="M681" s="50"/>
      <c r="N681" s="50"/>
      <c r="O681" s="50"/>
      <c r="P681" s="50"/>
      <c r="Q681" s="48"/>
      <c r="R681" s="48"/>
      <c r="S681" s="49"/>
      <c r="T681" s="48"/>
      <c r="U681" s="48"/>
      <c r="V681" s="47"/>
      <c r="W681" s="46"/>
      <c r="X681" s="8"/>
    </row>
    <row r="682" spans="1:31" ht="24.75" customHeight="1" thickBot="1">
      <c r="A682" s="199"/>
      <c r="B682" s="42"/>
      <c r="C682" s="45" t="s">
        <v>154</v>
      </c>
      <c r="D682" s="44">
        <f t="shared" ref="D682:L682" si="222">IF(((D680="")*AND(D681="")),"",(D680-D681)*2)</f>
        <v>3323.1000000000004</v>
      </c>
      <c r="E682" s="44">
        <f t="shared" si="222"/>
        <v>3375.5200000000004</v>
      </c>
      <c r="F682" s="44">
        <f t="shared" si="222"/>
        <v>3381.6399999999994</v>
      </c>
      <c r="G682" s="44">
        <f t="shared" si="222"/>
        <v>3370.420000000001</v>
      </c>
      <c r="H682" s="44">
        <f t="shared" si="222"/>
        <v>3309.7400000000007</v>
      </c>
      <c r="I682" s="44">
        <f t="shared" si="222"/>
        <v>3308.8</v>
      </c>
      <c r="J682" s="44">
        <f t="shared" si="222"/>
        <v>3366.8999999999996</v>
      </c>
      <c r="K682" s="44">
        <f t="shared" si="222"/>
        <v>3380.7</v>
      </c>
      <c r="L682" s="44">
        <f t="shared" si="222"/>
        <v>3339.5199999999995</v>
      </c>
      <c r="M682" s="44"/>
      <c r="N682" s="44"/>
      <c r="O682" s="44"/>
      <c r="P682" s="44"/>
      <c r="Q682" s="42"/>
      <c r="R682" s="42"/>
      <c r="S682" s="43"/>
      <c r="T682" s="42"/>
      <c r="U682" s="42"/>
      <c r="V682" s="41"/>
      <c r="W682" s="40"/>
      <c r="X682" s="8"/>
    </row>
    <row r="683" spans="1:31">
      <c r="A683" s="195">
        <v>43336</v>
      </c>
      <c r="B683" s="63" t="s">
        <v>158</v>
      </c>
      <c r="C683" s="56" t="s">
        <v>156</v>
      </c>
      <c r="D683" s="8">
        <v>1936</v>
      </c>
      <c r="E683" s="8">
        <v>1929</v>
      </c>
      <c r="F683" s="8">
        <v>1933</v>
      </c>
      <c r="G683" s="8">
        <v>1933</v>
      </c>
      <c r="H683" s="8">
        <v>1931</v>
      </c>
      <c r="I683" s="8">
        <v>1935</v>
      </c>
      <c r="J683" s="8">
        <v>1932</v>
      </c>
      <c r="K683" s="8">
        <v>1931</v>
      </c>
      <c r="L683" s="8">
        <v>1934</v>
      </c>
      <c r="M683" s="62"/>
      <c r="N683" s="62"/>
      <c r="O683" s="62"/>
      <c r="P683" s="62"/>
      <c r="Q683" s="57">
        <f>IF((L684=""),"",MAX(D685:L685))</f>
        <v>3160</v>
      </c>
      <c r="R683" s="57">
        <f>IF(L684="","",MIN(D685:L685))</f>
        <v>2708</v>
      </c>
      <c r="S683" s="58">
        <f>IF((L685=""),"",AVERAGE(D685:L685))</f>
        <v>2923.1111111111113</v>
      </c>
      <c r="T683" s="57">
        <f>IF((L684=""),"",((Q683-R683)/(Q683+R683))*100)</f>
        <v>7.7027948193592364</v>
      </c>
      <c r="U683" s="56">
        <f>STDEV(D683:L683)</f>
        <v>2.179449471770337</v>
      </c>
      <c r="V683" s="55" t="str">
        <f>IF(L684="","",(IF(T683&lt;12,IF(S683&gt;2200,IF(S683&lt;3280,"Pass","Fail"),"Fail"),"Fail")))</f>
        <v>Pass</v>
      </c>
      <c r="W683" s="54">
        <v>1159</v>
      </c>
      <c r="X683" s="26" t="s">
        <v>167</v>
      </c>
      <c r="Z683" s="37">
        <v>2000</v>
      </c>
      <c r="AA683" s="37">
        <v>3000</v>
      </c>
      <c r="AB683" s="37">
        <v>2200</v>
      </c>
      <c r="AC683" s="37">
        <v>3280</v>
      </c>
      <c r="AD683" s="39">
        <v>12</v>
      </c>
      <c r="AE683" s="39">
        <v>12</v>
      </c>
    </row>
    <row r="684" spans="1:31" ht="16.5" customHeight="1">
      <c r="A684" s="199"/>
      <c r="B684" s="48"/>
      <c r="C684" s="51" t="s">
        <v>155</v>
      </c>
      <c r="D684" s="8">
        <v>1175</v>
      </c>
      <c r="E684" s="8">
        <v>1224</v>
      </c>
      <c r="F684" s="8">
        <v>1256</v>
      </c>
      <c r="G684" s="8">
        <v>1223</v>
      </c>
      <c r="H684" s="8">
        <v>1164</v>
      </c>
      <c r="I684" s="8">
        <v>1185</v>
      </c>
      <c r="J684" s="8">
        <v>1235</v>
      </c>
      <c r="K684" s="8">
        <v>1211</v>
      </c>
      <c r="L684" s="8">
        <v>1144</v>
      </c>
      <c r="M684" s="50"/>
      <c r="N684" s="50"/>
      <c r="O684" s="50"/>
      <c r="P684" s="50"/>
      <c r="Q684" s="48"/>
      <c r="R684" s="48"/>
      <c r="S684" s="48"/>
      <c r="T684" s="48"/>
      <c r="U684" s="48"/>
      <c r="V684" s="47"/>
      <c r="W684" s="46"/>
      <c r="X684" s="8"/>
    </row>
    <row r="685" spans="1:31" ht="24.75" customHeight="1" thickBot="1">
      <c r="A685" s="199"/>
      <c r="B685" s="61"/>
      <c r="C685" s="51" t="s">
        <v>154</v>
      </c>
      <c r="D685" s="24">
        <f t="shared" ref="D685:L685" si="223">IF(((D683="")*AND(D684="")),"",(D683-D684)*4)</f>
        <v>3044</v>
      </c>
      <c r="E685" s="24">
        <f t="shared" si="223"/>
        <v>2820</v>
      </c>
      <c r="F685" s="24">
        <f t="shared" si="223"/>
        <v>2708</v>
      </c>
      <c r="G685" s="24">
        <f t="shared" si="223"/>
        <v>2840</v>
      </c>
      <c r="H685" s="24">
        <f t="shared" si="223"/>
        <v>3068</v>
      </c>
      <c r="I685" s="24">
        <f t="shared" si="223"/>
        <v>3000</v>
      </c>
      <c r="J685" s="24">
        <f t="shared" si="223"/>
        <v>2788</v>
      </c>
      <c r="K685" s="24">
        <f t="shared" si="223"/>
        <v>2880</v>
      </c>
      <c r="L685" s="24">
        <f t="shared" si="223"/>
        <v>3160</v>
      </c>
      <c r="M685" s="24"/>
      <c r="N685" s="24"/>
      <c r="O685" s="24"/>
      <c r="P685" s="24" t="str">
        <f>IF(((P683="")*AND(P684="")),"",(P683-P684)*4)</f>
        <v/>
      </c>
      <c r="Q685" s="61"/>
      <c r="R685" s="61"/>
      <c r="S685" s="61"/>
      <c r="T685" s="61"/>
      <c r="U685" s="61"/>
      <c r="V685" s="60"/>
      <c r="W685" s="59"/>
      <c r="X685" s="8"/>
    </row>
    <row r="686" spans="1:31">
      <c r="A686" s="195">
        <v>43336</v>
      </c>
      <c r="B686" s="57" t="s">
        <v>157</v>
      </c>
      <c r="C686" s="51" t="s">
        <v>156</v>
      </c>
      <c r="D686" s="8">
        <v>3544</v>
      </c>
      <c r="E686" s="8">
        <v>3516</v>
      </c>
      <c r="F686" s="8">
        <v>3564</v>
      </c>
      <c r="G686" s="8">
        <v>3531</v>
      </c>
      <c r="H686" s="8">
        <v>3606</v>
      </c>
      <c r="I686" s="8">
        <v>3558</v>
      </c>
      <c r="J686" s="8">
        <v>3551</v>
      </c>
      <c r="K686" s="8">
        <v>3561</v>
      </c>
      <c r="L686" s="8">
        <v>3665</v>
      </c>
      <c r="M686" s="50"/>
      <c r="N686" s="50"/>
      <c r="O686" s="50"/>
      <c r="P686" s="50"/>
      <c r="Q686" s="57">
        <f>IF((L687=""),"",MAX(D688:L688))</f>
        <v>3394</v>
      </c>
      <c r="R686" s="57">
        <f>IF(L687="","",MIN(D688:L688))</f>
        <v>3310</v>
      </c>
      <c r="S686" s="58">
        <f>IF((L688=""),"",AVERAGE(D688:L688))</f>
        <v>3358.8888888888887</v>
      </c>
      <c r="T686" s="57">
        <f>IF((L687=""),"",((Q686-R686)/(Q686+R686))*100)</f>
        <v>1.2529832935560858</v>
      </c>
      <c r="U686" s="56">
        <f>STDEV(D686:L686)</f>
        <v>44.620000498028126</v>
      </c>
      <c r="V686" s="55" t="str">
        <f>IF(L687="","",(IF(T686&lt;7,IF(S686&gt;2800,IF(S686&lt;3800,"Pass","Fail"),"Fail"),"Fail")))</f>
        <v>Pass</v>
      </c>
      <c r="W686" s="54">
        <v>1159</v>
      </c>
      <c r="X686" s="26" t="s">
        <v>167</v>
      </c>
      <c r="Z686" s="53">
        <v>2800</v>
      </c>
      <c r="AA686" s="53">
        <v>3800</v>
      </c>
      <c r="AB686" s="53">
        <v>3100</v>
      </c>
      <c r="AC686" s="53">
        <v>3760</v>
      </c>
      <c r="AD686" s="52">
        <v>6</v>
      </c>
      <c r="AE686" s="52">
        <v>6</v>
      </c>
    </row>
    <row r="687" spans="1:31" ht="16.5" customHeight="1">
      <c r="A687" s="199"/>
      <c r="B687" s="48"/>
      <c r="C687" s="51" t="s">
        <v>155</v>
      </c>
      <c r="D687" s="8">
        <v>1877</v>
      </c>
      <c r="E687" s="8">
        <v>1819</v>
      </c>
      <c r="F687" s="8">
        <v>1867</v>
      </c>
      <c r="G687" s="8">
        <v>1837</v>
      </c>
      <c r="H687" s="8">
        <v>1951</v>
      </c>
      <c r="I687" s="8">
        <v>1903</v>
      </c>
      <c r="J687" s="8">
        <v>1862</v>
      </c>
      <c r="K687" s="8">
        <v>1864</v>
      </c>
      <c r="L687" s="8">
        <v>2001</v>
      </c>
      <c r="M687" s="50"/>
      <c r="N687" s="50"/>
      <c r="O687" s="50"/>
      <c r="P687" s="50"/>
      <c r="Q687" s="48"/>
      <c r="R687" s="48"/>
      <c r="S687" s="49"/>
      <c r="T687" s="48"/>
      <c r="U687" s="48"/>
      <c r="V687" s="47"/>
      <c r="W687" s="46"/>
      <c r="X687" s="8"/>
    </row>
    <row r="688" spans="1:31" ht="24.75" customHeight="1" thickBot="1">
      <c r="A688" s="199"/>
      <c r="B688" s="42"/>
      <c r="C688" s="45" t="s">
        <v>154</v>
      </c>
      <c r="D688" s="44">
        <f t="shared" ref="D688:L688" si="224">IF(((D686="")*AND(D687="")),"",(D686-D687)*2)</f>
        <v>3334</v>
      </c>
      <c r="E688" s="44">
        <f t="shared" si="224"/>
        <v>3394</v>
      </c>
      <c r="F688" s="44">
        <f t="shared" si="224"/>
        <v>3394</v>
      </c>
      <c r="G688" s="44">
        <f t="shared" si="224"/>
        <v>3388</v>
      </c>
      <c r="H688" s="44">
        <f t="shared" si="224"/>
        <v>3310</v>
      </c>
      <c r="I688" s="44">
        <f t="shared" si="224"/>
        <v>3310</v>
      </c>
      <c r="J688" s="44">
        <f t="shared" si="224"/>
        <v>3378</v>
      </c>
      <c r="K688" s="44">
        <f t="shared" si="224"/>
        <v>3394</v>
      </c>
      <c r="L688" s="44">
        <f t="shared" si="224"/>
        <v>3328</v>
      </c>
      <c r="M688" s="44"/>
      <c r="N688" s="44"/>
      <c r="O688" s="44"/>
      <c r="P688" s="44"/>
      <c r="Q688" s="42"/>
      <c r="R688" s="42"/>
      <c r="S688" s="43"/>
      <c r="T688" s="42"/>
      <c r="U688" s="42"/>
      <c r="V688" s="41"/>
      <c r="W688" s="40"/>
      <c r="X688" s="8"/>
    </row>
    <row r="689" spans="1:31">
      <c r="A689" s="195">
        <v>43342</v>
      </c>
      <c r="B689" s="63" t="s">
        <v>158</v>
      </c>
      <c r="C689" s="56" t="s">
        <v>156</v>
      </c>
      <c r="D689" s="8">
        <v>1916.2</v>
      </c>
      <c r="E689" s="8">
        <v>1909.37</v>
      </c>
      <c r="F689" s="8">
        <v>1910.1</v>
      </c>
      <c r="G689" s="8">
        <v>1910.05</v>
      </c>
      <c r="H689" s="8">
        <v>1914.9</v>
      </c>
      <c r="I689" s="8">
        <v>1914.34</v>
      </c>
      <c r="J689" s="8">
        <v>1908.14</v>
      </c>
      <c r="K689" s="8">
        <v>1911.54</v>
      </c>
      <c r="L689" s="8">
        <v>1914.98</v>
      </c>
      <c r="M689" s="62"/>
      <c r="N689" s="62"/>
      <c r="O689" s="62"/>
      <c r="P689" s="62"/>
      <c r="Q689" s="57">
        <f>IF((L690=""),"",MAX(D691:L691))</f>
        <v>3121.16</v>
      </c>
      <c r="R689" s="57">
        <f>IF(L690="","",MIN(D691:L691))</f>
        <v>2730.2</v>
      </c>
      <c r="S689" s="58">
        <f>IF((L691=""),"",AVERAGE(D691:L691))</f>
        <v>2906.6977777777774</v>
      </c>
      <c r="T689" s="57">
        <f>IF((L690=""),"",((Q689-R689)/(Q689+R689))*100)</f>
        <v>6.681523611604824</v>
      </c>
      <c r="U689" s="56">
        <f>STDEV(D689:L689)</f>
        <v>2.9486225598452589</v>
      </c>
      <c r="V689" s="55" t="str">
        <f>IF(L690="","",(IF(T689&lt;12,IF(S689&gt;2200,IF(S689&lt;3280,"Pass","Fail"),"Fail"),"Fail")))</f>
        <v>Pass</v>
      </c>
      <c r="W689" s="54">
        <v>1335</v>
      </c>
      <c r="Z689" s="37">
        <v>2000</v>
      </c>
      <c r="AA689" s="37">
        <v>3000</v>
      </c>
      <c r="AB689" s="37">
        <v>2200</v>
      </c>
      <c r="AC689" s="37">
        <v>3280</v>
      </c>
      <c r="AD689" s="39">
        <v>12</v>
      </c>
      <c r="AE689" s="39">
        <v>12</v>
      </c>
    </row>
    <row r="690" spans="1:31" ht="16.5" customHeight="1">
      <c r="A690" s="199"/>
      <c r="B690" s="48"/>
      <c r="C690" s="51" t="s">
        <v>155</v>
      </c>
      <c r="D690" s="8">
        <v>1166.43</v>
      </c>
      <c r="E690" s="8">
        <v>1202.8900000000001</v>
      </c>
      <c r="F690" s="8">
        <v>1227.55</v>
      </c>
      <c r="G690" s="8">
        <v>1201.83</v>
      </c>
      <c r="H690" s="8">
        <v>1153.0899999999999</v>
      </c>
      <c r="I690" s="8">
        <v>1179.92</v>
      </c>
      <c r="J690" s="8">
        <v>1212.49</v>
      </c>
      <c r="K690" s="8">
        <v>1190.6600000000001</v>
      </c>
      <c r="L690" s="8">
        <v>1134.69</v>
      </c>
      <c r="M690" s="50"/>
      <c r="N690" s="50"/>
      <c r="O690" s="50"/>
      <c r="P690" s="50"/>
      <c r="Q690" s="48"/>
      <c r="R690" s="48"/>
      <c r="S690" s="48"/>
      <c r="T690" s="48"/>
      <c r="U690" s="48"/>
      <c r="V690" s="47"/>
      <c r="W690" s="46"/>
      <c r="X690" s="8"/>
    </row>
    <row r="691" spans="1:31" ht="24.75" customHeight="1" thickBot="1">
      <c r="A691" s="199"/>
      <c r="B691" s="61"/>
      <c r="C691" s="51" t="s">
        <v>154</v>
      </c>
      <c r="D691" s="24">
        <f t="shared" ref="D691:L691" si="225">IF(((D689="")*AND(D690="")),"",(D689-D690)*4)</f>
        <v>2999.08</v>
      </c>
      <c r="E691" s="24">
        <f t="shared" si="225"/>
        <v>2825.9199999999992</v>
      </c>
      <c r="F691" s="24">
        <f t="shared" si="225"/>
        <v>2730.2</v>
      </c>
      <c r="G691" s="24">
        <f t="shared" si="225"/>
        <v>2832.88</v>
      </c>
      <c r="H691" s="24">
        <f t="shared" si="225"/>
        <v>3047.2400000000007</v>
      </c>
      <c r="I691" s="24">
        <f t="shared" si="225"/>
        <v>2937.6799999999994</v>
      </c>
      <c r="J691" s="24">
        <f t="shared" si="225"/>
        <v>2782.6000000000004</v>
      </c>
      <c r="K691" s="24">
        <f t="shared" si="225"/>
        <v>2883.5199999999995</v>
      </c>
      <c r="L691" s="24">
        <f t="shared" si="225"/>
        <v>3121.16</v>
      </c>
      <c r="M691" s="24"/>
      <c r="N691" s="24"/>
      <c r="O691" s="24"/>
      <c r="P691" s="24" t="str">
        <f>IF(((P689="")*AND(P690="")),"",(P689-P690)*4)</f>
        <v/>
      </c>
      <c r="Q691" s="61"/>
      <c r="R691" s="61"/>
      <c r="S691" s="61"/>
      <c r="T691" s="61"/>
      <c r="U691" s="61"/>
      <c r="V691" s="60"/>
      <c r="W691" s="59"/>
      <c r="X691" s="8"/>
    </row>
    <row r="692" spans="1:31">
      <c r="A692" s="195">
        <v>43342</v>
      </c>
      <c r="B692" s="57" t="s">
        <v>157</v>
      </c>
      <c r="C692" s="51" t="s">
        <v>156</v>
      </c>
      <c r="D692" s="8">
        <v>6860.22</v>
      </c>
      <c r="E692" s="8">
        <v>6848.41</v>
      </c>
      <c r="F692" s="8">
        <v>6887</v>
      </c>
      <c r="G692" s="8">
        <v>6846.02</v>
      </c>
      <c r="H692" s="8">
        <v>6900.68</v>
      </c>
      <c r="I692" s="8">
        <v>6873.78</v>
      </c>
      <c r="J692" s="8">
        <v>6873.62</v>
      </c>
      <c r="K692" s="8">
        <v>6877.82</v>
      </c>
      <c r="L692" s="8">
        <v>6962.99</v>
      </c>
      <c r="M692" s="50"/>
      <c r="N692" s="50"/>
      <c r="O692" s="50"/>
      <c r="P692" s="50"/>
      <c r="Q692" s="57">
        <f>IF((L693=""),"",MAX(D694:L694))</f>
        <v>3387.92</v>
      </c>
      <c r="R692" s="57">
        <f>IF(L693="","",MIN(D694:L694))</f>
        <v>3324.6000000000004</v>
      </c>
      <c r="S692" s="58">
        <f>IF((L694=""),"",AVERAGE(D694:L694))</f>
        <v>3360.8577777777778</v>
      </c>
      <c r="T692" s="57">
        <f>IF((L693=""),"",((Q692-R692)/(Q692+R692))*100)</f>
        <v>0.94331190074666005</v>
      </c>
      <c r="U692" s="56">
        <f>STDEV(D692:L692)</f>
        <v>35.319295521219743</v>
      </c>
      <c r="V692" s="55" t="str">
        <f>IF(L693="","",(IF(T692&lt;7,IF(S692&gt;2800,IF(S692&lt;3800,"Pass","Fail"),"Fail"),"Fail")))</f>
        <v>Pass</v>
      </c>
      <c r="W692" s="54">
        <v>1335</v>
      </c>
      <c r="Z692" s="53">
        <v>2800</v>
      </c>
      <c r="AA692" s="53">
        <v>3800</v>
      </c>
      <c r="AB692" s="53">
        <v>3100</v>
      </c>
      <c r="AC692" s="53">
        <v>3760</v>
      </c>
      <c r="AD692" s="52">
        <v>6</v>
      </c>
      <c r="AE692" s="52">
        <v>6</v>
      </c>
    </row>
    <row r="693" spans="1:31" ht="16.5" customHeight="1">
      <c r="A693" s="199"/>
      <c r="B693" s="48"/>
      <c r="C693" s="51" t="s">
        <v>155</v>
      </c>
      <c r="D693" s="8">
        <v>5193.43</v>
      </c>
      <c r="E693" s="8">
        <v>5157.16</v>
      </c>
      <c r="F693" s="8">
        <v>5193.04</v>
      </c>
      <c r="G693" s="8">
        <v>5155.29</v>
      </c>
      <c r="H693" s="8">
        <v>5237.6000000000004</v>
      </c>
      <c r="I693" s="8">
        <v>5211.4799999999996</v>
      </c>
      <c r="J693" s="8">
        <v>5185.08</v>
      </c>
      <c r="K693" s="8">
        <v>5183.92</v>
      </c>
      <c r="L693" s="8">
        <v>5289.68</v>
      </c>
      <c r="M693" s="50"/>
      <c r="N693" s="50"/>
      <c r="O693" s="50"/>
      <c r="P693" s="50"/>
      <c r="Q693" s="48"/>
      <c r="R693" s="48"/>
      <c r="S693" s="49"/>
      <c r="T693" s="48"/>
      <c r="U693" s="48"/>
      <c r="V693" s="47"/>
      <c r="W693" s="46"/>
      <c r="X693" s="8"/>
    </row>
    <row r="694" spans="1:31" ht="24.75" customHeight="1" thickBot="1">
      <c r="A694" s="199"/>
      <c r="B694" s="42"/>
      <c r="C694" s="45" t="s">
        <v>154</v>
      </c>
      <c r="D694" s="44">
        <f t="shared" ref="D694:L694" si="226">IF(((D692="")*AND(D693="")),"",(D692-D693)*2)</f>
        <v>3333.58</v>
      </c>
      <c r="E694" s="44">
        <f t="shared" si="226"/>
        <v>3382.5</v>
      </c>
      <c r="F694" s="44">
        <f t="shared" si="226"/>
        <v>3387.92</v>
      </c>
      <c r="G694" s="44">
        <f t="shared" si="226"/>
        <v>3381.4600000000009</v>
      </c>
      <c r="H694" s="44">
        <f t="shared" si="226"/>
        <v>3326.16</v>
      </c>
      <c r="I694" s="44">
        <f t="shared" si="226"/>
        <v>3324.6000000000004</v>
      </c>
      <c r="J694" s="44">
        <f t="shared" si="226"/>
        <v>3377.08</v>
      </c>
      <c r="K694" s="44">
        <f t="shared" si="226"/>
        <v>3387.7999999999993</v>
      </c>
      <c r="L694" s="44">
        <f t="shared" si="226"/>
        <v>3346.619999999999</v>
      </c>
      <c r="M694" s="44"/>
      <c r="N694" s="44"/>
      <c r="O694" s="44"/>
      <c r="P694" s="44"/>
      <c r="Q694" s="42"/>
      <c r="R694" s="42"/>
      <c r="S694" s="43"/>
      <c r="T694" s="42"/>
      <c r="U694" s="42"/>
      <c r="V694" s="41"/>
      <c r="W694" s="40"/>
      <c r="X694" s="8"/>
    </row>
    <row r="695" spans="1:31">
      <c r="A695" s="195">
        <v>43347</v>
      </c>
      <c r="B695" s="63" t="s">
        <v>158</v>
      </c>
      <c r="C695" s="56" t="s">
        <v>156</v>
      </c>
      <c r="D695" s="8">
        <v>1168.8800000000001</v>
      </c>
      <c r="E695" s="8">
        <v>1207.72</v>
      </c>
      <c r="F695" s="8">
        <v>1224.57</v>
      </c>
      <c r="G695" s="8">
        <v>1204.77</v>
      </c>
      <c r="H695" s="8">
        <v>1156.3499999999999</v>
      </c>
      <c r="I695" s="8">
        <v>1182.73</v>
      </c>
      <c r="J695" s="8">
        <v>1214.72</v>
      </c>
      <c r="K695" s="8">
        <v>1192.23</v>
      </c>
      <c r="L695" s="8">
        <v>1137.01</v>
      </c>
      <c r="M695" s="62"/>
      <c r="N695" s="62"/>
      <c r="O695" s="62"/>
      <c r="P695" s="62"/>
      <c r="Q695" s="57">
        <f>IF((L696=""),"",MAX(D697:L697))</f>
        <v>3149.6800000000003</v>
      </c>
      <c r="R695" s="57">
        <f>IF(L696="","",MIN(D697:L697))</f>
        <v>2719.72</v>
      </c>
      <c r="S695" s="58">
        <f>IF((L697=""),"",AVERAGE(D697:L697))</f>
        <v>2922.9511111111115</v>
      </c>
      <c r="T695" s="57">
        <f>IF((L696=""),"",((Q695-R695)/(Q695+R695))*100)</f>
        <v>7.3254506423143848</v>
      </c>
      <c r="U695" s="56">
        <f>STDEV(D695:L695)</f>
        <v>29.011558089456518</v>
      </c>
      <c r="V695" s="55" t="str">
        <f>IF(L696="","",(IF(T695&lt;12,IF(S695&gt;2200,IF(S695&lt;3280,"Pass","Fail"),"Fail"),"Fail")))</f>
        <v>Pass</v>
      </c>
      <c r="W695" s="54">
        <v>1335</v>
      </c>
      <c r="Z695" s="37">
        <v>2000</v>
      </c>
      <c r="AA695" s="37">
        <v>3000</v>
      </c>
      <c r="AB695" s="37">
        <v>2200</v>
      </c>
      <c r="AC695" s="37">
        <v>3280</v>
      </c>
      <c r="AD695" s="39">
        <v>12</v>
      </c>
      <c r="AE695" s="39">
        <v>12</v>
      </c>
    </row>
    <row r="696" spans="1:31" ht="16.5" customHeight="1">
      <c r="A696" s="199"/>
      <c r="B696" s="48"/>
      <c r="C696" s="51" t="s">
        <v>155</v>
      </c>
      <c r="D696" s="8">
        <v>407.74</v>
      </c>
      <c r="E696" s="8">
        <v>499.1</v>
      </c>
      <c r="F696" s="8">
        <v>544.64</v>
      </c>
      <c r="G696" s="8">
        <v>498.65</v>
      </c>
      <c r="H696" s="8">
        <v>388.06</v>
      </c>
      <c r="I696" s="8">
        <v>429.76</v>
      </c>
      <c r="J696" s="8">
        <v>517.16999999999996</v>
      </c>
      <c r="K696" s="8">
        <v>477.63</v>
      </c>
      <c r="L696" s="8">
        <v>349.59</v>
      </c>
      <c r="M696" s="50"/>
      <c r="N696" s="50"/>
      <c r="O696" s="50"/>
      <c r="P696" s="50"/>
      <c r="Q696" s="48"/>
      <c r="R696" s="48"/>
      <c r="S696" s="48"/>
      <c r="T696" s="48"/>
      <c r="U696" s="48"/>
      <c r="V696" s="47"/>
      <c r="W696" s="46"/>
      <c r="X696" s="8"/>
    </row>
    <row r="697" spans="1:31" ht="24.75" customHeight="1" thickBot="1">
      <c r="A697" s="199"/>
      <c r="B697" s="61"/>
      <c r="C697" s="51" t="s">
        <v>154</v>
      </c>
      <c r="D697" s="24">
        <f t="shared" ref="D697:L697" si="227">IF(((D695="")*AND(D696="")),"",(D695-D696)*4)</f>
        <v>3044.5600000000004</v>
      </c>
      <c r="E697" s="24">
        <f t="shared" si="227"/>
        <v>2834.48</v>
      </c>
      <c r="F697" s="24">
        <f t="shared" si="227"/>
        <v>2719.72</v>
      </c>
      <c r="G697" s="24">
        <f t="shared" si="227"/>
        <v>2824.48</v>
      </c>
      <c r="H697" s="24">
        <f t="shared" si="227"/>
        <v>3073.16</v>
      </c>
      <c r="I697" s="24">
        <f t="shared" si="227"/>
        <v>3011.88</v>
      </c>
      <c r="J697" s="24">
        <f t="shared" si="227"/>
        <v>2790.2000000000003</v>
      </c>
      <c r="K697" s="24">
        <f t="shared" si="227"/>
        <v>2858.4</v>
      </c>
      <c r="L697" s="24">
        <f t="shared" si="227"/>
        <v>3149.6800000000003</v>
      </c>
      <c r="M697" s="24"/>
      <c r="N697" s="24"/>
      <c r="O697" s="24"/>
      <c r="P697" s="24" t="str">
        <f>IF(((P695="")*AND(P696="")),"",(P695-P696)*4)</f>
        <v/>
      </c>
      <c r="Q697" s="61"/>
      <c r="R697" s="61"/>
      <c r="S697" s="61"/>
      <c r="T697" s="61"/>
      <c r="U697" s="61"/>
      <c r="V697" s="60"/>
      <c r="W697" s="59"/>
      <c r="X697" s="8"/>
    </row>
    <row r="698" spans="1:31">
      <c r="A698" s="195">
        <v>43347</v>
      </c>
      <c r="B698" s="57" t="s">
        <v>157</v>
      </c>
      <c r="C698" s="51" t="s">
        <v>156</v>
      </c>
      <c r="D698" s="8">
        <v>5202.01</v>
      </c>
      <c r="E698" s="8">
        <v>5165.4799999999996</v>
      </c>
      <c r="F698" s="8">
        <v>5201.93</v>
      </c>
      <c r="G698" s="8">
        <v>5164.09</v>
      </c>
      <c r="H698" s="8">
        <v>5246.69</v>
      </c>
      <c r="I698" s="8">
        <v>5220.63</v>
      </c>
      <c r="J698" s="8">
        <v>5193.8999999999996</v>
      </c>
      <c r="K698" s="8">
        <v>5192.59</v>
      </c>
      <c r="L698" s="8">
        <v>5299.04</v>
      </c>
      <c r="M698" s="50"/>
      <c r="N698" s="50"/>
      <c r="O698" s="50"/>
      <c r="P698" s="50"/>
      <c r="Q698" s="57">
        <f>IF((L699=""),"",MAX(D700:L700))</f>
        <v>3500.7200000000003</v>
      </c>
      <c r="R698" s="57">
        <f>IF(L699="","",MIN(D700:L700))</f>
        <v>3230.8200000000006</v>
      </c>
      <c r="S698" s="58">
        <f>IF((L700=""),"",AVERAGE(D700:L700))</f>
        <v>3321.8311111111116</v>
      </c>
      <c r="T698" s="57">
        <f>IF((L699=""),"",((Q698-R698)/(Q698+R698))*100)</f>
        <v>4.0094837139792618</v>
      </c>
      <c r="U698" s="56">
        <f>STDEV(D698:L698)</f>
        <v>42.081533987835464</v>
      </c>
      <c r="V698" s="55" t="str">
        <f>IF(L699="","",(IF(T698&lt;7,IF(S698&gt;2800,IF(S698&lt;3800,"Pass","Fail"),"Fail"),"Fail")))</f>
        <v>Pass</v>
      </c>
      <c r="W698" s="54">
        <v>1335</v>
      </c>
      <c r="Z698" s="53">
        <v>2800</v>
      </c>
      <c r="AA698" s="53">
        <v>3800</v>
      </c>
      <c r="AB698" s="53">
        <v>3100</v>
      </c>
      <c r="AC698" s="53">
        <v>3760</v>
      </c>
      <c r="AD698" s="52">
        <v>6</v>
      </c>
      <c r="AE698" s="52">
        <v>6</v>
      </c>
    </row>
    <row r="699" spans="1:31" ht="16.5" customHeight="1">
      <c r="A699" s="199"/>
      <c r="B699" s="48"/>
      <c r="C699" s="51" t="s">
        <v>155</v>
      </c>
      <c r="D699" s="8">
        <v>3548.68</v>
      </c>
      <c r="E699" s="8">
        <v>3548.68</v>
      </c>
      <c r="F699" s="8">
        <v>3548.68</v>
      </c>
      <c r="G699" s="8">
        <v>3548.68</v>
      </c>
      <c r="H699" s="8">
        <v>3548.68</v>
      </c>
      <c r="I699" s="8">
        <v>3548.68</v>
      </c>
      <c r="J699" s="8">
        <v>3548.68</v>
      </c>
      <c r="K699" s="8">
        <v>3548.68</v>
      </c>
      <c r="L699" s="8">
        <v>3548.68</v>
      </c>
      <c r="M699" s="50"/>
      <c r="N699" s="50"/>
      <c r="O699" s="50"/>
      <c r="P699" s="50"/>
      <c r="Q699" s="48"/>
      <c r="R699" s="48"/>
      <c r="S699" s="49"/>
      <c r="T699" s="48"/>
      <c r="U699" s="48"/>
      <c r="V699" s="47"/>
      <c r="W699" s="46"/>
      <c r="X699" s="8"/>
    </row>
    <row r="700" spans="1:31" ht="24.75" customHeight="1" thickBot="1">
      <c r="A700" s="199"/>
      <c r="B700" s="42"/>
      <c r="C700" s="45" t="s">
        <v>154</v>
      </c>
      <c r="D700" s="44">
        <f t="shared" ref="D700:L700" si="228">IF(((D698="")*AND(D699="")),"",(D698-D699)*2)</f>
        <v>3306.6600000000008</v>
      </c>
      <c r="E700" s="44">
        <f t="shared" si="228"/>
        <v>3233.5999999999995</v>
      </c>
      <c r="F700" s="44">
        <f t="shared" si="228"/>
        <v>3306.5000000000009</v>
      </c>
      <c r="G700" s="44">
        <f t="shared" si="228"/>
        <v>3230.8200000000006</v>
      </c>
      <c r="H700" s="44">
        <f t="shared" si="228"/>
        <v>3396.0199999999995</v>
      </c>
      <c r="I700" s="44">
        <f t="shared" si="228"/>
        <v>3343.9000000000005</v>
      </c>
      <c r="J700" s="44">
        <f t="shared" si="228"/>
        <v>3290.4399999999996</v>
      </c>
      <c r="K700" s="44">
        <f t="shared" si="228"/>
        <v>3287.8200000000006</v>
      </c>
      <c r="L700" s="44">
        <f t="shared" si="228"/>
        <v>3500.7200000000003</v>
      </c>
      <c r="M700" s="44"/>
      <c r="N700" s="44"/>
      <c r="O700" s="44"/>
      <c r="P700" s="44"/>
      <c r="Q700" s="42"/>
      <c r="R700" s="42"/>
      <c r="S700" s="43"/>
      <c r="T700" s="42"/>
      <c r="U700" s="42"/>
      <c r="V700" s="41"/>
      <c r="W700" s="40"/>
      <c r="X700" s="8"/>
    </row>
    <row r="701" spans="1:31">
      <c r="A701" s="195">
        <v>43354</v>
      </c>
      <c r="B701" s="63" t="s">
        <v>158</v>
      </c>
      <c r="C701" s="56" t="s">
        <v>156</v>
      </c>
      <c r="D701" s="8">
        <v>1911</v>
      </c>
      <c r="E701" s="8">
        <v>1907</v>
      </c>
      <c r="F701" s="8">
        <v>1906</v>
      </c>
      <c r="G701" s="8">
        <v>1908</v>
      </c>
      <c r="H701" s="8">
        <v>1913</v>
      </c>
      <c r="I701" s="8">
        <v>1911</v>
      </c>
      <c r="J701" s="8">
        <v>1906</v>
      </c>
      <c r="K701" s="8">
        <v>1908</v>
      </c>
      <c r="L701" s="8">
        <v>1909</v>
      </c>
      <c r="M701" s="62"/>
      <c r="N701" s="62"/>
      <c r="O701" s="62"/>
      <c r="P701" s="62"/>
      <c r="Q701" s="57">
        <f>IF((L702=""),"",MAX(D703:L703))</f>
        <v>3148</v>
      </c>
      <c r="R701" s="57">
        <f>IF(L702="","",MIN(D703:L703))</f>
        <v>2732</v>
      </c>
      <c r="S701" s="58">
        <f>IF((L703=""),"",AVERAGE(D703:L703))</f>
        <v>2924.8888888888887</v>
      </c>
      <c r="T701" s="57">
        <f>IF((L702=""),"",((Q701-R701)/(Q701+R701))*100)</f>
        <v>7.0748299319727899</v>
      </c>
      <c r="U701" s="56">
        <f>STDEV(D701:L701)</f>
        <v>2.4381231397319096</v>
      </c>
      <c r="V701" s="55" t="str">
        <f>IF(L702="","",(IF(T701&lt;12,IF(S701&gt;2200,IF(S701&lt;3280,"Pass","Fail"),"Fail"),"Fail")))</f>
        <v>Pass</v>
      </c>
      <c r="W701" s="54">
        <v>1340</v>
      </c>
      <c r="Z701" s="37">
        <v>2000</v>
      </c>
      <c r="AA701" s="37">
        <v>3000</v>
      </c>
      <c r="AB701" s="37">
        <v>2200</v>
      </c>
      <c r="AC701" s="37">
        <v>3280</v>
      </c>
      <c r="AD701" s="39">
        <v>12</v>
      </c>
      <c r="AE701" s="39">
        <v>12</v>
      </c>
    </row>
    <row r="702" spans="1:31" ht="16.5" customHeight="1">
      <c r="A702" s="199"/>
      <c r="B702" s="48"/>
      <c r="C702" s="51" t="s">
        <v>155</v>
      </c>
      <c r="D702" s="8">
        <v>1153</v>
      </c>
      <c r="E702" s="8">
        <v>1199</v>
      </c>
      <c r="F702" s="8">
        <v>1223</v>
      </c>
      <c r="G702" s="8">
        <v>1199</v>
      </c>
      <c r="H702" s="8">
        <v>1143</v>
      </c>
      <c r="I702" s="8">
        <v>1163</v>
      </c>
      <c r="J702" s="8">
        <v>1209</v>
      </c>
      <c r="K702" s="8">
        <v>1187</v>
      </c>
      <c r="L702" s="8">
        <v>1122</v>
      </c>
      <c r="M702" s="50"/>
      <c r="N702" s="50"/>
      <c r="O702" s="50"/>
      <c r="P702" s="50"/>
      <c r="Q702" s="48"/>
      <c r="R702" s="48"/>
      <c r="S702" s="48"/>
      <c r="T702" s="48"/>
      <c r="U702" s="48"/>
      <c r="V702" s="47"/>
      <c r="W702" s="46"/>
      <c r="X702" s="8"/>
    </row>
    <row r="703" spans="1:31" ht="24.75" customHeight="1" thickBot="1">
      <c r="A703" s="199"/>
      <c r="B703" s="61"/>
      <c r="C703" s="51" t="s">
        <v>154</v>
      </c>
      <c r="D703" s="24">
        <f t="shared" ref="D703:L703" si="229">IF(((D701="")*AND(D702="")),"",(D701-D702)*4)</f>
        <v>3032</v>
      </c>
      <c r="E703" s="24">
        <f t="shared" si="229"/>
        <v>2832</v>
      </c>
      <c r="F703" s="24">
        <f t="shared" si="229"/>
        <v>2732</v>
      </c>
      <c r="G703" s="24">
        <f t="shared" si="229"/>
        <v>2836</v>
      </c>
      <c r="H703" s="24">
        <f t="shared" si="229"/>
        <v>3080</v>
      </c>
      <c r="I703" s="24">
        <f t="shared" si="229"/>
        <v>2992</v>
      </c>
      <c r="J703" s="24">
        <f t="shared" si="229"/>
        <v>2788</v>
      </c>
      <c r="K703" s="24">
        <f t="shared" si="229"/>
        <v>2884</v>
      </c>
      <c r="L703" s="24">
        <f t="shared" si="229"/>
        <v>3148</v>
      </c>
      <c r="M703" s="24"/>
      <c r="N703" s="24"/>
      <c r="O703" s="24"/>
      <c r="P703" s="24" t="str">
        <f>IF(((P701="")*AND(P702="")),"",(P701-P702)*4)</f>
        <v/>
      </c>
      <c r="Q703" s="61"/>
      <c r="R703" s="61"/>
      <c r="S703" s="61"/>
      <c r="T703" s="61"/>
      <c r="U703" s="61"/>
      <c r="V703" s="60"/>
      <c r="W703" s="59"/>
      <c r="X703" s="8"/>
    </row>
    <row r="704" spans="1:31">
      <c r="A704" s="195">
        <v>43354</v>
      </c>
      <c r="B704" s="57" t="s">
        <v>157</v>
      </c>
      <c r="C704" s="51" t="s">
        <v>156</v>
      </c>
      <c r="D704" s="8">
        <v>6848</v>
      </c>
      <c r="E704" s="8">
        <v>6858</v>
      </c>
      <c r="F704" s="8">
        <v>6907</v>
      </c>
      <c r="G704" s="8">
        <v>6855</v>
      </c>
      <c r="H704" s="8">
        <v>6859</v>
      </c>
      <c r="I704" s="8">
        <v>6865</v>
      </c>
      <c r="J704" s="8">
        <v>6885</v>
      </c>
      <c r="K704" s="8">
        <v>6899</v>
      </c>
      <c r="L704" s="8">
        <v>6963</v>
      </c>
      <c r="M704" s="50"/>
      <c r="N704" s="50"/>
      <c r="O704" s="50"/>
      <c r="P704" s="50"/>
      <c r="Q704" s="57">
        <f>IF((L705=""),"",MAX(D706:L706))</f>
        <v>3374</v>
      </c>
      <c r="R704" s="57">
        <f>IF(L705="","",MIN(D706:L706))</f>
        <v>3328</v>
      </c>
      <c r="S704" s="58">
        <f>IF((L706=""),"",AVERAGE(D706:L706))</f>
        <v>3355.1111111111113</v>
      </c>
      <c r="T704" s="57">
        <f>IF((L705=""),"",((Q704-R704)/(Q704+R704))*100)</f>
        <v>0.68636227991644283</v>
      </c>
      <c r="U704" s="56">
        <f>STDEV(D704:L704)</f>
        <v>36.67916453672219</v>
      </c>
      <c r="V704" s="55" t="str">
        <f>IF(L705="","",(IF(T704&lt;7,IF(S704&gt;2800,IF(S704&lt;3800,"Pass","Fail"),"Fail"),"Fail")))</f>
        <v>Pass</v>
      </c>
      <c r="W704" s="54">
        <v>1340</v>
      </c>
      <c r="Z704" s="53">
        <v>2800</v>
      </c>
      <c r="AA704" s="53">
        <v>3800</v>
      </c>
      <c r="AB704" s="53">
        <v>3100</v>
      </c>
      <c r="AC704" s="53">
        <v>3760</v>
      </c>
      <c r="AD704" s="52">
        <v>6</v>
      </c>
      <c r="AE704" s="52">
        <v>6</v>
      </c>
    </row>
    <row r="705" spans="1:31" ht="16.5" customHeight="1">
      <c r="A705" s="199"/>
      <c r="B705" s="48"/>
      <c r="C705" s="51" t="s">
        <v>155</v>
      </c>
      <c r="D705" s="8">
        <v>5177</v>
      </c>
      <c r="E705" s="8">
        <v>5173</v>
      </c>
      <c r="F705" s="8">
        <v>5221</v>
      </c>
      <c r="G705" s="8">
        <v>5172</v>
      </c>
      <c r="H705" s="8">
        <v>5195</v>
      </c>
      <c r="I705" s="8">
        <v>5196</v>
      </c>
      <c r="J705" s="8">
        <v>5203</v>
      </c>
      <c r="K705" s="8">
        <v>5212</v>
      </c>
      <c r="L705" s="8">
        <v>5292</v>
      </c>
      <c r="M705" s="50"/>
      <c r="N705" s="50"/>
      <c r="O705" s="50"/>
      <c r="P705" s="50"/>
      <c r="Q705" s="48"/>
      <c r="R705" s="48"/>
      <c r="S705" s="49"/>
      <c r="T705" s="48"/>
      <c r="U705" s="48"/>
      <c r="V705" s="47"/>
      <c r="W705" s="46"/>
      <c r="X705" s="8"/>
    </row>
    <row r="706" spans="1:31" ht="24.75" customHeight="1" thickBot="1">
      <c r="A706" s="199"/>
      <c r="B706" s="42"/>
      <c r="C706" s="45" t="s">
        <v>154</v>
      </c>
      <c r="D706" s="44">
        <f t="shared" ref="D706:L706" si="230">IF(((D704="")*AND(D705="")),"",(D704-D705)*2)</f>
        <v>3342</v>
      </c>
      <c r="E706" s="44">
        <f t="shared" si="230"/>
        <v>3370</v>
      </c>
      <c r="F706" s="44">
        <f t="shared" si="230"/>
        <v>3372</v>
      </c>
      <c r="G706" s="44">
        <f t="shared" si="230"/>
        <v>3366</v>
      </c>
      <c r="H706" s="44">
        <f t="shared" si="230"/>
        <v>3328</v>
      </c>
      <c r="I706" s="44">
        <f t="shared" si="230"/>
        <v>3338</v>
      </c>
      <c r="J706" s="44">
        <f t="shared" si="230"/>
        <v>3364</v>
      </c>
      <c r="K706" s="44">
        <f t="shared" si="230"/>
        <v>3374</v>
      </c>
      <c r="L706" s="44">
        <f t="shared" si="230"/>
        <v>3342</v>
      </c>
      <c r="M706" s="44"/>
      <c r="N706" s="44"/>
      <c r="O706" s="44"/>
      <c r="P706" s="44"/>
      <c r="Q706" s="42"/>
      <c r="R706" s="42"/>
      <c r="S706" s="43"/>
      <c r="T706" s="42"/>
      <c r="U706" s="42"/>
      <c r="V706" s="41"/>
      <c r="W706" s="40"/>
      <c r="X706" s="8"/>
    </row>
    <row r="707" spans="1:31">
      <c r="A707" s="195">
        <v>43361</v>
      </c>
      <c r="B707" s="63" t="s">
        <v>158</v>
      </c>
      <c r="C707" s="56" t="s">
        <v>156</v>
      </c>
      <c r="D707" s="8">
        <v>1906.01</v>
      </c>
      <c r="E707" s="8">
        <v>1899.17</v>
      </c>
      <c r="F707" s="8">
        <v>1898.13</v>
      </c>
      <c r="G707" s="8">
        <v>1904.47</v>
      </c>
      <c r="H707" s="8">
        <v>1908.76</v>
      </c>
      <c r="I707" s="8">
        <v>1909.24</v>
      </c>
      <c r="J707" s="8">
        <v>1905.53</v>
      </c>
      <c r="K707" s="8">
        <v>1900.45</v>
      </c>
      <c r="L707" s="8">
        <v>1907.63</v>
      </c>
      <c r="M707" s="62"/>
      <c r="N707" s="62"/>
      <c r="O707" s="62"/>
      <c r="P707" s="62"/>
      <c r="Q707" s="57">
        <f>IF((L708=""),"",MAX(D709:L709))</f>
        <v>3120.7200000000003</v>
      </c>
      <c r="R707" s="57">
        <f>IF(L708="","",MIN(D709:L709))</f>
        <v>2686.6000000000004</v>
      </c>
      <c r="S707" s="58">
        <f>IF((L709=""),"",AVERAGE(D709:L709))</f>
        <v>2899.1688888888889</v>
      </c>
      <c r="T707" s="57">
        <f>IF((L708=""),"",((Q707-R707)/(Q707+R707))*100)</f>
        <v>7.4753931245393712</v>
      </c>
      <c r="U707" s="56">
        <f>STDEV(D707:L707)</f>
        <v>4.1684139667729374</v>
      </c>
      <c r="V707" s="55" t="str">
        <f>IF(L708="","",(IF(T707&lt;12,IF(S707&gt;2200,IF(S707&lt;3280,"Pass","Fail"),"Fail"),"Fail")))</f>
        <v>Pass</v>
      </c>
      <c r="W707" s="54">
        <v>1340</v>
      </c>
      <c r="X707" s="26" t="s">
        <v>166</v>
      </c>
      <c r="Z707" s="37">
        <v>2000</v>
      </c>
      <c r="AA707" s="37">
        <v>3000</v>
      </c>
      <c r="AB707" s="37">
        <v>2200</v>
      </c>
      <c r="AC707" s="37">
        <v>3280</v>
      </c>
      <c r="AD707" s="39">
        <v>12</v>
      </c>
      <c r="AE707" s="39">
        <v>12</v>
      </c>
    </row>
    <row r="708" spans="1:31" ht="16.5" customHeight="1">
      <c r="A708" s="199"/>
      <c r="B708" s="48"/>
      <c r="C708" s="51" t="s">
        <v>155</v>
      </c>
      <c r="D708" s="8">
        <v>1157.94</v>
      </c>
      <c r="E708" s="8">
        <v>1197.52</v>
      </c>
      <c r="F708" s="8">
        <v>1226.48</v>
      </c>
      <c r="G708" s="8">
        <v>1196.44</v>
      </c>
      <c r="H708" s="8">
        <v>1146.8</v>
      </c>
      <c r="I708" s="8">
        <v>1170.6600000000001</v>
      </c>
      <c r="J708" s="8">
        <v>1209.5999999999999</v>
      </c>
      <c r="K708" s="8">
        <v>1183.3699999999999</v>
      </c>
      <c r="L708" s="8">
        <v>1127.45</v>
      </c>
      <c r="M708" s="50"/>
      <c r="N708" s="50"/>
      <c r="O708" s="50"/>
      <c r="P708" s="50"/>
      <c r="Q708" s="48"/>
      <c r="R708" s="48"/>
      <c r="S708" s="48"/>
      <c r="T708" s="48"/>
      <c r="U708" s="48"/>
      <c r="V708" s="47"/>
      <c r="W708" s="46"/>
      <c r="X708" s="8"/>
    </row>
    <row r="709" spans="1:31" ht="24.75" customHeight="1" thickBot="1">
      <c r="A709" s="199"/>
      <c r="B709" s="61"/>
      <c r="C709" s="51" t="s">
        <v>154</v>
      </c>
      <c r="D709" s="24">
        <f t="shared" ref="D709:L709" si="231">IF(((D707="")*AND(D708="")),"",(D707-D708)*4)</f>
        <v>2992.2799999999997</v>
      </c>
      <c r="E709" s="24">
        <f t="shared" si="231"/>
        <v>2806.6000000000004</v>
      </c>
      <c r="F709" s="24">
        <f t="shared" si="231"/>
        <v>2686.6000000000004</v>
      </c>
      <c r="G709" s="24">
        <f t="shared" si="231"/>
        <v>2832.12</v>
      </c>
      <c r="H709" s="24">
        <f t="shared" si="231"/>
        <v>3047.84</v>
      </c>
      <c r="I709" s="24">
        <f t="shared" si="231"/>
        <v>2954.3199999999997</v>
      </c>
      <c r="J709" s="24">
        <f t="shared" si="231"/>
        <v>2783.7200000000003</v>
      </c>
      <c r="K709" s="24">
        <f t="shared" si="231"/>
        <v>2868.3200000000006</v>
      </c>
      <c r="L709" s="24">
        <f t="shared" si="231"/>
        <v>3120.7200000000003</v>
      </c>
      <c r="M709" s="24"/>
      <c r="N709" s="24"/>
      <c r="O709" s="24"/>
      <c r="P709" s="24" t="str">
        <f>IF(((P707="")*AND(P708="")),"",(P707-P708)*4)</f>
        <v/>
      </c>
      <c r="Q709" s="61"/>
      <c r="R709" s="61"/>
      <c r="S709" s="61"/>
      <c r="T709" s="61"/>
      <c r="U709" s="61"/>
      <c r="V709" s="60"/>
      <c r="W709" s="59"/>
      <c r="X709" s="8"/>
    </row>
    <row r="710" spans="1:31">
      <c r="A710" s="195">
        <v>43361</v>
      </c>
      <c r="B710" s="57" t="s">
        <v>157</v>
      </c>
      <c r="C710" s="51" t="s">
        <v>156</v>
      </c>
      <c r="D710" s="8">
        <v>5177.1099999999997</v>
      </c>
      <c r="E710" s="8">
        <v>5173.83</v>
      </c>
      <c r="F710" s="8">
        <v>5221.3599999999997</v>
      </c>
      <c r="G710" s="8">
        <v>5172.67</v>
      </c>
      <c r="H710" s="8">
        <v>5195.08</v>
      </c>
      <c r="I710" s="8">
        <v>5196.74</v>
      </c>
      <c r="J710" s="8">
        <v>5203.8500000000004</v>
      </c>
      <c r="K710" s="8">
        <v>5212.57</v>
      </c>
      <c r="L710" s="8">
        <v>5292.47</v>
      </c>
      <c r="M710" s="50"/>
      <c r="N710" s="50"/>
      <c r="O710" s="50"/>
      <c r="P710" s="50"/>
      <c r="Q710" s="57">
        <f>IF((L711=""),"",MAX(D712:L712))</f>
        <v>3344.3599999999997</v>
      </c>
      <c r="R710" s="57">
        <f>IF(L711="","",MIN(D712:L712))</f>
        <v>3285.9199999999992</v>
      </c>
      <c r="S710" s="58">
        <f>IF((L712=""),"",AVERAGE(D712:L712))</f>
        <v>3319.657777777777</v>
      </c>
      <c r="T710" s="57">
        <f>IF((L711=""),"",((Q710-R710)/(Q710+R710))*100)</f>
        <v>0.88141073981793405</v>
      </c>
      <c r="U710" s="56">
        <f>STDEV(D710:L710)</f>
        <v>36.977206530071264</v>
      </c>
      <c r="V710" s="55" t="str">
        <f>IF(L711="","",(IF(T710&lt;7,IF(S710&gt;2800,IF(S710&lt;3800,"Pass","Fail"),"Fail"),"Fail")))</f>
        <v>Pass</v>
      </c>
      <c r="W710" s="54">
        <v>1340</v>
      </c>
      <c r="X710" s="26" t="s">
        <v>166</v>
      </c>
      <c r="Z710" s="53">
        <v>2800</v>
      </c>
      <c r="AA710" s="53">
        <v>3800</v>
      </c>
      <c r="AB710" s="53">
        <v>3100</v>
      </c>
      <c r="AC710" s="53">
        <v>3760</v>
      </c>
      <c r="AD710" s="52">
        <v>6</v>
      </c>
      <c r="AE710" s="52">
        <v>6</v>
      </c>
    </row>
    <row r="711" spans="1:31" ht="16.5" customHeight="1">
      <c r="A711" s="199"/>
      <c r="B711" s="48"/>
      <c r="C711" s="51" t="s">
        <v>155</v>
      </c>
      <c r="D711" s="8">
        <v>3528.03</v>
      </c>
      <c r="E711" s="8">
        <v>3504.4</v>
      </c>
      <c r="F711" s="8">
        <v>3549.18</v>
      </c>
      <c r="G711" s="8">
        <v>3506.15</v>
      </c>
      <c r="H711" s="8">
        <v>3550.98</v>
      </c>
      <c r="I711" s="8">
        <v>3553.78</v>
      </c>
      <c r="J711" s="8">
        <v>3538.54</v>
      </c>
      <c r="K711" s="8">
        <v>3540.68</v>
      </c>
      <c r="L711" s="8">
        <v>3635.48</v>
      </c>
      <c r="M711" s="50"/>
      <c r="N711" s="50"/>
      <c r="O711" s="50"/>
      <c r="P711" s="50"/>
      <c r="Q711" s="48"/>
      <c r="R711" s="48"/>
      <c r="S711" s="49"/>
      <c r="T711" s="48"/>
      <c r="U711" s="48"/>
      <c r="V711" s="47"/>
      <c r="W711" s="46"/>
      <c r="X711" s="8"/>
    </row>
    <row r="712" spans="1:31" ht="24.75" customHeight="1" thickBot="1">
      <c r="A712" s="199"/>
      <c r="B712" s="42"/>
      <c r="C712" s="45" t="s">
        <v>154</v>
      </c>
      <c r="D712" s="44">
        <f t="shared" ref="D712:L712" si="232">IF(((D710="")*AND(D711="")),"",(D710-D711)*2)</f>
        <v>3298.1599999999989</v>
      </c>
      <c r="E712" s="44">
        <f t="shared" si="232"/>
        <v>3338.8599999999997</v>
      </c>
      <c r="F712" s="44">
        <f t="shared" si="232"/>
        <v>3344.3599999999997</v>
      </c>
      <c r="G712" s="44">
        <f t="shared" si="232"/>
        <v>3333.04</v>
      </c>
      <c r="H712" s="44">
        <f t="shared" si="232"/>
        <v>3288.2</v>
      </c>
      <c r="I712" s="44">
        <f t="shared" si="232"/>
        <v>3285.9199999999992</v>
      </c>
      <c r="J712" s="44">
        <f t="shared" si="232"/>
        <v>3330.6200000000008</v>
      </c>
      <c r="K712" s="44">
        <f t="shared" si="232"/>
        <v>3343.7799999999997</v>
      </c>
      <c r="L712" s="44">
        <f t="shared" si="232"/>
        <v>3313.9800000000005</v>
      </c>
      <c r="M712" s="44"/>
      <c r="N712" s="44"/>
      <c r="O712" s="44"/>
      <c r="P712" s="44"/>
      <c r="Q712" s="42"/>
      <c r="R712" s="42"/>
      <c r="S712" s="43"/>
      <c r="T712" s="42"/>
      <c r="U712" s="42"/>
      <c r="V712" s="41"/>
      <c r="W712" s="40"/>
      <c r="X712" s="8"/>
    </row>
    <row r="713" spans="1:31">
      <c r="A713" s="195">
        <v>43368</v>
      </c>
      <c r="B713" s="63" t="s">
        <v>158</v>
      </c>
      <c r="C713" s="56" t="s">
        <v>156</v>
      </c>
      <c r="D713" s="8">
        <v>1963.69</v>
      </c>
      <c r="E713" s="8">
        <v>1948.35</v>
      </c>
      <c r="F713" s="8">
        <v>1949.25</v>
      </c>
      <c r="G713" s="8">
        <v>1947.73</v>
      </c>
      <c r="H713" s="8">
        <v>1963.86</v>
      </c>
      <c r="I713" s="8">
        <v>1963.42</v>
      </c>
      <c r="J713" s="8">
        <v>1947.98</v>
      </c>
      <c r="K713" s="8">
        <v>1950.95</v>
      </c>
      <c r="L713" s="8">
        <v>1959.85</v>
      </c>
      <c r="M713" s="62"/>
      <c r="N713" s="62"/>
      <c r="O713" s="62"/>
      <c r="P713" s="62"/>
      <c r="Q713" s="57">
        <f>IF((L714=""),"",MAX(D715:L715))</f>
        <v>3360.16</v>
      </c>
      <c r="R713" s="57">
        <f>IF(L714="","",MIN(D715:L715))</f>
        <v>2898.3199999999997</v>
      </c>
      <c r="S713" s="58">
        <f>IF((L715=""),"",AVERAGE(D715:L715))</f>
        <v>3102.8977777777777</v>
      </c>
      <c r="T713" s="57">
        <f>IF((L714=""),"",((Q713-R713)/(Q713+R713))*100)</f>
        <v>7.3794275926423056</v>
      </c>
      <c r="U713" s="56">
        <f>STDEV(D713:L713)</f>
        <v>7.4519686063594772</v>
      </c>
      <c r="V713" s="55" t="str">
        <f>IF(L714="","",(IF(T713&lt;12,IF(S713&gt;2200,IF(S713&lt;3280,"Pass","Fail"),"Fail"),"Fail")))</f>
        <v>Pass</v>
      </c>
      <c r="W713" s="54">
        <v>1340</v>
      </c>
      <c r="Z713" s="37">
        <v>2000</v>
      </c>
      <c r="AA713" s="37">
        <v>3000</v>
      </c>
      <c r="AB713" s="37">
        <v>2200</v>
      </c>
      <c r="AC713" s="37">
        <v>3280</v>
      </c>
      <c r="AD713" s="39">
        <v>12</v>
      </c>
      <c r="AE713" s="39">
        <v>12</v>
      </c>
    </row>
    <row r="714" spans="1:31" ht="16.5" customHeight="1">
      <c r="A714" s="199"/>
      <c r="B714" s="48"/>
      <c r="C714" s="51" t="s">
        <v>155</v>
      </c>
      <c r="D714" s="8">
        <v>1149.93</v>
      </c>
      <c r="E714" s="8">
        <v>1201.93</v>
      </c>
      <c r="F714" s="8">
        <v>1224.67</v>
      </c>
      <c r="G714" s="8">
        <v>1206.01</v>
      </c>
      <c r="H714" s="8">
        <v>1141.18</v>
      </c>
      <c r="I714" s="8">
        <v>1163.57</v>
      </c>
      <c r="J714" s="8">
        <v>1213.82</v>
      </c>
      <c r="K714" s="8">
        <v>1192.6400000000001</v>
      </c>
      <c r="L714" s="8">
        <v>1119.81</v>
      </c>
      <c r="M714" s="50"/>
      <c r="N714" s="50"/>
      <c r="O714" s="50"/>
      <c r="P714" s="50"/>
      <c r="Q714" s="48"/>
      <c r="R714" s="48"/>
      <c r="S714" s="48"/>
      <c r="T714" s="48"/>
      <c r="U714" s="48"/>
      <c r="V714" s="47"/>
      <c r="W714" s="46"/>
      <c r="X714" s="8"/>
    </row>
    <row r="715" spans="1:31" ht="24.75" customHeight="1" thickBot="1">
      <c r="A715" s="199"/>
      <c r="B715" s="61"/>
      <c r="C715" s="51" t="s">
        <v>154</v>
      </c>
      <c r="D715" s="24">
        <f t="shared" ref="D715:L715" si="233">IF(((D713="")*AND(D714="")),"",(D713-D714)*4)</f>
        <v>3255.04</v>
      </c>
      <c r="E715" s="24">
        <f t="shared" si="233"/>
        <v>2985.6799999999994</v>
      </c>
      <c r="F715" s="24">
        <f t="shared" si="233"/>
        <v>2898.3199999999997</v>
      </c>
      <c r="G715" s="24">
        <f t="shared" si="233"/>
        <v>2966.88</v>
      </c>
      <c r="H715" s="24">
        <f t="shared" si="233"/>
        <v>3290.7199999999993</v>
      </c>
      <c r="I715" s="24">
        <f t="shared" si="233"/>
        <v>3199.4000000000005</v>
      </c>
      <c r="J715" s="24">
        <f t="shared" si="233"/>
        <v>2936.6400000000003</v>
      </c>
      <c r="K715" s="24">
        <f t="shared" si="233"/>
        <v>3033.24</v>
      </c>
      <c r="L715" s="24">
        <f t="shared" si="233"/>
        <v>3360.16</v>
      </c>
      <c r="M715" s="24"/>
      <c r="N715" s="24"/>
      <c r="O715" s="24"/>
      <c r="P715" s="24" t="str">
        <f>IF(((P713="")*AND(P714="")),"",(P713-P714)*4)</f>
        <v/>
      </c>
      <c r="Q715" s="61"/>
      <c r="R715" s="61"/>
      <c r="S715" s="61"/>
      <c r="T715" s="61"/>
      <c r="U715" s="61"/>
      <c r="V715" s="60"/>
      <c r="W715" s="59"/>
      <c r="X715" s="8"/>
    </row>
    <row r="716" spans="1:31">
      <c r="A716" s="195">
        <v>43361</v>
      </c>
      <c r="B716" s="57" t="s">
        <v>157</v>
      </c>
      <c r="C716" s="51" t="s">
        <v>156</v>
      </c>
      <c r="D716" s="8">
        <v>6854.9</v>
      </c>
      <c r="E716" s="8">
        <v>6839.26</v>
      </c>
      <c r="F716" s="8">
        <v>6888.43</v>
      </c>
      <c r="G716" s="8">
        <v>6850.46</v>
      </c>
      <c r="H716" s="8">
        <v>6914.58</v>
      </c>
      <c r="I716" s="8">
        <v>6878.85</v>
      </c>
      <c r="J716" s="8">
        <v>6875.31</v>
      </c>
      <c r="K716" s="8">
        <v>6879.72</v>
      </c>
      <c r="L716" s="8">
        <v>6964.13</v>
      </c>
      <c r="M716" s="50"/>
      <c r="N716" s="50"/>
      <c r="O716" s="50"/>
      <c r="P716" s="50"/>
      <c r="Q716" s="57">
        <f>IF((L717=""),"",MAX(D718:L718))</f>
        <v>3422.4399999999987</v>
      </c>
      <c r="R716" s="57">
        <f>IF(L717="","",MIN(D718:L718))</f>
        <v>3377.119999999999</v>
      </c>
      <c r="S716" s="58">
        <f>IF((L718=""),"",AVERAGE(D718:L718))</f>
        <v>3404.5111111111109</v>
      </c>
      <c r="T716" s="57">
        <f>IF((L717=""),"",((Q716-R716)/(Q716+R716))*100)</f>
        <v>0.66651371559335781</v>
      </c>
      <c r="U716" s="56">
        <f>STDEV(D716:L716)</f>
        <v>37.844119240950292</v>
      </c>
      <c r="V716" s="55" t="str">
        <f>IF(L717="","",(IF(T716&lt;7,IF(S716&gt;2800,IF(S716&lt;3800,"Pass","Fail"),"Fail"),"Fail")))</f>
        <v>Pass</v>
      </c>
      <c r="W716" s="54">
        <v>1340</v>
      </c>
      <c r="Z716" s="53">
        <v>2800</v>
      </c>
      <c r="AA716" s="53">
        <v>3800</v>
      </c>
      <c r="AB716" s="53">
        <v>3100</v>
      </c>
      <c r="AC716" s="53">
        <v>3760</v>
      </c>
      <c r="AD716" s="52">
        <v>6</v>
      </c>
      <c r="AE716" s="52">
        <v>6</v>
      </c>
    </row>
    <row r="717" spans="1:31" ht="16.5" customHeight="1">
      <c r="A717" s="199"/>
      <c r="B717" s="48"/>
      <c r="C717" s="51" t="s">
        <v>155</v>
      </c>
      <c r="D717" s="8">
        <v>5143.68</v>
      </c>
      <c r="E717" s="8">
        <v>5129.3500000000004</v>
      </c>
      <c r="F717" s="8">
        <v>5184.6000000000004</v>
      </c>
      <c r="G717" s="8">
        <v>5149.3</v>
      </c>
      <c r="H717" s="8">
        <v>5226.0200000000004</v>
      </c>
      <c r="I717" s="8">
        <v>5171.55</v>
      </c>
      <c r="J717" s="8">
        <v>5172.4799999999996</v>
      </c>
      <c r="K717" s="8">
        <v>5177.1000000000004</v>
      </c>
      <c r="L717" s="8">
        <v>5271.26</v>
      </c>
      <c r="M717" s="50"/>
      <c r="N717" s="50"/>
      <c r="O717" s="50"/>
      <c r="P717" s="50"/>
      <c r="Q717" s="48"/>
      <c r="R717" s="48"/>
      <c r="S717" s="49"/>
      <c r="T717" s="48"/>
      <c r="U717" s="48"/>
      <c r="V717" s="47"/>
      <c r="W717" s="46"/>
      <c r="X717" s="8"/>
    </row>
    <row r="718" spans="1:31" ht="24.75" customHeight="1" thickBot="1">
      <c r="A718" s="199"/>
      <c r="B718" s="42"/>
      <c r="C718" s="45" t="s">
        <v>154</v>
      </c>
      <c r="D718" s="44">
        <f t="shared" ref="D718:L718" si="234">IF(((D716="")*AND(D717="")),"",(D716-D717)*2)</f>
        <v>3422.4399999999987</v>
      </c>
      <c r="E718" s="44">
        <f t="shared" si="234"/>
        <v>3419.8199999999997</v>
      </c>
      <c r="F718" s="44">
        <f t="shared" si="234"/>
        <v>3407.66</v>
      </c>
      <c r="G718" s="44">
        <f t="shared" si="234"/>
        <v>3402.3199999999997</v>
      </c>
      <c r="H718" s="44">
        <f t="shared" si="234"/>
        <v>3377.119999999999</v>
      </c>
      <c r="I718" s="44">
        <f t="shared" si="234"/>
        <v>3414.6000000000004</v>
      </c>
      <c r="J718" s="44">
        <f t="shared" si="234"/>
        <v>3405.6600000000017</v>
      </c>
      <c r="K718" s="44">
        <f t="shared" si="234"/>
        <v>3405.24</v>
      </c>
      <c r="L718" s="44">
        <f t="shared" si="234"/>
        <v>3385.74</v>
      </c>
      <c r="M718" s="44"/>
      <c r="N718" s="44"/>
      <c r="O718" s="44"/>
      <c r="P718" s="44"/>
      <c r="Q718" s="42"/>
      <c r="R718" s="42"/>
      <c r="S718" s="43"/>
      <c r="T718" s="42"/>
      <c r="U718" s="42"/>
      <c r="V718" s="41"/>
      <c r="W718" s="40"/>
      <c r="X718" s="8"/>
    </row>
    <row r="719" spans="1:31">
      <c r="A719" s="195">
        <v>43371</v>
      </c>
      <c r="B719" s="63" t="s">
        <v>158</v>
      </c>
      <c r="C719" s="56" t="s">
        <v>156</v>
      </c>
      <c r="D719" s="8">
        <v>2145.7399999999998</v>
      </c>
      <c r="E719" s="8">
        <v>2115.46</v>
      </c>
      <c r="F719" s="8">
        <v>2109.67</v>
      </c>
      <c r="G719" s="8">
        <v>2119.59</v>
      </c>
      <c r="H719" s="8">
        <v>2146.5300000000002</v>
      </c>
      <c r="I719" s="8">
        <v>2135.56</v>
      </c>
      <c r="J719" s="8">
        <v>2111.9899999999998</v>
      </c>
      <c r="K719" s="8">
        <v>2124.2199999999998</v>
      </c>
      <c r="L719" s="8">
        <v>2151.44</v>
      </c>
      <c r="M719" s="62"/>
      <c r="N719" s="62"/>
      <c r="O719" s="62"/>
      <c r="P719" s="62"/>
      <c r="Q719" s="57">
        <f>IF((L720=""),"",MAX(D721:L721))</f>
        <v>3426.8</v>
      </c>
      <c r="R719" s="57">
        <f>IF(L720="","",MIN(D721:L721))</f>
        <v>2917.3600000000006</v>
      </c>
      <c r="S719" s="58">
        <f>IF((L721=""),"",AVERAGE(D721:L721))</f>
        <v>3135.5288888888886</v>
      </c>
      <c r="T719" s="57">
        <f>IF((L720=""),"",((Q719-R719)/(Q719+R719))*100)</f>
        <v>8.0300622935108752</v>
      </c>
      <c r="U719" s="56">
        <f>STDEV(D719:L719)</f>
        <v>16.170040541472734</v>
      </c>
      <c r="V719" s="55" t="str">
        <f>IF(L720="","",(IF(T719&lt;12,IF(S719&gt;2200,IF(S719&lt;3280,"Pass","Fail"),"Fail"),"Fail")))</f>
        <v>Pass</v>
      </c>
      <c r="W719" s="54">
        <v>1340</v>
      </c>
      <c r="Z719" s="37">
        <v>2000</v>
      </c>
      <c r="AA719" s="37">
        <v>3000</v>
      </c>
      <c r="AB719" s="37">
        <v>2200</v>
      </c>
      <c r="AC719" s="37">
        <v>3280</v>
      </c>
      <c r="AD719" s="39">
        <v>12</v>
      </c>
      <c r="AE719" s="39">
        <v>12</v>
      </c>
    </row>
    <row r="720" spans="1:31" ht="16.5" customHeight="1">
      <c r="A720" s="199"/>
      <c r="B720" s="48"/>
      <c r="C720" s="51" t="s">
        <v>155</v>
      </c>
      <c r="D720" s="8">
        <v>1321.4</v>
      </c>
      <c r="E720" s="8">
        <v>1364.61</v>
      </c>
      <c r="F720" s="8">
        <v>1380.33</v>
      </c>
      <c r="G720" s="8">
        <v>1368.83</v>
      </c>
      <c r="H720" s="8">
        <v>1314.38</v>
      </c>
      <c r="I720" s="8">
        <v>1332.15</v>
      </c>
      <c r="J720" s="8">
        <v>1372.72</v>
      </c>
      <c r="K720" s="8">
        <v>1356.1</v>
      </c>
      <c r="L720" s="8">
        <v>1294.74</v>
      </c>
      <c r="M720" s="50"/>
      <c r="N720" s="50"/>
      <c r="O720" s="50"/>
      <c r="P720" s="50"/>
      <c r="Q720" s="48"/>
      <c r="R720" s="48"/>
      <c r="S720" s="48"/>
      <c r="T720" s="48"/>
      <c r="U720" s="48"/>
      <c r="V720" s="47"/>
      <c r="W720" s="46"/>
      <c r="X720" s="8"/>
    </row>
    <row r="721" spans="1:31" ht="24.75" customHeight="1" thickBot="1">
      <c r="A721" s="199"/>
      <c r="B721" s="61"/>
      <c r="C721" s="51" t="s">
        <v>154</v>
      </c>
      <c r="D721" s="24">
        <f t="shared" ref="D721:L721" si="235">IF(((D719="")*AND(D720="")),"",(D719-D720)*4)</f>
        <v>3297.3599999999988</v>
      </c>
      <c r="E721" s="24">
        <f t="shared" si="235"/>
        <v>3003.4000000000005</v>
      </c>
      <c r="F721" s="24">
        <f t="shared" si="235"/>
        <v>2917.3600000000006</v>
      </c>
      <c r="G721" s="24">
        <f t="shared" si="235"/>
        <v>3003.0400000000009</v>
      </c>
      <c r="H721" s="24">
        <f t="shared" si="235"/>
        <v>3328.6000000000004</v>
      </c>
      <c r="I721" s="24">
        <f t="shared" si="235"/>
        <v>3213.6399999999994</v>
      </c>
      <c r="J721" s="24">
        <f t="shared" si="235"/>
        <v>2957.079999999999</v>
      </c>
      <c r="K721" s="24">
        <f t="shared" si="235"/>
        <v>3072.4799999999996</v>
      </c>
      <c r="L721" s="24">
        <f t="shared" si="235"/>
        <v>3426.8</v>
      </c>
      <c r="M721" s="24"/>
      <c r="N721" s="24"/>
      <c r="O721" s="24"/>
      <c r="P721" s="24" t="str">
        <f>IF(((P719="")*AND(P720="")),"",(P719-P720)*4)</f>
        <v/>
      </c>
      <c r="Q721" s="61"/>
      <c r="R721" s="61"/>
      <c r="S721" s="61"/>
      <c r="T721" s="61"/>
      <c r="U721" s="61"/>
      <c r="V721" s="60"/>
      <c r="W721" s="59"/>
      <c r="X721" s="8"/>
    </row>
    <row r="722" spans="1:31">
      <c r="A722" s="195">
        <v>43371</v>
      </c>
      <c r="B722" s="57" t="s">
        <v>157</v>
      </c>
      <c r="C722" s="51" t="s">
        <v>156</v>
      </c>
      <c r="D722" s="8">
        <v>5143.68</v>
      </c>
      <c r="E722" s="8">
        <v>5129.3500000000004</v>
      </c>
      <c r="F722" s="8">
        <v>5184.6000000000004</v>
      </c>
      <c r="G722" s="8">
        <v>5149.3</v>
      </c>
      <c r="H722" s="8">
        <v>5226.0200000000004</v>
      </c>
      <c r="I722" s="8">
        <v>5171.55</v>
      </c>
      <c r="J722" s="8">
        <v>5172.4799999999996</v>
      </c>
      <c r="K722" s="8">
        <v>5177.1000000000004</v>
      </c>
      <c r="L722" s="8">
        <v>5271.26</v>
      </c>
      <c r="M722" s="50"/>
      <c r="N722" s="50"/>
      <c r="O722" s="50"/>
      <c r="P722" s="50"/>
      <c r="Q722" s="57">
        <f>IF((L723=""),"",MAX(D724:L724))</f>
        <v>3427.0200000000004</v>
      </c>
      <c r="R722" s="57">
        <f>IF(L723="","",MIN(D724:L724))</f>
        <v>3375.3</v>
      </c>
      <c r="S722" s="58">
        <f>IF((L724=""),"",AVERAGE(D724:L724))</f>
        <v>3404.3866666666672</v>
      </c>
      <c r="T722" s="57">
        <f>IF((L723=""),"",((Q722-R722)/(Q722+R722))*100)</f>
        <v>0.76032882898776077</v>
      </c>
      <c r="U722" s="56">
        <f>STDEV(D722:L722)</f>
        <v>43.914173964764629</v>
      </c>
      <c r="V722" s="55" t="str">
        <f>IF(L723="","",(IF(T722&lt;7,IF(S722&gt;2800,IF(S722&lt;3800,"Pass","Fail"),"Fail"),"Fail")))</f>
        <v>Pass</v>
      </c>
      <c r="W722" s="54">
        <v>1340</v>
      </c>
      <c r="Z722" s="53">
        <v>2800</v>
      </c>
      <c r="AA722" s="53">
        <v>3800</v>
      </c>
      <c r="AB722" s="53">
        <v>3100</v>
      </c>
      <c r="AC722" s="53">
        <v>3760</v>
      </c>
      <c r="AD722" s="52">
        <v>6</v>
      </c>
      <c r="AE722" s="52">
        <v>6</v>
      </c>
    </row>
    <row r="723" spans="1:31" ht="16.5" customHeight="1">
      <c r="A723" s="199"/>
      <c r="B723" s="48"/>
      <c r="C723" s="51" t="s">
        <v>155</v>
      </c>
      <c r="D723" s="8">
        <v>3437.39</v>
      </c>
      <c r="E723" s="8">
        <v>3420.68</v>
      </c>
      <c r="F723" s="8">
        <v>3481.22</v>
      </c>
      <c r="G723" s="8">
        <v>3446.99</v>
      </c>
      <c r="H723" s="8">
        <v>3529.07</v>
      </c>
      <c r="I723" s="8">
        <v>3458.04</v>
      </c>
      <c r="J723" s="8">
        <v>3469.96</v>
      </c>
      <c r="K723" s="8">
        <v>3478.64</v>
      </c>
      <c r="L723" s="8">
        <v>3583.61</v>
      </c>
      <c r="M723" s="50"/>
      <c r="N723" s="50"/>
      <c r="O723" s="50"/>
      <c r="P723" s="50"/>
      <c r="Q723" s="48"/>
      <c r="R723" s="48"/>
      <c r="S723" s="49"/>
      <c r="T723" s="48"/>
      <c r="U723" s="48"/>
      <c r="V723" s="47"/>
      <c r="W723" s="46"/>
      <c r="X723" s="8"/>
    </row>
    <row r="724" spans="1:31" ht="24.75" customHeight="1" thickBot="1">
      <c r="A724" s="199"/>
      <c r="B724" s="42"/>
      <c r="C724" s="45" t="s">
        <v>154</v>
      </c>
      <c r="D724" s="44">
        <f t="shared" ref="D724:L724" si="236">IF(((D722="")*AND(D723="")),"",(D722-D723)*2)</f>
        <v>3412.5800000000008</v>
      </c>
      <c r="E724" s="44">
        <f t="shared" si="236"/>
        <v>3417.3400000000011</v>
      </c>
      <c r="F724" s="44">
        <f t="shared" si="236"/>
        <v>3406.7600000000011</v>
      </c>
      <c r="G724" s="44">
        <f t="shared" si="236"/>
        <v>3404.6200000000008</v>
      </c>
      <c r="H724" s="44">
        <f t="shared" si="236"/>
        <v>3393.9000000000005</v>
      </c>
      <c r="I724" s="44">
        <f t="shared" si="236"/>
        <v>3427.0200000000004</v>
      </c>
      <c r="J724" s="44">
        <f t="shared" si="236"/>
        <v>3405.0399999999991</v>
      </c>
      <c r="K724" s="44">
        <f t="shared" si="236"/>
        <v>3396.920000000001</v>
      </c>
      <c r="L724" s="44">
        <f t="shared" si="236"/>
        <v>3375.3</v>
      </c>
      <c r="M724" s="44"/>
      <c r="N724" s="44"/>
      <c r="O724" s="44"/>
      <c r="P724" s="44"/>
      <c r="Q724" s="42"/>
      <c r="R724" s="42"/>
      <c r="S724" s="43"/>
      <c r="T724" s="42"/>
      <c r="U724" s="42"/>
      <c r="V724" s="41"/>
      <c r="W724" s="40"/>
      <c r="X724" s="8"/>
    </row>
    <row r="725" spans="1:31">
      <c r="A725" s="195">
        <v>43378</v>
      </c>
      <c r="B725" s="63" t="s">
        <v>158</v>
      </c>
      <c r="C725" s="56" t="s">
        <v>156</v>
      </c>
      <c r="D725" s="8">
        <v>1909.82</v>
      </c>
      <c r="E725" s="8">
        <v>1904.03</v>
      </c>
      <c r="F725" s="8">
        <v>1906.65</v>
      </c>
      <c r="G725" s="8">
        <v>1904.13</v>
      </c>
      <c r="H725" s="8">
        <v>1909.6</v>
      </c>
      <c r="I725" s="8">
        <v>1906.32</v>
      </c>
      <c r="J725" s="8">
        <v>1903.44</v>
      </c>
      <c r="K725" s="8">
        <v>1904.68</v>
      </c>
      <c r="L725" s="8">
        <v>1913.37</v>
      </c>
      <c r="M725" s="62"/>
      <c r="N725" s="62"/>
      <c r="O725" s="62"/>
      <c r="P725" s="62"/>
      <c r="Q725" s="57">
        <f>IF((L726=""),"",MAX(D727:L727))</f>
        <v>3205.3199999999997</v>
      </c>
      <c r="R725" s="57">
        <f>IF(L726="","",MIN(D727:L727))</f>
        <v>2750.3200000000006</v>
      </c>
      <c r="S725" s="58">
        <f>IF((L727=""),"",AVERAGE(D727:L727))</f>
        <v>2931.2666666666669</v>
      </c>
      <c r="T725" s="57">
        <f>IF((L726=""),"",((Q725-R725)/(Q725+R725))*100)</f>
        <v>7.6398170473702081</v>
      </c>
      <c r="U725" s="56">
        <f>STDEV(D725:L725)</f>
        <v>3.3705637510774791</v>
      </c>
      <c r="V725" s="55" t="str">
        <f>IF(L726="","",(IF(T725&lt;12,IF(S725&gt;2200,IF(S725&lt;3280,"Pass","Fail"),"Fail"),"Fail")))</f>
        <v>Pass</v>
      </c>
      <c r="W725" s="54">
        <v>1340</v>
      </c>
      <c r="X725" s="26" t="s">
        <v>165</v>
      </c>
      <c r="Z725" s="37">
        <v>2000</v>
      </c>
      <c r="AA725" s="37">
        <v>3000</v>
      </c>
      <c r="AB725" s="37">
        <v>2200</v>
      </c>
      <c r="AC725" s="37">
        <v>3280</v>
      </c>
      <c r="AD725" s="39">
        <v>12</v>
      </c>
      <c r="AE725" s="39">
        <v>12</v>
      </c>
    </row>
    <row r="726" spans="1:31" ht="16.5" customHeight="1">
      <c r="A726" s="199"/>
      <c r="B726" s="48"/>
      <c r="C726" s="51" t="s">
        <v>155</v>
      </c>
      <c r="D726" s="8">
        <v>1151</v>
      </c>
      <c r="E726" s="8">
        <v>1198.8599999999999</v>
      </c>
      <c r="F726" s="8">
        <v>1219.07</v>
      </c>
      <c r="G726" s="8">
        <v>1196.28</v>
      </c>
      <c r="H726" s="8">
        <v>1135.52</v>
      </c>
      <c r="I726" s="8">
        <v>1162.1500000000001</v>
      </c>
      <c r="J726" s="8">
        <v>1210.3499999999999</v>
      </c>
      <c r="K726" s="8">
        <v>1181.42</v>
      </c>
      <c r="L726" s="8">
        <v>1112.04</v>
      </c>
      <c r="M726" s="50"/>
      <c r="N726" s="50"/>
      <c r="O726" s="50"/>
      <c r="P726" s="50"/>
      <c r="Q726" s="48"/>
      <c r="R726" s="48"/>
      <c r="S726" s="48"/>
      <c r="T726" s="48"/>
      <c r="U726" s="48"/>
      <c r="V726" s="47"/>
      <c r="W726" s="46"/>
      <c r="X726" s="8"/>
    </row>
    <row r="727" spans="1:31" ht="24.75" customHeight="1" thickBot="1">
      <c r="A727" s="199"/>
      <c r="B727" s="61"/>
      <c r="C727" s="51" t="s">
        <v>154</v>
      </c>
      <c r="D727" s="24">
        <f t="shared" ref="D727:L727" si="237">IF(((D725="")*AND(D726="")),"",(D725-D726)*4)</f>
        <v>3035.2799999999997</v>
      </c>
      <c r="E727" s="24">
        <f t="shared" si="237"/>
        <v>2820.6800000000003</v>
      </c>
      <c r="F727" s="24">
        <f t="shared" si="237"/>
        <v>2750.3200000000006</v>
      </c>
      <c r="G727" s="24">
        <f t="shared" si="237"/>
        <v>2831.4000000000005</v>
      </c>
      <c r="H727" s="24">
        <f t="shared" si="237"/>
        <v>3096.3199999999997</v>
      </c>
      <c r="I727" s="24">
        <f t="shared" si="237"/>
        <v>2976.6799999999994</v>
      </c>
      <c r="J727" s="24">
        <f t="shared" si="237"/>
        <v>2772.3600000000006</v>
      </c>
      <c r="K727" s="24">
        <f t="shared" si="237"/>
        <v>2893.04</v>
      </c>
      <c r="L727" s="24">
        <f t="shared" si="237"/>
        <v>3205.3199999999997</v>
      </c>
      <c r="M727" s="24"/>
      <c r="N727" s="24"/>
      <c r="O727" s="24"/>
      <c r="P727" s="24" t="str">
        <f>IF(((P725="")*AND(P726="")),"",(P725-P726)*4)</f>
        <v/>
      </c>
      <c r="Q727" s="61"/>
      <c r="R727" s="61"/>
      <c r="S727" s="61"/>
      <c r="T727" s="61"/>
      <c r="U727" s="61"/>
      <c r="V727" s="60"/>
      <c r="W727" s="59"/>
      <c r="X727" s="8"/>
    </row>
    <row r="728" spans="1:31">
      <c r="A728" s="195">
        <v>43378</v>
      </c>
      <c r="B728" s="57" t="s">
        <v>157</v>
      </c>
      <c r="C728" s="51" t="s">
        <v>156</v>
      </c>
      <c r="D728" s="8">
        <v>3437.39</v>
      </c>
      <c r="E728" s="8">
        <v>3420.68</v>
      </c>
      <c r="F728" s="8">
        <v>3481.22</v>
      </c>
      <c r="G728" s="8">
        <v>3446.99</v>
      </c>
      <c r="H728" s="8">
        <v>3529.07</v>
      </c>
      <c r="I728" s="8">
        <v>3458.04</v>
      </c>
      <c r="J728" s="8">
        <v>3469.96</v>
      </c>
      <c r="K728" s="8">
        <v>3478.64</v>
      </c>
      <c r="L728" s="8">
        <v>3583.61</v>
      </c>
      <c r="M728" s="50"/>
      <c r="N728" s="50"/>
      <c r="O728" s="50"/>
      <c r="P728" s="50"/>
      <c r="Q728" s="57">
        <f>IF((L729=""),"",MAX(D730:L730))</f>
        <v>3425.12</v>
      </c>
      <c r="R728" s="57">
        <f>IF(L729="","",MIN(D730:L730))</f>
        <v>3389.5800000000004</v>
      </c>
      <c r="S728" s="58">
        <f>IF((L730=""),"",AVERAGE(D730:L730))</f>
        <v>3409.333333333333</v>
      </c>
      <c r="T728" s="57">
        <f>IF((L729=""),"",((Q728-R728)/(Q728+R728))*100)</f>
        <v>0.52151965603767603</v>
      </c>
      <c r="U728" s="56">
        <f>STDEV(D728:L728)</f>
        <v>50.162701282934641</v>
      </c>
      <c r="V728" s="55" t="str">
        <f>IF(L729="","",(IF(T728&lt;7,IF(S728&gt;2800,IF(S728&lt;3800,"Pass","Fail"),"Fail"),"Fail")))</f>
        <v>Pass</v>
      </c>
      <c r="W728" s="54">
        <v>1340</v>
      </c>
      <c r="X728" s="26" t="s">
        <v>165</v>
      </c>
      <c r="Z728" s="53">
        <v>2800</v>
      </c>
      <c r="AA728" s="53">
        <v>3800</v>
      </c>
      <c r="AB728" s="53">
        <v>3100</v>
      </c>
      <c r="AC728" s="53">
        <v>3760</v>
      </c>
      <c r="AD728" s="52">
        <v>6</v>
      </c>
      <c r="AE728" s="52">
        <v>6</v>
      </c>
    </row>
    <row r="729" spans="1:31" ht="16.5" customHeight="1">
      <c r="A729" s="199"/>
      <c r="B729" s="48"/>
      <c r="C729" s="51" t="s">
        <v>155</v>
      </c>
      <c r="D729" s="8">
        <v>1735.83</v>
      </c>
      <c r="E729" s="8">
        <v>1708.12</v>
      </c>
      <c r="F729" s="8">
        <v>1773.13</v>
      </c>
      <c r="G729" s="8">
        <v>1739.83</v>
      </c>
      <c r="H729" s="8">
        <v>1834.28</v>
      </c>
      <c r="I729" s="8">
        <v>1752.1</v>
      </c>
      <c r="J729" s="8">
        <v>1765.42</v>
      </c>
      <c r="K729" s="8">
        <v>1769.27</v>
      </c>
      <c r="L729" s="8">
        <v>1885.62</v>
      </c>
      <c r="M729" s="50"/>
      <c r="N729" s="50"/>
      <c r="O729" s="50"/>
      <c r="P729" s="50"/>
      <c r="Q729" s="48"/>
      <c r="R729" s="48"/>
      <c r="S729" s="49"/>
      <c r="T729" s="48"/>
      <c r="U729" s="48"/>
      <c r="V729" s="47"/>
      <c r="W729" s="46"/>
      <c r="X729" s="8"/>
    </row>
    <row r="730" spans="1:31" ht="24.75" customHeight="1" thickBot="1">
      <c r="A730" s="199"/>
      <c r="B730" s="42"/>
      <c r="C730" s="45" t="s">
        <v>154</v>
      </c>
      <c r="D730" s="44">
        <f t="shared" ref="D730:L730" si="238">IF(((D728="")*AND(D729="")),"",(D728-D729)*2)</f>
        <v>3403.12</v>
      </c>
      <c r="E730" s="44">
        <f t="shared" si="238"/>
        <v>3425.12</v>
      </c>
      <c r="F730" s="44">
        <f t="shared" si="238"/>
        <v>3416.1799999999994</v>
      </c>
      <c r="G730" s="44">
        <f t="shared" si="238"/>
        <v>3414.3199999999997</v>
      </c>
      <c r="H730" s="44">
        <f t="shared" si="238"/>
        <v>3389.5800000000004</v>
      </c>
      <c r="I730" s="44">
        <f t="shared" si="238"/>
        <v>3411.88</v>
      </c>
      <c r="J730" s="44">
        <f t="shared" si="238"/>
        <v>3409.08</v>
      </c>
      <c r="K730" s="44">
        <f t="shared" si="238"/>
        <v>3418.74</v>
      </c>
      <c r="L730" s="44">
        <f t="shared" si="238"/>
        <v>3395.9800000000005</v>
      </c>
      <c r="M730" s="44"/>
      <c r="N730" s="44"/>
      <c r="O730" s="44"/>
      <c r="P730" s="44"/>
      <c r="Q730" s="42"/>
      <c r="R730" s="42"/>
      <c r="S730" s="43"/>
      <c r="T730" s="42"/>
      <c r="U730" s="42"/>
      <c r="V730" s="41"/>
      <c r="W730" s="40"/>
      <c r="X730" s="8"/>
    </row>
    <row r="731" spans="1:31">
      <c r="A731" s="195">
        <v>43389</v>
      </c>
      <c r="B731" s="63" t="s">
        <v>158</v>
      </c>
      <c r="C731" s="56" t="s">
        <v>156</v>
      </c>
      <c r="D731" s="8">
        <v>1152.7</v>
      </c>
      <c r="E731" s="8">
        <v>1201.82</v>
      </c>
      <c r="F731" s="8">
        <v>1225.23</v>
      </c>
      <c r="G731" s="8">
        <v>1200.01</v>
      </c>
      <c r="H731" s="8">
        <v>1139.68</v>
      </c>
      <c r="I731" s="8">
        <v>1163.8</v>
      </c>
      <c r="J731" s="8">
        <v>1211.57</v>
      </c>
      <c r="K731" s="8">
        <v>1186.3699999999999</v>
      </c>
      <c r="L731" s="8">
        <v>1117.46</v>
      </c>
      <c r="M731" s="62"/>
      <c r="N731" s="62"/>
      <c r="O731" s="62"/>
      <c r="P731" s="62"/>
      <c r="Q731" s="57">
        <f>IF((L732=""),"",MAX(D733:L733))</f>
        <v>3159.16</v>
      </c>
      <c r="R731" s="57">
        <f>IF(L732="","",MIN(D733:L733))</f>
        <v>2743.36</v>
      </c>
      <c r="S731" s="58">
        <f>IF((L733=""),"",AVERAGE(D733:L733))</f>
        <v>2918.2222222222222</v>
      </c>
      <c r="T731" s="57">
        <f>IF((L732=""),"",((Q731-R731)/(Q731+R731))*100)</f>
        <v>7.0444488116939832</v>
      </c>
      <c r="U731" s="56">
        <f>STDEV(D731:L731)</f>
        <v>36.148127199070963</v>
      </c>
      <c r="V731" s="55" t="str">
        <f>IF(L732="","",(IF(T731&lt;12,IF(S731&gt;2200,IF(S731&lt;3280,"Pass","Fail"),"Fail"),"Fail")))</f>
        <v>Pass</v>
      </c>
      <c r="W731" s="54">
        <v>121</v>
      </c>
      <c r="X731" s="26" t="s">
        <v>164</v>
      </c>
      <c r="Z731" s="37">
        <v>2000</v>
      </c>
      <c r="AA731" s="37">
        <v>3000</v>
      </c>
      <c r="AB731" s="37">
        <v>2200</v>
      </c>
      <c r="AC731" s="37">
        <v>3280</v>
      </c>
      <c r="AD731" s="39">
        <v>12</v>
      </c>
      <c r="AE731" s="39">
        <v>12</v>
      </c>
    </row>
    <row r="732" spans="1:31" ht="16.5" customHeight="1">
      <c r="A732" s="199"/>
      <c r="B732" s="48"/>
      <c r="C732" s="51" t="s">
        <v>155</v>
      </c>
      <c r="D732" s="8">
        <v>393.56</v>
      </c>
      <c r="E732" s="8">
        <v>496.38</v>
      </c>
      <c r="F732" s="8">
        <v>539.39</v>
      </c>
      <c r="G732" s="8">
        <v>496.58</v>
      </c>
      <c r="H732" s="8">
        <v>375.98</v>
      </c>
      <c r="I732" s="8">
        <v>417.18</v>
      </c>
      <c r="J732" s="8">
        <v>515.86</v>
      </c>
      <c r="K732" s="8">
        <v>470.04</v>
      </c>
      <c r="L732" s="8">
        <v>327.67</v>
      </c>
      <c r="M732" s="50"/>
      <c r="N732" s="50"/>
      <c r="O732" s="50"/>
      <c r="P732" s="50"/>
      <c r="Q732" s="48"/>
      <c r="R732" s="48"/>
      <c r="S732" s="48"/>
      <c r="T732" s="48"/>
      <c r="U732" s="48"/>
      <c r="V732" s="47"/>
      <c r="W732" s="46"/>
      <c r="X732" s="8"/>
    </row>
    <row r="733" spans="1:31" ht="24.75" customHeight="1" thickBot="1">
      <c r="A733" s="199"/>
      <c r="B733" s="61"/>
      <c r="C733" s="51" t="s">
        <v>154</v>
      </c>
      <c r="D733" s="24">
        <f t="shared" ref="D733:L733" si="239">IF(((D731="")*AND(D732="")),"",(D731-D732)*4)</f>
        <v>3036.5600000000004</v>
      </c>
      <c r="E733" s="24">
        <f t="shared" si="239"/>
        <v>2821.7599999999998</v>
      </c>
      <c r="F733" s="24">
        <f t="shared" si="239"/>
        <v>2743.36</v>
      </c>
      <c r="G733" s="24">
        <f t="shared" si="239"/>
        <v>2813.7200000000003</v>
      </c>
      <c r="H733" s="24">
        <f t="shared" si="239"/>
        <v>3054.8</v>
      </c>
      <c r="I733" s="24">
        <f t="shared" si="239"/>
        <v>2986.4799999999996</v>
      </c>
      <c r="J733" s="24">
        <f t="shared" si="239"/>
        <v>2782.8399999999997</v>
      </c>
      <c r="K733" s="24">
        <f t="shared" si="239"/>
        <v>2865.3199999999997</v>
      </c>
      <c r="L733" s="24">
        <f t="shared" si="239"/>
        <v>3159.16</v>
      </c>
      <c r="M733" s="24"/>
      <c r="N733" s="24"/>
      <c r="O733" s="24"/>
      <c r="P733" s="24" t="str">
        <f>IF(((P731="")*AND(P732="")),"",(P731-P732)*4)</f>
        <v/>
      </c>
      <c r="Q733" s="61"/>
      <c r="R733" s="61"/>
      <c r="S733" s="61"/>
      <c r="T733" s="61"/>
      <c r="U733" s="61"/>
      <c r="V733" s="60"/>
      <c r="W733" s="59"/>
      <c r="X733" s="8"/>
    </row>
    <row r="734" spans="1:31">
      <c r="A734" s="195">
        <v>43389</v>
      </c>
      <c r="B734" s="57" t="s">
        <v>157</v>
      </c>
      <c r="C734" s="51" t="s">
        <v>156</v>
      </c>
      <c r="D734" s="8">
        <v>6847.64</v>
      </c>
      <c r="E734" s="8">
        <v>6832.8</v>
      </c>
      <c r="F734" s="8">
        <v>6880.21</v>
      </c>
      <c r="G734" s="8">
        <v>6842.53</v>
      </c>
      <c r="H734" s="8">
        <v>6902.43</v>
      </c>
      <c r="I734" s="8">
        <v>6870.64</v>
      </c>
      <c r="J734" s="8">
        <v>6868.64</v>
      </c>
      <c r="K734" s="8">
        <v>6869.79</v>
      </c>
      <c r="L734" s="8">
        <v>6952.04</v>
      </c>
      <c r="M734" s="50"/>
      <c r="N734" s="50"/>
      <c r="O734" s="50"/>
      <c r="P734" s="50"/>
      <c r="Q734" s="57">
        <f>IF((L735=""),"",MAX(D736:L736))</f>
        <v>3433.4400000000005</v>
      </c>
      <c r="R734" s="57">
        <f>IF(L735="","",MIN(D736:L736))</f>
        <v>3373.76</v>
      </c>
      <c r="S734" s="58">
        <f>IF((L736=""),"",AVERAGE(D736:L736))</f>
        <v>3412.3755555555563</v>
      </c>
      <c r="T734" s="57">
        <f>IF((L735=""),"",((Q734-R734)/(Q734+R734))*100)</f>
        <v>0.87671876836291407</v>
      </c>
      <c r="U734" s="56">
        <f>STDEV(D734:L734)</f>
        <v>36.01632754732924</v>
      </c>
      <c r="V734" s="55" t="str">
        <f>IF(L735="","",(IF(T734&lt;7,IF(S734&gt;2800,IF(S734&lt;3800,"Pass","Fail"),"Fail"),"Fail")))</f>
        <v>Pass</v>
      </c>
      <c r="W734" s="54">
        <v>121</v>
      </c>
      <c r="X734" s="26" t="s">
        <v>164</v>
      </c>
      <c r="Z734" s="53">
        <v>2800</v>
      </c>
      <c r="AA734" s="53">
        <v>3800</v>
      </c>
      <c r="AB734" s="53">
        <v>3100</v>
      </c>
      <c r="AC734" s="53">
        <v>3760</v>
      </c>
      <c r="AD734" s="52">
        <v>6</v>
      </c>
      <c r="AE734" s="52">
        <v>6</v>
      </c>
    </row>
    <row r="735" spans="1:31" ht="16.5" customHeight="1">
      <c r="A735" s="199"/>
      <c r="B735" s="48"/>
      <c r="C735" s="51" t="s">
        <v>155</v>
      </c>
      <c r="D735" s="8">
        <v>5145.71</v>
      </c>
      <c r="E735" s="8">
        <v>5116.08</v>
      </c>
      <c r="F735" s="8">
        <v>5165.6499999999996</v>
      </c>
      <c r="G735" s="8">
        <v>5131.32</v>
      </c>
      <c r="H735" s="8">
        <v>5215.55</v>
      </c>
      <c r="I735" s="8">
        <v>5174.95</v>
      </c>
      <c r="J735" s="8">
        <v>5158.1099999999997</v>
      </c>
      <c r="K735" s="8">
        <v>5154.7</v>
      </c>
      <c r="L735" s="8">
        <v>5248.96</v>
      </c>
      <c r="M735" s="50"/>
      <c r="N735" s="50"/>
      <c r="O735" s="50"/>
      <c r="P735" s="50"/>
      <c r="Q735" s="48"/>
      <c r="R735" s="48"/>
      <c r="S735" s="49"/>
      <c r="T735" s="48"/>
      <c r="U735" s="48"/>
      <c r="V735" s="47"/>
      <c r="W735" s="46"/>
      <c r="X735" s="8"/>
    </row>
    <row r="736" spans="1:31" ht="24.75" customHeight="1" thickBot="1">
      <c r="A736" s="199"/>
      <c r="B736" s="42"/>
      <c r="C736" s="45" t="s">
        <v>154</v>
      </c>
      <c r="D736" s="44">
        <f t="shared" ref="D736:L736" si="240">IF(((D734="")*AND(D735="")),"",(D734-D735)*2)</f>
        <v>3403.8600000000006</v>
      </c>
      <c r="E736" s="44">
        <f t="shared" si="240"/>
        <v>3433.4400000000005</v>
      </c>
      <c r="F736" s="44">
        <f t="shared" si="240"/>
        <v>3429.1200000000008</v>
      </c>
      <c r="G736" s="44">
        <f t="shared" si="240"/>
        <v>3422.42</v>
      </c>
      <c r="H736" s="44">
        <f t="shared" si="240"/>
        <v>3373.76</v>
      </c>
      <c r="I736" s="44">
        <f t="shared" si="240"/>
        <v>3391.380000000001</v>
      </c>
      <c r="J736" s="44">
        <f t="shared" si="240"/>
        <v>3421.0600000000013</v>
      </c>
      <c r="K736" s="44">
        <f t="shared" si="240"/>
        <v>3430.1800000000003</v>
      </c>
      <c r="L736" s="44">
        <f t="shared" si="240"/>
        <v>3406.16</v>
      </c>
      <c r="M736" s="44"/>
      <c r="N736" s="44"/>
      <c r="O736" s="44"/>
      <c r="P736" s="44"/>
      <c r="Q736" s="42"/>
      <c r="R736" s="42"/>
      <c r="S736" s="43"/>
      <c r="T736" s="42"/>
      <c r="U736" s="42"/>
      <c r="V736" s="41"/>
      <c r="W736" s="40"/>
      <c r="X736" s="8"/>
    </row>
    <row r="737" spans="1:31">
      <c r="A737" s="195">
        <v>43391</v>
      </c>
      <c r="B737" s="63" t="s">
        <v>158</v>
      </c>
      <c r="C737" s="56" t="s">
        <v>156</v>
      </c>
      <c r="D737" s="8">
        <v>1921.61</v>
      </c>
      <c r="E737" s="8">
        <v>1921.14</v>
      </c>
      <c r="F737" s="8">
        <v>1917.99</v>
      </c>
      <c r="G737" s="8">
        <v>1918.7</v>
      </c>
      <c r="H737" s="8">
        <v>1924.22</v>
      </c>
      <c r="I737" s="8">
        <v>1925.47</v>
      </c>
      <c r="J737" s="8">
        <v>1919.08</v>
      </c>
      <c r="K737" s="8">
        <v>1923.05</v>
      </c>
      <c r="L737" s="8">
        <v>1926.05</v>
      </c>
      <c r="M737" s="62"/>
      <c r="N737" s="62"/>
      <c r="O737" s="62"/>
      <c r="P737" s="62"/>
      <c r="Q737" s="57">
        <f>IF((L738=""),"",MAX(D739:L739))</f>
        <v>3126.4799999999996</v>
      </c>
      <c r="R737" s="57">
        <f>IF(L738="","",MIN(D739:L739))</f>
        <v>2718.8</v>
      </c>
      <c r="S737" s="58">
        <f>IF((L739=""),"",AVERAGE(D739:L739))</f>
        <v>2902.008888888889</v>
      </c>
      <c r="T737" s="57">
        <f>IF((L738=""),"",((Q737-R737)/(Q737+R737))*100)</f>
        <v>6.9745161908411468</v>
      </c>
      <c r="U737" s="56">
        <f>STDEV(D737:L737)</f>
        <v>2.9750966373068088</v>
      </c>
      <c r="V737" s="55" t="str">
        <f>IF(L738="","",(IF(T737&lt;12,IF(S737&gt;2200,IF(S737&lt;3280,"Pass","Fail"),"Fail"),"Fail")))</f>
        <v>Pass</v>
      </c>
      <c r="W737" s="54">
        <v>1159</v>
      </c>
      <c r="X737" s="26" t="s">
        <v>163</v>
      </c>
      <c r="Z737" s="37">
        <v>2000</v>
      </c>
      <c r="AA737" s="37">
        <v>3000</v>
      </c>
      <c r="AB737" s="37">
        <v>2200</v>
      </c>
      <c r="AC737" s="37">
        <v>3280</v>
      </c>
      <c r="AD737" s="39">
        <v>12</v>
      </c>
      <c r="AE737" s="39">
        <v>12</v>
      </c>
    </row>
    <row r="738" spans="1:31" ht="16.5" customHeight="1">
      <c r="A738" s="199"/>
      <c r="B738" s="48"/>
      <c r="C738" s="51" t="s">
        <v>155</v>
      </c>
      <c r="D738" s="8">
        <v>1174.3699999999999</v>
      </c>
      <c r="E738" s="8">
        <v>1215.44</v>
      </c>
      <c r="F738" s="8">
        <v>1238.29</v>
      </c>
      <c r="G738" s="8">
        <v>1216.23</v>
      </c>
      <c r="H738" s="8">
        <v>1162.06</v>
      </c>
      <c r="I738" s="8">
        <v>1187.82</v>
      </c>
      <c r="J738" s="8">
        <v>1225.48</v>
      </c>
      <c r="K738" s="8">
        <v>1203.67</v>
      </c>
      <c r="L738" s="8">
        <v>1144.43</v>
      </c>
      <c r="M738" s="50"/>
      <c r="N738" s="50"/>
      <c r="O738" s="50"/>
      <c r="P738" s="50"/>
      <c r="Q738" s="48"/>
      <c r="R738" s="48"/>
      <c r="S738" s="48"/>
      <c r="T738" s="48"/>
      <c r="U738" s="48"/>
      <c r="V738" s="47"/>
      <c r="W738" s="46"/>
      <c r="X738" s="8"/>
    </row>
    <row r="739" spans="1:31" ht="24.75" customHeight="1" thickBot="1">
      <c r="A739" s="199"/>
      <c r="B739" s="61"/>
      <c r="C739" s="51" t="s">
        <v>154</v>
      </c>
      <c r="D739" s="24">
        <f t="shared" ref="D739:L739" si="241">IF(((D737="")*AND(D738="")),"",(D737-D738)*4)</f>
        <v>2988.96</v>
      </c>
      <c r="E739" s="24">
        <f t="shared" si="241"/>
        <v>2822.8</v>
      </c>
      <c r="F739" s="24">
        <f t="shared" si="241"/>
        <v>2718.8</v>
      </c>
      <c r="G739" s="24">
        <f t="shared" si="241"/>
        <v>2809.88</v>
      </c>
      <c r="H739" s="24">
        <f t="shared" si="241"/>
        <v>3048.6400000000003</v>
      </c>
      <c r="I739" s="24">
        <f t="shared" si="241"/>
        <v>2950.6000000000004</v>
      </c>
      <c r="J739" s="24">
        <f t="shared" si="241"/>
        <v>2774.3999999999996</v>
      </c>
      <c r="K739" s="24">
        <f t="shared" si="241"/>
        <v>2877.5199999999995</v>
      </c>
      <c r="L739" s="24">
        <f t="shared" si="241"/>
        <v>3126.4799999999996</v>
      </c>
      <c r="M739" s="24"/>
      <c r="N739" s="24"/>
      <c r="O739" s="24"/>
      <c r="P739" s="24" t="str">
        <f>IF(((P737="")*AND(P738="")),"",(P737-P738)*4)</f>
        <v/>
      </c>
      <c r="Q739" s="61"/>
      <c r="R739" s="61"/>
      <c r="S739" s="61"/>
      <c r="T739" s="61"/>
      <c r="U739" s="61"/>
      <c r="V739" s="60"/>
      <c r="W739" s="59"/>
      <c r="X739" s="8"/>
    </row>
    <row r="740" spans="1:31">
      <c r="A740" s="195">
        <v>43391</v>
      </c>
      <c r="B740" s="57" t="s">
        <v>157</v>
      </c>
      <c r="C740" s="51" t="s">
        <v>156</v>
      </c>
      <c r="D740" s="8">
        <v>5150.08</v>
      </c>
      <c r="E740" s="8">
        <v>5120.1499999999996</v>
      </c>
      <c r="F740" s="8">
        <v>5169.58</v>
      </c>
      <c r="G740" s="8">
        <v>5135.33</v>
      </c>
      <c r="H740" s="8">
        <v>5220.3</v>
      </c>
      <c r="I740" s="8">
        <v>5179.0200000000004</v>
      </c>
      <c r="J740" s="8">
        <v>5161.95</v>
      </c>
      <c r="K740" s="8">
        <v>5158.53</v>
      </c>
      <c r="L740" s="8">
        <v>5253.32</v>
      </c>
      <c r="M740" s="50"/>
      <c r="N740" s="50"/>
      <c r="O740" s="50"/>
      <c r="P740" s="50"/>
      <c r="Q740" s="57">
        <f>IF((L741=""),"",MAX(D742:L742))</f>
        <v>3368.619999999999</v>
      </c>
      <c r="R740" s="57">
        <f>IF(L741="","",MIN(D742:L742))</f>
        <v>3291.8600000000006</v>
      </c>
      <c r="S740" s="58">
        <f>IF((L742=""),"",AVERAGE(D742:L742))</f>
        <v>3336.3577777777773</v>
      </c>
      <c r="T740" s="57">
        <f>IF((L741=""),"",((Q740-R740)/(Q740+R740))*100)</f>
        <v>1.1524694916882627</v>
      </c>
      <c r="U740" s="56">
        <f>STDEV(D740:L740)</f>
        <v>41.528608947549223</v>
      </c>
      <c r="V740" s="55" t="str">
        <f>IF(L741="","",(IF(T740&lt;7,IF(S740&gt;2800,IF(S740&lt;3800,"Pass","Fail"),"Fail"),"Fail")))</f>
        <v>Pass</v>
      </c>
      <c r="W740" s="54">
        <v>1159</v>
      </c>
      <c r="X740" s="26" t="s">
        <v>163</v>
      </c>
      <c r="Z740" s="53">
        <v>2800</v>
      </c>
      <c r="AA740" s="53">
        <v>3800</v>
      </c>
      <c r="AB740" s="53">
        <v>3100</v>
      </c>
      <c r="AC740" s="53">
        <v>3760</v>
      </c>
      <c r="AD740" s="52">
        <v>6</v>
      </c>
      <c r="AE740" s="52">
        <v>6</v>
      </c>
    </row>
    <row r="741" spans="1:31" ht="16.5" customHeight="1">
      <c r="A741" s="199"/>
      <c r="B741" s="48"/>
      <c r="C741" s="51" t="s">
        <v>155</v>
      </c>
      <c r="D741" s="8">
        <v>3484.37</v>
      </c>
      <c r="E741" s="8">
        <v>3435.84</v>
      </c>
      <c r="F741" s="8">
        <v>3488.91</v>
      </c>
      <c r="G741" s="8">
        <v>3460.14</v>
      </c>
      <c r="H741" s="8">
        <v>3574.37</v>
      </c>
      <c r="I741" s="8">
        <v>3527.58</v>
      </c>
      <c r="J741" s="8">
        <v>3488.47</v>
      </c>
      <c r="K741" s="8">
        <v>3478.66</v>
      </c>
      <c r="L741" s="8">
        <v>3596.31</v>
      </c>
      <c r="M741" s="50"/>
      <c r="N741" s="50"/>
      <c r="O741" s="50"/>
      <c r="P741" s="50"/>
      <c r="Q741" s="48"/>
      <c r="R741" s="48"/>
      <c r="S741" s="49"/>
      <c r="T741" s="48"/>
      <c r="U741" s="48"/>
      <c r="V741" s="47"/>
      <c r="W741" s="46"/>
      <c r="X741" s="8"/>
    </row>
    <row r="742" spans="1:31" ht="24.75" customHeight="1" thickBot="1">
      <c r="A742" s="199"/>
      <c r="B742" s="42"/>
      <c r="C742" s="45" t="s">
        <v>154</v>
      </c>
      <c r="D742" s="44">
        <f t="shared" ref="D742:L742" si="242">IF(((D740="")*AND(D741="")),"",(D740-D741)*2)</f>
        <v>3331.42</v>
      </c>
      <c r="E742" s="44">
        <f t="shared" si="242"/>
        <v>3368.619999999999</v>
      </c>
      <c r="F742" s="44">
        <f t="shared" si="242"/>
        <v>3361.34</v>
      </c>
      <c r="G742" s="44">
        <f t="shared" si="242"/>
        <v>3350.38</v>
      </c>
      <c r="H742" s="44">
        <f t="shared" si="242"/>
        <v>3291.8600000000006</v>
      </c>
      <c r="I742" s="44">
        <f t="shared" si="242"/>
        <v>3302.880000000001</v>
      </c>
      <c r="J742" s="44">
        <f t="shared" si="242"/>
        <v>3346.96</v>
      </c>
      <c r="K742" s="44">
        <f t="shared" si="242"/>
        <v>3359.74</v>
      </c>
      <c r="L742" s="44">
        <f t="shared" si="242"/>
        <v>3314.0199999999995</v>
      </c>
      <c r="M742" s="44"/>
      <c r="N742" s="44"/>
      <c r="O742" s="44"/>
      <c r="P742" s="44"/>
      <c r="Q742" s="42"/>
      <c r="R742" s="42"/>
      <c r="S742" s="43"/>
      <c r="T742" s="42"/>
      <c r="U742" s="42"/>
      <c r="V742" s="41"/>
      <c r="W742" s="40"/>
      <c r="X742" s="8"/>
    </row>
    <row r="743" spans="1:31">
      <c r="A743" s="195">
        <v>43396</v>
      </c>
      <c r="B743" s="63" t="s">
        <v>158</v>
      </c>
      <c r="C743" s="56" t="s">
        <v>156</v>
      </c>
      <c r="D743" s="8">
        <v>1175.1300000000001</v>
      </c>
      <c r="E743" s="8">
        <v>1218.07</v>
      </c>
      <c r="F743" s="8">
        <v>1236.8</v>
      </c>
      <c r="G743" s="8">
        <v>1217.6099999999999</v>
      </c>
      <c r="H743" s="8">
        <v>1166.77</v>
      </c>
      <c r="I743" s="8">
        <v>1188.82</v>
      </c>
      <c r="J743" s="8">
        <v>1227.79</v>
      </c>
      <c r="K743" s="8">
        <v>1204.8599999999999</v>
      </c>
      <c r="L743" s="8">
        <v>1145.71</v>
      </c>
      <c r="M743" s="62"/>
      <c r="N743" s="62"/>
      <c r="O743" s="62"/>
      <c r="P743" s="62"/>
      <c r="Q743" s="57">
        <f>IF((L744=""),"",MAX(D745:L745))</f>
        <v>3140.44</v>
      </c>
      <c r="R743" s="57">
        <f>IF(L744="","",MIN(D745:L745))</f>
        <v>2731.2799999999997</v>
      </c>
      <c r="S743" s="58">
        <f>IF((L745=""),"",AVERAGE(D745:L745))</f>
        <v>2922.942222222222</v>
      </c>
      <c r="T743" s="57">
        <f>IF((L744=""),"",((Q743-R743)/(Q743+R743))*100)</f>
        <v>6.9683159278712257</v>
      </c>
      <c r="U743" s="56">
        <f>STDEV(D743:L743)</f>
        <v>30.708601174780032</v>
      </c>
      <c r="V743" s="55" t="str">
        <f>IF(L744="","",(IF(T743&lt;12,IF(S743&gt;2200,IF(S743&lt;3280,"Pass","Fail"),"Fail"),"Fail")))</f>
        <v>Pass</v>
      </c>
      <c r="W743" s="54">
        <v>1159</v>
      </c>
      <c r="X743" s="26" t="s">
        <v>162</v>
      </c>
      <c r="Z743" s="37">
        <v>2000</v>
      </c>
      <c r="AA743" s="37">
        <v>3000</v>
      </c>
      <c r="AB743" s="37">
        <v>2200</v>
      </c>
      <c r="AC743" s="37">
        <v>3280</v>
      </c>
      <c r="AD743" s="39">
        <v>12</v>
      </c>
      <c r="AE743" s="39">
        <v>12</v>
      </c>
    </row>
    <row r="744" spans="1:31" ht="16.5" customHeight="1">
      <c r="A744" s="199"/>
      <c r="B744" s="48"/>
      <c r="C744" s="51" t="s">
        <v>155</v>
      </c>
      <c r="D744" s="8">
        <v>417.2</v>
      </c>
      <c r="E744" s="8">
        <v>510.62</v>
      </c>
      <c r="F744" s="8">
        <v>553.98</v>
      </c>
      <c r="G744" s="8">
        <v>509.91</v>
      </c>
      <c r="H744" s="8">
        <v>396.6</v>
      </c>
      <c r="I744" s="8">
        <v>438.23</v>
      </c>
      <c r="J744" s="8">
        <v>529.14</v>
      </c>
      <c r="K744" s="8">
        <v>488.66</v>
      </c>
      <c r="L744" s="8">
        <v>360.6</v>
      </c>
      <c r="M744" s="50"/>
      <c r="N744" s="50"/>
      <c r="O744" s="50"/>
      <c r="P744" s="50"/>
      <c r="Q744" s="48"/>
      <c r="R744" s="48"/>
      <c r="S744" s="48"/>
      <c r="T744" s="48"/>
      <c r="U744" s="48"/>
      <c r="V744" s="47"/>
      <c r="W744" s="46"/>
      <c r="X744" s="8"/>
    </row>
    <row r="745" spans="1:31" ht="24.75" customHeight="1" thickBot="1">
      <c r="A745" s="199"/>
      <c r="B745" s="61"/>
      <c r="C745" s="51" t="s">
        <v>154</v>
      </c>
      <c r="D745" s="24">
        <f t="shared" ref="D745:L745" si="243">IF(((D743="")*AND(D744="")),"",(D743-D744)*4)</f>
        <v>3031.7200000000003</v>
      </c>
      <c r="E745" s="24">
        <f t="shared" si="243"/>
        <v>2829.7999999999997</v>
      </c>
      <c r="F745" s="24">
        <f t="shared" si="243"/>
        <v>2731.2799999999997</v>
      </c>
      <c r="G745" s="24">
        <f t="shared" si="243"/>
        <v>2830.7999999999993</v>
      </c>
      <c r="H745" s="24">
        <f t="shared" si="243"/>
        <v>3080.68</v>
      </c>
      <c r="I745" s="24">
        <f t="shared" si="243"/>
        <v>3002.3599999999997</v>
      </c>
      <c r="J745" s="24">
        <f t="shared" si="243"/>
        <v>2794.6</v>
      </c>
      <c r="K745" s="24">
        <f t="shared" si="243"/>
        <v>2864.7999999999993</v>
      </c>
      <c r="L745" s="24">
        <f t="shared" si="243"/>
        <v>3140.44</v>
      </c>
      <c r="M745" s="24"/>
      <c r="N745" s="24"/>
      <c r="O745" s="24"/>
      <c r="P745" s="24" t="str">
        <f>IF(((P743="")*AND(P744="")),"",(P743-P744)*4)</f>
        <v/>
      </c>
      <c r="Q745" s="61"/>
      <c r="R745" s="61"/>
      <c r="S745" s="61"/>
      <c r="T745" s="61"/>
      <c r="U745" s="61"/>
      <c r="V745" s="60"/>
      <c r="W745" s="59"/>
      <c r="X745" s="8"/>
    </row>
    <row r="746" spans="1:31">
      <c r="A746" s="195">
        <v>43396</v>
      </c>
      <c r="B746" s="57" t="s">
        <v>157</v>
      </c>
      <c r="C746" s="51" t="s">
        <v>156</v>
      </c>
      <c r="D746" s="8">
        <v>3494.36</v>
      </c>
      <c r="E746" s="8">
        <v>3445.22</v>
      </c>
      <c r="F746" s="8">
        <v>3498.89</v>
      </c>
      <c r="G746" s="8">
        <v>3470.23</v>
      </c>
      <c r="H746" s="8">
        <v>3583.47</v>
      </c>
      <c r="I746" s="8">
        <v>3537.47</v>
      </c>
      <c r="J746" s="8">
        <v>3498.24</v>
      </c>
      <c r="K746" s="8">
        <v>3488.7</v>
      </c>
      <c r="L746" s="8">
        <v>3604.77</v>
      </c>
      <c r="M746" s="50"/>
      <c r="N746" s="50"/>
      <c r="O746" s="50"/>
      <c r="P746" s="50"/>
      <c r="Q746" s="57">
        <f>IF((L747=""),"",MAX(D748:L748))</f>
        <v>3404.6599999999994</v>
      </c>
      <c r="R746" s="57">
        <f>IF(L747="","",MIN(D748:L748))</f>
        <v>3318.2</v>
      </c>
      <c r="S746" s="58">
        <f>IF((L748=""),"",AVERAGE(D748:L748))</f>
        <v>3369.3444444444444</v>
      </c>
      <c r="T746" s="57">
        <f>IF((L747=""),"",((Q746-R746)/(Q746+R746))*100)</f>
        <v>1.28605980192953</v>
      </c>
      <c r="U746" s="56">
        <f>STDEV(D746:L746)</f>
        <v>52.156882096249298</v>
      </c>
      <c r="V746" s="55" t="str">
        <f>IF(L747="","",(IF(T746&lt;7,IF(S746&gt;2800,IF(S746&lt;3800,"Pass","Fail"),"Fail"),"Fail")))</f>
        <v>Pass</v>
      </c>
      <c r="W746" s="54">
        <v>1159</v>
      </c>
      <c r="X746" s="26" t="s">
        <v>162</v>
      </c>
      <c r="Z746" s="53">
        <v>2800</v>
      </c>
      <c r="AA746" s="53">
        <v>3800</v>
      </c>
      <c r="AB746" s="53">
        <v>3100</v>
      </c>
      <c r="AC746" s="53">
        <v>3760</v>
      </c>
      <c r="AD746" s="52">
        <v>6</v>
      </c>
      <c r="AE746" s="52">
        <v>6</v>
      </c>
    </row>
    <row r="747" spans="1:31" ht="16.5" customHeight="1">
      <c r="A747" s="199"/>
      <c r="B747" s="48"/>
      <c r="C747" s="51" t="s">
        <v>155</v>
      </c>
      <c r="D747" s="8">
        <v>1817.93</v>
      </c>
      <c r="E747" s="8">
        <v>1742.89</v>
      </c>
      <c r="F747" s="8">
        <v>1798.49</v>
      </c>
      <c r="G747" s="8">
        <v>1773.87</v>
      </c>
      <c r="H747" s="8">
        <v>1924.37</v>
      </c>
      <c r="I747" s="8">
        <v>1872.17</v>
      </c>
      <c r="J747" s="8">
        <v>1806.27</v>
      </c>
      <c r="K747" s="8">
        <v>1787.13</v>
      </c>
      <c r="L747" s="8">
        <v>1936.18</v>
      </c>
      <c r="M747" s="50"/>
      <c r="N747" s="50"/>
      <c r="O747" s="50"/>
      <c r="P747" s="50"/>
      <c r="Q747" s="48"/>
      <c r="R747" s="48"/>
      <c r="S747" s="49"/>
      <c r="T747" s="48"/>
      <c r="U747" s="48"/>
      <c r="V747" s="47"/>
      <c r="W747" s="46"/>
      <c r="X747" s="8"/>
    </row>
    <row r="748" spans="1:31" ht="24.75" customHeight="1" thickBot="1">
      <c r="A748" s="199"/>
      <c r="B748" s="42"/>
      <c r="C748" s="45" t="s">
        <v>154</v>
      </c>
      <c r="D748" s="44">
        <f t="shared" ref="D748:L748" si="244">IF(((D746="")*AND(D747="")),"",(D746-D747)*2)</f>
        <v>3352.86</v>
      </c>
      <c r="E748" s="44">
        <f t="shared" si="244"/>
        <v>3404.6599999999994</v>
      </c>
      <c r="F748" s="44">
        <f t="shared" si="244"/>
        <v>3400.7999999999997</v>
      </c>
      <c r="G748" s="44">
        <f t="shared" si="244"/>
        <v>3392.7200000000003</v>
      </c>
      <c r="H748" s="44">
        <f t="shared" si="244"/>
        <v>3318.2</v>
      </c>
      <c r="I748" s="44">
        <f t="shared" si="244"/>
        <v>3330.5999999999995</v>
      </c>
      <c r="J748" s="44">
        <f t="shared" si="244"/>
        <v>3383.9399999999996</v>
      </c>
      <c r="K748" s="44">
        <f t="shared" si="244"/>
        <v>3403.1399999999994</v>
      </c>
      <c r="L748" s="44">
        <f t="shared" si="244"/>
        <v>3337.18</v>
      </c>
      <c r="M748" s="44"/>
      <c r="N748" s="44"/>
      <c r="O748" s="44"/>
      <c r="P748" s="44"/>
      <c r="Q748" s="42"/>
      <c r="R748" s="42"/>
      <c r="S748" s="43"/>
      <c r="T748" s="42"/>
      <c r="U748" s="42"/>
      <c r="V748" s="41"/>
      <c r="W748" s="40"/>
      <c r="X748" s="8"/>
    </row>
    <row r="749" spans="1:31">
      <c r="A749" s="195">
        <v>43399</v>
      </c>
      <c r="B749" s="63" t="s">
        <v>158</v>
      </c>
      <c r="C749" s="56" t="s">
        <v>156</v>
      </c>
      <c r="D749" s="8">
        <v>1921.47</v>
      </c>
      <c r="E749" s="8">
        <v>1914.3</v>
      </c>
      <c r="F749" s="8">
        <v>1916.99</v>
      </c>
      <c r="G749" s="8">
        <v>1918.13</v>
      </c>
      <c r="H749" s="8">
        <v>1921.64</v>
      </c>
      <c r="I749" s="8">
        <v>1919.17</v>
      </c>
      <c r="J749" s="8">
        <v>1917</v>
      </c>
      <c r="K749" s="8">
        <v>1916.23</v>
      </c>
      <c r="L749" s="8">
        <v>1920.63</v>
      </c>
      <c r="M749" s="62"/>
      <c r="N749" s="62"/>
      <c r="O749" s="62"/>
      <c r="P749" s="62"/>
      <c r="Q749" s="57">
        <f>IF((L750=""),"",MAX(D751:L751))</f>
        <v>3148.92</v>
      </c>
      <c r="R749" s="57">
        <f>IF(L750="","",MIN(D751:L751))</f>
        <v>2764.5200000000004</v>
      </c>
      <c r="S749" s="58">
        <f>IF((L751=""),"",AVERAGE(D751:L751))</f>
        <v>2934.9955555555553</v>
      </c>
      <c r="T749" s="57">
        <f>IF((L750=""),"",((Q749-R749)/(Q749+R749))*100)</f>
        <v>6.5004464406504443</v>
      </c>
      <c r="U749" s="56">
        <f>STDEV(D749:L749)</f>
        <v>2.5255697927880103</v>
      </c>
      <c r="V749" s="55" t="str">
        <f>IF(L750="","",(IF(T749&lt;12,IF(S749&gt;2200,IF(S749&lt;3280,"Pass","Fail"),"Fail"),"Fail")))</f>
        <v>Pass</v>
      </c>
      <c r="W749" s="54">
        <v>1159</v>
      </c>
      <c r="X749" s="26" t="s">
        <v>161</v>
      </c>
      <c r="Z749" s="37">
        <v>2000</v>
      </c>
      <c r="AA749" s="37">
        <v>3000</v>
      </c>
      <c r="AB749" s="37">
        <v>2200</v>
      </c>
      <c r="AC749" s="37">
        <v>3280</v>
      </c>
      <c r="AD749" s="39">
        <v>12</v>
      </c>
      <c r="AE749" s="39">
        <v>12</v>
      </c>
    </row>
    <row r="750" spans="1:31" ht="16.5" customHeight="1">
      <c r="A750" s="199"/>
      <c r="B750" s="48"/>
      <c r="C750" s="51" t="s">
        <v>155</v>
      </c>
      <c r="D750" s="8">
        <v>1163.81</v>
      </c>
      <c r="E750" s="8">
        <v>1202.51</v>
      </c>
      <c r="F750" s="8">
        <v>1225.8599999999999</v>
      </c>
      <c r="G750" s="8">
        <v>1204.3399999999999</v>
      </c>
      <c r="H750" s="8">
        <v>1154.72</v>
      </c>
      <c r="I750" s="8">
        <v>1174.5899999999999</v>
      </c>
      <c r="J750" s="8">
        <v>1212.1199999999999</v>
      </c>
      <c r="K750" s="8">
        <v>1190.47</v>
      </c>
      <c r="L750" s="8">
        <v>1133.4000000000001</v>
      </c>
      <c r="M750" s="50"/>
      <c r="N750" s="50"/>
      <c r="O750" s="50"/>
      <c r="P750" s="50"/>
      <c r="Q750" s="48"/>
      <c r="R750" s="48"/>
      <c r="S750" s="48"/>
      <c r="T750" s="48"/>
      <c r="U750" s="48"/>
      <c r="V750" s="47"/>
      <c r="W750" s="46"/>
      <c r="X750" s="8"/>
    </row>
    <row r="751" spans="1:31" ht="24.75" customHeight="1" thickBot="1">
      <c r="A751" s="199"/>
      <c r="B751" s="61"/>
      <c r="C751" s="51" t="s">
        <v>154</v>
      </c>
      <c r="D751" s="24">
        <f t="shared" ref="D751:L751" si="245">IF(((D749="")*AND(D750="")),"",(D749-D750)*4)</f>
        <v>3030.6400000000003</v>
      </c>
      <c r="E751" s="24">
        <f t="shared" si="245"/>
        <v>2847.16</v>
      </c>
      <c r="F751" s="24">
        <f t="shared" si="245"/>
        <v>2764.5200000000004</v>
      </c>
      <c r="G751" s="24">
        <f t="shared" si="245"/>
        <v>2855.1600000000008</v>
      </c>
      <c r="H751" s="24">
        <f t="shared" si="245"/>
        <v>3067.6800000000003</v>
      </c>
      <c r="I751" s="24">
        <f t="shared" si="245"/>
        <v>2978.3200000000006</v>
      </c>
      <c r="J751" s="24">
        <f t="shared" si="245"/>
        <v>2819.5200000000004</v>
      </c>
      <c r="K751" s="24">
        <f t="shared" si="245"/>
        <v>2903.04</v>
      </c>
      <c r="L751" s="24">
        <f t="shared" si="245"/>
        <v>3148.92</v>
      </c>
      <c r="M751" s="24"/>
      <c r="N751" s="24"/>
      <c r="O751" s="24"/>
      <c r="P751" s="24" t="str">
        <f>IF(((P749="")*AND(P750="")),"",(P749-P750)*4)</f>
        <v/>
      </c>
      <c r="Q751" s="61"/>
      <c r="R751" s="61"/>
      <c r="S751" s="61"/>
      <c r="T751" s="61"/>
      <c r="U751" s="61"/>
      <c r="V751" s="60"/>
      <c r="W751" s="59"/>
      <c r="X751" s="8"/>
    </row>
    <row r="752" spans="1:31">
      <c r="A752" s="195">
        <v>43399</v>
      </c>
      <c r="B752" s="57" t="s">
        <v>157</v>
      </c>
      <c r="C752" s="51" t="s">
        <v>156</v>
      </c>
      <c r="D752" s="8">
        <v>6848.29</v>
      </c>
      <c r="E752" s="8">
        <v>6836</v>
      </c>
      <c r="F752" s="8">
        <v>6879.14</v>
      </c>
      <c r="G752" s="8">
        <v>6839.28</v>
      </c>
      <c r="H752" s="8">
        <v>6888.3</v>
      </c>
      <c r="I752" s="8">
        <v>6866.28</v>
      </c>
      <c r="J752" s="8">
        <v>6867.01</v>
      </c>
      <c r="K752" s="8">
        <v>6868.83</v>
      </c>
      <c r="L752" s="8">
        <v>6949.41</v>
      </c>
      <c r="M752" s="50"/>
      <c r="N752" s="50"/>
      <c r="O752" s="50"/>
      <c r="P752" s="50"/>
      <c r="Q752" s="57">
        <f>IF((L753=""),"",MAX(D754:L754))</f>
        <v>3497.6800000000003</v>
      </c>
      <c r="R752" s="57">
        <f>IF(L753="","",MIN(D754:L754))</f>
        <v>3477.3199999999997</v>
      </c>
      <c r="S752" s="58">
        <f>IF((L754=""),"",AVERAGE(D754:L754))</f>
        <v>3490.7088888888893</v>
      </c>
      <c r="T752" s="57">
        <f>IF((L753=""),"",((Q752-R752)/(Q752+R752))*100)</f>
        <v>0.29189964157706927</v>
      </c>
      <c r="U752" s="56">
        <f>STDEV(D752:L752)</f>
        <v>34.099294713899482</v>
      </c>
      <c r="V752" s="55" t="str">
        <f>IF(L753="","",(IF(T752&lt;7,IF(S752&gt;2800,IF(S752&lt;3800,"Pass","Fail"),"Fail"),"Fail")))</f>
        <v>Pass</v>
      </c>
      <c r="W752" s="54">
        <v>1159</v>
      </c>
      <c r="X752" s="26" t="s">
        <v>161</v>
      </c>
      <c r="Z752" s="53">
        <v>2800</v>
      </c>
      <c r="AA752" s="53">
        <v>3800</v>
      </c>
      <c r="AB752" s="53">
        <v>3100</v>
      </c>
      <c r="AC752" s="53">
        <v>3760</v>
      </c>
      <c r="AD752" s="52">
        <v>6</v>
      </c>
      <c r="AE752" s="52">
        <v>6</v>
      </c>
    </row>
    <row r="753" spans="1:31" ht="16.5" customHeight="1">
      <c r="A753" s="199"/>
      <c r="B753" s="48"/>
      <c r="C753" s="51" t="s">
        <v>155</v>
      </c>
      <c r="D753" s="8">
        <v>5106.1000000000004</v>
      </c>
      <c r="E753" s="8">
        <v>5088.12</v>
      </c>
      <c r="F753" s="8">
        <v>5133.5</v>
      </c>
      <c r="G753" s="8">
        <v>5094.21</v>
      </c>
      <c r="H753" s="8">
        <v>5149.6400000000003</v>
      </c>
      <c r="I753" s="8">
        <v>5117.4399999999996</v>
      </c>
      <c r="J753" s="8">
        <v>5120.1099999999997</v>
      </c>
      <c r="K753" s="8">
        <v>5122.1099999999997</v>
      </c>
      <c r="L753" s="8">
        <v>5203.12</v>
      </c>
      <c r="M753" s="50"/>
      <c r="N753" s="50"/>
      <c r="O753" s="50"/>
      <c r="P753" s="50"/>
      <c r="Q753" s="48"/>
      <c r="R753" s="48"/>
      <c r="S753" s="49"/>
      <c r="T753" s="48"/>
      <c r="U753" s="48"/>
      <c r="V753" s="47"/>
      <c r="W753" s="46"/>
      <c r="X753" s="8"/>
    </row>
    <row r="754" spans="1:31" ht="24.75" customHeight="1" thickBot="1">
      <c r="A754" s="199"/>
      <c r="B754" s="42"/>
      <c r="C754" s="45" t="s">
        <v>154</v>
      </c>
      <c r="D754" s="44">
        <f t="shared" ref="D754:L754" si="246">IF(((D752="")*AND(D753="")),"",(D752-D753)*2)</f>
        <v>3484.3799999999992</v>
      </c>
      <c r="E754" s="44">
        <f t="shared" si="246"/>
        <v>3495.76</v>
      </c>
      <c r="F754" s="44">
        <f t="shared" si="246"/>
        <v>3491.2800000000007</v>
      </c>
      <c r="G754" s="44">
        <f t="shared" si="246"/>
        <v>3490.1399999999994</v>
      </c>
      <c r="H754" s="44">
        <f t="shared" si="246"/>
        <v>3477.3199999999997</v>
      </c>
      <c r="I754" s="44">
        <f t="shared" si="246"/>
        <v>3497.6800000000003</v>
      </c>
      <c r="J754" s="44">
        <f t="shared" si="246"/>
        <v>3493.8000000000011</v>
      </c>
      <c r="K754" s="44">
        <f t="shared" si="246"/>
        <v>3493.4400000000005</v>
      </c>
      <c r="L754" s="44">
        <f t="shared" si="246"/>
        <v>3492.58</v>
      </c>
      <c r="M754" s="44"/>
      <c r="N754" s="44"/>
      <c r="O754" s="44"/>
      <c r="P754" s="44"/>
      <c r="Q754" s="42"/>
      <c r="R754" s="42"/>
      <c r="S754" s="43"/>
      <c r="T754" s="42"/>
      <c r="U754" s="42"/>
      <c r="V754" s="41"/>
      <c r="W754" s="40"/>
      <c r="X754" s="8"/>
    </row>
    <row r="755" spans="1:31">
      <c r="A755" s="195">
        <v>43404</v>
      </c>
      <c r="B755" s="63" t="s">
        <v>158</v>
      </c>
      <c r="C755" s="56" t="s">
        <v>156</v>
      </c>
      <c r="D755" s="8">
        <v>1165.94</v>
      </c>
      <c r="E755" s="8">
        <v>1203.98</v>
      </c>
      <c r="F755" s="8">
        <v>1229.31</v>
      </c>
      <c r="G755" s="8">
        <v>1208.3900000000001</v>
      </c>
      <c r="H755" s="8">
        <v>1159.49</v>
      </c>
      <c r="I755" s="8">
        <v>1176.48</v>
      </c>
      <c r="J755" s="8">
        <v>1216.3499999999999</v>
      </c>
      <c r="K755" s="8">
        <v>1193.6500000000001</v>
      </c>
      <c r="L755" s="8">
        <v>1135.48</v>
      </c>
      <c r="M755" s="62"/>
      <c r="N755" s="62"/>
      <c r="O755" s="62"/>
      <c r="P755" s="62"/>
      <c r="Q755" s="57">
        <f>IF((L756=""),"",MAX(D757:L757))</f>
        <v>3127.08</v>
      </c>
      <c r="R755" s="57">
        <f>IF(L756="","",MIN(D757:L757))</f>
        <v>2721.64</v>
      </c>
      <c r="S755" s="58">
        <f>IF((L757=""),"",AVERAGE(D757:L757))</f>
        <v>2891.4888888888891</v>
      </c>
      <c r="T755" s="57">
        <f>IF((L756=""),"",((Q755-R755)/(Q755+R755))*100)</f>
        <v>6.9321150610731932</v>
      </c>
      <c r="U755" s="56">
        <f>STDEV(D755:L755)</f>
        <v>30.419656930641466</v>
      </c>
      <c r="V755" s="55" t="str">
        <f>IF(L756="","",(IF(T755&lt;12,IF(S755&gt;2200,IF(S755&lt;3280,"Pass","Fail"),"Fail"),"Fail")))</f>
        <v>Pass</v>
      </c>
      <c r="W755" s="54">
        <v>64</v>
      </c>
      <c r="Z755" s="37">
        <v>2000</v>
      </c>
      <c r="AA755" s="37">
        <v>3000</v>
      </c>
      <c r="AB755" s="37">
        <v>2200</v>
      </c>
      <c r="AC755" s="37">
        <v>3280</v>
      </c>
      <c r="AD755" s="39">
        <v>12</v>
      </c>
      <c r="AE755" s="39">
        <v>12</v>
      </c>
    </row>
    <row r="756" spans="1:31" ht="16.5" customHeight="1">
      <c r="A756" s="199"/>
      <c r="B756" s="48"/>
      <c r="C756" s="51" t="s">
        <v>155</v>
      </c>
      <c r="D756" s="8">
        <v>416.77</v>
      </c>
      <c r="E756" s="8">
        <v>502.24</v>
      </c>
      <c r="F756" s="8">
        <v>548.9</v>
      </c>
      <c r="G756" s="8">
        <v>507.82</v>
      </c>
      <c r="H756" s="8">
        <v>404.05</v>
      </c>
      <c r="I756" s="8">
        <v>444.56</v>
      </c>
      <c r="J756" s="8">
        <v>525.87</v>
      </c>
      <c r="K756" s="8">
        <v>479.3</v>
      </c>
      <c r="L756" s="8">
        <v>353.71</v>
      </c>
      <c r="M756" s="50"/>
      <c r="N756" s="50"/>
      <c r="O756" s="50"/>
      <c r="P756" s="50"/>
      <c r="Q756" s="48"/>
      <c r="R756" s="48"/>
      <c r="S756" s="48"/>
      <c r="T756" s="48"/>
      <c r="U756" s="48"/>
      <c r="V756" s="47"/>
      <c r="W756" s="46"/>
      <c r="X756" s="8"/>
    </row>
    <row r="757" spans="1:31" ht="24.75" customHeight="1" thickBot="1">
      <c r="A757" s="199"/>
      <c r="B757" s="61"/>
      <c r="C757" s="51" t="s">
        <v>154</v>
      </c>
      <c r="D757" s="24">
        <f t="shared" ref="D757:L757" si="247">IF(((D755="")*AND(D756="")),"",(D755-D756)*4)</f>
        <v>2996.6800000000003</v>
      </c>
      <c r="E757" s="24">
        <f t="shared" si="247"/>
        <v>2806.96</v>
      </c>
      <c r="F757" s="24">
        <f t="shared" si="247"/>
        <v>2721.64</v>
      </c>
      <c r="G757" s="24">
        <f t="shared" si="247"/>
        <v>2802.2800000000007</v>
      </c>
      <c r="H757" s="24">
        <f t="shared" si="247"/>
        <v>3021.76</v>
      </c>
      <c r="I757" s="24">
        <f t="shared" si="247"/>
        <v>2927.6800000000003</v>
      </c>
      <c r="J757" s="24">
        <f t="shared" si="247"/>
        <v>2761.9199999999996</v>
      </c>
      <c r="K757" s="24">
        <f t="shared" si="247"/>
        <v>2857.4000000000005</v>
      </c>
      <c r="L757" s="24">
        <f t="shared" si="247"/>
        <v>3127.08</v>
      </c>
      <c r="M757" s="24"/>
      <c r="N757" s="24"/>
      <c r="O757" s="24"/>
      <c r="P757" s="24" t="str">
        <f>IF(((P755="")*AND(P756="")),"",(P755-P756)*4)</f>
        <v/>
      </c>
      <c r="Q757" s="61"/>
      <c r="R757" s="61"/>
      <c r="S757" s="61"/>
      <c r="T757" s="61"/>
      <c r="U757" s="61"/>
      <c r="V757" s="60"/>
      <c r="W757" s="59"/>
      <c r="X757" s="8"/>
    </row>
    <row r="758" spans="1:31">
      <c r="A758" s="195">
        <v>43404</v>
      </c>
      <c r="B758" s="57" t="s">
        <v>157</v>
      </c>
      <c r="C758" s="51" t="s">
        <v>156</v>
      </c>
      <c r="D758" s="8">
        <v>5113.37</v>
      </c>
      <c r="E758" s="8">
        <v>5094.83</v>
      </c>
      <c r="F758" s="8">
        <v>5140.24</v>
      </c>
      <c r="G758" s="8">
        <v>5100.93</v>
      </c>
      <c r="H758" s="8">
        <v>5156.88</v>
      </c>
      <c r="I758" s="8">
        <v>5124.74</v>
      </c>
      <c r="J758" s="8">
        <v>5126.9399999999996</v>
      </c>
      <c r="K758" s="8">
        <v>5128.71</v>
      </c>
      <c r="L758" s="8">
        <v>5210.0200000000004</v>
      </c>
      <c r="M758" s="50"/>
      <c r="N758" s="50"/>
      <c r="O758" s="50"/>
      <c r="P758" s="50"/>
      <c r="Q758" s="57">
        <f>IF((L759=""),"",MAX(D760:L760))</f>
        <v>3491.3199999999997</v>
      </c>
      <c r="R758" s="57">
        <f>IF(L759="","",MIN(D760:L760))</f>
        <v>3449.6000000000004</v>
      </c>
      <c r="S758" s="58">
        <f>IF((L760=""),"",AVERAGE(D760:L760))</f>
        <v>3475.1044444444437</v>
      </c>
      <c r="T758" s="57">
        <f>IF((L759=""),"",((Q758-R758)/(Q758+R758))*100)</f>
        <v>0.60107305659767507</v>
      </c>
      <c r="U758" s="56">
        <f>STDEV(D758:L758)</f>
        <v>34.548635203732772</v>
      </c>
      <c r="V758" s="55" t="str">
        <f>IF(L759="","",(IF(T758&lt;7,IF(S758&gt;2800,IF(S758&lt;3800,"Pass","Fail"),"Fail"),"Fail")))</f>
        <v>Pass</v>
      </c>
      <c r="W758" s="54">
        <v>64</v>
      </c>
      <c r="Z758" s="53">
        <v>2800</v>
      </c>
      <c r="AA758" s="53">
        <v>3800</v>
      </c>
      <c r="AB758" s="53">
        <v>3100</v>
      </c>
      <c r="AC758" s="53">
        <v>3760</v>
      </c>
      <c r="AD758" s="52">
        <v>6</v>
      </c>
      <c r="AE758" s="52">
        <v>6</v>
      </c>
    </row>
    <row r="759" spans="1:31" ht="16.5" customHeight="1">
      <c r="A759" s="199"/>
      <c r="B759" s="48"/>
      <c r="C759" s="51" t="s">
        <v>155</v>
      </c>
      <c r="D759" s="8">
        <v>3378.26</v>
      </c>
      <c r="E759" s="8">
        <v>3349.17</v>
      </c>
      <c r="F759" s="8">
        <v>3398.72</v>
      </c>
      <c r="G759" s="8">
        <v>3360.19</v>
      </c>
      <c r="H759" s="8">
        <v>3432.08</v>
      </c>
      <c r="I759" s="8">
        <v>3388.53</v>
      </c>
      <c r="J759" s="8">
        <v>3386.19</v>
      </c>
      <c r="K759" s="8">
        <v>3387.35</v>
      </c>
      <c r="L759" s="8">
        <v>3478.2</v>
      </c>
      <c r="M759" s="50"/>
      <c r="N759" s="50"/>
      <c r="O759" s="50"/>
      <c r="P759" s="50"/>
      <c r="Q759" s="48"/>
      <c r="R759" s="48"/>
      <c r="S759" s="49"/>
      <c r="T759" s="48"/>
      <c r="U759" s="48"/>
      <c r="V759" s="47"/>
      <c r="W759" s="46"/>
      <c r="X759" s="8"/>
    </row>
    <row r="760" spans="1:31" ht="24.75" customHeight="1" thickBot="1">
      <c r="A760" s="199"/>
      <c r="B760" s="42"/>
      <c r="C760" s="45" t="s">
        <v>154</v>
      </c>
      <c r="D760" s="44">
        <f t="shared" ref="D760:L760" si="248">IF(((D758="")*AND(D759="")),"",(D758-D759)*2)</f>
        <v>3470.2199999999993</v>
      </c>
      <c r="E760" s="44">
        <f t="shared" si="248"/>
        <v>3491.3199999999997</v>
      </c>
      <c r="F760" s="44">
        <f t="shared" si="248"/>
        <v>3483.04</v>
      </c>
      <c r="G760" s="44">
        <f t="shared" si="248"/>
        <v>3481.4800000000005</v>
      </c>
      <c r="H760" s="44">
        <f t="shared" si="248"/>
        <v>3449.6000000000004</v>
      </c>
      <c r="I760" s="44">
        <f t="shared" si="248"/>
        <v>3472.4199999999992</v>
      </c>
      <c r="J760" s="44">
        <f t="shared" si="248"/>
        <v>3481.4999999999991</v>
      </c>
      <c r="K760" s="44">
        <f t="shared" si="248"/>
        <v>3482.7200000000003</v>
      </c>
      <c r="L760" s="44">
        <f t="shared" si="248"/>
        <v>3463.6400000000012</v>
      </c>
      <c r="M760" s="44"/>
      <c r="N760" s="44"/>
      <c r="O760" s="44"/>
      <c r="P760" s="44"/>
      <c r="Q760" s="42"/>
      <c r="R760" s="42"/>
      <c r="S760" s="43"/>
      <c r="T760" s="42"/>
      <c r="U760" s="42"/>
      <c r="V760" s="41"/>
      <c r="W760" s="40"/>
      <c r="X760" s="8"/>
    </row>
    <row r="761" spans="1:31">
      <c r="A761" s="195">
        <v>43420</v>
      </c>
      <c r="B761" s="63" t="s">
        <v>158</v>
      </c>
      <c r="C761" s="56" t="s">
        <v>156</v>
      </c>
      <c r="D761" s="8">
        <v>1907.42</v>
      </c>
      <c r="E761" s="8">
        <v>1902.63</v>
      </c>
      <c r="F761" s="8">
        <v>1902.63</v>
      </c>
      <c r="G761" s="8">
        <v>1902.36</v>
      </c>
      <c r="H761" s="8">
        <v>1906.95</v>
      </c>
      <c r="I761" s="8">
        <v>1907.94</v>
      </c>
      <c r="J761" s="8">
        <v>1902.66</v>
      </c>
      <c r="K761" s="8">
        <v>1904.05</v>
      </c>
      <c r="L761" s="8">
        <v>1906.98</v>
      </c>
      <c r="M761" s="62"/>
      <c r="N761" s="62"/>
      <c r="O761" s="62"/>
      <c r="P761" s="62"/>
      <c r="Q761" s="57">
        <f>IF((L762=""),"",MAX(D763:L763))</f>
        <v>3032.12</v>
      </c>
      <c r="R761" s="57">
        <f>IF(L762="","",MIN(D763:L763))</f>
        <v>2697.4000000000005</v>
      </c>
      <c r="S761" s="58">
        <f>IF((L763=""),"",AVERAGE(D763:L763))</f>
        <v>2821.8266666666673</v>
      </c>
      <c r="T761" s="57">
        <f>IF((L762=""),"",((Q761-R761)/(Q761+R761))*100)</f>
        <v>5.842025160920973</v>
      </c>
      <c r="U761" s="56">
        <f>STDEV(D761:L761)</f>
        <v>2.4133172192614465</v>
      </c>
      <c r="V761" s="55" t="str">
        <f>IF(L762="","",(IF(T761&lt;12,IF(S761&gt;2200,IF(S761&lt;3280,"Pass","Fail"),"Fail"),"Fail")))</f>
        <v>Pass</v>
      </c>
      <c r="W761" s="54">
        <v>74</v>
      </c>
      <c r="Z761" s="37">
        <v>2000</v>
      </c>
      <c r="AA761" s="37">
        <v>3000</v>
      </c>
      <c r="AB761" s="37">
        <v>2200</v>
      </c>
      <c r="AC761" s="37">
        <v>3280</v>
      </c>
      <c r="AD761" s="39">
        <v>12</v>
      </c>
      <c r="AE761" s="39">
        <v>12</v>
      </c>
    </row>
    <row r="762" spans="1:31" ht="16.5" customHeight="1">
      <c r="A762" s="199"/>
      <c r="B762" s="48"/>
      <c r="C762" s="51" t="s">
        <v>155</v>
      </c>
      <c r="D762" s="8">
        <v>1184.42</v>
      </c>
      <c r="E762" s="8">
        <v>1210.57</v>
      </c>
      <c r="F762" s="8">
        <v>1228.28</v>
      </c>
      <c r="G762" s="8">
        <v>1214.5</v>
      </c>
      <c r="H762" s="8">
        <v>1181.23</v>
      </c>
      <c r="I762" s="8">
        <v>1204.97</v>
      </c>
      <c r="J762" s="8">
        <v>1223.8499999999999</v>
      </c>
      <c r="K762" s="8">
        <v>1197.74</v>
      </c>
      <c r="L762" s="8">
        <v>1148.95</v>
      </c>
      <c r="M762" s="50"/>
      <c r="N762" s="50"/>
      <c r="O762" s="50"/>
      <c r="P762" s="50"/>
      <c r="Q762" s="48"/>
      <c r="R762" s="48"/>
      <c r="S762" s="48"/>
      <c r="T762" s="48"/>
      <c r="U762" s="48"/>
      <c r="V762" s="47"/>
      <c r="W762" s="46"/>
      <c r="X762" s="8"/>
    </row>
    <row r="763" spans="1:31" ht="24.75" customHeight="1" thickBot="1">
      <c r="A763" s="199"/>
      <c r="B763" s="61"/>
      <c r="C763" s="51" t="s">
        <v>154</v>
      </c>
      <c r="D763" s="24">
        <f t="shared" ref="D763:L763" si="249">IF(((D761="")*AND(D762="")),"",(D761-D762)*4)</f>
        <v>2892</v>
      </c>
      <c r="E763" s="24">
        <f t="shared" si="249"/>
        <v>2768.2400000000007</v>
      </c>
      <c r="F763" s="24">
        <f t="shared" si="249"/>
        <v>2697.4000000000005</v>
      </c>
      <c r="G763" s="24">
        <f t="shared" si="249"/>
        <v>2751.4399999999996</v>
      </c>
      <c r="H763" s="24">
        <f t="shared" si="249"/>
        <v>2902.88</v>
      </c>
      <c r="I763" s="24">
        <f t="shared" si="249"/>
        <v>2811.88</v>
      </c>
      <c r="J763" s="24">
        <f t="shared" si="249"/>
        <v>2715.2400000000007</v>
      </c>
      <c r="K763" s="24">
        <f t="shared" si="249"/>
        <v>2825.24</v>
      </c>
      <c r="L763" s="24">
        <f t="shared" si="249"/>
        <v>3032.12</v>
      </c>
      <c r="M763" s="24"/>
      <c r="N763" s="24"/>
      <c r="O763" s="24"/>
      <c r="P763" s="24" t="str">
        <f>IF(((P761="")*AND(P762="")),"",(P761-P762)*4)</f>
        <v/>
      </c>
      <c r="Q763" s="61"/>
      <c r="R763" s="61"/>
      <c r="S763" s="61"/>
      <c r="T763" s="61"/>
      <c r="U763" s="61"/>
      <c r="V763" s="60"/>
      <c r="W763" s="59"/>
      <c r="X763" s="8"/>
    </row>
    <row r="764" spans="1:31">
      <c r="A764" s="195">
        <v>43420</v>
      </c>
      <c r="B764" s="57" t="s">
        <v>157</v>
      </c>
      <c r="C764" s="51" t="s">
        <v>156</v>
      </c>
      <c r="D764" s="8">
        <v>6844.94</v>
      </c>
      <c r="E764" s="8">
        <v>6825.29</v>
      </c>
      <c r="F764" s="8">
        <v>6872.46</v>
      </c>
      <c r="G764" s="8">
        <v>6836.16</v>
      </c>
      <c r="H764" s="8">
        <v>6900.07</v>
      </c>
      <c r="I764" s="8">
        <v>6871.97</v>
      </c>
      <c r="J764" s="8">
        <v>6861.26</v>
      </c>
      <c r="K764" s="8">
        <v>6864.91</v>
      </c>
      <c r="L764" s="8">
        <v>6952.37</v>
      </c>
      <c r="M764" s="50"/>
      <c r="N764" s="50"/>
      <c r="O764" s="50"/>
      <c r="P764" s="50"/>
      <c r="Q764" s="57">
        <f>IF((L765=""),"",MAX(D766:L766))</f>
        <v>3710.9800000000014</v>
      </c>
      <c r="R764" s="57">
        <f>IF(L765="","",MIN(D766:L766))</f>
        <v>3657</v>
      </c>
      <c r="S764" s="58">
        <f>IF((L766=""),"",AVERAGE(D766:L766))</f>
        <v>3674.9244444444444</v>
      </c>
      <c r="T764" s="57">
        <f>IF((L765=""),"",((Q764-R764)/(Q764+R764))*100)</f>
        <v>0.73262956739841001</v>
      </c>
      <c r="U764" s="56">
        <f>STDEV(D764:L764)</f>
        <v>38.035094320766511</v>
      </c>
      <c r="V764" s="55" t="str">
        <f>IF(L765="","",(IF(T764&lt;7,IF(S764&gt;2800,IF(S764&lt;3800,"Pass","Fail"),"Fail"),"Fail")))</f>
        <v>Pass</v>
      </c>
      <c r="W764" s="54">
        <v>74</v>
      </c>
      <c r="Z764" s="53">
        <v>2800</v>
      </c>
      <c r="AA764" s="53">
        <v>3800</v>
      </c>
      <c r="AB764" s="53">
        <v>3100</v>
      </c>
      <c r="AC764" s="53">
        <v>3760</v>
      </c>
      <c r="AD764" s="52">
        <v>6</v>
      </c>
      <c r="AE764" s="52">
        <v>6</v>
      </c>
    </row>
    <row r="765" spans="1:31" ht="16.5" customHeight="1">
      <c r="A765" s="199"/>
      <c r="B765" s="48"/>
      <c r="C765" s="51" t="s">
        <v>155</v>
      </c>
      <c r="D765" s="8">
        <v>4996.37</v>
      </c>
      <c r="E765" s="8">
        <v>4985.3500000000004</v>
      </c>
      <c r="F765" s="8">
        <v>5039.88</v>
      </c>
      <c r="G765" s="8">
        <v>5003.5</v>
      </c>
      <c r="H765" s="8">
        <v>5069.1499999999996</v>
      </c>
      <c r="I765" s="8">
        <v>5016.4799999999996</v>
      </c>
      <c r="J765" s="8">
        <v>5022.97</v>
      </c>
      <c r="K765" s="8">
        <v>5036.41</v>
      </c>
      <c r="L765" s="8">
        <v>5122.16</v>
      </c>
      <c r="M765" s="50"/>
      <c r="N765" s="50"/>
      <c r="O765" s="50"/>
      <c r="P765" s="50"/>
      <c r="Q765" s="48"/>
      <c r="R765" s="48"/>
      <c r="S765" s="49"/>
      <c r="T765" s="48"/>
      <c r="U765" s="48"/>
      <c r="V765" s="47"/>
      <c r="W765" s="46"/>
      <c r="X765" s="8"/>
    </row>
    <row r="766" spans="1:31" ht="24.75" customHeight="1" thickBot="1">
      <c r="A766" s="199"/>
      <c r="B766" s="42"/>
      <c r="C766" s="45" t="s">
        <v>154</v>
      </c>
      <c r="D766" s="44">
        <f t="shared" ref="D766:L766" si="250">IF(((D764="")*AND(D765="")),"",(D764-D765)*2)</f>
        <v>3697.1399999999994</v>
      </c>
      <c r="E766" s="44">
        <f t="shared" si="250"/>
        <v>3679.8799999999992</v>
      </c>
      <c r="F766" s="44">
        <f t="shared" si="250"/>
        <v>3665.16</v>
      </c>
      <c r="G766" s="44">
        <f t="shared" si="250"/>
        <v>3665.3199999999997</v>
      </c>
      <c r="H766" s="44">
        <f t="shared" si="250"/>
        <v>3661.84</v>
      </c>
      <c r="I766" s="44">
        <f t="shared" si="250"/>
        <v>3710.9800000000014</v>
      </c>
      <c r="J766" s="44">
        <f t="shared" si="250"/>
        <v>3676.58</v>
      </c>
      <c r="K766" s="44">
        <f t="shared" si="250"/>
        <v>3657</v>
      </c>
      <c r="L766" s="44">
        <f t="shared" si="250"/>
        <v>3660.42</v>
      </c>
      <c r="M766" s="44"/>
      <c r="N766" s="44"/>
      <c r="O766" s="44"/>
      <c r="P766" s="44"/>
      <c r="Q766" s="42"/>
      <c r="R766" s="42"/>
      <c r="S766" s="43"/>
      <c r="T766" s="42"/>
      <c r="U766" s="42"/>
      <c r="V766" s="41"/>
      <c r="W766" s="40"/>
      <c r="X766" s="8"/>
    </row>
    <row r="767" spans="1:31">
      <c r="A767" s="195">
        <v>43441</v>
      </c>
      <c r="B767" s="63" t="s">
        <v>158</v>
      </c>
      <c r="C767" s="56" t="s">
        <v>156</v>
      </c>
      <c r="D767" s="8">
        <v>1907.06</v>
      </c>
      <c r="E767" s="8">
        <v>1905.18</v>
      </c>
      <c r="F767" s="8">
        <v>1895.52</v>
      </c>
      <c r="G767" s="8">
        <v>1903.6</v>
      </c>
      <c r="H767" s="8">
        <v>1910.87</v>
      </c>
      <c r="I767" s="8">
        <v>1909.13</v>
      </c>
      <c r="J767" s="8">
        <v>1902.64</v>
      </c>
      <c r="K767" s="8">
        <v>1903.36</v>
      </c>
      <c r="L767" s="8">
        <v>1904</v>
      </c>
      <c r="M767" s="62"/>
      <c r="N767" s="62"/>
      <c r="O767" s="62"/>
      <c r="P767" s="62"/>
      <c r="Q767" s="57">
        <f>IF((L768=""),"",MAX(D769:L769))</f>
        <v>2940.5999999999995</v>
      </c>
      <c r="R767" s="57">
        <f>IF(L768="","",MIN(D769:L769))</f>
        <v>2625.96</v>
      </c>
      <c r="S767" s="58">
        <f>IF((L769=""),"",AVERAGE(D769:L769))</f>
        <v>2783.2577777777778</v>
      </c>
      <c r="T767" s="57">
        <f>IF((L768=""),"",((Q767-R767)/(Q767+R767))*100)</f>
        <v>5.6523238768646964</v>
      </c>
      <c r="U767" s="56">
        <f>STDEV(D767:L767)</f>
        <v>4.4074825895158991</v>
      </c>
      <c r="V767" s="55" t="str">
        <f>IF(L768="","",(IF(T767&lt;12,IF(S767&gt;2200,IF(S767&lt;3280,"Pass","Fail"),"Fail"),"Fail")))</f>
        <v>Pass</v>
      </c>
      <c r="W767" s="54">
        <v>1159</v>
      </c>
      <c r="Y767" s="8" t="s">
        <v>160</v>
      </c>
      <c r="Z767" s="37">
        <v>2000</v>
      </c>
      <c r="AA767" s="37">
        <v>3000</v>
      </c>
      <c r="AB767" s="37">
        <v>2200</v>
      </c>
      <c r="AC767" s="37">
        <v>3280</v>
      </c>
      <c r="AD767" s="39">
        <v>12</v>
      </c>
      <c r="AE767" s="39">
        <v>12</v>
      </c>
    </row>
    <row r="768" spans="1:31" ht="16.5" customHeight="1">
      <c r="A768" s="199"/>
      <c r="B768" s="48"/>
      <c r="C768" s="51" t="s">
        <v>155</v>
      </c>
      <c r="D768" s="8">
        <v>1185.98</v>
      </c>
      <c r="E768" s="8">
        <v>1217.97</v>
      </c>
      <c r="F768" s="8">
        <v>1239.03</v>
      </c>
      <c r="G768" s="8">
        <v>1219.3800000000001</v>
      </c>
      <c r="H768" s="8">
        <v>1175.72</v>
      </c>
      <c r="I768" s="8">
        <v>1203.72</v>
      </c>
      <c r="J768" s="8">
        <v>1226.68</v>
      </c>
      <c r="K768" s="8">
        <v>1202.55</v>
      </c>
      <c r="L768" s="8">
        <v>1208</v>
      </c>
      <c r="M768" s="50"/>
      <c r="N768" s="50"/>
      <c r="O768" s="50"/>
      <c r="P768" s="50"/>
      <c r="Q768" s="48"/>
      <c r="R768" s="48"/>
      <c r="S768" s="48"/>
      <c r="T768" s="48"/>
      <c r="U768" s="48"/>
      <c r="V768" s="47"/>
      <c r="W768" s="46"/>
      <c r="X768" s="8"/>
    </row>
    <row r="769" spans="1:31" ht="24.75" customHeight="1" thickBot="1">
      <c r="A769" s="199"/>
      <c r="B769" s="61"/>
      <c r="C769" s="51" t="s">
        <v>154</v>
      </c>
      <c r="D769" s="24">
        <f t="shared" ref="D769:L769" si="251">IF(((D767="")*AND(D768="")),"",(D767-D768)*4)</f>
        <v>2884.3199999999997</v>
      </c>
      <c r="E769" s="24">
        <f t="shared" si="251"/>
        <v>2748.84</v>
      </c>
      <c r="F769" s="24">
        <f t="shared" si="251"/>
        <v>2625.96</v>
      </c>
      <c r="G769" s="24">
        <f t="shared" si="251"/>
        <v>2736.8799999999992</v>
      </c>
      <c r="H769" s="24">
        <f t="shared" si="251"/>
        <v>2940.5999999999995</v>
      </c>
      <c r="I769" s="24">
        <f t="shared" si="251"/>
        <v>2821.6400000000003</v>
      </c>
      <c r="J769" s="24">
        <f t="shared" si="251"/>
        <v>2703.84</v>
      </c>
      <c r="K769" s="24">
        <f t="shared" si="251"/>
        <v>2803.24</v>
      </c>
      <c r="L769" s="24">
        <f t="shared" si="251"/>
        <v>2784</v>
      </c>
      <c r="M769" s="24"/>
      <c r="N769" s="24"/>
      <c r="O769" s="24"/>
      <c r="P769" s="24" t="str">
        <f>IF(((P767="")*AND(P768="")),"",(P767-P768)*4)</f>
        <v/>
      </c>
      <c r="Q769" s="61"/>
      <c r="R769" s="61"/>
      <c r="S769" s="61"/>
      <c r="T769" s="61"/>
      <c r="U769" s="61"/>
      <c r="V769" s="60"/>
      <c r="W769" s="59"/>
      <c r="X769" s="8"/>
    </row>
    <row r="770" spans="1:31">
      <c r="A770" s="195">
        <v>43441</v>
      </c>
      <c r="B770" s="57" t="s">
        <v>157</v>
      </c>
      <c r="C770" s="51" t="s">
        <v>156</v>
      </c>
      <c r="D770" s="8">
        <v>6860.4</v>
      </c>
      <c r="E770" s="8">
        <v>6849.22</v>
      </c>
      <c r="F770" s="8">
        <v>6897.09</v>
      </c>
      <c r="G770" s="8">
        <v>6858.18</v>
      </c>
      <c r="H770" s="8">
        <v>6902.4</v>
      </c>
      <c r="I770" s="8">
        <v>6876.15</v>
      </c>
      <c r="J770" s="8">
        <v>6881</v>
      </c>
      <c r="K770" s="8">
        <v>6889.42</v>
      </c>
      <c r="L770" s="8">
        <v>6962.74</v>
      </c>
      <c r="M770" s="50"/>
      <c r="N770" s="50"/>
      <c r="O770" s="50"/>
      <c r="P770" s="50"/>
      <c r="Q770" s="57">
        <f>IF((L771=""),"",MAX(D772:L772))</f>
        <v>3661.9599999999991</v>
      </c>
      <c r="R770" s="57">
        <f>IF(L771="","",MIN(D772:L772))</f>
        <v>3619.0599999999995</v>
      </c>
      <c r="S770" s="58">
        <f>IF((L772=""),"",AVERAGE(D772:L772))</f>
        <v>3638.3444444444444</v>
      </c>
      <c r="T770" s="57">
        <f>IF((L771=""),"",((Q770-R770)/(Q770+R770))*100)</f>
        <v>0.58920316109555593</v>
      </c>
      <c r="U770" s="56">
        <f>STDEV(D770:L770)</f>
        <v>33.904321791167625</v>
      </c>
      <c r="V770" s="55" t="str">
        <f>IF(L771="","",(IF(T770&lt;7,IF(S770&gt;2800,IF(S770&lt;3800,"Pass","Fail"),"Fail"),"Fail")))</f>
        <v>Pass</v>
      </c>
      <c r="W770" s="54">
        <v>1159</v>
      </c>
      <c r="Z770" s="53">
        <v>2800</v>
      </c>
      <c r="AA770" s="53">
        <v>3800</v>
      </c>
      <c r="AB770" s="53">
        <v>3100</v>
      </c>
      <c r="AC770" s="53">
        <v>3760</v>
      </c>
      <c r="AD770" s="52">
        <v>6</v>
      </c>
      <c r="AE770" s="52">
        <v>6</v>
      </c>
    </row>
    <row r="771" spans="1:31" ht="16.5" customHeight="1">
      <c r="A771" s="199"/>
      <c r="B771" s="48"/>
      <c r="C771" s="51" t="s">
        <v>155</v>
      </c>
      <c r="D771" s="8">
        <v>5032.8</v>
      </c>
      <c r="E771" s="8">
        <v>5027.03</v>
      </c>
      <c r="F771" s="8">
        <v>5081.71</v>
      </c>
      <c r="G771" s="8">
        <v>5042.4399999999996</v>
      </c>
      <c r="H771" s="8">
        <v>5092.87</v>
      </c>
      <c r="I771" s="8">
        <v>5045.17</v>
      </c>
      <c r="J771" s="8">
        <v>5060.67</v>
      </c>
      <c r="K771" s="8">
        <v>5075.47</v>
      </c>
      <c r="L771" s="8">
        <v>5145.8900000000003</v>
      </c>
      <c r="M771" s="50"/>
      <c r="N771" s="50"/>
      <c r="O771" s="50"/>
      <c r="P771" s="50"/>
      <c r="Q771" s="48"/>
      <c r="R771" s="48"/>
      <c r="S771" s="49"/>
      <c r="T771" s="48"/>
      <c r="U771" s="48"/>
      <c r="V771" s="47"/>
      <c r="W771" s="46"/>
      <c r="X771" s="8"/>
    </row>
    <row r="772" spans="1:31" ht="24.75" customHeight="1" thickBot="1">
      <c r="A772" s="199"/>
      <c r="B772" s="42"/>
      <c r="C772" s="45" t="s">
        <v>154</v>
      </c>
      <c r="D772" s="44">
        <f t="shared" ref="D772:L772" si="252">IF(((D770="")*AND(D771="")),"",(D770-D771)*2)</f>
        <v>3655.1999999999989</v>
      </c>
      <c r="E772" s="44">
        <f t="shared" si="252"/>
        <v>3644.380000000001</v>
      </c>
      <c r="F772" s="44">
        <f t="shared" si="252"/>
        <v>3630.76</v>
      </c>
      <c r="G772" s="44">
        <f t="shared" si="252"/>
        <v>3631.4800000000014</v>
      </c>
      <c r="H772" s="44">
        <f t="shared" si="252"/>
        <v>3619.0599999999995</v>
      </c>
      <c r="I772" s="44">
        <f t="shared" si="252"/>
        <v>3661.9599999999991</v>
      </c>
      <c r="J772" s="44">
        <f t="shared" si="252"/>
        <v>3640.66</v>
      </c>
      <c r="K772" s="44">
        <f t="shared" si="252"/>
        <v>3627.8999999999996</v>
      </c>
      <c r="L772" s="44">
        <f t="shared" si="252"/>
        <v>3633.6999999999989</v>
      </c>
      <c r="M772" s="44"/>
      <c r="N772" s="44"/>
      <c r="O772" s="44"/>
      <c r="P772" s="44"/>
      <c r="Q772" s="42"/>
      <c r="R772" s="42"/>
      <c r="S772" s="43"/>
      <c r="T772" s="42"/>
      <c r="U772" s="42"/>
      <c r="V772" s="41"/>
      <c r="W772" s="40"/>
      <c r="X772" s="8"/>
    </row>
    <row r="773" spans="1:31">
      <c r="A773" s="195">
        <v>43451</v>
      </c>
      <c r="B773" s="63" t="s">
        <v>158</v>
      </c>
      <c r="C773" s="56" t="s">
        <v>156</v>
      </c>
      <c r="D773" s="8">
        <v>1926.4</v>
      </c>
      <c r="E773" s="8">
        <v>1919.28</v>
      </c>
      <c r="F773" s="8">
        <v>1904.47</v>
      </c>
      <c r="G773" s="8">
        <v>1918.3</v>
      </c>
      <c r="H773" s="8">
        <v>1923.23</v>
      </c>
      <c r="I773" s="8">
        <v>1924.72</v>
      </c>
      <c r="J773" s="8">
        <v>1917.42</v>
      </c>
      <c r="K773" s="8">
        <v>1921.37</v>
      </c>
      <c r="L773" s="8">
        <v>1929.99</v>
      </c>
      <c r="M773" s="62"/>
      <c r="N773" s="62"/>
      <c r="O773" s="62"/>
      <c r="P773" s="62"/>
      <c r="Q773" s="57">
        <f>IF((L774=""),"",MAX(D775:L775))</f>
        <v>3089.3199999999997</v>
      </c>
      <c r="R773" s="57">
        <f>IF(L774="","",MIN(D775:L775))</f>
        <v>2679.92</v>
      </c>
      <c r="S773" s="58">
        <f>IF((L775=""),"",AVERAGE(D775:L775))</f>
        <v>2843.2533333333331</v>
      </c>
      <c r="T773" s="57">
        <f>IF((L774=""),"",((Q773-R773)/(Q773+R773))*100)</f>
        <v>7.09625531265816</v>
      </c>
      <c r="U773" s="56">
        <f>STDEV(D773:L773)</f>
        <v>7.2767834774055897</v>
      </c>
      <c r="V773" s="55" t="str">
        <f>IF(L774="","",(IF(T773&lt;12,IF(S773&gt;2200,IF(S773&lt;3280,"Pass","Fail"),"Fail"),"Fail")))</f>
        <v>Pass</v>
      </c>
      <c r="W773" s="54">
        <v>1159</v>
      </c>
      <c r="X773" s="26" t="s">
        <v>159</v>
      </c>
      <c r="Z773" s="37">
        <v>2000</v>
      </c>
      <c r="AA773" s="37">
        <v>3000</v>
      </c>
      <c r="AB773" s="37">
        <v>2200</v>
      </c>
      <c r="AC773" s="37">
        <v>3280</v>
      </c>
      <c r="AD773" s="39">
        <v>12</v>
      </c>
      <c r="AE773" s="39">
        <v>12</v>
      </c>
    </row>
    <row r="774" spans="1:31" ht="16.5" customHeight="1">
      <c r="A774" s="199"/>
      <c r="B774" s="48"/>
      <c r="C774" s="51" t="s">
        <v>155</v>
      </c>
      <c r="D774" s="8">
        <v>1193.43</v>
      </c>
      <c r="E774" s="8">
        <v>1223.73</v>
      </c>
      <c r="F774" s="8">
        <v>1234.49</v>
      </c>
      <c r="G774" s="8">
        <v>1226.5899999999999</v>
      </c>
      <c r="H774" s="8">
        <v>1188.8499999999999</v>
      </c>
      <c r="I774" s="8">
        <v>1216.24</v>
      </c>
      <c r="J774" s="8">
        <v>1238.97</v>
      </c>
      <c r="K774" s="8">
        <v>1207.9000000000001</v>
      </c>
      <c r="L774" s="8">
        <v>1157.6600000000001</v>
      </c>
      <c r="M774" s="50"/>
      <c r="N774" s="50"/>
      <c r="O774" s="50"/>
      <c r="P774" s="50"/>
      <c r="Q774" s="48"/>
      <c r="R774" s="48"/>
      <c r="S774" s="48"/>
      <c r="T774" s="48"/>
      <c r="U774" s="48"/>
      <c r="V774" s="47"/>
      <c r="W774" s="46"/>
      <c r="X774" s="8"/>
    </row>
    <row r="775" spans="1:31" ht="24.75" customHeight="1" thickBot="1">
      <c r="A775" s="199"/>
      <c r="B775" s="61"/>
      <c r="C775" s="51" t="s">
        <v>154</v>
      </c>
      <c r="D775" s="24">
        <f t="shared" ref="D775:L775" si="253">IF(((D773="")*AND(D774="")),"",(D773-D774)*4)</f>
        <v>2931.88</v>
      </c>
      <c r="E775" s="24">
        <f t="shared" si="253"/>
        <v>2782.2</v>
      </c>
      <c r="F775" s="24">
        <f t="shared" si="253"/>
        <v>2679.92</v>
      </c>
      <c r="G775" s="24">
        <f t="shared" si="253"/>
        <v>2766.84</v>
      </c>
      <c r="H775" s="24">
        <f t="shared" si="253"/>
        <v>2937.5200000000004</v>
      </c>
      <c r="I775" s="24">
        <f t="shared" si="253"/>
        <v>2833.92</v>
      </c>
      <c r="J775" s="24">
        <f t="shared" si="253"/>
        <v>2713.8</v>
      </c>
      <c r="K775" s="24">
        <f t="shared" si="253"/>
        <v>2853.8799999999992</v>
      </c>
      <c r="L775" s="24">
        <f t="shared" si="253"/>
        <v>3089.3199999999997</v>
      </c>
      <c r="M775" s="24"/>
      <c r="N775" s="24"/>
      <c r="O775" s="24"/>
      <c r="P775" s="24" t="str">
        <f>IF(((P773="")*AND(P774="")),"",(P773-P774)*4)</f>
        <v/>
      </c>
      <c r="Q775" s="61"/>
      <c r="R775" s="61"/>
      <c r="S775" s="61"/>
      <c r="T775" s="61"/>
      <c r="U775" s="61"/>
      <c r="V775" s="60"/>
      <c r="W775" s="59"/>
      <c r="X775" s="8"/>
      <c r="Y775" s="8"/>
    </row>
    <row r="776" spans="1:31">
      <c r="A776" s="195">
        <v>43451</v>
      </c>
      <c r="B776" s="57" t="s">
        <v>157</v>
      </c>
      <c r="C776" s="51" t="s">
        <v>156</v>
      </c>
      <c r="D776" s="8">
        <v>5012.54</v>
      </c>
      <c r="E776" s="8">
        <v>5000.32</v>
      </c>
      <c r="F776" s="8">
        <v>5054.62</v>
      </c>
      <c r="G776" s="8">
        <v>5018.3900000000003</v>
      </c>
      <c r="H776" s="8">
        <v>5084.95</v>
      </c>
      <c r="I776" s="8">
        <v>5033.93</v>
      </c>
      <c r="J776" s="8">
        <v>5037.59</v>
      </c>
      <c r="K776" s="8">
        <v>5050.79</v>
      </c>
      <c r="L776" s="8">
        <v>5136.96</v>
      </c>
      <c r="M776" s="50"/>
      <c r="N776" s="50"/>
      <c r="O776" s="50"/>
      <c r="P776" s="50"/>
      <c r="Q776" s="57">
        <f>IF((L777=""),"",MAX(D778:L778))</f>
        <v>3610.9199999999992</v>
      </c>
      <c r="R776" s="57">
        <f>IF(L777="","",MIN(D778:L778))</f>
        <v>3562.2599999999993</v>
      </c>
      <c r="S776" s="58">
        <f>IF((L778=""),"",AVERAGE(D778:L778))</f>
        <v>3593.7400000000002</v>
      </c>
      <c r="T776" s="57">
        <f>IF((L777=""),"",((Q776-R776)/(Q776+R776))*100)</f>
        <v>0.67836022517209749</v>
      </c>
      <c r="U776" s="56">
        <f>STDEV(D776:L776)</f>
        <v>41.899084649270876</v>
      </c>
      <c r="V776" s="55" t="str">
        <f>IF(L777="","",(IF(T776&lt;7,IF(S776&gt;2800,IF(S776&lt;3800,"Pass","Fail"),"Fail"),"Fail")))</f>
        <v>Pass</v>
      </c>
      <c r="W776" s="54">
        <v>1159</v>
      </c>
      <c r="X776" s="26" t="s">
        <v>159</v>
      </c>
      <c r="Z776" s="53">
        <v>2800</v>
      </c>
      <c r="AA776" s="53">
        <v>3800</v>
      </c>
      <c r="AB776" s="53">
        <v>3100</v>
      </c>
      <c r="AC776" s="53">
        <v>3760</v>
      </c>
      <c r="AD776" s="52">
        <v>6</v>
      </c>
      <c r="AE776" s="52">
        <v>6</v>
      </c>
    </row>
    <row r="777" spans="1:31" ht="16.5" customHeight="1">
      <c r="A777" s="199"/>
      <c r="B777" s="48"/>
      <c r="C777" s="51" t="s">
        <v>155</v>
      </c>
      <c r="D777" s="8">
        <v>3218.25</v>
      </c>
      <c r="E777" s="8">
        <v>3194.86</v>
      </c>
      <c r="F777" s="8">
        <v>3256.48</v>
      </c>
      <c r="G777" s="8">
        <v>3219.32</v>
      </c>
      <c r="H777" s="8">
        <v>3303.82</v>
      </c>
      <c r="I777" s="8">
        <v>3234.79</v>
      </c>
      <c r="J777" s="8">
        <v>3239.31</v>
      </c>
      <c r="K777" s="8">
        <v>3250.43</v>
      </c>
      <c r="L777" s="8">
        <v>3341</v>
      </c>
      <c r="M777" s="50"/>
      <c r="N777" s="50"/>
      <c r="O777" s="50"/>
      <c r="P777" s="50"/>
      <c r="Q777" s="48"/>
      <c r="R777" s="48"/>
      <c r="S777" s="49"/>
      <c r="T777" s="48"/>
      <c r="U777" s="48"/>
      <c r="V777" s="47"/>
      <c r="W777" s="46"/>
      <c r="X777" s="8"/>
    </row>
    <row r="778" spans="1:31" ht="24.75" customHeight="1" thickBot="1">
      <c r="A778" s="199"/>
      <c r="B778" s="42"/>
      <c r="C778" s="45" t="s">
        <v>154</v>
      </c>
      <c r="D778" s="44">
        <f t="shared" ref="D778:L778" si="254">IF(((D776="")*AND(D777="")),"",(D776-D777)*2)</f>
        <v>3588.58</v>
      </c>
      <c r="E778" s="44">
        <f t="shared" si="254"/>
        <v>3610.9199999999992</v>
      </c>
      <c r="F778" s="44">
        <f t="shared" si="254"/>
        <v>3596.2799999999997</v>
      </c>
      <c r="G778" s="44">
        <f t="shared" si="254"/>
        <v>3598.1400000000003</v>
      </c>
      <c r="H778" s="44">
        <f t="shared" si="254"/>
        <v>3562.2599999999993</v>
      </c>
      <c r="I778" s="44">
        <f t="shared" si="254"/>
        <v>3598.2800000000007</v>
      </c>
      <c r="J778" s="44">
        <f t="shared" si="254"/>
        <v>3596.5600000000004</v>
      </c>
      <c r="K778" s="44">
        <f t="shared" si="254"/>
        <v>3600.7200000000003</v>
      </c>
      <c r="L778" s="44">
        <f t="shared" si="254"/>
        <v>3591.92</v>
      </c>
      <c r="M778" s="44"/>
      <c r="N778" s="44"/>
      <c r="O778" s="44"/>
      <c r="P778" s="44"/>
      <c r="Q778" s="42"/>
      <c r="R778" s="42"/>
      <c r="S778" s="43"/>
      <c r="T778" s="42"/>
      <c r="U778" s="42"/>
      <c r="V778" s="41"/>
      <c r="W778" s="40"/>
      <c r="X778" s="8"/>
    </row>
    <row r="779" spans="1:31">
      <c r="A779" s="195">
        <v>43460</v>
      </c>
      <c r="B779" s="63" t="s">
        <v>158</v>
      </c>
      <c r="C779" s="56" t="s">
        <v>156</v>
      </c>
      <c r="D779" s="8">
        <v>1190</v>
      </c>
      <c r="E779" s="8">
        <v>1216</v>
      </c>
      <c r="F779" s="8">
        <v>1241</v>
      </c>
      <c r="G779" s="8">
        <v>1214</v>
      </c>
      <c r="H779" s="8">
        <v>1173</v>
      </c>
      <c r="I779" s="8">
        <v>1205</v>
      </c>
      <c r="J779" s="8">
        <v>1227</v>
      </c>
      <c r="K779" s="8">
        <v>1201</v>
      </c>
      <c r="L779" s="8">
        <v>1147</v>
      </c>
      <c r="M779" s="62"/>
      <c r="N779" s="62"/>
      <c r="O779" s="62"/>
      <c r="P779" s="62"/>
      <c r="Q779" s="57">
        <f>IF((L780=""),"",MAX(D781:L781))</f>
        <v>3044</v>
      </c>
      <c r="R779" s="57">
        <f>IF(L780="","",MIN(D781:L781))</f>
        <v>2748</v>
      </c>
      <c r="S779" s="58">
        <f>IF((L781=""),"",AVERAGE(D781:L781))</f>
        <v>2854.2222222222222</v>
      </c>
      <c r="T779" s="57">
        <f>IF((L780=""),"",((Q779-R779)/(Q779+R779))*100)</f>
        <v>5.1104972375690609</v>
      </c>
      <c r="U779" s="56">
        <f>STDEV(D779:L779)</f>
        <v>28.51364195920528</v>
      </c>
      <c r="V779" s="55" t="str">
        <f>IF(L780="","",(IF(T779&lt;12,IF(S779&gt;2200,IF(S779&lt;3280,"Pass","Fail"),"Fail"),"Fail")))</f>
        <v>Pass</v>
      </c>
      <c r="W779" s="54">
        <v>1340</v>
      </c>
      <c r="Z779" s="37">
        <v>2000</v>
      </c>
      <c r="AA779" s="37">
        <v>3000</v>
      </c>
      <c r="AB779" s="37">
        <v>2200</v>
      </c>
      <c r="AC779" s="37">
        <v>3280</v>
      </c>
      <c r="AD779" s="39">
        <v>12</v>
      </c>
      <c r="AE779" s="39">
        <v>12</v>
      </c>
    </row>
    <row r="780" spans="1:31" ht="16.5" customHeight="1">
      <c r="A780" s="199"/>
      <c r="B780" s="48"/>
      <c r="C780" s="51" t="s">
        <v>155</v>
      </c>
      <c r="D780" s="8">
        <v>448</v>
      </c>
      <c r="E780" s="8">
        <v>516</v>
      </c>
      <c r="F780" s="8">
        <v>552</v>
      </c>
      <c r="G780" s="8">
        <v>526</v>
      </c>
      <c r="H780" s="8">
        <v>445</v>
      </c>
      <c r="I780" s="8">
        <v>488</v>
      </c>
      <c r="J780" s="8">
        <v>540</v>
      </c>
      <c r="K780" s="8">
        <v>491</v>
      </c>
      <c r="L780" s="8">
        <v>386</v>
      </c>
      <c r="M780" s="50"/>
      <c r="N780" s="50"/>
      <c r="O780" s="50"/>
      <c r="P780" s="50"/>
      <c r="Q780" s="48"/>
      <c r="R780" s="48"/>
      <c r="S780" s="48"/>
      <c r="T780" s="48"/>
      <c r="U780" s="48"/>
      <c r="V780" s="47"/>
      <c r="W780" s="46"/>
      <c r="X780" s="8"/>
    </row>
    <row r="781" spans="1:31" ht="24.75" customHeight="1" thickBot="1">
      <c r="A781" s="199"/>
      <c r="B781" s="61"/>
      <c r="C781" s="51" t="s">
        <v>154</v>
      </c>
      <c r="D781" s="24">
        <f t="shared" ref="D781:L781" si="255">IF(((D779="")*AND(D780="")),"",(D779-D780)*4)</f>
        <v>2968</v>
      </c>
      <c r="E781" s="24">
        <f t="shared" si="255"/>
        <v>2800</v>
      </c>
      <c r="F781" s="24">
        <f t="shared" si="255"/>
        <v>2756</v>
      </c>
      <c r="G781" s="24">
        <f t="shared" si="255"/>
        <v>2752</v>
      </c>
      <c r="H781" s="24">
        <f t="shared" si="255"/>
        <v>2912</v>
      </c>
      <c r="I781" s="24">
        <f t="shared" si="255"/>
        <v>2868</v>
      </c>
      <c r="J781" s="24">
        <f t="shared" si="255"/>
        <v>2748</v>
      </c>
      <c r="K781" s="24">
        <f t="shared" si="255"/>
        <v>2840</v>
      </c>
      <c r="L781" s="24">
        <f t="shared" si="255"/>
        <v>3044</v>
      </c>
      <c r="M781" s="24"/>
      <c r="N781" s="24"/>
      <c r="O781" s="24"/>
      <c r="P781" s="24" t="str">
        <f>IF(((P779="")*AND(P780="")),"",(P779-P780)*4)</f>
        <v/>
      </c>
      <c r="Q781" s="61"/>
      <c r="R781" s="61"/>
      <c r="S781" s="61"/>
      <c r="T781" s="61"/>
      <c r="U781" s="61"/>
      <c r="V781" s="60"/>
      <c r="W781" s="59"/>
      <c r="X781" s="8"/>
    </row>
    <row r="782" spans="1:31">
      <c r="A782" s="195">
        <v>43460</v>
      </c>
      <c r="B782" s="57" t="s">
        <v>157</v>
      </c>
      <c r="C782" s="51" t="s">
        <v>156</v>
      </c>
      <c r="D782" s="8">
        <v>5046</v>
      </c>
      <c r="E782" s="8">
        <v>5039</v>
      </c>
      <c r="F782" s="8">
        <v>5093</v>
      </c>
      <c r="G782" s="8">
        <v>5054</v>
      </c>
      <c r="H782" s="8">
        <v>5107</v>
      </c>
      <c r="I782" s="8">
        <v>5058</v>
      </c>
      <c r="J782" s="8">
        <v>5071</v>
      </c>
      <c r="K782" s="8">
        <v>5087</v>
      </c>
      <c r="L782" s="8">
        <v>5158</v>
      </c>
      <c r="M782" s="50"/>
      <c r="N782" s="50"/>
      <c r="O782" s="50"/>
      <c r="P782" s="50"/>
      <c r="Q782" s="57">
        <f>IF((L783=""),"",MAX(D784:L784))</f>
        <v>3650</v>
      </c>
      <c r="R782" s="57">
        <f>IF(L783="","",MIN(D784:L784))</f>
        <v>3618</v>
      </c>
      <c r="S782" s="58">
        <f>IF((L784=""),"",AVERAGE(D784:L784))</f>
        <v>3636.8888888888887</v>
      </c>
      <c r="T782" s="57">
        <f>IF((L783=""),"",((Q782-R782)/(Q782+R782))*100)</f>
        <v>0.44028618602091357</v>
      </c>
      <c r="U782" s="56">
        <f>STDEV(D782:L782)</f>
        <v>37.255126418306922</v>
      </c>
      <c r="V782" s="55" t="str">
        <f>IF(L783="","",(IF(T782&lt;7,IF(S782&gt;2800,IF(S782&lt;3800,"Pass","Fail"),"Fail"),"Fail")))</f>
        <v>Pass</v>
      </c>
      <c r="W782" s="54">
        <v>1340</v>
      </c>
      <c r="Z782" s="53">
        <v>2800</v>
      </c>
      <c r="AA782" s="53">
        <v>3800</v>
      </c>
      <c r="AB782" s="53">
        <v>3100</v>
      </c>
      <c r="AC782" s="53">
        <v>3760</v>
      </c>
      <c r="AD782" s="52">
        <v>6</v>
      </c>
      <c r="AE782" s="52">
        <v>6</v>
      </c>
    </row>
    <row r="783" spans="1:31" ht="16.5" customHeight="1">
      <c r="A783" s="199"/>
      <c r="B783" s="48"/>
      <c r="C783" s="51" t="s">
        <v>155</v>
      </c>
      <c r="D783" s="8">
        <v>3232</v>
      </c>
      <c r="E783" s="8">
        <v>3215</v>
      </c>
      <c r="F783" s="8">
        <v>3276</v>
      </c>
      <c r="G783" s="8">
        <v>3235</v>
      </c>
      <c r="H783" s="8">
        <v>3298</v>
      </c>
      <c r="I783" s="8">
        <v>3233</v>
      </c>
      <c r="J783" s="8">
        <v>3253</v>
      </c>
      <c r="K783" s="8">
        <v>3268</v>
      </c>
      <c r="L783" s="8">
        <v>3337</v>
      </c>
      <c r="M783" s="50"/>
      <c r="N783" s="50"/>
      <c r="O783" s="50"/>
      <c r="P783" s="50"/>
      <c r="Q783" s="48"/>
      <c r="R783" s="48"/>
      <c r="S783" s="49"/>
      <c r="T783" s="48"/>
      <c r="U783" s="48"/>
      <c r="V783" s="47"/>
      <c r="W783" s="46"/>
      <c r="X783" s="8"/>
    </row>
    <row r="784" spans="1:31" ht="24.75" customHeight="1" thickBot="1">
      <c r="A784" s="199"/>
      <c r="B784" s="42"/>
      <c r="C784" s="45" t="s">
        <v>154</v>
      </c>
      <c r="D784" s="44">
        <f t="shared" ref="D784:L784" si="256">IF(((D782="")*AND(D783="")),"",(D782-D783)*2)</f>
        <v>3628</v>
      </c>
      <c r="E784" s="44">
        <f t="shared" si="256"/>
        <v>3648</v>
      </c>
      <c r="F784" s="44">
        <f t="shared" si="256"/>
        <v>3634</v>
      </c>
      <c r="G784" s="44">
        <f t="shared" si="256"/>
        <v>3638</v>
      </c>
      <c r="H784" s="44">
        <f t="shared" si="256"/>
        <v>3618</v>
      </c>
      <c r="I784" s="44">
        <f t="shared" si="256"/>
        <v>3650</v>
      </c>
      <c r="J784" s="44">
        <f t="shared" si="256"/>
        <v>3636</v>
      </c>
      <c r="K784" s="44">
        <f t="shared" si="256"/>
        <v>3638</v>
      </c>
      <c r="L784" s="44">
        <f t="shared" si="256"/>
        <v>3642</v>
      </c>
      <c r="M784" s="44"/>
      <c r="N784" s="44"/>
      <c r="O784" s="44"/>
      <c r="P784" s="44"/>
      <c r="Q784" s="42"/>
      <c r="R784" s="42"/>
      <c r="S784" s="43"/>
      <c r="T784" s="42"/>
      <c r="U784" s="42"/>
      <c r="V784" s="41"/>
      <c r="W784" s="40"/>
      <c r="X784" s="8"/>
    </row>
    <row r="785" spans="1:31" customFormat="1" ht="15.75">
      <c r="A785" s="253">
        <v>43476</v>
      </c>
      <c r="B785" s="204" t="s">
        <v>158</v>
      </c>
      <c r="C785" s="205" t="s">
        <v>156</v>
      </c>
      <c r="D785">
        <v>1912</v>
      </c>
      <c r="E785">
        <v>1910</v>
      </c>
      <c r="F785">
        <v>1843.76</v>
      </c>
      <c r="G785">
        <v>1941.52</v>
      </c>
      <c r="H785">
        <v>1950.23</v>
      </c>
      <c r="I785">
        <v>1952.11</v>
      </c>
      <c r="J785">
        <v>1942.81</v>
      </c>
      <c r="K785">
        <v>1831.76</v>
      </c>
      <c r="L785">
        <v>1952.08</v>
      </c>
      <c r="M785" s="206"/>
      <c r="N785" s="206"/>
      <c r="O785" s="206"/>
      <c r="P785" s="206"/>
      <c r="Q785" s="207">
        <f>IF((L786=""),"",MAX(D787:L787))</f>
        <v>2877.3999999999996</v>
      </c>
      <c r="R785" s="207">
        <f>IF(L786="","",MIN(D787:L787))</f>
        <v>2367.88</v>
      </c>
      <c r="S785" s="208">
        <f>IF((L787=""),"",AVERAGE(D787:L787))</f>
        <v>2675.5511111111109</v>
      </c>
      <c r="T785" s="207">
        <f>IF((L786=""),"",((Q785-R785)/(Q785+R785))*100)</f>
        <v>9.7138760943171683</v>
      </c>
      <c r="U785" s="207">
        <f>STDEV(D785:L785)</f>
        <v>46.781131197429978</v>
      </c>
      <c r="V785" s="209" t="str">
        <f>IF(L786="","",(IF(T785&lt;12,IF(S785&gt;2200,IF(S785&lt;3280,"Pass","Fail"),"Fail"),"Fail")))</f>
        <v>Pass</v>
      </c>
      <c r="W785" s="207">
        <v>1335</v>
      </c>
      <c r="X785" s="199"/>
      <c r="Y785" s="210"/>
      <c r="Z785" s="210">
        <v>2000</v>
      </c>
      <c r="AA785" s="210">
        <v>3000</v>
      </c>
      <c r="AB785" s="210">
        <v>2200</v>
      </c>
      <c r="AC785" s="210">
        <v>3280</v>
      </c>
      <c r="AD785" s="211">
        <v>12</v>
      </c>
      <c r="AE785" s="211">
        <v>12</v>
      </c>
    </row>
    <row r="786" spans="1:31" customFormat="1" ht="15.75" customHeight="1">
      <c r="A786" s="254"/>
      <c r="B786" s="212"/>
      <c r="C786" s="207" t="s">
        <v>155</v>
      </c>
      <c r="D786">
        <v>1249</v>
      </c>
      <c r="E786">
        <v>1247.83</v>
      </c>
      <c r="F786">
        <v>1251.79</v>
      </c>
      <c r="G786">
        <v>1248.94</v>
      </c>
      <c r="H786">
        <v>1250</v>
      </c>
      <c r="I786">
        <v>1232.76</v>
      </c>
      <c r="J786">
        <v>1261.1600000000001</v>
      </c>
      <c r="K786">
        <v>1229.8</v>
      </c>
      <c r="L786">
        <v>1245</v>
      </c>
      <c r="M786" s="213"/>
      <c r="N786" s="213"/>
      <c r="O786" s="213"/>
      <c r="P786" s="213"/>
      <c r="Q786" s="207"/>
      <c r="R786" s="207"/>
      <c r="S786" s="207"/>
      <c r="T786" s="207"/>
      <c r="U786" s="207"/>
      <c r="V786" s="209"/>
      <c r="W786" s="207"/>
      <c r="Y786" s="210"/>
      <c r="Z786" s="210"/>
      <c r="AA786" s="210"/>
      <c r="AB786" s="210"/>
      <c r="AC786" s="210"/>
      <c r="AD786" s="211"/>
      <c r="AE786" s="211"/>
    </row>
    <row r="787" spans="1:31" customFormat="1" ht="24" customHeight="1">
      <c r="A787" s="255"/>
      <c r="B787" s="214"/>
      <c r="C787" s="207" t="s">
        <v>154</v>
      </c>
      <c r="D787" s="215">
        <f t="shared" ref="D787:L787" si="257">IF(((D785="")*AND(D786="")),"",(D785-D786)*4)</f>
        <v>2652</v>
      </c>
      <c r="E787" s="215">
        <f t="shared" si="257"/>
        <v>2648.6800000000003</v>
      </c>
      <c r="F787" s="215">
        <f t="shared" si="257"/>
        <v>2367.88</v>
      </c>
      <c r="G787" s="215">
        <f t="shared" si="257"/>
        <v>2770.3199999999997</v>
      </c>
      <c r="H787" s="215">
        <f t="shared" si="257"/>
        <v>2800.92</v>
      </c>
      <c r="I787" s="215">
        <f t="shared" si="257"/>
        <v>2877.3999999999996</v>
      </c>
      <c r="J787" s="215">
        <f t="shared" si="257"/>
        <v>2726.5999999999995</v>
      </c>
      <c r="K787" s="215">
        <f t="shared" si="257"/>
        <v>2407.84</v>
      </c>
      <c r="L787" s="215">
        <f t="shared" si="257"/>
        <v>2828.3199999999997</v>
      </c>
      <c r="M787" s="215"/>
      <c r="N787" s="215"/>
      <c r="O787" s="215"/>
      <c r="P787" s="215" t="str">
        <f>IF(((P785="")*AND(P786="")),"",(P785-P786)*4)</f>
        <v/>
      </c>
      <c r="Q787" s="207"/>
      <c r="R787" s="207"/>
      <c r="S787" s="207"/>
      <c r="T787" s="207"/>
      <c r="U787" s="207"/>
      <c r="V787" s="209"/>
      <c r="W787" s="207"/>
      <c r="X787" t="s">
        <v>284</v>
      </c>
      <c r="Y787" s="210"/>
      <c r="Z787" s="210"/>
      <c r="AA787" s="210"/>
      <c r="AB787" s="210"/>
      <c r="AC787" s="210"/>
      <c r="AD787" s="199"/>
      <c r="AE787" s="199"/>
    </row>
    <row r="788" spans="1:31" customFormat="1" ht="15.75">
      <c r="A788" s="253">
        <v>43476</v>
      </c>
      <c r="B788" s="216" t="s">
        <v>157</v>
      </c>
      <c r="C788" s="207" t="s">
        <v>156</v>
      </c>
      <c r="D788" s="217">
        <v>6921.42</v>
      </c>
      <c r="E788" s="217">
        <v>6916.95</v>
      </c>
      <c r="F788" s="217">
        <v>6936.13</v>
      </c>
      <c r="G788" s="217">
        <v>6885.79</v>
      </c>
      <c r="H788" s="217">
        <v>6940.43</v>
      </c>
      <c r="I788" s="217">
        <v>6886.35</v>
      </c>
      <c r="J788" s="217">
        <v>6891.55</v>
      </c>
      <c r="K788" s="217">
        <v>6922.24</v>
      </c>
      <c r="L788" s="217">
        <v>7010.64</v>
      </c>
      <c r="M788" s="213"/>
      <c r="N788" s="213"/>
      <c r="O788" s="213"/>
      <c r="P788" s="213"/>
      <c r="Q788" s="207">
        <f>IF((L789=""),"",MAX(D790:L790))</f>
        <v>3637.5600000000013</v>
      </c>
      <c r="R788" s="207">
        <f>IF(L789="","",MIN(D790:L790))</f>
        <v>3593.1000000000004</v>
      </c>
      <c r="S788" s="208">
        <f>IF((L790=""),"",AVERAGE(D790:L790))</f>
        <v>3615.5955555555556</v>
      </c>
      <c r="T788" s="207">
        <f>IF((L789=""),"",((Q788-R788)/(Q788+R788))*100)</f>
        <v>0.6148816290629201</v>
      </c>
      <c r="U788" s="207">
        <f>STDEV(D788:L788)</f>
        <v>38.586440299543369</v>
      </c>
      <c r="V788" s="209" t="str">
        <f>IF(L789="","",(IF(T788&lt;7,IF(S788&gt;2800,IF(S788&lt;3800,"Pass","Fail"),"Fail"),"Fail")))</f>
        <v>Pass</v>
      </c>
      <c r="W788" s="207">
        <v>1335</v>
      </c>
      <c r="X788" s="199"/>
      <c r="Y788" s="210"/>
      <c r="Z788" s="218">
        <v>2800</v>
      </c>
      <c r="AA788" s="218">
        <v>3800</v>
      </c>
      <c r="AB788" s="218">
        <v>3100</v>
      </c>
      <c r="AC788" s="218">
        <v>3760</v>
      </c>
      <c r="AD788" s="219">
        <v>6</v>
      </c>
      <c r="AE788" s="219">
        <v>6</v>
      </c>
    </row>
    <row r="789" spans="1:31" customFormat="1" ht="16.5" customHeight="1">
      <c r="A789" s="254"/>
      <c r="B789" s="212"/>
      <c r="C789" s="207" t="s">
        <v>155</v>
      </c>
      <c r="D789" s="217">
        <v>5112.87</v>
      </c>
      <c r="E789" s="217">
        <v>5107.3999999999996</v>
      </c>
      <c r="F789" s="217">
        <v>5129.3599999999997</v>
      </c>
      <c r="G789" s="217">
        <v>5080.4399999999996</v>
      </c>
      <c r="H789" s="217">
        <v>5143.88</v>
      </c>
      <c r="I789" s="217">
        <v>5067.57</v>
      </c>
      <c r="J789" s="217">
        <v>5083.18</v>
      </c>
      <c r="K789" s="217">
        <v>5114.46</v>
      </c>
      <c r="L789" s="217">
        <v>5202.16</v>
      </c>
      <c r="M789" s="213"/>
      <c r="N789" s="213"/>
      <c r="O789" s="213"/>
      <c r="P789" s="213"/>
      <c r="Q789" s="207"/>
      <c r="R789" s="207"/>
      <c r="S789" s="208"/>
      <c r="T789" s="207"/>
      <c r="U789" s="207"/>
      <c r="V789" s="209"/>
      <c r="W789" s="207"/>
      <c r="Y789" s="210"/>
      <c r="Z789" s="210"/>
      <c r="AA789" s="210"/>
      <c r="AB789" s="210"/>
      <c r="AC789" s="210"/>
      <c r="AD789" s="199"/>
      <c r="AE789" s="199"/>
    </row>
    <row r="790" spans="1:31" customFormat="1" ht="24.75" customHeight="1" thickBot="1">
      <c r="A790" s="256"/>
      <c r="B790" s="220"/>
      <c r="C790" s="221" t="s">
        <v>154</v>
      </c>
      <c r="D790" s="222">
        <f t="shared" ref="D790:L790" si="258">IF(((D788="")*AND(D789="")),"",(D788-D789)*2)</f>
        <v>3617.1000000000004</v>
      </c>
      <c r="E790" s="222">
        <f t="shared" si="258"/>
        <v>3619.1000000000004</v>
      </c>
      <c r="F790" s="222">
        <f t="shared" si="258"/>
        <v>3613.5400000000009</v>
      </c>
      <c r="G790" s="222">
        <f t="shared" si="258"/>
        <v>3610.7000000000007</v>
      </c>
      <c r="H790" s="222">
        <f t="shared" si="258"/>
        <v>3593.1000000000004</v>
      </c>
      <c r="I790" s="222">
        <f t="shared" si="258"/>
        <v>3637.5600000000013</v>
      </c>
      <c r="J790" s="222">
        <f t="shared" si="258"/>
        <v>3616.74</v>
      </c>
      <c r="K790" s="222">
        <f t="shared" si="258"/>
        <v>3615.5599999999995</v>
      </c>
      <c r="L790" s="222">
        <f t="shared" si="258"/>
        <v>3616.9600000000009</v>
      </c>
      <c r="M790" s="223"/>
      <c r="N790" s="222"/>
      <c r="O790" s="222"/>
      <c r="P790" s="222"/>
      <c r="Q790" s="207"/>
      <c r="R790" s="207"/>
      <c r="S790" s="208"/>
      <c r="T790" s="207"/>
      <c r="U790" s="207"/>
      <c r="V790" s="209"/>
      <c r="W790" s="207"/>
      <c r="Y790" s="210"/>
      <c r="Z790" s="210"/>
      <c r="AA790" s="210"/>
      <c r="AB790" s="210"/>
      <c r="AC790" s="210"/>
      <c r="AD790" s="199"/>
      <c r="AE790" s="199"/>
    </row>
    <row r="791" spans="1:31" customFormat="1" ht="15.75">
      <c r="A791" s="253">
        <v>43480</v>
      </c>
      <c r="B791" s="204" t="s">
        <v>158</v>
      </c>
      <c r="C791" s="205" t="s">
        <v>156</v>
      </c>
      <c r="D791" s="217">
        <v>1219.69</v>
      </c>
      <c r="E791" s="217">
        <v>1248.67</v>
      </c>
      <c r="F791" s="217">
        <v>1250.5</v>
      </c>
      <c r="G791" s="217">
        <v>1249.6199999999999</v>
      </c>
      <c r="H791" s="217">
        <v>1212.19</v>
      </c>
      <c r="I791" s="217">
        <v>1234.42</v>
      </c>
      <c r="J791" s="217">
        <v>1261.96</v>
      </c>
      <c r="K791" s="217">
        <v>1228.01</v>
      </c>
      <c r="L791" s="217">
        <v>1185.58</v>
      </c>
      <c r="M791" s="206"/>
      <c r="N791" s="206"/>
      <c r="O791" s="206"/>
      <c r="P791" s="206"/>
      <c r="Q791" s="207">
        <f>IF((L792=""),"",MAX(D793:L793))</f>
        <v>3225.08</v>
      </c>
      <c r="R791" s="207">
        <f>IF(L792="","",MIN(D793:L793))</f>
        <v>2734.92</v>
      </c>
      <c r="S791" s="208">
        <f>IF((L793=""),"",AVERAGE(D793:L793))</f>
        <v>2946.2755555555559</v>
      </c>
      <c r="T791" s="207">
        <f>IF((L792=""),"",((Q791-R791)/(Q791+R791))*100)</f>
        <v>8.2241610738255009</v>
      </c>
      <c r="U791" s="207">
        <f>STDEV(D791:L791)</f>
        <v>23.843226501466528</v>
      </c>
      <c r="V791" s="209" t="str">
        <f>IF(L792="","",(IF(T791&lt;12,IF(S791&gt;2200,IF(S791&lt;3280,"Pass","Fail"),"Fail"),"Fail")))</f>
        <v>Pass</v>
      </c>
      <c r="W791" s="207">
        <v>74</v>
      </c>
      <c r="X791" s="199"/>
      <c r="Y791" s="210"/>
      <c r="Z791" s="210">
        <v>2000</v>
      </c>
      <c r="AA791" s="210">
        <v>3000</v>
      </c>
      <c r="AB791" s="210">
        <v>2200</v>
      </c>
      <c r="AC791" s="210">
        <v>3280</v>
      </c>
      <c r="AD791" s="211">
        <v>12</v>
      </c>
      <c r="AE791" s="211">
        <v>12</v>
      </c>
    </row>
    <row r="792" spans="1:31" customFormat="1" ht="15.75" customHeight="1">
      <c r="A792" s="254"/>
      <c r="B792" s="212"/>
      <c r="C792" s="207" t="s">
        <v>155</v>
      </c>
      <c r="D792" s="217">
        <v>441.37</v>
      </c>
      <c r="E792" s="217">
        <v>536.58000000000004</v>
      </c>
      <c r="F792" s="217">
        <v>566.77</v>
      </c>
      <c r="G792" s="217">
        <v>546.20000000000005</v>
      </c>
      <c r="H792" s="217">
        <v>440.77</v>
      </c>
      <c r="I792" s="217">
        <v>477.4</v>
      </c>
      <c r="J792" s="217">
        <v>564.27</v>
      </c>
      <c r="K792" s="217">
        <v>508.85</v>
      </c>
      <c r="L792" s="217">
        <v>379.31</v>
      </c>
      <c r="M792" s="213"/>
      <c r="N792" s="213"/>
      <c r="O792" s="213"/>
      <c r="P792" s="213"/>
      <c r="Q792" s="207"/>
      <c r="R792" s="207"/>
      <c r="S792" s="207"/>
      <c r="T792" s="207"/>
      <c r="U792" s="207"/>
      <c r="V792" s="209"/>
      <c r="W792" s="207"/>
      <c r="Y792" s="210"/>
      <c r="Z792" s="210"/>
      <c r="AA792" s="210"/>
      <c r="AB792" s="210"/>
      <c r="AC792" s="210"/>
      <c r="AD792" s="199"/>
      <c r="AE792" s="199"/>
    </row>
    <row r="793" spans="1:31" customFormat="1" ht="24" customHeight="1">
      <c r="A793" s="255"/>
      <c r="B793" s="214"/>
      <c r="C793" s="207" t="s">
        <v>154</v>
      </c>
      <c r="D793" s="215">
        <f t="shared" ref="D793:L793" si="259">IF(((D791="")*AND(D792="")),"",(D791-D792)*4)</f>
        <v>3113.28</v>
      </c>
      <c r="E793" s="215">
        <f t="shared" si="259"/>
        <v>2848.36</v>
      </c>
      <c r="F793" s="215">
        <f t="shared" si="259"/>
        <v>2734.92</v>
      </c>
      <c r="G793" s="215">
        <f t="shared" si="259"/>
        <v>2813.6799999999994</v>
      </c>
      <c r="H793" s="215">
        <f t="shared" si="259"/>
        <v>3085.6800000000003</v>
      </c>
      <c r="I793" s="215">
        <f t="shared" si="259"/>
        <v>3028.0800000000004</v>
      </c>
      <c r="J793" s="215">
        <f t="shared" si="259"/>
        <v>2790.76</v>
      </c>
      <c r="K793" s="215">
        <f t="shared" si="259"/>
        <v>2876.64</v>
      </c>
      <c r="L793" s="215">
        <f t="shared" si="259"/>
        <v>3225.08</v>
      </c>
      <c r="M793" s="224"/>
      <c r="N793" s="215"/>
      <c r="O793" s="215"/>
      <c r="P793" s="215" t="str">
        <f>IF(((P791="")*AND(P792="")),"",(P791-P792)*4)</f>
        <v/>
      </c>
      <c r="Q793" s="207"/>
      <c r="R793" s="207"/>
      <c r="S793" s="207"/>
      <c r="T793" s="207"/>
      <c r="U793" s="207"/>
      <c r="V793" s="209"/>
      <c r="W793" s="207"/>
      <c r="Y793" s="210"/>
      <c r="Z793" s="210"/>
      <c r="AA793" s="210"/>
      <c r="AB793" s="210"/>
      <c r="AC793" s="210"/>
      <c r="AD793" s="199"/>
      <c r="AE793" s="199"/>
    </row>
    <row r="794" spans="1:31" customFormat="1" ht="15.75">
      <c r="A794" s="253">
        <v>43480</v>
      </c>
      <c r="B794" s="216" t="s">
        <v>157</v>
      </c>
      <c r="C794" s="207" t="s">
        <v>156</v>
      </c>
      <c r="D794" s="217">
        <v>5116.53</v>
      </c>
      <c r="E794" s="217">
        <v>5111.0200000000004</v>
      </c>
      <c r="F794" s="217">
        <v>5133.0200000000004</v>
      </c>
      <c r="G794" s="217">
        <v>5084.53</v>
      </c>
      <c r="H794" s="217">
        <v>5148.09</v>
      </c>
      <c r="I794" s="217">
        <v>5071.09</v>
      </c>
      <c r="J794" s="217">
        <v>5087.5</v>
      </c>
      <c r="K794" s="217">
        <v>5118.54</v>
      </c>
      <c r="L794" s="217">
        <v>5205.76</v>
      </c>
      <c r="M794" s="213"/>
      <c r="N794" s="213"/>
      <c r="O794" s="213"/>
      <c r="P794" s="213"/>
      <c r="Q794" s="207">
        <f>IF((L795=""),"",MAX(D796:L796))</f>
        <v>3503.58</v>
      </c>
      <c r="R794" s="207">
        <f>IF(L795="","",MIN(D796:L796))</f>
        <v>3458.5</v>
      </c>
      <c r="S794" s="208">
        <f>IF((L796=""),"",AVERAGE(D796:L796))</f>
        <v>3488.5911111111109</v>
      </c>
      <c r="T794" s="207">
        <f>IF((L795=""),"",((Q794-R794)/(Q794+R794))*100)</f>
        <v>0.64750764139452477</v>
      </c>
      <c r="U794" s="207">
        <f>STDEV(D794:L794)</f>
        <v>40.486125126707527</v>
      </c>
      <c r="V794" s="209" t="str">
        <f>IF(L795="","",(IF(T794&lt;7,IF(S794&gt;2800,IF(S794&lt;3800,"Pass","Fail"),"Fail"),"Fail")))</f>
        <v>Pass</v>
      </c>
      <c r="W794" s="207">
        <v>74</v>
      </c>
      <c r="X794" s="199"/>
      <c r="Y794" s="210"/>
      <c r="Z794" s="218">
        <v>2800</v>
      </c>
      <c r="AA794" s="218">
        <v>3800</v>
      </c>
      <c r="AB794" s="218">
        <v>3100</v>
      </c>
      <c r="AC794" s="218">
        <v>3760</v>
      </c>
      <c r="AD794" s="219">
        <v>6</v>
      </c>
      <c r="AE794" s="219">
        <v>6</v>
      </c>
    </row>
    <row r="795" spans="1:31" customFormat="1" ht="16.5" customHeight="1">
      <c r="A795" s="254"/>
      <c r="B795" s="212"/>
      <c r="C795" s="207" t="s">
        <v>155</v>
      </c>
      <c r="D795" s="217">
        <v>3369.83</v>
      </c>
      <c r="E795" s="217">
        <v>3360.27</v>
      </c>
      <c r="F795" s="217">
        <v>3385.68</v>
      </c>
      <c r="G795" s="217">
        <v>3339.25</v>
      </c>
      <c r="H795" s="217">
        <v>3418.84</v>
      </c>
      <c r="I795" s="217">
        <v>3319.3</v>
      </c>
      <c r="J795" s="217">
        <v>3341.03</v>
      </c>
      <c r="K795" s="217">
        <v>3372.17</v>
      </c>
      <c r="L795" s="217">
        <v>3471.05</v>
      </c>
      <c r="M795" s="213"/>
      <c r="N795" s="213"/>
      <c r="O795" s="213"/>
      <c r="P795" s="213"/>
      <c r="Q795" s="207"/>
      <c r="R795" s="207"/>
      <c r="S795" s="208"/>
      <c r="T795" s="207"/>
      <c r="U795" s="207"/>
      <c r="V795" s="209"/>
      <c r="W795" s="207"/>
      <c r="Y795" s="210"/>
      <c r="Z795" s="210"/>
      <c r="AA795" s="210"/>
      <c r="AB795" s="210"/>
      <c r="AC795" s="210"/>
      <c r="AD795" s="199"/>
      <c r="AE795" s="199"/>
    </row>
    <row r="796" spans="1:31" customFormat="1" ht="24.75" customHeight="1" thickBot="1">
      <c r="A796" s="256"/>
      <c r="B796" s="220"/>
      <c r="C796" s="221" t="s">
        <v>154</v>
      </c>
      <c r="D796" s="222">
        <f t="shared" ref="D796:L796" si="260">IF(((D794="")*AND(D795="")),"",(D794-D795)*2)</f>
        <v>3493.3999999999996</v>
      </c>
      <c r="E796" s="222">
        <f t="shared" si="260"/>
        <v>3501.5000000000009</v>
      </c>
      <c r="F796" s="222">
        <f t="shared" si="260"/>
        <v>3494.6800000000012</v>
      </c>
      <c r="G796" s="222">
        <f t="shared" si="260"/>
        <v>3490.5599999999995</v>
      </c>
      <c r="H796" s="222">
        <f t="shared" si="260"/>
        <v>3458.5</v>
      </c>
      <c r="I796" s="222">
        <f t="shared" si="260"/>
        <v>3503.58</v>
      </c>
      <c r="J796" s="222">
        <f t="shared" si="260"/>
        <v>3492.9399999999996</v>
      </c>
      <c r="K796" s="222">
        <f t="shared" si="260"/>
        <v>3492.74</v>
      </c>
      <c r="L796" s="222">
        <f t="shared" si="260"/>
        <v>3469.42</v>
      </c>
      <c r="M796" s="223"/>
      <c r="N796" s="222"/>
      <c r="O796" s="222"/>
      <c r="P796" s="222"/>
      <c r="Q796" s="207"/>
      <c r="R796" s="207"/>
      <c r="S796" s="208"/>
      <c r="T796" s="207"/>
      <c r="U796" s="207"/>
      <c r="V796" s="209"/>
      <c r="W796" s="207"/>
      <c r="Y796" s="210"/>
      <c r="Z796" s="210"/>
      <c r="AA796" s="210"/>
      <c r="AB796" s="210"/>
      <c r="AC796" s="210"/>
      <c r="AD796" s="199"/>
      <c r="AE796" s="199"/>
    </row>
    <row r="797" spans="1:31" customFormat="1" ht="15.75">
      <c r="A797" s="253">
        <v>43488</v>
      </c>
      <c r="B797" s="204" t="s">
        <v>158</v>
      </c>
      <c r="C797" s="205" t="s">
        <v>156</v>
      </c>
      <c r="D797">
        <v>1919.12</v>
      </c>
      <c r="E797">
        <v>1916.01</v>
      </c>
      <c r="F797">
        <v>1912.85</v>
      </c>
      <c r="G797">
        <v>1913.02</v>
      </c>
      <c r="H797">
        <v>1922.8</v>
      </c>
      <c r="I797">
        <v>1922.05</v>
      </c>
      <c r="J797">
        <v>1915.01</v>
      </c>
      <c r="K797">
        <v>1914.15</v>
      </c>
      <c r="L797">
        <v>1918.59</v>
      </c>
      <c r="M797" s="206"/>
      <c r="N797" s="206"/>
      <c r="O797" s="206"/>
      <c r="P797" s="206"/>
      <c r="Q797" s="207">
        <f>IF((L798=""),"",MAX(D799:L799))</f>
        <v>3152.7599999999993</v>
      </c>
      <c r="R797" s="207">
        <f>IF(L798="","",MIN(D799:L799))</f>
        <v>2726.5199999999995</v>
      </c>
      <c r="S797" s="208">
        <f>IF((L799=""),"",AVERAGE(D799:L799))</f>
        <v>2904.8533333333335</v>
      </c>
      <c r="T797" s="207">
        <f>IF((L798=""),"",((Q797-R797)/(Q797+R797))*100)</f>
        <v>7.2498673306935517</v>
      </c>
      <c r="U797" s="207">
        <f>STDEV(D797:L797)</f>
        <v>3.7458410271043614</v>
      </c>
      <c r="V797" s="209" t="str">
        <f>IF(L798="","",(IF(T797&lt;12,IF(S797&gt;2200,IF(S797&lt;3280,"Pass","Fail"),"Fail"),"Fail")))</f>
        <v>Pass</v>
      </c>
      <c r="W797" s="207">
        <v>1159</v>
      </c>
      <c r="X797" s="199" t="s">
        <v>285</v>
      </c>
      <c r="Y797" s="210"/>
      <c r="Z797" s="210">
        <v>2000</v>
      </c>
      <c r="AA797" s="210">
        <v>3000</v>
      </c>
      <c r="AB797" s="210">
        <v>2200</v>
      </c>
      <c r="AC797" s="210">
        <v>3280</v>
      </c>
      <c r="AD797" s="211">
        <v>12</v>
      </c>
      <c r="AE797" s="211">
        <v>12</v>
      </c>
    </row>
    <row r="798" spans="1:31" customFormat="1" ht="15.75" customHeight="1">
      <c r="A798" s="254"/>
      <c r="B798" s="212"/>
      <c r="C798" s="207" t="s">
        <v>155</v>
      </c>
      <c r="D798">
        <v>1167.25</v>
      </c>
      <c r="E798">
        <v>1210.57</v>
      </c>
      <c r="F798">
        <v>1231.22</v>
      </c>
      <c r="G798">
        <v>1210.51</v>
      </c>
      <c r="H798">
        <v>1161.21</v>
      </c>
      <c r="I798">
        <v>1188.21</v>
      </c>
      <c r="J798">
        <v>1222.17</v>
      </c>
      <c r="K798">
        <v>1196.1400000000001</v>
      </c>
      <c r="L798">
        <v>1130.4000000000001</v>
      </c>
      <c r="M798" s="213"/>
      <c r="N798" s="213"/>
      <c r="O798" s="213"/>
      <c r="P798" s="213"/>
      <c r="Q798" s="207"/>
      <c r="R798" s="207"/>
      <c r="S798" s="207"/>
      <c r="T798" s="207"/>
      <c r="U798" s="207"/>
      <c r="V798" s="209"/>
      <c r="W798" s="207"/>
      <c r="Y798" s="210"/>
      <c r="Z798" s="210"/>
      <c r="AA798" s="210"/>
      <c r="AB798" s="210"/>
      <c r="AC798" s="210"/>
      <c r="AD798" s="199"/>
      <c r="AE798" s="199"/>
    </row>
    <row r="799" spans="1:31" customFormat="1" ht="24" customHeight="1">
      <c r="A799" s="255"/>
      <c r="B799" s="214"/>
      <c r="C799" s="207" t="s">
        <v>154</v>
      </c>
      <c r="D799" s="215">
        <f t="shared" ref="D799:L799" si="261">IF(((D797="")*AND(D798="")),"",(D797-D798)*4)</f>
        <v>3007.4799999999996</v>
      </c>
      <c r="E799" s="215">
        <f t="shared" si="261"/>
        <v>2821.76</v>
      </c>
      <c r="F799" s="215">
        <f t="shared" si="261"/>
        <v>2726.5199999999995</v>
      </c>
      <c r="G799" s="215">
        <f t="shared" si="261"/>
        <v>2810.04</v>
      </c>
      <c r="H799" s="215">
        <f t="shared" si="261"/>
        <v>3046.3599999999997</v>
      </c>
      <c r="I799" s="215">
        <f t="shared" si="261"/>
        <v>2935.3599999999997</v>
      </c>
      <c r="J799" s="215">
        <f t="shared" si="261"/>
        <v>2771.3599999999997</v>
      </c>
      <c r="K799" s="215">
        <f t="shared" si="261"/>
        <v>2872.04</v>
      </c>
      <c r="L799" s="215">
        <f t="shared" si="261"/>
        <v>3152.7599999999993</v>
      </c>
      <c r="M799" s="224"/>
      <c r="N799" s="215"/>
      <c r="O799" s="215"/>
      <c r="P799" s="215" t="str">
        <f>IF(((P797="")*AND(P798="")),"",(P797-P798)*4)</f>
        <v/>
      </c>
      <c r="Q799" s="207"/>
      <c r="R799" s="207"/>
      <c r="S799" s="207"/>
      <c r="T799" s="207"/>
      <c r="U799" s="207"/>
      <c r="V799" s="209"/>
      <c r="W799" s="207"/>
      <c r="Y799" s="210"/>
      <c r="Z799" s="210"/>
      <c r="AA799" s="210"/>
      <c r="AB799" s="210"/>
      <c r="AC799" s="210"/>
      <c r="AD799" s="199"/>
      <c r="AE799" s="199"/>
    </row>
    <row r="800" spans="1:31" customFormat="1" ht="15.75">
      <c r="A800" s="253">
        <v>43488</v>
      </c>
      <c r="B800" s="216" t="s">
        <v>157</v>
      </c>
      <c r="C800" s="207" t="s">
        <v>156</v>
      </c>
      <c r="D800">
        <v>6960.2</v>
      </c>
      <c r="E800">
        <v>6945.76</v>
      </c>
      <c r="F800">
        <v>6998.28</v>
      </c>
      <c r="G800">
        <v>6961.13</v>
      </c>
      <c r="H800">
        <v>7015.87</v>
      </c>
      <c r="I800">
        <v>6979.75</v>
      </c>
      <c r="J800">
        <v>6981.58</v>
      </c>
      <c r="K800">
        <v>6991.39</v>
      </c>
      <c r="L800">
        <v>7069.15</v>
      </c>
      <c r="M800" s="213"/>
      <c r="N800" s="213"/>
      <c r="O800" s="213"/>
      <c r="P800" s="213"/>
      <c r="Q800" s="207">
        <f>IF((L801=""),"",MAX(D802:L802))</f>
        <v>3519.4400000000005</v>
      </c>
      <c r="R800" s="207">
        <f>IF(L801="","",MIN(D802:L802))</f>
        <v>3492.42</v>
      </c>
      <c r="S800" s="208">
        <f>IF((L802=""),"",AVERAGE(D802:L802))</f>
        <v>3511.0399999999995</v>
      </c>
      <c r="T800" s="207">
        <f>IF((L801=""),"",((Q800-R800)/(Q800+R800))*100)</f>
        <v>0.38534711189328419</v>
      </c>
      <c r="U800" s="207">
        <f>STDEV(D800:L800)</f>
        <v>36.833830615112646</v>
      </c>
      <c r="V800" s="209" t="str">
        <f>IF(L801="","",(IF(T800&lt;7,IF(S800&gt;2800,IF(S800&lt;3800,"Pass","Fail"),"Fail"),"Fail")))</f>
        <v>Pass</v>
      </c>
      <c r="W800" s="207">
        <v>1159</v>
      </c>
      <c r="X800" s="199" t="s">
        <v>285</v>
      </c>
      <c r="Y800" s="210"/>
      <c r="Z800" s="218">
        <v>2800</v>
      </c>
      <c r="AA800" s="218">
        <v>3800</v>
      </c>
      <c r="AB800" s="218">
        <v>3100</v>
      </c>
      <c r="AC800" s="218">
        <v>3760</v>
      </c>
      <c r="AD800" s="219">
        <v>6</v>
      </c>
      <c r="AE800" s="219">
        <v>6</v>
      </c>
    </row>
    <row r="801" spans="1:31" customFormat="1" ht="16.5" customHeight="1">
      <c r="A801" s="254"/>
      <c r="B801" s="212"/>
      <c r="C801" s="207" t="s">
        <v>155</v>
      </c>
      <c r="D801">
        <v>5212.47</v>
      </c>
      <c r="E801">
        <v>5186.04</v>
      </c>
      <c r="F801">
        <v>5239.1400000000003</v>
      </c>
      <c r="G801">
        <v>5203.38</v>
      </c>
      <c r="H801">
        <v>5269.66</v>
      </c>
      <c r="I801">
        <v>5220.3500000000004</v>
      </c>
      <c r="J801">
        <v>5224.6000000000004</v>
      </c>
      <c r="K801">
        <v>5232.04</v>
      </c>
      <c r="L801">
        <v>5315.75</v>
      </c>
      <c r="M801" s="213"/>
      <c r="N801" s="213"/>
      <c r="O801" s="213"/>
      <c r="P801" s="213"/>
      <c r="Q801" s="207"/>
      <c r="R801" s="207"/>
      <c r="S801" s="208"/>
      <c r="T801" s="207"/>
      <c r="U801" s="207"/>
      <c r="V801" s="209"/>
      <c r="W801" s="207"/>
      <c r="Y801" s="210"/>
      <c r="Z801" s="210"/>
      <c r="AA801" s="210"/>
      <c r="AB801" s="210"/>
      <c r="AC801" s="210"/>
      <c r="AD801" s="199"/>
      <c r="AE801" s="199"/>
    </row>
    <row r="802" spans="1:31" customFormat="1" ht="24.75" customHeight="1" thickBot="1">
      <c r="A802" s="256"/>
      <c r="B802" s="220"/>
      <c r="C802" s="221" t="s">
        <v>154</v>
      </c>
      <c r="D802" s="222">
        <f t="shared" ref="D802:L802" si="262">IF(((D800="")*AND(D801="")),"",(D800-D801)*2)</f>
        <v>3495.4599999999991</v>
      </c>
      <c r="E802" s="222">
        <f t="shared" si="262"/>
        <v>3519.4400000000005</v>
      </c>
      <c r="F802" s="222">
        <f t="shared" si="262"/>
        <v>3518.2799999999988</v>
      </c>
      <c r="G802" s="222">
        <f t="shared" si="262"/>
        <v>3515.5</v>
      </c>
      <c r="H802" s="222">
        <f t="shared" si="262"/>
        <v>3492.42</v>
      </c>
      <c r="I802" s="222">
        <f t="shared" si="262"/>
        <v>3518.7999999999993</v>
      </c>
      <c r="J802" s="222">
        <f t="shared" si="262"/>
        <v>3513.9599999999991</v>
      </c>
      <c r="K802" s="222">
        <f t="shared" si="262"/>
        <v>3518.7000000000007</v>
      </c>
      <c r="L802" s="222">
        <f t="shared" si="262"/>
        <v>3506.7999999999993</v>
      </c>
      <c r="M802" s="223"/>
      <c r="N802" s="222"/>
      <c r="O802" s="222"/>
      <c r="P802" s="222"/>
      <c r="Q802" s="207"/>
      <c r="R802" s="207"/>
      <c r="S802" s="208"/>
      <c r="T802" s="207"/>
      <c r="U802" s="207"/>
      <c r="V802" s="209"/>
      <c r="W802" s="207"/>
      <c r="Y802" s="210"/>
      <c r="Z802" s="210"/>
      <c r="AA802" s="210"/>
      <c r="AB802" s="210"/>
      <c r="AC802" s="210"/>
      <c r="AD802" s="199"/>
      <c r="AE802" s="199"/>
    </row>
    <row r="803" spans="1:31" customFormat="1" ht="15.75">
      <c r="A803" s="311">
        <v>43493</v>
      </c>
      <c r="B803" s="204" t="s">
        <v>158</v>
      </c>
      <c r="C803" s="205" t="s">
        <v>156</v>
      </c>
      <c r="D803">
        <v>1167.25</v>
      </c>
      <c r="E803">
        <v>1210.57</v>
      </c>
      <c r="F803">
        <v>1231.22</v>
      </c>
      <c r="G803">
        <v>1210.51</v>
      </c>
      <c r="H803">
        <v>1161.21</v>
      </c>
      <c r="I803">
        <v>1188.21</v>
      </c>
      <c r="J803">
        <v>1222.17</v>
      </c>
      <c r="K803">
        <v>1196.1400000000001</v>
      </c>
      <c r="L803">
        <v>1130.4000000000001</v>
      </c>
      <c r="M803" s="206"/>
      <c r="N803" s="206"/>
      <c r="O803" s="206"/>
      <c r="P803" s="206"/>
      <c r="Q803" s="207">
        <f>IF((L804=""),"",MAX(D805:L805))</f>
        <v>3237.84</v>
      </c>
      <c r="R803" s="207">
        <f>IF(L804="","",MIN(D805:L805))</f>
        <v>2748.96</v>
      </c>
      <c r="S803" s="208">
        <f>IF((L805=""),"",AVERAGE(D805:L805))</f>
        <v>2959.6044444444442</v>
      </c>
      <c r="T803" s="207">
        <f>IF((L804=""),"",((Q803-R803)/(Q803+R803))*100)</f>
        <v>8.1659651232711994</v>
      </c>
      <c r="U803" s="207">
        <f>STDEV(D803:L803)</f>
        <v>32.616558294837439</v>
      </c>
      <c r="V803" s="209" t="str">
        <f>IF(L804="","",(IF(T803&lt;12,IF(S803&gt;2200,IF(S803&lt;3280,"Pass","Fail"),"Fail"),"Fail")))</f>
        <v>Pass</v>
      </c>
      <c r="W803" s="207">
        <v>121</v>
      </c>
      <c r="X803" s="307" t="s">
        <v>286</v>
      </c>
      <c r="Y803" s="210"/>
      <c r="Z803" s="210">
        <v>2000</v>
      </c>
      <c r="AA803" s="210">
        <v>3000</v>
      </c>
      <c r="AB803" s="210">
        <v>2200</v>
      </c>
      <c r="AC803" s="210">
        <v>3280</v>
      </c>
      <c r="AD803" s="211">
        <v>12</v>
      </c>
      <c r="AE803" s="211">
        <v>12</v>
      </c>
    </row>
    <row r="804" spans="1:31" customFormat="1" ht="15.75" customHeight="1">
      <c r="A804" s="312"/>
      <c r="B804" s="212"/>
      <c r="C804" s="207" t="s">
        <v>155</v>
      </c>
      <c r="D804">
        <v>390.56</v>
      </c>
      <c r="E804">
        <v>496.46</v>
      </c>
      <c r="F804">
        <v>543.98</v>
      </c>
      <c r="G804">
        <v>500.52</v>
      </c>
      <c r="H804">
        <v>382.97</v>
      </c>
      <c r="I804">
        <v>429.87</v>
      </c>
      <c r="J804">
        <v>523.1</v>
      </c>
      <c r="K804">
        <v>470.17</v>
      </c>
      <c r="L804">
        <v>320.94</v>
      </c>
      <c r="M804" s="213"/>
      <c r="N804" s="213"/>
      <c r="O804" s="213"/>
      <c r="P804" s="213"/>
      <c r="Q804" s="207"/>
      <c r="R804" s="207"/>
      <c r="S804" s="207"/>
      <c r="T804" s="207"/>
      <c r="U804" s="207"/>
      <c r="V804" s="209"/>
      <c r="W804" s="207"/>
      <c r="X804" s="314"/>
      <c r="Y804" s="210"/>
      <c r="Z804" s="210"/>
      <c r="AA804" s="210"/>
      <c r="AB804" s="210"/>
      <c r="AC804" s="210"/>
      <c r="AD804" s="199"/>
      <c r="AE804" s="199"/>
    </row>
    <row r="805" spans="1:31" customFormat="1" ht="24" customHeight="1">
      <c r="A805" s="313"/>
      <c r="B805" s="214"/>
      <c r="C805" s="207" t="s">
        <v>154</v>
      </c>
      <c r="D805" s="215">
        <f t="shared" ref="D805:L805" si="263">IF(((D803="")*AND(D804="")),"",(D803-D804)*4)</f>
        <v>3106.76</v>
      </c>
      <c r="E805" s="215">
        <f t="shared" si="263"/>
        <v>2856.4399999999996</v>
      </c>
      <c r="F805" s="215">
        <f t="shared" si="263"/>
        <v>2748.96</v>
      </c>
      <c r="G805" s="215">
        <f t="shared" si="263"/>
        <v>2839.96</v>
      </c>
      <c r="H805" s="215">
        <f t="shared" si="263"/>
        <v>3112.96</v>
      </c>
      <c r="I805" s="215">
        <f t="shared" si="263"/>
        <v>3033.36</v>
      </c>
      <c r="J805" s="215">
        <f t="shared" si="263"/>
        <v>2796.28</v>
      </c>
      <c r="K805" s="215">
        <f t="shared" si="263"/>
        <v>2903.88</v>
      </c>
      <c r="L805" s="215">
        <f t="shared" si="263"/>
        <v>3237.84</v>
      </c>
      <c r="M805" s="224"/>
      <c r="N805" s="215"/>
      <c r="O805" s="215"/>
      <c r="P805" s="215" t="str">
        <f>IF(((P803="")*AND(P804="")),"",(P803-P804)*4)</f>
        <v/>
      </c>
      <c r="Q805" s="207"/>
      <c r="R805" s="207"/>
      <c r="S805" s="207"/>
      <c r="T805" s="207"/>
      <c r="U805" s="207"/>
      <c r="V805" s="209"/>
      <c r="W805" s="207"/>
      <c r="X805" s="314"/>
      <c r="Y805" s="210"/>
      <c r="Z805" s="210"/>
      <c r="AA805" s="210"/>
      <c r="AB805" s="210"/>
      <c r="AC805" s="210"/>
      <c r="AD805" s="199"/>
      <c r="AE805" s="199"/>
    </row>
    <row r="806" spans="1:31" customFormat="1" ht="15.75">
      <c r="A806" s="315">
        <v>43493</v>
      </c>
      <c r="B806" s="216" t="s">
        <v>157</v>
      </c>
      <c r="C806" s="207" t="s">
        <v>156</v>
      </c>
      <c r="D806">
        <v>5212.47</v>
      </c>
      <c r="E806">
        <v>5186.04</v>
      </c>
      <c r="F806">
        <v>5239.1400000000003</v>
      </c>
      <c r="G806">
        <v>5203.38</v>
      </c>
      <c r="H806">
        <v>5269.66</v>
      </c>
      <c r="I806">
        <v>5220.3500000000004</v>
      </c>
      <c r="J806">
        <v>5224.6000000000004</v>
      </c>
      <c r="K806">
        <v>5232.04</v>
      </c>
      <c r="L806">
        <v>5315.75</v>
      </c>
      <c r="M806" s="213"/>
      <c r="N806" s="213"/>
      <c r="O806" s="213"/>
      <c r="P806" s="213"/>
      <c r="Q806" s="207">
        <f>IF((L807=""),"",MAX(D808:L808))</f>
        <v>3454.3400000000011</v>
      </c>
      <c r="R806" s="207">
        <f>IF(L807="","",MIN(D808:L808))</f>
        <v>3426.7200000000003</v>
      </c>
      <c r="S806" s="208">
        <f>IF((L808=""),"",AVERAGE(D808:L808))</f>
        <v>3446.1444444444446</v>
      </c>
      <c r="T806" s="207">
        <f>IF((L807=""),"",((Q806-R806)/(Q806+R806))*100)</f>
        <v>0.40139164605454386</v>
      </c>
      <c r="U806" s="207">
        <f>STDEV(D806:L806)</f>
        <v>38.665544775390778</v>
      </c>
      <c r="V806" s="209" t="str">
        <f>IF(L807="","",(IF(T806&lt;7,IF(S806&gt;2800,IF(S806&lt;3800,"Pass","Fail"),"Fail"),"Fail")))</f>
        <v>Pass</v>
      </c>
      <c r="W806" s="207">
        <v>121</v>
      </c>
      <c r="X806" s="307"/>
      <c r="Y806" s="210"/>
      <c r="Z806" s="218">
        <v>2800</v>
      </c>
      <c r="AA806" s="218">
        <v>3800</v>
      </c>
      <c r="AB806" s="218">
        <v>3100</v>
      </c>
      <c r="AC806" s="218">
        <v>3760</v>
      </c>
      <c r="AD806" s="219">
        <v>6</v>
      </c>
      <c r="AE806" s="219">
        <v>6</v>
      </c>
    </row>
    <row r="807" spans="1:31" customFormat="1" ht="16.5" customHeight="1">
      <c r="A807" s="312"/>
      <c r="B807" s="212"/>
      <c r="C807" s="207" t="s">
        <v>155</v>
      </c>
      <c r="D807">
        <v>3499.11</v>
      </c>
      <c r="E807">
        <v>3459.63</v>
      </c>
      <c r="F807">
        <v>3511.97</v>
      </c>
      <c r="G807">
        <v>3479.96</v>
      </c>
      <c r="H807">
        <v>3553</v>
      </c>
      <c r="I807">
        <v>3493.24</v>
      </c>
      <c r="J807">
        <v>3502.31</v>
      </c>
      <c r="K807">
        <v>3505.23</v>
      </c>
      <c r="L807">
        <v>3591.33</v>
      </c>
      <c r="M807" s="213"/>
      <c r="N807" s="213"/>
      <c r="O807" s="213"/>
      <c r="P807" s="213"/>
      <c r="Q807" s="207"/>
      <c r="R807" s="207"/>
      <c r="S807" s="208"/>
      <c r="T807" s="207"/>
      <c r="U807" s="207"/>
      <c r="V807" s="209"/>
      <c r="W807" s="207"/>
      <c r="X807" s="314"/>
      <c r="Y807" s="210"/>
      <c r="Z807" s="210"/>
      <c r="AA807" s="210"/>
      <c r="AB807" s="210"/>
      <c r="AC807" s="210"/>
      <c r="AD807" s="199"/>
      <c r="AE807" s="199"/>
    </row>
    <row r="808" spans="1:31" customFormat="1" ht="24.75" customHeight="1" thickBot="1">
      <c r="A808" s="316"/>
      <c r="B808" s="220"/>
      <c r="C808" s="221" t="s">
        <v>154</v>
      </c>
      <c r="D808" s="222">
        <f t="shared" ref="D808:L808" si="264">IF(((D806="")*AND(D807="")),"",(D806-D807)*2)</f>
        <v>3426.7200000000003</v>
      </c>
      <c r="E808" s="222">
        <f t="shared" si="264"/>
        <v>3452.8199999999997</v>
      </c>
      <c r="F808" s="222">
        <f t="shared" si="264"/>
        <v>3454.3400000000011</v>
      </c>
      <c r="G808" s="222">
        <f t="shared" si="264"/>
        <v>3446.84</v>
      </c>
      <c r="H808" s="222">
        <f t="shared" si="264"/>
        <v>3433.3199999999997</v>
      </c>
      <c r="I808" s="222">
        <f t="shared" si="264"/>
        <v>3454.2200000000012</v>
      </c>
      <c r="J808" s="222">
        <f t="shared" si="264"/>
        <v>3444.5800000000008</v>
      </c>
      <c r="K808" s="222">
        <f t="shared" si="264"/>
        <v>3453.62</v>
      </c>
      <c r="L808" s="222">
        <f t="shared" si="264"/>
        <v>3448.84</v>
      </c>
      <c r="M808" s="223"/>
      <c r="N808" s="222"/>
      <c r="O808" s="222"/>
      <c r="P808" s="222"/>
      <c r="Q808" s="207"/>
      <c r="R808" s="207"/>
      <c r="S808" s="208"/>
      <c r="T808" s="207"/>
      <c r="U808" s="207"/>
      <c r="V808" s="209"/>
      <c r="W808" s="207"/>
      <c r="X808" s="314"/>
      <c r="Y808" s="210"/>
      <c r="Z808" s="210"/>
      <c r="AA808" s="210"/>
      <c r="AB808" s="210"/>
      <c r="AC808" s="210"/>
      <c r="AD808" s="199"/>
      <c r="AE808" s="199"/>
    </row>
    <row r="809" spans="1:31" customFormat="1" ht="15.75">
      <c r="A809" s="311">
        <v>43497</v>
      </c>
      <c r="B809" s="204" t="s">
        <v>158</v>
      </c>
      <c r="C809" s="205" t="s">
        <v>156</v>
      </c>
      <c r="D809">
        <v>1916.11</v>
      </c>
      <c r="E809">
        <v>1912.63</v>
      </c>
      <c r="F809">
        <v>1913.02</v>
      </c>
      <c r="G809">
        <v>1915.7</v>
      </c>
      <c r="H809">
        <v>1918.82</v>
      </c>
      <c r="I809">
        <v>1919.16</v>
      </c>
      <c r="J809">
        <v>1912.23</v>
      </c>
      <c r="K809">
        <v>1914.41</v>
      </c>
      <c r="L809">
        <v>1921.23</v>
      </c>
      <c r="M809" s="206"/>
      <c r="N809" s="206"/>
      <c r="O809" s="206"/>
      <c r="P809" s="206"/>
      <c r="Q809" s="207">
        <f>IF((L810=""),"",MAX(D811:L811))</f>
        <v>3098.3999999999996</v>
      </c>
      <c r="R809" s="207">
        <f>IF(L810="","",MIN(D811:L811))</f>
        <v>2679.8</v>
      </c>
      <c r="S809" s="208">
        <f>IF((L811=""),"",AVERAGE(D811:L811))</f>
        <v>2849.4622222222224</v>
      </c>
      <c r="T809" s="207">
        <f>IF((L810=""),"",((Q809-R809)/(Q809+R809))*100)</f>
        <v>7.244470596379486</v>
      </c>
      <c r="U809" s="207">
        <f>STDEV(D809:L809)</f>
        <v>3.2077718122468868</v>
      </c>
      <c r="V809" s="209" t="str">
        <f>IF(L810="","",(IF(T809&lt;12,IF(S809&gt;2200,IF(S809&lt;3280,"Pass","Fail"),"Fail"),"Fail")))</f>
        <v>Pass</v>
      </c>
      <c r="W809" s="207">
        <v>121</v>
      </c>
      <c r="X809" s="307" t="s">
        <v>287</v>
      </c>
      <c r="Y809" s="210"/>
      <c r="Z809" s="210">
        <v>2000</v>
      </c>
      <c r="AA809" s="210">
        <v>3000</v>
      </c>
      <c r="AB809" s="210">
        <v>2200</v>
      </c>
      <c r="AC809" s="210">
        <v>3280</v>
      </c>
      <c r="AD809" s="211">
        <v>12</v>
      </c>
      <c r="AE809" s="211">
        <v>12</v>
      </c>
    </row>
    <row r="810" spans="1:31" customFormat="1" ht="15.75" customHeight="1">
      <c r="A810" s="312"/>
      <c r="B810" s="212"/>
      <c r="C810" s="207" t="s">
        <v>155</v>
      </c>
      <c r="D810">
        <v>1178.23</v>
      </c>
      <c r="E810">
        <v>1213.6400000000001</v>
      </c>
      <c r="F810">
        <v>1243.07</v>
      </c>
      <c r="G810">
        <v>1223.76</v>
      </c>
      <c r="H810">
        <v>1186.5899999999999</v>
      </c>
      <c r="I810">
        <v>1205.42</v>
      </c>
      <c r="J810">
        <v>1232.96</v>
      </c>
      <c r="K810">
        <v>1201.72</v>
      </c>
      <c r="L810">
        <v>1146.6300000000001</v>
      </c>
      <c r="M810" s="213"/>
      <c r="N810" s="213"/>
      <c r="O810" s="213"/>
      <c r="P810" s="213"/>
      <c r="Q810" s="207"/>
      <c r="R810" s="207"/>
      <c r="S810" s="207"/>
      <c r="T810" s="207"/>
      <c r="U810" s="207"/>
      <c r="V810" s="209"/>
      <c r="W810" s="207"/>
      <c r="X810" s="314"/>
      <c r="Y810" s="210"/>
      <c r="Z810" s="210"/>
      <c r="AA810" s="210"/>
      <c r="AB810" s="210"/>
      <c r="AC810" s="210"/>
      <c r="AD810" s="199"/>
      <c r="AE810" s="199"/>
    </row>
    <row r="811" spans="1:31" customFormat="1" ht="24" customHeight="1">
      <c r="A811" s="313"/>
      <c r="B811" s="214"/>
      <c r="C811" s="207" t="s">
        <v>154</v>
      </c>
      <c r="D811" s="215">
        <f t="shared" ref="D811:L811" si="265">IF(((D809="")*AND(D810="")),"",(D809-D810)*4)</f>
        <v>2951.5199999999995</v>
      </c>
      <c r="E811" s="215">
        <f t="shared" si="265"/>
        <v>2795.96</v>
      </c>
      <c r="F811" s="215">
        <f t="shared" si="265"/>
        <v>2679.8</v>
      </c>
      <c r="G811" s="215">
        <f t="shared" si="265"/>
        <v>2767.76</v>
      </c>
      <c r="H811" s="215">
        <f t="shared" si="265"/>
        <v>2928.92</v>
      </c>
      <c r="I811" s="215">
        <f t="shared" si="265"/>
        <v>2854.96</v>
      </c>
      <c r="J811" s="215">
        <f t="shared" si="265"/>
        <v>2717.08</v>
      </c>
      <c r="K811" s="215">
        <f t="shared" si="265"/>
        <v>2850.76</v>
      </c>
      <c r="L811" s="215">
        <f t="shared" si="265"/>
        <v>3098.3999999999996</v>
      </c>
      <c r="M811" s="224"/>
      <c r="N811" s="215"/>
      <c r="O811" s="215"/>
      <c r="P811" s="215" t="str">
        <f>IF(((P809="")*AND(P810="")),"",(P809-P810)*4)</f>
        <v/>
      </c>
      <c r="Q811" s="207"/>
      <c r="R811" s="207"/>
      <c r="S811" s="207"/>
      <c r="T811" s="207"/>
      <c r="U811" s="207"/>
      <c r="V811" s="209"/>
      <c r="W811" s="207"/>
      <c r="X811" s="314"/>
      <c r="Y811" s="210"/>
      <c r="Z811" s="210"/>
      <c r="AA811" s="210"/>
      <c r="AB811" s="210"/>
      <c r="AC811" s="210"/>
      <c r="AD811" s="199"/>
      <c r="AE811" s="199"/>
    </row>
    <row r="812" spans="1:31" customFormat="1" ht="15.75">
      <c r="A812" s="315">
        <v>43497</v>
      </c>
      <c r="B812" s="216" t="s">
        <v>157</v>
      </c>
      <c r="C812" s="207" t="s">
        <v>156</v>
      </c>
      <c r="D812">
        <v>3499.11</v>
      </c>
      <c r="E812">
        <v>3459.63</v>
      </c>
      <c r="F812">
        <v>3511.97</v>
      </c>
      <c r="G812">
        <v>3479.96</v>
      </c>
      <c r="H812">
        <v>3553</v>
      </c>
      <c r="I812">
        <v>3493.24</v>
      </c>
      <c r="J812">
        <v>3502.31</v>
      </c>
      <c r="K812">
        <v>3505.23</v>
      </c>
      <c r="L812">
        <v>3591.33</v>
      </c>
      <c r="M812" s="213"/>
      <c r="N812" s="213"/>
      <c r="O812" s="213"/>
      <c r="P812" s="213"/>
      <c r="Q812" s="207">
        <f>IF((L813=""),"",MAX(D814:L814))</f>
        <v>3571.96</v>
      </c>
      <c r="R812" s="207">
        <f>IF(L813="","",MIN(D814:L814))</f>
        <v>3524.3599999999997</v>
      </c>
      <c r="S812" s="208">
        <f>IF((L814=""),"",AVERAGE(D814:L814))</f>
        <v>3554.7822222222221</v>
      </c>
      <c r="T812" s="207">
        <f>IF((L813=""),"",((Q812-R812)/(Q812+R812))*100)</f>
        <v>0.67077020202020721</v>
      </c>
      <c r="U812" s="207">
        <f>STDEV(D812:L812)</f>
        <v>39.345671546484986</v>
      </c>
      <c r="V812" s="209" t="str">
        <f>IF(L813="","",(IF(T812&lt;7,IF(S812&gt;2800,IF(S812&lt;3800,"Pass","Fail"),"Fail"),"Fail")))</f>
        <v>Pass</v>
      </c>
      <c r="W812" s="207">
        <v>121</v>
      </c>
      <c r="X812" s="307"/>
      <c r="Y812" s="210"/>
      <c r="Z812" s="218">
        <v>2800</v>
      </c>
      <c r="AA812" s="218">
        <v>3800</v>
      </c>
      <c r="AB812" s="218">
        <v>3100</v>
      </c>
      <c r="AC812" s="218">
        <v>3760</v>
      </c>
      <c r="AD812" s="219">
        <v>6</v>
      </c>
      <c r="AE812" s="219">
        <v>6</v>
      </c>
    </row>
    <row r="813" spans="1:31" customFormat="1" ht="16.5" customHeight="1">
      <c r="A813" s="312"/>
      <c r="B813" s="212"/>
      <c r="C813" s="207" t="s">
        <v>155</v>
      </c>
      <c r="D813">
        <v>1719.93</v>
      </c>
      <c r="E813">
        <v>1673.65</v>
      </c>
      <c r="F813">
        <v>1729.32</v>
      </c>
      <c r="G813">
        <v>1700.21</v>
      </c>
      <c r="H813">
        <v>1789.58</v>
      </c>
      <c r="I813">
        <v>1710.5</v>
      </c>
      <c r="J813">
        <v>1720.73</v>
      </c>
      <c r="K813">
        <v>1726.19</v>
      </c>
      <c r="L813">
        <v>1829.15</v>
      </c>
      <c r="M813" s="213"/>
      <c r="N813" s="213"/>
      <c r="O813" s="213"/>
      <c r="P813" s="213"/>
      <c r="Q813" s="207"/>
      <c r="R813" s="207"/>
      <c r="S813" s="208"/>
      <c r="T813" s="207"/>
      <c r="U813" s="207"/>
      <c r="V813" s="209"/>
      <c r="W813" s="207"/>
      <c r="X813" s="314"/>
      <c r="Y813" s="210"/>
      <c r="Z813" s="210"/>
      <c r="AA813" s="210"/>
      <c r="AB813" s="210"/>
      <c r="AC813" s="210"/>
      <c r="AD813" s="199"/>
      <c r="AE813" s="199"/>
    </row>
    <row r="814" spans="1:31" customFormat="1" ht="24.75" customHeight="1" thickBot="1">
      <c r="A814" s="316"/>
      <c r="B814" s="220"/>
      <c r="C814" s="221" t="s">
        <v>154</v>
      </c>
      <c r="D814" s="222">
        <f t="shared" ref="D814:L814" si="266">IF(((D812="")*AND(D813="")),"",(D812-D813)*2)</f>
        <v>3558.36</v>
      </c>
      <c r="E814" s="222">
        <f t="shared" si="266"/>
        <v>3571.96</v>
      </c>
      <c r="F814" s="222">
        <f t="shared" si="266"/>
        <v>3565.2999999999997</v>
      </c>
      <c r="G814" s="222">
        <f t="shared" si="266"/>
        <v>3559.5</v>
      </c>
      <c r="H814" s="222">
        <f t="shared" si="266"/>
        <v>3526.84</v>
      </c>
      <c r="I814" s="222">
        <f t="shared" si="266"/>
        <v>3565.4799999999996</v>
      </c>
      <c r="J814" s="222">
        <f t="shared" si="266"/>
        <v>3563.16</v>
      </c>
      <c r="K814" s="222">
        <f t="shared" si="266"/>
        <v>3558.08</v>
      </c>
      <c r="L814" s="222">
        <f t="shared" si="266"/>
        <v>3524.3599999999997</v>
      </c>
      <c r="M814" s="223"/>
      <c r="N814" s="222"/>
      <c r="O814" s="222"/>
      <c r="P814" s="222"/>
      <c r="Q814" s="207"/>
      <c r="R814" s="207"/>
      <c r="S814" s="208"/>
      <c r="T814" s="207"/>
      <c r="U814" s="207"/>
      <c r="V814" s="209"/>
      <c r="W814" s="207"/>
      <c r="X814" s="314"/>
      <c r="Y814" s="210"/>
      <c r="Z814" s="210"/>
      <c r="AA814" s="210"/>
      <c r="AB814" s="210"/>
      <c r="AC814" s="210"/>
      <c r="AD814" s="199"/>
      <c r="AE814" s="199"/>
    </row>
    <row r="815" spans="1:31" customFormat="1" ht="15.75">
      <c r="A815" s="225">
        <v>43502</v>
      </c>
      <c r="B815" s="204" t="s">
        <v>158</v>
      </c>
      <c r="C815" s="205" t="s">
        <v>156</v>
      </c>
      <c r="D815">
        <v>1922.67</v>
      </c>
      <c r="E815">
        <v>1918.47</v>
      </c>
      <c r="F815">
        <v>1910.06</v>
      </c>
      <c r="G815">
        <v>1915.89</v>
      </c>
      <c r="H815">
        <v>1924.97</v>
      </c>
      <c r="I815">
        <v>1924.58</v>
      </c>
      <c r="J815">
        <v>1914.85</v>
      </c>
      <c r="K815">
        <v>1916.38</v>
      </c>
      <c r="L815">
        <v>1923.97</v>
      </c>
      <c r="M815" s="206"/>
      <c r="N815" s="206"/>
      <c r="O815" s="206"/>
      <c r="P815" s="206"/>
      <c r="Q815" s="207">
        <f>IF((L816=""),"",MAX(D817:L817))</f>
        <v>3080.4400000000005</v>
      </c>
      <c r="R815" s="207">
        <f>IF(L816="","",MIN(D817:L817))</f>
        <v>2686.2799999999997</v>
      </c>
      <c r="S815" s="208">
        <f>IF((L817=""),"",AVERAGE(D817:L817))</f>
        <v>2845.3599999999997</v>
      </c>
      <c r="T815" s="207">
        <f>IF((L816=""),"",((Q815-R815)/(Q815+R815))*100)</f>
        <v>6.8350812940458487</v>
      </c>
      <c r="U815" s="207">
        <f>STDEV(D815:L815)</f>
        <v>5.2301075513203363</v>
      </c>
      <c r="V815" s="209" t="str">
        <f>IF(L816="","",(IF(T815&lt;12,IF(S815&gt;2200,IF(S815&lt;3280,"Pass","Fail"),"Fail"),"Fail")))</f>
        <v>Pass</v>
      </c>
      <c r="W815" s="207">
        <v>1340</v>
      </c>
      <c r="X815" s="199"/>
      <c r="Y815" s="210"/>
      <c r="Z815" s="210">
        <v>2000</v>
      </c>
      <c r="AA815" s="210">
        <v>3000</v>
      </c>
      <c r="AB815" s="210">
        <v>2200</v>
      </c>
      <c r="AC815" s="210">
        <v>3280</v>
      </c>
      <c r="AD815" s="211">
        <v>12</v>
      </c>
      <c r="AE815" s="211">
        <v>12</v>
      </c>
    </row>
    <row r="816" spans="1:31" customFormat="1" ht="15.75" customHeight="1">
      <c r="A816" s="226"/>
      <c r="B816" s="212"/>
      <c r="C816" s="207" t="s">
        <v>155</v>
      </c>
      <c r="D816">
        <v>1189.25</v>
      </c>
      <c r="E816">
        <v>1221.1500000000001</v>
      </c>
      <c r="F816">
        <v>1238.49</v>
      </c>
      <c r="G816">
        <v>1223.79</v>
      </c>
      <c r="H816">
        <v>1190.33</v>
      </c>
      <c r="I816">
        <v>1210.18</v>
      </c>
      <c r="J816">
        <v>1236.24</v>
      </c>
      <c r="K816">
        <v>1206.49</v>
      </c>
      <c r="L816">
        <v>1153.8599999999999</v>
      </c>
      <c r="M816" s="213"/>
      <c r="N816" s="213"/>
      <c r="O816" s="213"/>
      <c r="P816" s="213"/>
      <c r="Q816" s="207"/>
      <c r="R816" s="207"/>
      <c r="S816" s="207"/>
      <c r="T816" s="207"/>
      <c r="U816" s="207"/>
      <c r="V816" s="209"/>
      <c r="W816" s="207"/>
      <c r="Y816" s="210"/>
      <c r="Z816" s="210"/>
      <c r="AA816" s="210"/>
      <c r="AB816" s="210"/>
      <c r="AC816" s="210"/>
      <c r="AD816" s="199"/>
      <c r="AE816" s="199"/>
    </row>
    <row r="817" spans="1:31" customFormat="1" ht="24" customHeight="1">
      <c r="A817" s="227"/>
      <c r="B817" s="214"/>
      <c r="C817" s="207" t="s">
        <v>154</v>
      </c>
      <c r="D817" s="215">
        <f t="shared" ref="D817:L817" si="267">IF(((D815="")*AND(D816="")),"",(D815-D816)*4)</f>
        <v>2933.6800000000003</v>
      </c>
      <c r="E817" s="215">
        <f t="shared" si="267"/>
        <v>2789.2799999999997</v>
      </c>
      <c r="F817" s="215">
        <f t="shared" si="267"/>
        <v>2686.2799999999997</v>
      </c>
      <c r="G817" s="215">
        <f t="shared" si="267"/>
        <v>2768.4000000000005</v>
      </c>
      <c r="H817" s="215">
        <f t="shared" si="267"/>
        <v>2938.5600000000004</v>
      </c>
      <c r="I817" s="215">
        <f t="shared" si="267"/>
        <v>2857.5999999999995</v>
      </c>
      <c r="J817" s="215">
        <f t="shared" si="267"/>
        <v>2714.4399999999996</v>
      </c>
      <c r="K817" s="215">
        <f t="shared" si="267"/>
        <v>2839.5600000000004</v>
      </c>
      <c r="L817" s="215">
        <f t="shared" si="267"/>
        <v>3080.4400000000005</v>
      </c>
      <c r="M817" s="224"/>
      <c r="N817" s="215"/>
      <c r="O817" s="215"/>
      <c r="P817" s="215" t="str">
        <f>IF(((P815="")*AND(P816="")),"",(P815-P816)*4)</f>
        <v/>
      </c>
      <c r="Q817" s="207"/>
      <c r="R817" s="207"/>
      <c r="S817" s="207"/>
      <c r="T817" s="207"/>
      <c r="U817" s="207"/>
      <c r="V817" s="209"/>
      <c r="W817" s="207"/>
      <c r="Y817" s="210"/>
      <c r="Z817" s="210"/>
      <c r="AA817" s="210"/>
      <c r="AB817" s="210"/>
      <c r="AC817" s="210"/>
      <c r="AD817" s="199"/>
      <c r="AE817" s="199"/>
    </row>
    <row r="818" spans="1:31" customFormat="1" ht="15.75">
      <c r="A818" s="228">
        <v>43502</v>
      </c>
      <c r="B818" s="216" t="s">
        <v>157</v>
      </c>
      <c r="C818" s="207" t="s">
        <v>156</v>
      </c>
      <c r="D818">
        <v>6852.7</v>
      </c>
      <c r="E818">
        <v>6839.8</v>
      </c>
      <c r="F818">
        <v>6888.52</v>
      </c>
      <c r="G818">
        <v>6849.53</v>
      </c>
      <c r="H818">
        <v>6896.73</v>
      </c>
      <c r="I818">
        <v>6873.14</v>
      </c>
      <c r="J818">
        <v>6874.12</v>
      </c>
      <c r="K818">
        <v>6880.53</v>
      </c>
      <c r="L818">
        <v>6958.09</v>
      </c>
      <c r="M818" s="213"/>
      <c r="N818" s="213"/>
      <c r="O818" s="213"/>
      <c r="P818" s="213"/>
      <c r="Q818" s="207">
        <f>IF((L819=""),"",MAX(D820:L820))</f>
        <v>3539.16</v>
      </c>
      <c r="R818" s="207">
        <f>IF(L819="","",MIN(D820:L820))</f>
        <v>3517.7199999999993</v>
      </c>
      <c r="S818" s="208">
        <f>IF((L820=""),"",AVERAGE(D820:L820))</f>
        <v>3529.9377777777781</v>
      </c>
      <c r="T818" s="207">
        <f>IF((L819=""),"",((Q818-R818)/(Q818+R818))*100)</f>
        <v>0.30381698427634468</v>
      </c>
      <c r="U818" s="207">
        <f>STDEV(D818:L818)</f>
        <v>35.030341848245094</v>
      </c>
      <c r="V818" s="209" t="str">
        <f>IF(L819="","",(IF(T818&lt;7,IF(S818&gt;2800,IF(S818&lt;3800,"Pass","Fail"),"Fail"),"Fail")))</f>
        <v>Pass</v>
      </c>
      <c r="W818" s="207">
        <v>1340</v>
      </c>
      <c r="X818" s="199"/>
      <c r="Y818" s="210"/>
      <c r="Z818" s="218">
        <v>2800</v>
      </c>
      <c r="AA818" s="218">
        <v>3800</v>
      </c>
      <c r="AB818" s="218">
        <v>3100</v>
      </c>
      <c r="AC818" s="218">
        <v>3760</v>
      </c>
      <c r="AD818" s="219">
        <v>6</v>
      </c>
      <c r="AE818" s="219">
        <v>6</v>
      </c>
    </row>
    <row r="819" spans="1:31" customFormat="1" ht="16.5" customHeight="1">
      <c r="A819" s="226"/>
      <c r="B819" s="212"/>
      <c r="C819" s="207" t="s">
        <v>155</v>
      </c>
      <c r="D819">
        <v>5092.4399999999996</v>
      </c>
      <c r="E819">
        <v>5073.8999999999996</v>
      </c>
      <c r="F819">
        <v>5122.59</v>
      </c>
      <c r="G819">
        <v>5084.4799999999996</v>
      </c>
      <c r="H819">
        <v>5137.87</v>
      </c>
      <c r="I819">
        <v>5103.5600000000004</v>
      </c>
      <c r="J819">
        <v>5107.67</v>
      </c>
      <c r="K819">
        <v>5114.99</v>
      </c>
      <c r="L819">
        <v>5190.9399999999996</v>
      </c>
      <c r="M819" s="213"/>
      <c r="N819" s="213"/>
      <c r="O819" s="213"/>
      <c r="P819" s="213"/>
      <c r="Q819" s="207"/>
      <c r="R819" s="207"/>
      <c r="S819" s="208"/>
      <c r="T819" s="207"/>
      <c r="U819" s="207"/>
      <c r="V819" s="209"/>
      <c r="W819" s="207"/>
      <c r="Y819" s="210"/>
      <c r="Z819" s="210"/>
      <c r="AA819" s="210"/>
      <c r="AB819" s="210"/>
      <c r="AC819" s="210"/>
      <c r="AD819" s="199"/>
      <c r="AE819" s="199"/>
    </row>
    <row r="820" spans="1:31" customFormat="1" ht="24.75" customHeight="1" thickBot="1">
      <c r="A820" s="229"/>
      <c r="B820" s="220"/>
      <c r="C820" s="221" t="s">
        <v>154</v>
      </c>
      <c r="D820" s="222">
        <f t="shared" ref="D820:L820" si="268">IF(((D818="")*AND(D819="")),"",(D818-D819)*2)</f>
        <v>3520.5200000000004</v>
      </c>
      <c r="E820" s="222">
        <f t="shared" si="268"/>
        <v>3531.8000000000011</v>
      </c>
      <c r="F820" s="222">
        <f t="shared" si="268"/>
        <v>3531.8600000000006</v>
      </c>
      <c r="G820" s="222">
        <f t="shared" si="268"/>
        <v>3530.1000000000004</v>
      </c>
      <c r="H820" s="222">
        <f t="shared" si="268"/>
        <v>3517.7199999999993</v>
      </c>
      <c r="I820" s="222">
        <f t="shared" si="268"/>
        <v>3539.16</v>
      </c>
      <c r="J820" s="222">
        <f t="shared" si="268"/>
        <v>3532.8999999999996</v>
      </c>
      <c r="K820" s="222">
        <f t="shared" si="268"/>
        <v>3531.08</v>
      </c>
      <c r="L820" s="222">
        <f t="shared" si="268"/>
        <v>3534.3000000000011</v>
      </c>
      <c r="M820" s="223"/>
      <c r="N820" s="222"/>
      <c r="O820" s="222"/>
      <c r="P820" s="222"/>
      <c r="Q820" s="207"/>
      <c r="R820" s="207"/>
      <c r="S820" s="208"/>
      <c r="T820" s="207"/>
      <c r="U820" s="207"/>
      <c r="V820" s="209"/>
      <c r="W820" s="207"/>
      <c r="Y820" s="210"/>
      <c r="Z820" s="210"/>
      <c r="AA820" s="210"/>
      <c r="AB820" s="210"/>
      <c r="AC820" s="210"/>
      <c r="AD820" s="199"/>
      <c r="AE820" s="199"/>
    </row>
    <row r="821" spans="1:31" customFormat="1" ht="15.75">
      <c r="A821" s="225">
        <v>43505</v>
      </c>
      <c r="B821" s="204" t="s">
        <v>158</v>
      </c>
      <c r="C821" s="205" t="s">
        <v>156</v>
      </c>
      <c r="D821">
        <v>1189.25</v>
      </c>
      <c r="E821">
        <v>1221.1500000000001</v>
      </c>
      <c r="F821">
        <v>1238.49</v>
      </c>
      <c r="G821">
        <v>1223.79</v>
      </c>
      <c r="H821">
        <v>1190.33</v>
      </c>
      <c r="I821">
        <v>1210.18</v>
      </c>
      <c r="J821">
        <v>1236.24</v>
      </c>
      <c r="K821">
        <v>1206.49</v>
      </c>
      <c r="L821">
        <v>1153.8599999999999</v>
      </c>
      <c r="M821" s="206"/>
      <c r="N821" s="206"/>
      <c r="O821" s="206"/>
      <c r="P821" s="206"/>
      <c r="Q821" s="207">
        <f>IF((L822=""),"",MAX(D823:L823))</f>
        <v>3014.4799999999996</v>
      </c>
      <c r="R821" s="207">
        <f>IF(L822="","",MIN(D823:L823))</f>
        <v>2612.2399999999998</v>
      </c>
      <c r="S821" s="208">
        <f>IF((L823=""),"",AVERAGE(D823:L823))</f>
        <v>2829.1333333333332</v>
      </c>
      <c r="T821" s="207">
        <f>IF((L822=""),"",((Q821-R821)/(Q821+R821))*100)</f>
        <v>7.1487474052378621</v>
      </c>
      <c r="U821" s="207">
        <f>STDEV(D821:L821)</f>
        <v>26.811378647872342</v>
      </c>
      <c r="V821" s="209" t="str">
        <f>IF(L822="","",(IF(T821&lt;12,IF(S821&gt;2200,IF(S821&lt;3280,"Pass","Fail"),"Fail"),"Fail")))</f>
        <v>Pass</v>
      </c>
      <c r="W821" s="207">
        <v>64</v>
      </c>
      <c r="X821" s="199" t="s">
        <v>288</v>
      </c>
      <c r="Y821" s="210"/>
      <c r="Z821" s="210">
        <v>2000</v>
      </c>
      <c r="AA821" s="210">
        <v>3000</v>
      </c>
      <c r="AB821" s="210">
        <v>2200</v>
      </c>
      <c r="AC821" s="210">
        <v>3280</v>
      </c>
      <c r="AD821" s="211">
        <v>12</v>
      </c>
      <c r="AE821" s="211">
        <v>12</v>
      </c>
    </row>
    <row r="822" spans="1:31" customFormat="1" ht="15.75" customHeight="1">
      <c r="A822" s="226"/>
      <c r="B822" s="212"/>
      <c r="C822" s="207" t="s">
        <v>155</v>
      </c>
      <c r="D822">
        <v>438.17</v>
      </c>
      <c r="E822">
        <v>519.66</v>
      </c>
      <c r="F822">
        <v>560.09</v>
      </c>
      <c r="G822">
        <v>529.48</v>
      </c>
      <c r="H822">
        <v>436.71</v>
      </c>
      <c r="I822">
        <v>475.95</v>
      </c>
      <c r="J822">
        <v>548.21</v>
      </c>
      <c r="K822">
        <v>495.16</v>
      </c>
      <c r="L822">
        <v>500.8</v>
      </c>
      <c r="M822" s="213"/>
      <c r="N822" s="213"/>
      <c r="O822" s="213"/>
      <c r="P822" s="213"/>
      <c r="Q822" s="207"/>
      <c r="R822" s="207"/>
      <c r="S822" s="207"/>
      <c r="T822" s="207"/>
      <c r="U822" s="207"/>
      <c r="V822" s="209"/>
      <c r="W822" s="207"/>
      <c r="Y822" s="210"/>
      <c r="Z822" s="210"/>
      <c r="AA822" s="210"/>
      <c r="AB822" s="210"/>
      <c r="AC822" s="210"/>
      <c r="AD822" s="199"/>
      <c r="AE822" s="199"/>
    </row>
    <row r="823" spans="1:31" customFormat="1" ht="24" customHeight="1">
      <c r="A823" s="227"/>
      <c r="B823" s="214"/>
      <c r="C823" s="207" t="s">
        <v>154</v>
      </c>
      <c r="D823" s="215">
        <f t="shared" ref="D823:L823" si="269">IF(((D821="")*AND(D822="")),"",(D821-D822)*4)</f>
        <v>3004.3199999999997</v>
      </c>
      <c r="E823" s="215">
        <f t="shared" si="269"/>
        <v>2805.9600000000005</v>
      </c>
      <c r="F823" s="215">
        <f t="shared" si="269"/>
        <v>2713.6</v>
      </c>
      <c r="G823" s="215">
        <f t="shared" si="269"/>
        <v>2777.24</v>
      </c>
      <c r="H823" s="215">
        <f t="shared" si="269"/>
        <v>3014.4799999999996</v>
      </c>
      <c r="I823" s="215">
        <f t="shared" si="269"/>
        <v>2936.92</v>
      </c>
      <c r="J823" s="215">
        <f t="shared" si="269"/>
        <v>2752.12</v>
      </c>
      <c r="K823" s="215">
        <f t="shared" si="269"/>
        <v>2845.3199999999997</v>
      </c>
      <c r="L823" s="215">
        <f t="shared" si="269"/>
        <v>2612.2399999999998</v>
      </c>
      <c r="M823" s="224"/>
      <c r="N823" s="215"/>
      <c r="O823" s="215"/>
      <c r="P823" s="215" t="str">
        <f>IF(((P821="")*AND(P822="")),"",(P821-P822)*4)</f>
        <v/>
      </c>
      <c r="Q823" s="207"/>
      <c r="R823" s="207"/>
      <c r="S823" s="207"/>
      <c r="T823" s="207"/>
      <c r="U823" s="207"/>
      <c r="V823" s="209"/>
      <c r="W823" s="207"/>
      <c r="Y823" s="210"/>
      <c r="Z823" s="210"/>
      <c r="AA823" s="210"/>
      <c r="AB823" s="210"/>
      <c r="AC823" s="210"/>
      <c r="AD823" s="199"/>
      <c r="AE823" s="199"/>
    </row>
    <row r="824" spans="1:31" customFormat="1" ht="15.75">
      <c r="A824" s="228">
        <v>43505</v>
      </c>
      <c r="B824" s="216" t="s">
        <v>157</v>
      </c>
      <c r="C824" s="207" t="s">
        <v>156</v>
      </c>
      <c r="D824">
        <v>5092.4399999999996</v>
      </c>
      <c r="E824">
        <v>5073.8999999999996</v>
      </c>
      <c r="F824">
        <v>5122.59</v>
      </c>
      <c r="G824">
        <v>5084.4799999999996</v>
      </c>
      <c r="H824">
        <v>5137.87</v>
      </c>
      <c r="I824">
        <v>5103.5600000000004</v>
      </c>
      <c r="J824">
        <v>5107.67</v>
      </c>
      <c r="K824">
        <v>5114.99</v>
      </c>
      <c r="L824">
        <v>5190.9399999999996</v>
      </c>
      <c r="M824" s="213"/>
      <c r="N824" s="213"/>
      <c r="O824" s="213"/>
      <c r="P824" s="213"/>
      <c r="Q824" s="207">
        <f>IF((L825=""),"",MAX(D826:L826))</f>
        <v>3508.5200000000004</v>
      </c>
      <c r="R824" s="207">
        <f>IF(L825="","",MIN(D826:L826))</f>
        <v>3472.54</v>
      </c>
      <c r="S824" s="208">
        <f>IF((L826=""),"",AVERAGE(D826:L826))</f>
        <v>3494.9044444444444</v>
      </c>
      <c r="T824" s="207">
        <f>IF((L825=""),"",((Q824-R824)/(Q824+R824))*100)</f>
        <v>0.51539451028927519</v>
      </c>
      <c r="U824" s="207">
        <f>STDEV(D824:L824)</f>
        <v>34.743675123738939</v>
      </c>
      <c r="V824" s="209" t="str">
        <f>IF(L825="","",(IF(T824&lt;7,IF(S824&gt;2800,IF(S824&lt;3800,"Pass","Fail"),"Fail"),"Fail")))</f>
        <v>Pass</v>
      </c>
      <c r="W824" s="207">
        <v>64</v>
      </c>
      <c r="X824" s="199" t="s">
        <v>288</v>
      </c>
      <c r="Y824" s="210"/>
      <c r="Z824" s="218">
        <v>2800</v>
      </c>
      <c r="AA824" s="218">
        <v>3800</v>
      </c>
      <c r="AB824" s="218">
        <v>3100</v>
      </c>
      <c r="AC824" s="218">
        <v>3760</v>
      </c>
      <c r="AD824" s="219">
        <v>6</v>
      </c>
      <c r="AE824" s="219">
        <v>6</v>
      </c>
    </row>
    <row r="825" spans="1:31" customFormat="1" ht="16.5" customHeight="1">
      <c r="A825" s="226"/>
      <c r="B825" s="212"/>
      <c r="C825" s="207" t="s">
        <v>155</v>
      </c>
      <c r="D825">
        <v>3348.25</v>
      </c>
      <c r="E825">
        <v>3321.25</v>
      </c>
      <c r="F825">
        <v>3373.47</v>
      </c>
      <c r="G825">
        <v>3335.9</v>
      </c>
      <c r="H825">
        <v>3401.6</v>
      </c>
      <c r="I825">
        <v>3349.3</v>
      </c>
      <c r="J825">
        <v>3357.91</v>
      </c>
      <c r="K825">
        <v>3365.4</v>
      </c>
      <c r="L825">
        <v>3448.29</v>
      </c>
      <c r="M825" s="213"/>
      <c r="N825" s="213"/>
      <c r="O825" s="213"/>
      <c r="P825" s="213"/>
      <c r="Q825" s="207"/>
      <c r="R825" s="207"/>
      <c r="S825" s="208"/>
      <c r="T825" s="207"/>
      <c r="U825" s="207"/>
      <c r="V825" s="209"/>
      <c r="W825" s="207"/>
      <c r="Y825" s="210"/>
      <c r="Z825" s="210"/>
      <c r="AA825" s="210"/>
      <c r="AB825" s="210"/>
      <c r="AC825" s="210"/>
      <c r="AD825" s="199"/>
      <c r="AE825" s="199"/>
    </row>
    <row r="826" spans="1:31" customFormat="1" ht="24.75" customHeight="1" thickBot="1">
      <c r="A826" s="229"/>
      <c r="B826" s="220"/>
      <c r="C826" s="221" t="s">
        <v>154</v>
      </c>
      <c r="D826" s="222">
        <f t="shared" ref="D826:L826" si="270">IF(((D824="")*AND(D825="")),"",(D824-D825)*2)</f>
        <v>3488.3799999999992</v>
      </c>
      <c r="E826" s="222">
        <f t="shared" si="270"/>
        <v>3505.2999999999993</v>
      </c>
      <c r="F826" s="222">
        <f t="shared" si="270"/>
        <v>3498.2400000000007</v>
      </c>
      <c r="G826" s="222">
        <f t="shared" si="270"/>
        <v>3497.1599999999989</v>
      </c>
      <c r="H826" s="222">
        <f t="shared" si="270"/>
        <v>3472.54</v>
      </c>
      <c r="I826" s="222">
        <f t="shared" si="270"/>
        <v>3508.5200000000004</v>
      </c>
      <c r="J826" s="222">
        <f t="shared" si="270"/>
        <v>3499.5200000000004</v>
      </c>
      <c r="K826" s="222">
        <f t="shared" si="270"/>
        <v>3499.1799999999994</v>
      </c>
      <c r="L826" s="222">
        <f t="shared" si="270"/>
        <v>3485.2999999999993</v>
      </c>
      <c r="M826" s="223"/>
      <c r="N826" s="222"/>
      <c r="O826" s="222"/>
      <c r="P826" s="222"/>
      <c r="Q826" s="207"/>
      <c r="R826" s="207"/>
      <c r="S826" s="208"/>
      <c r="T826" s="207"/>
      <c r="U826" s="207"/>
      <c r="V826" s="209"/>
      <c r="W826" s="207"/>
      <c r="Y826" s="210"/>
      <c r="Z826" s="210"/>
      <c r="AA826" s="210"/>
      <c r="AB826" s="210"/>
      <c r="AC826" s="210"/>
      <c r="AD826" s="199"/>
      <c r="AE826" s="199"/>
    </row>
    <row r="827" spans="1:31" customFormat="1" ht="15.75">
      <c r="A827" s="225">
        <v>43508</v>
      </c>
      <c r="B827" s="204" t="s">
        <v>158</v>
      </c>
      <c r="C827" s="205" t="s">
        <v>156</v>
      </c>
      <c r="D827">
        <v>1924.05</v>
      </c>
      <c r="E827">
        <v>1916.44</v>
      </c>
      <c r="F827">
        <v>1913.08</v>
      </c>
      <c r="G827">
        <v>1923.55</v>
      </c>
      <c r="H827">
        <v>1923.72</v>
      </c>
      <c r="I827">
        <v>1923.39</v>
      </c>
      <c r="J827">
        <v>1915.43</v>
      </c>
      <c r="K827">
        <v>1918.83</v>
      </c>
      <c r="L827">
        <v>1923.08</v>
      </c>
      <c r="M827" s="206"/>
      <c r="N827" s="206"/>
      <c r="O827" s="206"/>
      <c r="P827" s="206"/>
      <c r="Q827" s="207">
        <f>IF((L828=""),"",MAX(D829:L829))</f>
        <v>3151.92</v>
      </c>
      <c r="R827" s="207">
        <f>IF(L828="","",MIN(D829:L829))</f>
        <v>2729.24</v>
      </c>
      <c r="S827" s="208">
        <f>IF((L829=""),"",AVERAGE(D829:L829))</f>
        <v>2897.8666666666668</v>
      </c>
      <c r="T827" s="207">
        <f>IF((L828=""),"",((Q827-R827)/(Q827+R827))*100)</f>
        <v>7.1870175271545111</v>
      </c>
      <c r="U827" s="207">
        <f>STDEV(D827:L827)</f>
        <v>4.2772921081151543</v>
      </c>
      <c r="V827" s="209" t="str">
        <f>IF(L828="","",(IF(T827&lt;12,IF(S827&gt;2200,IF(S827&lt;3280,"Pass","Fail"),"Fail"),"Fail")))</f>
        <v>Pass</v>
      </c>
      <c r="W827" s="207">
        <v>1340</v>
      </c>
      <c r="X827" s="199"/>
      <c r="Y827" s="210"/>
      <c r="Z827" s="210">
        <v>2000</v>
      </c>
      <c r="AA827" s="210">
        <v>3000</v>
      </c>
      <c r="AB827" s="210">
        <v>2200</v>
      </c>
      <c r="AC827" s="210">
        <v>3280</v>
      </c>
      <c r="AD827" s="211">
        <v>12</v>
      </c>
      <c r="AE827" s="211">
        <v>12</v>
      </c>
    </row>
    <row r="828" spans="1:31" customFormat="1" ht="15.75" customHeight="1">
      <c r="A828" s="226"/>
      <c r="B828" s="212"/>
      <c r="C828" s="207" t="s">
        <v>155</v>
      </c>
      <c r="D828">
        <v>1173.83</v>
      </c>
      <c r="E828">
        <v>1214.44</v>
      </c>
      <c r="F828">
        <v>1230.77</v>
      </c>
      <c r="G828">
        <v>1219.3699999999999</v>
      </c>
      <c r="H828">
        <v>1171.21</v>
      </c>
      <c r="I828">
        <v>1191.0999999999999</v>
      </c>
      <c r="J828">
        <v>1225.79</v>
      </c>
      <c r="K828">
        <v>1199.76</v>
      </c>
      <c r="L828">
        <v>1135.0999999999999</v>
      </c>
      <c r="M828" s="213"/>
      <c r="N828" s="213"/>
      <c r="O828" s="213"/>
      <c r="P828" s="213"/>
      <c r="Q828" s="207"/>
      <c r="R828" s="207"/>
      <c r="S828" s="207"/>
      <c r="T828" s="207"/>
      <c r="U828" s="207"/>
      <c r="V828" s="209"/>
      <c r="W828" s="207"/>
      <c r="Y828" s="210"/>
      <c r="Z828" s="210"/>
      <c r="AA828" s="210"/>
      <c r="AB828" s="210"/>
      <c r="AC828" s="210"/>
      <c r="AD828" s="199"/>
      <c r="AE828" s="199"/>
    </row>
    <row r="829" spans="1:31" customFormat="1" ht="24" customHeight="1">
      <c r="A829" s="227"/>
      <c r="B829" s="214"/>
      <c r="C829" s="207" t="s">
        <v>154</v>
      </c>
      <c r="D829" s="215">
        <f t="shared" ref="D829:L829" si="271">IF(((D827="")*AND(D828="")),"",(D827-D828)*4)</f>
        <v>3000.88</v>
      </c>
      <c r="E829" s="215">
        <f t="shared" si="271"/>
        <v>2808</v>
      </c>
      <c r="F829" s="215">
        <f t="shared" si="271"/>
        <v>2729.24</v>
      </c>
      <c r="G829" s="215">
        <f t="shared" si="271"/>
        <v>2816.7200000000003</v>
      </c>
      <c r="H829" s="215">
        <f t="shared" si="271"/>
        <v>3010.04</v>
      </c>
      <c r="I829" s="215">
        <f t="shared" si="271"/>
        <v>2929.1600000000008</v>
      </c>
      <c r="J829" s="215">
        <f t="shared" si="271"/>
        <v>2758.5600000000004</v>
      </c>
      <c r="K829" s="215">
        <f t="shared" si="271"/>
        <v>2876.2799999999997</v>
      </c>
      <c r="L829" s="215">
        <f t="shared" si="271"/>
        <v>3151.92</v>
      </c>
      <c r="M829" s="224"/>
      <c r="N829" s="215"/>
      <c r="O829" s="215"/>
      <c r="P829" s="215" t="str">
        <f>IF(((P827="")*AND(P828="")),"",(P827-P828)*4)</f>
        <v/>
      </c>
      <c r="Q829" s="207"/>
      <c r="R829" s="207"/>
      <c r="S829" s="207"/>
      <c r="T829" s="207"/>
      <c r="U829" s="207"/>
      <c r="V829" s="209"/>
      <c r="W829" s="207"/>
      <c r="Y829" s="210"/>
      <c r="Z829" s="210"/>
      <c r="AA829" s="210"/>
      <c r="AB829" s="210"/>
      <c r="AC829" s="210"/>
      <c r="AD829" s="199"/>
      <c r="AE829" s="199"/>
    </row>
    <row r="830" spans="1:31" customFormat="1" ht="15.75">
      <c r="A830" s="228">
        <v>43508</v>
      </c>
      <c r="B830" s="216" t="s">
        <v>157</v>
      </c>
      <c r="C830" s="207" t="s">
        <v>156</v>
      </c>
      <c r="D830">
        <v>3356.66</v>
      </c>
      <c r="E830">
        <v>3328.97</v>
      </c>
      <c r="F830">
        <v>3381.86</v>
      </c>
      <c r="G830">
        <v>3344.02</v>
      </c>
      <c r="H830">
        <v>3410.92</v>
      </c>
      <c r="I830">
        <v>3358.39</v>
      </c>
      <c r="J830">
        <v>3366.35</v>
      </c>
      <c r="K830">
        <v>3373.48</v>
      </c>
      <c r="L830">
        <v>3456.75</v>
      </c>
      <c r="M830" s="213"/>
      <c r="N830" s="213"/>
      <c r="O830" s="213"/>
      <c r="P830" s="213"/>
      <c r="Q830" s="207">
        <f>IF((L831=""),"",MAX(D832:L832))</f>
        <v>3521.58</v>
      </c>
      <c r="R830" s="207">
        <f>IF(L831="","",MIN(D832:L832))</f>
        <v>3491.5599999999995</v>
      </c>
      <c r="S830" s="208">
        <f>IF((L832=""),"",AVERAGE(D832:L832))</f>
        <v>3506.96</v>
      </c>
      <c r="T830" s="207">
        <f>IF((L831=""),"",((Q830-R830)/(Q830+R830))*100)</f>
        <v>0.42805362505240785</v>
      </c>
      <c r="U830" s="207">
        <f>STDEV(D830:L830)</f>
        <v>38.385593651788824</v>
      </c>
      <c r="V830" s="209" t="str">
        <f>IF(L831="","",(IF(T830&lt;7,IF(S830&gt;2800,IF(S830&lt;3800,"Pass","Fail"),"Fail"),"Fail")))</f>
        <v>Pass</v>
      </c>
      <c r="W830" s="207">
        <v>1340</v>
      </c>
      <c r="X830" s="199"/>
      <c r="Y830" s="210"/>
      <c r="Z830" s="218">
        <v>2800</v>
      </c>
      <c r="AA830" s="218">
        <v>3800</v>
      </c>
      <c r="AB830" s="218">
        <v>3100</v>
      </c>
      <c r="AC830" s="218">
        <v>3760</v>
      </c>
      <c r="AD830" s="219">
        <v>6</v>
      </c>
      <c r="AE830" s="219">
        <v>6</v>
      </c>
    </row>
    <row r="831" spans="1:31" customFormat="1" ht="16.5" customHeight="1">
      <c r="A831" s="226"/>
      <c r="B831" s="212"/>
      <c r="C831" s="207" t="s">
        <v>155</v>
      </c>
      <c r="D831">
        <v>1610.88</v>
      </c>
      <c r="E831">
        <v>1573.42</v>
      </c>
      <c r="F831">
        <v>1626.32</v>
      </c>
      <c r="G831">
        <v>1589.96</v>
      </c>
      <c r="H831">
        <v>1661.41</v>
      </c>
      <c r="I831">
        <v>1597.6</v>
      </c>
      <c r="J831">
        <v>1613.06</v>
      </c>
      <c r="K831">
        <v>1617.26</v>
      </c>
      <c r="L831">
        <v>1706.17</v>
      </c>
      <c r="M831" s="213"/>
      <c r="N831" s="213"/>
      <c r="O831" s="213"/>
      <c r="P831" s="213"/>
      <c r="Q831" s="207"/>
      <c r="R831" s="207"/>
      <c r="S831" s="208"/>
      <c r="T831" s="207"/>
      <c r="U831" s="207"/>
      <c r="V831" s="209"/>
      <c r="W831" s="207"/>
      <c r="Y831" s="210"/>
      <c r="Z831" s="210"/>
      <c r="AA831" s="210"/>
      <c r="AB831" s="210"/>
      <c r="AC831" s="210"/>
      <c r="AD831" s="199"/>
      <c r="AE831" s="199"/>
    </row>
    <row r="832" spans="1:31" customFormat="1" ht="24.75" customHeight="1" thickBot="1">
      <c r="A832" s="229"/>
      <c r="B832" s="220"/>
      <c r="C832" s="221" t="s">
        <v>154</v>
      </c>
      <c r="D832" s="222">
        <f t="shared" ref="D832:L832" si="272">IF(((D830="")*AND(D831="")),"",(D830-D831)*2)</f>
        <v>3491.5599999999995</v>
      </c>
      <c r="E832" s="222">
        <f t="shared" si="272"/>
        <v>3511.0999999999995</v>
      </c>
      <c r="F832" s="222">
        <f t="shared" si="272"/>
        <v>3511.0800000000004</v>
      </c>
      <c r="G832" s="222">
        <f t="shared" si="272"/>
        <v>3508.12</v>
      </c>
      <c r="H832" s="222">
        <f t="shared" si="272"/>
        <v>3499.02</v>
      </c>
      <c r="I832" s="222">
        <f t="shared" si="272"/>
        <v>3521.58</v>
      </c>
      <c r="J832" s="222">
        <f t="shared" si="272"/>
        <v>3506.58</v>
      </c>
      <c r="K832" s="222">
        <f t="shared" si="272"/>
        <v>3512.44</v>
      </c>
      <c r="L832" s="222">
        <f t="shared" si="272"/>
        <v>3501.16</v>
      </c>
      <c r="M832" s="223"/>
      <c r="N832" s="222"/>
      <c r="O832" s="222"/>
      <c r="P832" s="222"/>
      <c r="Q832" s="207"/>
      <c r="R832" s="207"/>
      <c r="S832" s="208"/>
      <c r="T832" s="207"/>
      <c r="U832" s="207"/>
      <c r="V832" s="209"/>
      <c r="W832" s="207"/>
      <c r="Y832" s="210"/>
      <c r="Z832" s="210"/>
      <c r="AA832" s="210"/>
      <c r="AB832" s="210"/>
      <c r="AC832" s="210"/>
      <c r="AD832" s="199"/>
      <c r="AE832" s="199"/>
    </row>
    <row r="833" spans="1:31" customFormat="1" ht="15.75">
      <c r="A833" s="225">
        <v>43514</v>
      </c>
      <c r="B833" s="204" t="s">
        <v>158</v>
      </c>
      <c r="C833" s="205" t="s">
        <v>156</v>
      </c>
      <c r="D833">
        <v>1189.24</v>
      </c>
      <c r="E833">
        <v>1226.6400000000001</v>
      </c>
      <c r="F833">
        <v>1242.1300000000001</v>
      </c>
      <c r="G833">
        <v>1219.81</v>
      </c>
      <c r="H833">
        <v>1185.67</v>
      </c>
      <c r="I833">
        <v>1153.7</v>
      </c>
      <c r="J833">
        <v>1208.4000000000001</v>
      </c>
      <c r="K833">
        <v>1234.24</v>
      </c>
      <c r="L833">
        <v>1208.06</v>
      </c>
      <c r="M833" s="206"/>
      <c r="N833" s="206"/>
      <c r="O833" s="206"/>
      <c r="P833" s="206"/>
      <c r="Q833" s="207">
        <f>IF((L834=""),"",MAX(D835:L835))</f>
        <v>3406.7599999999998</v>
      </c>
      <c r="R833" s="207">
        <f>IF(L834="","",MIN(D835:L835))</f>
        <v>2683.8800000000006</v>
      </c>
      <c r="S833" s="208">
        <f>IF((L835=""),"",AVERAGE(D835:L835))</f>
        <v>2930.4044444444444</v>
      </c>
      <c r="T833" s="207">
        <f>IF((L834=""),"",((Q833-R833)/(Q833+R833))*100)</f>
        <v>11.86870345316747</v>
      </c>
      <c r="U833" s="207">
        <f>STDEV(D833:L833)</f>
        <v>27.698518462184854</v>
      </c>
      <c r="V833" s="209" t="str">
        <f>IF(L834="","",(IF(T833&lt;12,IF(S833&gt;2200,IF(S833&lt;3280,"Pass","Fail"),"Fail"),"Fail")))</f>
        <v>Pass</v>
      </c>
      <c r="W833" s="207">
        <v>1340</v>
      </c>
      <c r="X833" s="199"/>
      <c r="Y833" s="210"/>
      <c r="Z833" s="210">
        <v>2000</v>
      </c>
      <c r="AA833" s="210">
        <v>3000</v>
      </c>
      <c r="AB833" s="210">
        <v>2200</v>
      </c>
      <c r="AC833" s="210">
        <v>3280</v>
      </c>
      <c r="AD833" s="211">
        <v>12</v>
      </c>
      <c r="AE833" s="211">
        <v>12</v>
      </c>
    </row>
    <row r="834" spans="1:31" customFormat="1" ht="15.75" customHeight="1">
      <c r="A834" s="226"/>
      <c r="B834" s="212"/>
      <c r="C834" s="207" t="s">
        <v>155</v>
      </c>
      <c r="D834">
        <v>416.03</v>
      </c>
      <c r="E834">
        <v>507.03</v>
      </c>
      <c r="F834">
        <v>558.66</v>
      </c>
      <c r="G834">
        <v>521.65</v>
      </c>
      <c r="H834">
        <v>428.66</v>
      </c>
      <c r="I834">
        <v>461.7</v>
      </c>
      <c r="J834">
        <v>537.42999999999995</v>
      </c>
      <c r="K834">
        <v>486.95</v>
      </c>
      <c r="L834">
        <v>356.37</v>
      </c>
      <c r="M834" s="213"/>
      <c r="N834" s="213"/>
      <c r="O834" s="213"/>
      <c r="P834" s="213"/>
      <c r="Q834" s="207"/>
      <c r="R834" s="207"/>
      <c r="S834" s="207"/>
      <c r="T834" s="207"/>
      <c r="U834" s="207"/>
      <c r="V834" s="209"/>
      <c r="W834" s="207"/>
      <c r="Y834" s="210"/>
      <c r="Z834" s="210"/>
      <c r="AA834" s="210"/>
      <c r="AB834" s="210"/>
      <c r="AC834" s="210"/>
      <c r="AD834" s="199"/>
      <c r="AE834" s="199"/>
    </row>
    <row r="835" spans="1:31" customFormat="1" ht="24" customHeight="1">
      <c r="A835" s="227"/>
      <c r="B835" s="214"/>
      <c r="C835" s="207" t="s">
        <v>154</v>
      </c>
      <c r="D835" s="215">
        <f t="shared" ref="D835:L835" si="273">IF(((D833="")*AND(D834="")),"",(D833-D834)*4)</f>
        <v>3092.84</v>
      </c>
      <c r="E835" s="215">
        <f t="shared" si="273"/>
        <v>2878.4400000000005</v>
      </c>
      <c r="F835" s="215">
        <f t="shared" si="273"/>
        <v>2733.8800000000006</v>
      </c>
      <c r="G835" s="215">
        <f t="shared" si="273"/>
        <v>2792.64</v>
      </c>
      <c r="H835" s="215">
        <f t="shared" si="273"/>
        <v>3028.04</v>
      </c>
      <c r="I835" s="215">
        <f t="shared" si="273"/>
        <v>2768</v>
      </c>
      <c r="J835" s="215">
        <f t="shared" si="273"/>
        <v>2683.8800000000006</v>
      </c>
      <c r="K835" s="215">
        <f t="shared" si="273"/>
        <v>2989.16</v>
      </c>
      <c r="L835" s="215">
        <f t="shared" si="273"/>
        <v>3406.7599999999998</v>
      </c>
      <c r="M835" s="224"/>
      <c r="N835" s="215"/>
      <c r="O835" s="215"/>
      <c r="P835" s="215" t="str">
        <f>IF(((P833="")*AND(P834="")),"",(P833-P834)*4)</f>
        <v/>
      </c>
      <c r="Q835" s="207"/>
      <c r="R835" s="207"/>
      <c r="S835" s="207"/>
      <c r="T835" s="207"/>
      <c r="U835" s="207"/>
      <c r="V835" s="209"/>
      <c r="W835" s="207"/>
      <c r="Y835" s="210"/>
      <c r="Z835" s="210"/>
      <c r="AA835" s="210"/>
      <c r="AB835" s="210"/>
      <c r="AC835" s="210"/>
      <c r="AD835" s="199"/>
      <c r="AE835" s="199"/>
    </row>
    <row r="836" spans="1:31" customFormat="1" ht="15.75">
      <c r="A836" s="228">
        <v>43514</v>
      </c>
      <c r="B836" s="216" t="s">
        <v>157</v>
      </c>
      <c r="C836" s="207" t="s">
        <v>156</v>
      </c>
      <c r="D836">
        <v>6928.02</v>
      </c>
      <c r="E836">
        <v>6888.77</v>
      </c>
      <c r="F836">
        <v>6906.89</v>
      </c>
      <c r="G836">
        <v>6864.93</v>
      </c>
      <c r="H836">
        <v>6830.28</v>
      </c>
      <c r="I836">
        <v>6900.66</v>
      </c>
      <c r="J836">
        <v>6886.34</v>
      </c>
      <c r="K836">
        <v>6917.14</v>
      </c>
      <c r="L836">
        <v>6961.43</v>
      </c>
      <c r="M836" s="213"/>
      <c r="N836" s="213"/>
      <c r="O836" s="213"/>
      <c r="P836" s="213"/>
      <c r="Q836" s="207">
        <f>IF((L837=""),"",MAX(D838:L838))</f>
        <v>3482.1000000000004</v>
      </c>
      <c r="R836" s="207">
        <f>IF(L837="","",MIN(D838:L838))</f>
        <v>3454.9600000000009</v>
      </c>
      <c r="S836" s="208">
        <f>IF((L838=""),"",AVERAGE(D838:L838))</f>
        <v>3465.0355555555557</v>
      </c>
      <c r="T836" s="207">
        <f>IF((L837=""),"",((Q836-R836)/(Q836+R836))*100)</f>
        <v>0.39123202048129047</v>
      </c>
      <c r="U836" s="207">
        <f>STDEV(D836:L836)</f>
        <v>37.545159475037792</v>
      </c>
      <c r="V836" s="209" t="str">
        <f>IF(L837="","",(IF(T836&lt;7,IF(S836&gt;2800,IF(S836&lt;3800,"Pass","Fail"),"Fail"),"Fail")))</f>
        <v>Pass</v>
      </c>
      <c r="W836" s="207">
        <v>1340</v>
      </c>
      <c r="X836" s="199"/>
      <c r="Y836" s="210"/>
      <c r="Z836" s="218">
        <v>2800</v>
      </c>
      <c r="AA836" s="218">
        <v>3800</v>
      </c>
      <c r="AB836" s="218">
        <v>3100</v>
      </c>
      <c r="AC836" s="218">
        <v>3760</v>
      </c>
      <c r="AD836" s="219">
        <v>6</v>
      </c>
      <c r="AE836" s="219">
        <v>6</v>
      </c>
    </row>
    <row r="837" spans="1:31" customFormat="1" ht="16.5" customHeight="1">
      <c r="A837" s="226"/>
      <c r="B837" s="212"/>
      <c r="C837" s="207" t="s">
        <v>155</v>
      </c>
      <c r="D837">
        <v>5194.0200000000004</v>
      </c>
      <c r="E837">
        <v>5154.84</v>
      </c>
      <c r="F837">
        <v>5179.41</v>
      </c>
      <c r="G837">
        <v>5134.9399999999996</v>
      </c>
      <c r="H837">
        <v>5102.75</v>
      </c>
      <c r="I837">
        <v>5159.6099999999997</v>
      </c>
      <c r="J837">
        <v>5154.29</v>
      </c>
      <c r="K837">
        <v>5187.25</v>
      </c>
      <c r="L837">
        <v>5224.6899999999996</v>
      </c>
      <c r="M837" s="213"/>
      <c r="N837" s="213"/>
      <c r="O837" s="213"/>
      <c r="P837" s="213"/>
      <c r="Q837" s="207"/>
      <c r="R837" s="207"/>
      <c r="S837" s="208"/>
      <c r="T837" s="207"/>
      <c r="U837" s="207"/>
      <c r="V837" s="209"/>
      <c r="W837" s="207"/>
      <c r="Y837" s="210"/>
      <c r="Z837" s="210"/>
      <c r="AA837" s="210"/>
      <c r="AB837" s="210"/>
      <c r="AC837" s="210"/>
      <c r="AD837" s="199"/>
      <c r="AE837" s="199"/>
    </row>
    <row r="838" spans="1:31" customFormat="1" ht="24.75" customHeight="1" thickBot="1">
      <c r="A838" s="229"/>
      <c r="B838" s="220"/>
      <c r="C838" s="221" t="s">
        <v>154</v>
      </c>
      <c r="D838" s="222">
        <f t="shared" ref="D838:L838" si="274">IF(((D836="")*AND(D837="")),"",(D836-D837)*2)</f>
        <v>3468</v>
      </c>
      <c r="E838" s="222">
        <f t="shared" si="274"/>
        <v>3467.8600000000006</v>
      </c>
      <c r="F838" s="222">
        <f t="shared" si="274"/>
        <v>3454.9600000000009</v>
      </c>
      <c r="G838" s="222">
        <f t="shared" si="274"/>
        <v>3459.9800000000014</v>
      </c>
      <c r="H838" s="222">
        <f t="shared" si="274"/>
        <v>3455.0599999999995</v>
      </c>
      <c r="I838" s="222">
        <f t="shared" si="274"/>
        <v>3482.1000000000004</v>
      </c>
      <c r="J838" s="222">
        <f t="shared" si="274"/>
        <v>3464.1000000000004</v>
      </c>
      <c r="K838" s="222">
        <f t="shared" si="274"/>
        <v>3459.7800000000007</v>
      </c>
      <c r="L838" s="222">
        <f t="shared" si="274"/>
        <v>3473.4800000000014</v>
      </c>
      <c r="M838" s="223"/>
      <c r="N838" s="222"/>
      <c r="O838" s="222"/>
      <c r="P838" s="222"/>
      <c r="Q838" s="207"/>
      <c r="R838" s="207"/>
      <c r="S838" s="208"/>
      <c r="T838" s="207"/>
      <c r="U838" s="207"/>
      <c r="V838" s="209"/>
      <c r="W838" s="207"/>
      <c r="Y838" s="210"/>
      <c r="Z838" s="210"/>
      <c r="AA838" s="210"/>
      <c r="AB838" s="210"/>
      <c r="AC838" s="210"/>
      <c r="AD838" s="199"/>
      <c r="AE838" s="199"/>
    </row>
    <row r="839" spans="1:31" customFormat="1" ht="15.75">
      <c r="A839" s="253">
        <v>43517</v>
      </c>
      <c r="B839" s="204" t="s">
        <v>158</v>
      </c>
      <c r="C839" s="205" t="s">
        <v>156</v>
      </c>
      <c r="D839">
        <v>1178.3900000000001</v>
      </c>
      <c r="E839">
        <v>1218.8499999999999</v>
      </c>
      <c r="F839">
        <v>1232.1199999999999</v>
      </c>
      <c r="G839">
        <v>1218.8699999999999</v>
      </c>
      <c r="H839">
        <v>1174.97</v>
      </c>
      <c r="I839">
        <v>1193.43</v>
      </c>
      <c r="J839">
        <v>1225.82</v>
      </c>
      <c r="K839">
        <v>1203.49</v>
      </c>
      <c r="L839">
        <v>1139.8699999999999</v>
      </c>
      <c r="M839" s="206"/>
      <c r="N839" s="206"/>
      <c r="O839" s="206"/>
      <c r="P839" s="206"/>
      <c r="Q839" s="207">
        <f>IF((L840=""),"",MAX(D841:L841))</f>
        <v>3132.3999999999996</v>
      </c>
      <c r="R839" s="207">
        <f>IF(L840="","",MIN(D841:L841))</f>
        <v>2728.3199999999997</v>
      </c>
      <c r="S839" s="208">
        <f>IF((L841=""),"",AVERAGE(D841:L841))</f>
        <v>2909.8444444444444</v>
      </c>
      <c r="T839" s="207">
        <f>IF((L840=""),"",((Q839-R839)/(Q839+R839))*100)</f>
        <v>6.8947160075895102</v>
      </c>
      <c r="U839" s="207">
        <f>STDEV(D839:L839)</f>
        <v>29.899515464295355</v>
      </c>
      <c r="V839" s="209" t="str">
        <f>IF(L840="","",(IF(T839&lt;12,IF(S839&gt;2200,IF(S839&lt;3280,"Pass","Fail"),"Fail"),"Fail")))</f>
        <v>Pass</v>
      </c>
      <c r="W839" s="207" t="s">
        <v>289</v>
      </c>
      <c r="X839" s="199" t="s">
        <v>290</v>
      </c>
      <c r="Y839" s="210"/>
      <c r="Z839" s="210">
        <v>2000</v>
      </c>
      <c r="AA839" s="210">
        <v>3000</v>
      </c>
      <c r="AB839" s="210">
        <v>2200</v>
      </c>
      <c r="AC839" s="210">
        <v>3280</v>
      </c>
      <c r="AD839" s="211">
        <v>12</v>
      </c>
      <c r="AE839" s="211">
        <v>12</v>
      </c>
    </row>
    <row r="840" spans="1:31" customFormat="1" ht="15.75" customHeight="1">
      <c r="A840" s="226"/>
      <c r="B840" s="212"/>
      <c r="C840" s="207" t="s">
        <v>155</v>
      </c>
      <c r="D840">
        <v>424.34</v>
      </c>
      <c r="E840">
        <v>510.07</v>
      </c>
      <c r="F840">
        <v>550.04</v>
      </c>
      <c r="G840">
        <v>515.54999999999995</v>
      </c>
      <c r="H840">
        <v>416.57</v>
      </c>
      <c r="I840">
        <v>451.39</v>
      </c>
      <c r="J840">
        <v>530.47</v>
      </c>
      <c r="K840">
        <v>483.46</v>
      </c>
      <c r="L840">
        <v>356.77</v>
      </c>
      <c r="M840" s="213"/>
      <c r="N840" s="213"/>
      <c r="O840" s="213"/>
      <c r="P840" s="213"/>
      <c r="Q840" s="207"/>
      <c r="R840" s="207"/>
      <c r="S840" s="207"/>
      <c r="T840" s="207"/>
      <c r="U840" s="207"/>
      <c r="V840" s="209"/>
      <c r="W840" s="207"/>
      <c r="X840" s="199"/>
      <c r="Y840" s="210"/>
      <c r="Z840" s="210"/>
      <c r="AA840" s="210"/>
      <c r="AB840" s="210"/>
      <c r="AC840" s="210"/>
      <c r="AD840" s="211"/>
      <c r="AE840" s="211"/>
    </row>
    <row r="841" spans="1:31" customFormat="1" ht="24" customHeight="1">
      <c r="A841" s="227"/>
      <c r="B841" s="214"/>
      <c r="C841" s="207" t="s">
        <v>154</v>
      </c>
      <c r="D841" s="215">
        <f t="shared" ref="D841:L841" si="275">IF(((D839="")*AND(D840="")),"",(D839-D840)*4)</f>
        <v>3016.2000000000007</v>
      </c>
      <c r="E841" s="215">
        <f t="shared" si="275"/>
        <v>2835.12</v>
      </c>
      <c r="F841" s="215">
        <f t="shared" si="275"/>
        <v>2728.3199999999997</v>
      </c>
      <c r="G841" s="215">
        <f t="shared" si="275"/>
        <v>2813.2799999999997</v>
      </c>
      <c r="H841" s="215">
        <f t="shared" si="275"/>
        <v>3033.6000000000004</v>
      </c>
      <c r="I841" s="215">
        <f t="shared" si="275"/>
        <v>2968.1600000000003</v>
      </c>
      <c r="J841" s="215">
        <f t="shared" si="275"/>
        <v>2781.3999999999996</v>
      </c>
      <c r="K841" s="215">
        <f t="shared" si="275"/>
        <v>2880.12</v>
      </c>
      <c r="L841" s="215">
        <f t="shared" si="275"/>
        <v>3132.3999999999996</v>
      </c>
      <c r="M841" s="224"/>
      <c r="N841" s="215"/>
      <c r="O841" s="215"/>
      <c r="P841" s="215" t="str">
        <f>IF(((P839="")*AND(P840="")),"",(P839-P840)*4)</f>
        <v/>
      </c>
      <c r="Q841" s="207"/>
      <c r="R841" s="207"/>
      <c r="S841" s="207"/>
      <c r="T841" s="207"/>
      <c r="U841" s="207"/>
      <c r="V841" s="209"/>
      <c r="W841" s="207"/>
      <c r="X841" s="199"/>
      <c r="Y841" s="210"/>
      <c r="Z841" s="210"/>
      <c r="AA841" s="210"/>
      <c r="AB841" s="210"/>
      <c r="AC841" s="210"/>
      <c r="AD841" s="211"/>
      <c r="AE841" s="211"/>
    </row>
    <row r="842" spans="1:31" customFormat="1" ht="15.75">
      <c r="A842" s="253">
        <v>43517</v>
      </c>
      <c r="B842" s="216" t="s">
        <v>157</v>
      </c>
      <c r="C842" s="207" t="s">
        <v>156</v>
      </c>
      <c r="D842">
        <v>5203.38</v>
      </c>
      <c r="E842">
        <v>5164.42</v>
      </c>
      <c r="F842">
        <v>5188.3900000000003</v>
      </c>
      <c r="G842">
        <v>5143.3100000000004</v>
      </c>
      <c r="H842">
        <v>5110.53</v>
      </c>
      <c r="I842">
        <v>5167.45</v>
      </c>
      <c r="J842">
        <v>5163.07</v>
      </c>
      <c r="K842">
        <v>5196.03</v>
      </c>
      <c r="L842">
        <v>5234.0200000000004</v>
      </c>
      <c r="M842" s="213"/>
      <c r="N842" s="213"/>
      <c r="O842" s="213"/>
      <c r="P842" s="213"/>
      <c r="Q842" s="207">
        <f>IF((L843=""),"",MAX(D844:L844))</f>
        <v>3487.66</v>
      </c>
      <c r="R842" s="207">
        <f>IF(L843="","",MIN(D844:L844))</f>
        <v>3448.7199999999993</v>
      </c>
      <c r="S842" s="208">
        <f>IF((L844=""),"",AVERAGE(D844:L844))</f>
        <v>3467.2977777777778</v>
      </c>
      <c r="T842" s="207">
        <f>IF((L843=""),"",((Q842-R842)/(Q842+R842))*100)</f>
        <v>0.56138792857370146</v>
      </c>
      <c r="U842" s="207">
        <f>STDEV(D842:L842)</f>
        <v>36.020979110842632</v>
      </c>
      <c r="V842" s="209" t="str">
        <f>IF(L843="","",(IF(T842&lt;7,IF(S842&gt;2800,IF(S842&lt;3800,"Pass","Fail"),"Fail"),"Fail")))</f>
        <v>Pass</v>
      </c>
      <c r="W842" s="207" t="s">
        <v>289</v>
      </c>
      <c r="X842" s="199" t="s">
        <v>290</v>
      </c>
      <c r="Y842" s="210"/>
      <c r="Z842" s="218">
        <v>2800</v>
      </c>
      <c r="AA842" s="218">
        <v>3800</v>
      </c>
      <c r="AB842" s="218">
        <v>3100</v>
      </c>
      <c r="AC842" s="218">
        <v>3760</v>
      </c>
      <c r="AD842" s="219">
        <v>6</v>
      </c>
      <c r="AE842" s="219">
        <v>6</v>
      </c>
    </row>
    <row r="843" spans="1:31" customFormat="1" ht="16.5" customHeight="1">
      <c r="A843" s="226"/>
      <c r="B843" s="212"/>
      <c r="C843" s="207" t="s">
        <v>155</v>
      </c>
      <c r="D843">
        <v>3459.93</v>
      </c>
      <c r="E843">
        <v>3426.5</v>
      </c>
      <c r="F843">
        <v>3458.07</v>
      </c>
      <c r="G843">
        <v>3414.39</v>
      </c>
      <c r="H843">
        <v>3386.17</v>
      </c>
      <c r="I843">
        <v>3423.62</v>
      </c>
      <c r="J843">
        <v>3430.37</v>
      </c>
      <c r="K843">
        <v>3466.11</v>
      </c>
      <c r="L843">
        <v>3502.6</v>
      </c>
      <c r="M843" s="213"/>
      <c r="N843" s="213"/>
      <c r="O843" s="213"/>
      <c r="P843" s="213"/>
      <c r="Q843" s="207"/>
      <c r="R843" s="207"/>
      <c r="S843" s="208"/>
      <c r="T843" s="207"/>
      <c r="U843" s="207"/>
      <c r="V843" s="209"/>
      <c r="W843" s="207"/>
      <c r="X843" s="199"/>
      <c r="Y843" s="210"/>
      <c r="Z843" s="210"/>
      <c r="AA843" s="210"/>
      <c r="AB843" s="210"/>
      <c r="AC843" s="210"/>
      <c r="AD843" s="199"/>
      <c r="AE843" s="199"/>
    </row>
    <row r="844" spans="1:31" customFormat="1" ht="24.75" customHeight="1" thickBot="1">
      <c r="A844" s="229"/>
      <c r="B844" s="220"/>
      <c r="C844" s="221" t="s">
        <v>154</v>
      </c>
      <c r="D844" s="222">
        <f t="shared" ref="D844:L844" si="276">IF(((D842="")*AND(D843="")),"",(D842-D843)*2)</f>
        <v>3486.9000000000005</v>
      </c>
      <c r="E844" s="222">
        <f t="shared" si="276"/>
        <v>3475.84</v>
      </c>
      <c r="F844" s="222">
        <f t="shared" si="276"/>
        <v>3460.6400000000003</v>
      </c>
      <c r="G844" s="222">
        <f t="shared" si="276"/>
        <v>3457.8400000000011</v>
      </c>
      <c r="H844" s="222">
        <f t="shared" si="276"/>
        <v>3448.7199999999993</v>
      </c>
      <c r="I844" s="222">
        <f t="shared" si="276"/>
        <v>3487.66</v>
      </c>
      <c r="J844" s="222">
        <f t="shared" si="276"/>
        <v>3465.3999999999996</v>
      </c>
      <c r="K844" s="222">
        <f t="shared" si="276"/>
        <v>3459.8399999999992</v>
      </c>
      <c r="L844" s="222">
        <f t="shared" si="276"/>
        <v>3462.8400000000011</v>
      </c>
      <c r="M844" s="223"/>
      <c r="N844" s="222"/>
      <c r="O844" s="222"/>
      <c r="P844" s="222"/>
      <c r="Q844" s="207"/>
      <c r="R844" s="207"/>
      <c r="S844" s="208"/>
      <c r="T844" s="207"/>
      <c r="U844" s="207"/>
      <c r="V844" s="209"/>
      <c r="W844" s="207"/>
      <c r="X844" s="199"/>
      <c r="Y844" s="210"/>
      <c r="Z844" s="210"/>
      <c r="AA844" s="210"/>
      <c r="AB844" s="210"/>
      <c r="AC844" s="210"/>
      <c r="AD844" s="199"/>
      <c r="AE844" s="199"/>
    </row>
    <row r="845" spans="1:31" customFormat="1" ht="15.75">
      <c r="A845" s="253">
        <v>43521</v>
      </c>
      <c r="B845" s="204" t="s">
        <v>158</v>
      </c>
      <c r="C845" s="205" t="s">
        <v>156</v>
      </c>
      <c r="D845">
        <v>1923.86</v>
      </c>
      <c r="E845">
        <v>1916.59</v>
      </c>
      <c r="F845">
        <v>1907.58</v>
      </c>
      <c r="G845">
        <v>1919.23</v>
      </c>
      <c r="H845">
        <v>1927.54</v>
      </c>
      <c r="I845">
        <v>1924.93</v>
      </c>
      <c r="J845">
        <v>1914.89</v>
      </c>
      <c r="K845">
        <v>1916.34</v>
      </c>
      <c r="L845">
        <v>1924.78</v>
      </c>
      <c r="M845" s="206"/>
      <c r="N845" s="206"/>
      <c r="O845" s="206"/>
      <c r="P845" s="206"/>
      <c r="Q845" s="207">
        <f>IF((L846=""),"",MAX(D847:L847))</f>
        <v>2961.6399999999994</v>
      </c>
      <c r="R845" s="207">
        <f>IF(L846="","",MIN(D847:L847))</f>
        <v>2691.5199999999995</v>
      </c>
      <c r="S845" s="208">
        <f>IF((L847=""),"",AVERAGE(D847:L847))</f>
        <v>2819.9022222222225</v>
      </c>
      <c r="T845" s="207">
        <f>IF((L846=""),"",((Q845-R845)/(Q845+R845))*100)</f>
        <v>4.7782125395354091</v>
      </c>
      <c r="U845" s="207">
        <f>STDEV(D845:L845)</f>
        <v>6.3528851714251484</v>
      </c>
      <c r="V845" s="209" t="str">
        <f>IF(L846="","",(IF(T845&lt;12,IF(S845&gt;2200,IF(S845&lt;3280,"Pass","Fail"),"Fail"),"Fail")))</f>
        <v>Pass</v>
      </c>
      <c r="W845" s="207">
        <v>1335</v>
      </c>
      <c r="X845" s="199" t="s">
        <v>291</v>
      </c>
      <c r="Y845" s="210"/>
      <c r="Z845" s="210">
        <v>2000</v>
      </c>
      <c r="AA845" s="210">
        <v>3000</v>
      </c>
      <c r="AB845" s="210">
        <v>2200</v>
      </c>
      <c r="AC845" s="210">
        <v>3280</v>
      </c>
      <c r="AD845" s="211">
        <v>12</v>
      </c>
      <c r="AE845" s="211">
        <v>12</v>
      </c>
    </row>
    <row r="846" spans="1:31" customFormat="1" ht="15.75" customHeight="1">
      <c r="A846" s="226"/>
      <c r="B846" s="212"/>
      <c r="C846" s="207" t="s">
        <v>155</v>
      </c>
      <c r="D846">
        <v>1190.28</v>
      </c>
      <c r="E846">
        <v>1221.96</v>
      </c>
      <c r="F846">
        <v>1234.7</v>
      </c>
      <c r="G846">
        <v>1223.46</v>
      </c>
      <c r="H846">
        <v>1187.1300000000001</v>
      </c>
      <c r="I846">
        <v>1205.8</v>
      </c>
      <c r="J846">
        <v>1229.53</v>
      </c>
      <c r="K846">
        <v>1208.57</v>
      </c>
      <c r="L846">
        <v>1229.53</v>
      </c>
      <c r="M846" s="213"/>
      <c r="N846" s="213"/>
      <c r="O846" s="213"/>
      <c r="P846" s="213"/>
      <c r="Q846" s="207"/>
      <c r="R846" s="207"/>
      <c r="S846" s="207"/>
      <c r="T846" s="207"/>
      <c r="U846" s="207"/>
      <c r="V846" s="209"/>
      <c r="W846" s="207"/>
      <c r="X846" s="199"/>
      <c r="Y846" s="210"/>
      <c r="Z846" s="210"/>
      <c r="AA846" s="210"/>
      <c r="AB846" s="210"/>
      <c r="AC846" s="210"/>
      <c r="AD846" s="199"/>
      <c r="AE846" s="199"/>
    </row>
    <row r="847" spans="1:31" customFormat="1" ht="24" customHeight="1">
      <c r="A847" s="227"/>
      <c r="B847" s="214"/>
      <c r="C847" s="207" t="s">
        <v>154</v>
      </c>
      <c r="D847" s="215">
        <f t="shared" ref="D847:L847" si="277">IF(((D845="")*AND(D846="")),"",(D845-D846)*4)</f>
        <v>2934.3199999999997</v>
      </c>
      <c r="E847" s="215">
        <f t="shared" si="277"/>
        <v>2778.5199999999995</v>
      </c>
      <c r="F847" s="215">
        <f t="shared" si="277"/>
        <v>2691.5199999999995</v>
      </c>
      <c r="G847" s="215">
        <f t="shared" si="277"/>
        <v>2783.08</v>
      </c>
      <c r="H847" s="215">
        <f t="shared" si="277"/>
        <v>2961.6399999999994</v>
      </c>
      <c r="I847" s="215">
        <f t="shared" si="277"/>
        <v>2876.5200000000004</v>
      </c>
      <c r="J847" s="215">
        <f t="shared" si="277"/>
        <v>2741.4400000000005</v>
      </c>
      <c r="K847" s="215">
        <f t="shared" si="277"/>
        <v>2831.08</v>
      </c>
      <c r="L847" s="215">
        <f t="shared" si="277"/>
        <v>2781</v>
      </c>
      <c r="M847" s="224"/>
      <c r="N847" s="215"/>
      <c r="O847" s="215"/>
      <c r="P847" s="215" t="str">
        <f>IF(((P845="")*AND(P846="")),"",(P845-P846)*4)</f>
        <v/>
      </c>
      <c r="Q847" s="207"/>
      <c r="R847" s="207"/>
      <c r="S847" s="207"/>
      <c r="T847" s="207"/>
      <c r="U847" s="207"/>
      <c r="V847" s="209"/>
      <c r="W847" s="207"/>
      <c r="X847" s="199"/>
      <c r="Y847" s="210"/>
      <c r="Z847" s="210"/>
      <c r="AA847" s="210"/>
      <c r="AB847" s="210"/>
      <c r="AC847" s="210"/>
      <c r="AD847" s="199"/>
      <c r="AE847" s="199"/>
    </row>
    <row r="848" spans="1:31" customFormat="1" ht="15.75">
      <c r="A848" s="253">
        <v>43521</v>
      </c>
      <c r="B848" s="216" t="s">
        <v>157</v>
      </c>
      <c r="C848" s="207" t="s">
        <v>156</v>
      </c>
      <c r="D848">
        <v>7039.11</v>
      </c>
      <c r="E848">
        <v>7000.42</v>
      </c>
      <c r="F848">
        <v>7023.73</v>
      </c>
      <c r="G848">
        <v>6980.83</v>
      </c>
      <c r="H848">
        <v>6941.29</v>
      </c>
      <c r="I848">
        <v>6994.25</v>
      </c>
      <c r="J848">
        <v>6992.44</v>
      </c>
      <c r="K848">
        <v>7044.44</v>
      </c>
      <c r="L848">
        <v>7092.31</v>
      </c>
      <c r="M848" s="213"/>
      <c r="N848" s="213"/>
      <c r="O848" s="213"/>
      <c r="P848" s="213"/>
      <c r="Q848" s="207">
        <f>IF((L849=""),"",MAX(D850:L850))</f>
        <v>3493.1000000000004</v>
      </c>
      <c r="R848" s="207">
        <f>IF(L849="","",MIN(D850:L850))</f>
        <v>3461.8799999999992</v>
      </c>
      <c r="S848" s="208">
        <f>IF((L850=""),"",AVERAGE(D850:L850))</f>
        <v>3476.8622222222211</v>
      </c>
      <c r="T848" s="207">
        <f>IF((L849=""),"",((Q848-R848)/(Q848+R848))*100)</f>
        <v>0.44888698457797382</v>
      </c>
      <c r="U848" s="207">
        <f>STDEV(D848:L848)</f>
        <v>43.557068153288945</v>
      </c>
      <c r="V848" s="209" t="str">
        <f>IF(L849="","",(IF(T848&lt;7,IF(S848&gt;2800,IF(S848&lt;3800,"Pass","Fail"),"Fail"),"Fail")))</f>
        <v>Pass</v>
      </c>
      <c r="W848" s="207">
        <v>1335</v>
      </c>
      <c r="X848" s="199" t="s">
        <v>291</v>
      </c>
      <c r="Y848" s="210"/>
      <c r="Z848" s="218">
        <v>2800</v>
      </c>
      <c r="AA848" s="218">
        <v>3800</v>
      </c>
      <c r="AB848" s="218">
        <v>3100</v>
      </c>
      <c r="AC848" s="218">
        <v>3760</v>
      </c>
      <c r="AD848" s="219">
        <v>6</v>
      </c>
      <c r="AE848" s="219">
        <v>6</v>
      </c>
    </row>
    <row r="849" spans="1:31" customFormat="1" ht="16.5" customHeight="1">
      <c r="A849" s="226"/>
      <c r="B849" s="212"/>
      <c r="C849" s="207" t="s">
        <v>155</v>
      </c>
      <c r="D849">
        <v>5302.76</v>
      </c>
      <c r="E849">
        <v>5259.63</v>
      </c>
      <c r="F849">
        <v>5286.18</v>
      </c>
      <c r="G849">
        <v>5243.85</v>
      </c>
      <c r="H849">
        <v>5210.3500000000004</v>
      </c>
      <c r="I849">
        <v>5247.7</v>
      </c>
      <c r="J849">
        <v>5253.64</v>
      </c>
      <c r="K849">
        <v>5305.05</v>
      </c>
      <c r="L849">
        <v>5353.78</v>
      </c>
      <c r="M849" s="213"/>
      <c r="N849" s="213"/>
      <c r="O849" s="213"/>
      <c r="P849" s="213"/>
      <c r="Q849" s="207"/>
      <c r="R849" s="207"/>
      <c r="S849" s="208"/>
      <c r="T849" s="207"/>
      <c r="U849" s="207"/>
      <c r="V849" s="209"/>
      <c r="W849" s="207"/>
      <c r="X849" s="199"/>
      <c r="Y849" s="210"/>
      <c r="Z849" s="210"/>
      <c r="AA849" s="210"/>
      <c r="AB849" s="210"/>
      <c r="AC849" s="210"/>
      <c r="AD849" s="199"/>
      <c r="AE849" s="199"/>
    </row>
    <row r="850" spans="1:31" customFormat="1" ht="24.75" customHeight="1" thickBot="1">
      <c r="A850" s="229"/>
      <c r="B850" s="220"/>
      <c r="C850" s="221" t="s">
        <v>154</v>
      </c>
      <c r="D850" s="222">
        <f t="shared" ref="D850:L850" si="278">IF(((D848="")*AND(D849="")),"",(D848-D849)*2)</f>
        <v>3472.6999999999989</v>
      </c>
      <c r="E850" s="222">
        <f t="shared" si="278"/>
        <v>3481.58</v>
      </c>
      <c r="F850" s="222">
        <f t="shared" si="278"/>
        <v>3475.0999999999985</v>
      </c>
      <c r="G850" s="222">
        <f t="shared" si="278"/>
        <v>3473.9599999999991</v>
      </c>
      <c r="H850" s="222">
        <f t="shared" si="278"/>
        <v>3461.8799999999992</v>
      </c>
      <c r="I850" s="222">
        <f t="shared" si="278"/>
        <v>3493.1000000000004</v>
      </c>
      <c r="J850" s="222">
        <f t="shared" si="278"/>
        <v>3477.5999999999985</v>
      </c>
      <c r="K850" s="222">
        <f t="shared" si="278"/>
        <v>3478.7799999999988</v>
      </c>
      <c r="L850" s="222">
        <f t="shared" si="278"/>
        <v>3477.0600000000013</v>
      </c>
      <c r="M850" s="223"/>
      <c r="N850" s="222"/>
      <c r="O850" s="222"/>
      <c r="P850" s="222"/>
      <c r="Q850" s="207"/>
      <c r="R850" s="207"/>
      <c r="S850" s="208"/>
      <c r="T850" s="207"/>
      <c r="U850" s="207"/>
      <c r="V850" s="209"/>
      <c r="W850" s="207"/>
      <c r="X850" s="199"/>
      <c r="Y850" s="210"/>
      <c r="Z850" s="210"/>
      <c r="AA850" s="210"/>
      <c r="AB850" s="210"/>
      <c r="AC850" s="210"/>
      <c r="AD850" s="199"/>
      <c r="AE850" s="199"/>
    </row>
    <row r="851" spans="1:31" customFormat="1" ht="15.75">
      <c r="A851" s="253">
        <v>43524</v>
      </c>
      <c r="B851" s="204" t="s">
        <v>158</v>
      </c>
      <c r="C851" s="205" t="s">
        <v>156</v>
      </c>
      <c r="D851">
        <v>1191.55</v>
      </c>
      <c r="E851">
        <v>1220.5899999999999</v>
      </c>
      <c r="F851">
        <v>1236.77</v>
      </c>
      <c r="G851">
        <v>1223.4000000000001</v>
      </c>
      <c r="H851">
        <v>1191.03</v>
      </c>
      <c r="I851">
        <v>1207.68</v>
      </c>
      <c r="J851">
        <v>1231.0999999999999</v>
      </c>
      <c r="K851">
        <v>1210.3499999999999</v>
      </c>
      <c r="L851">
        <v>1214.06</v>
      </c>
      <c r="M851" s="206"/>
      <c r="N851" s="206"/>
      <c r="O851" s="206"/>
      <c r="P851" s="206"/>
      <c r="Q851" s="207">
        <f>IF((L852=""),"",MAX(D853:L853))</f>
        <v>3333.3199999999997</v>
      </c>
      <c r="R851" s="207">
        <f>IF(L852="","",MIN(D853:L853))</f>
        <v>2712.68</v>
      </c>
      <c r="S851" s="208">
        <f>IF((L853=""),"",AVERAGE(D853:L853))</f>
        <v>2909.8266666666664</v>
      </c>
      <c r="T851" s="207">
        <f>IF((L852=""),"",((Q851-R851)/(Q851+R851))*100)</f>
        <v>10.265299371485277</v>
      </c>
      <c r="U851" s="207">
        <f>STDEV(D851:L851)</f>
        <v>15.919844883396914</v>
      </c>
      <c r="V851" s="209" t="str">
        <f>IF(L852="","",(IF(T851&lt;12,IF(S851&gt;2200,IF(S851&lt;3280,"Pass","Fail"),"Fail"),"Fail")))</f>
        <v>Pass</v>
      </c>
      <c r="W851" s="207"/>
      <c r="X851" s="199" t="s">
        <v>292</v>
      </c>
      <c r="Y851" s="210"/>
      <c r="Z851" s="210">
        <v>2000</v>
      </c>
      <c r="AA851" s="210">
        <v>3000</v>
      </c>
      <c r="AB851" s="210">
        <v>2200</v>
      </c>
      <c r="AC851" s="210">
        <v>3280</v>
      </c>
      <c r="AD851" s="211">
        <v>12</v>
      </c>
      <c r="AE851" s="211">
        <v>12</v>
      </c>
    </row>
    <row r="852" spans="1:31" customFormat="1" ht="15.75" customHeight="1">
      <c r="A852" s="226"/>
      <c r="B852" s="212"/>
      <c r="C852" s="207" t="s">
        <v>155</v>
      </c>
      <c r="D852">
        <v>447.38</v>
      </c>
      <c r="E852">
        <v>519.76</v>
      </c>
      <c r="F852">
        <v>558.6</v>
      </c>
      <c r="G852">
        <v>525.89</v>
      </c>
      <c r="H852">
        <v>435.75</v>
      </c>
      <c r="I852">
        <v>475.08</v>
      </c>
      <c r="J852">
        <v>542.03</v>
      </c>
      <c r="K852">
        <v>494.2</v>
      </c>
      <c r="L852">
        <v>380.73</v>
      </c>
      <c r="M852" s="213"/>
      <c r="N852" s="213"/>
      <c r="O852" s="213"/>
      <c r="P852" s="213"/>
      <c r="Q852" s="207"/>
      <c r="R852" s="207"/>
      <c r="S852" s="207"/>
      <c r="T852" s="207"/>
      <c r="U852" s="207"/>
      <c r="V852" s="209"/>
      <c r="W852" s="207"/>
      <c r="X852" s="199"/>
      <c r="Y852" s="210"/>
      <c r="Z852" s="210"/>
      <c r="AA852" s="210"/>
      <c r="AB852" s="210"/>
      <c r="AC852" s="210"/>
      <c r="AD852" s="199"/>
      <c r="AE852" s="199"/>
    </row>
    <row r="853" spans="1:31" customFormat="1" ht="24" customHeight="1">
      <c r="A853" s="227"/>
      <c r="B853" s="214"/>
      <c r="C853" s="207" t="s">
        <v>154</v>
      </c>
      <c r="D853" s="215">
        <f t="shared" ref="D853:L853" si="279">IF(((D851="")*AND(D852="")),"",(D851-D852)*4)</f>
        <v>2976.68</v>
      </c>
      <c r="E853" s="215">
        <f t="shared" si="279"/>
        <v>2803.3199999999997</v>
      </c>
      <c r="F853" s="215">
        <f t="shared" si="279"/>
        <v>2712.68</v>
      </c>
      <c r="G853" s="215">
        <f t="shared" si="279"/>
        <v>2790.0400000000004</v>
      </c>
      <c r="H853" s="215">
        <f t="shared" si="279"/>
        <v>3021.12</v>
      </c>
      <c r="I853" s="215">
        <f t="shared" si="279"/>
        <v>2930.4000000000005</v>
      </c>
      <c r="J853" s="215">
        <f t="shared" si="279"/>
        <v>2756.2799999999997</v>
      </c>
      <c r="K853" s="215">
        <f t="shared" si="279"/>
        <v>2864.5999999999995</v>
      </c>
      <c r="L853" s="215">
        <f t="shared" si="279"/>
        <v>3333.3199999999997</v>
      </c>
      <c r="M853" s="224"/>
      <c r="N853" s="215"/>
      <c r="O853" s="215"/>
      <c r="P853" s="215" t="str">
        <f>IF(((P851="")*AND(P852="")),"",(P851-P852)*4)</f>
        <v/>
      </c>
      <c r="Q853" s="207"/>
      <c r="R853" s="207"/>
      <c r="S853" s="207"/>
      <c r="T853" s="207"/>
      <c r="U853" s="207"/>
      <c r="V853" s="209"/>
      <c r="W853" s="207"/>
      <c r="X853" s="199"/>
      <c r="Y853" s="210"/>
      <c r="Z853" s="210"/>
      <c r="AA853" s="210"/>
      <c r="AB853" s="210"/>
      <c r="AC853" s="210"/>
      <c r="AD853" s="199"/>
      <c r="AE853" s="199"/>
    </row>
    <row r="854" spans="1:31" customFormat="1" ht="15.75">
      <c r="A854" s="253">
        <v>43524</v>
      </c>
      <c r="B854" s="216" t="s">
        <v>157</v>
      </c>
      <c r="C854" s="207" t="s">
        <v>156</v>
      </c>
      <c r="D854">
        <v>5311.86</v>
      </c>
      <c r="E854">
        <v>5268.61</v>
      </c>
      <c r="F854">
        <v>5294.52</v>
      </c>
      <c r="G854">
        <v>5251.26</v>
      </c>
      <c r="H854">
        <v>5217.1000000000004</v>
      </c>
      <c r="I854">
        <v>5255.39</v>
      </c>
      <c r="J854">
        <v>5261.61</v>
      </c>
      <c r="K854">
        <v>5313.41</v>
      </c>
      <c r="L854">
        <v>5362.89</v>
      </c>
      <c r="M854" s="213"/>
      <c r="N854" s="213"/>
      <c r="O854" s="213"/>
      <c r="P854" s="213"/>
      <c r="Q854" s="207">
        <f>IF((L855=""),"",MAX(D856:L856))</f>
        <v>3462.4400000000005</v>
      </c>
      <c r="R854" s="207">
        <f>IF(L855="","",MIN(D856:L856))</f>
        <v>3425.0800000000008</v>
      </c>
      <c r="S854" s="208">
        <f>IF((L856=""),"",AVERAGE(D856:L856))</f>
        <v>3450.1955555555555</v>
      </c>
      <c r="T854" s="207">
        <f>IF((L855=""),"",((Q854-R854)/(Q854+R854))*100)</f>
        <v>0.54243036680836731</v>
      </c>
      <c r="U854" s="207">
        <f>STDEV(D854:L854)</f>
        <v>43.356143740072099</v>
      </c>
      <c r="V854" s="209" t="str">
        <f>IF(L855="","",(IF(T854&lt;7,IF(S854&gt;2800,IF(S854&lt;3800,"Pass","Fail"),"Fail"),"Fail")))</f>
        <v>Pass</v>
      </c>
      <c r="W854" s="207"/>
      <c r="X854" s="199" t="s">
        <v>292</v>
      </c>
      <c r="Y854" s="210"/>
      <c r="Z854" s="218">
        <v>2800</v>
      </c>
      <c r="AA854" s="218">
        <v>3800</v>
      </c>
      <c r="AB854" s="218">
        <v>3100</v>
      </c>
      <c r="AC854" s="218">
        <v>3760</v>
      </c>
      <c r="AD854" s="219">
        <v>6</v>
      </c>
      <c r="AE854" s="219">
        <v>6</v>
      </c>
    </row>
    <row r="855" spans="1:31" customFormat="1" ht="16.5" customHeight="1">
      <c r="A855" s="226"/>
      <c r="B855" s="212"/>
      <c r="C855" s="207" t="s">
        <v>155</v>
      </c>
      <c r="D855">
        <v>3587.86</v>
      </c>
      <c r="E855">
        <v>3540.15</v>
      </c>
      <c r="F855">
        <v>3567.87</v>
      </c>
      <c r="G855">
        <v>3527.4</v>
      </c>
      <c r="H855">
        <v>3504.56</v>
      </c>
      <c r="I855">
        <v>3524.17</v>
      </c>
      <c r="J855">
        <v>3537.28</v>
      </c>
      <c r="K855">
        <v>3584.44</v>
      </c>
      <c r="L855">
        <v>3637.04</v>
      </c>
      <c r="M855" s="213"/>
      <c r="N855" s="213"/>
      <c r="O855" s="213"/>
      <c r="P855" s="213"/>
      <c r="Q855" s="207"/>
      <c r="R855" s="207"/>
      <c r="S855" s="208"/>
      <c r="T855" s="207"/>
      <c r="U855" s="207"/>
      <c r="V855" s="209"/>
      <c r="W855" s="207"/>
      <c r="X855" s="252"/>
      <c r="Y855" s="210"/>
      <c r="Z855" s="210"/>
      <c r="AA855" s="210"/>
      <c r="AB855" s="210"/>
      <c r="AC855" s="210"/>
      <c r="AD855" s="199"/>
      <c r="AE855" s="199"/>
    </row>
    <row r="856" spans="1:31" customFormat="1" ht="24.75" customHeight="1" thickBot="1">
      <c r="A856" s="229"/>
      <c r="B856" s="220"/>
      <c r="C856" s="221" t="s">
        <v>154</v>
      </c>
      <c r="D856" s="222">
        <f t="shared" ref="D856:L856" si="280">IF(((D854="")*AND(D855="")),"",(D854-D855)*2)</f>
        <v>3447.9999999999991</v>
      </c>
      <c r="E856" s="222">
        <f t="shared" si="280"/>
        <v>3456.9199999999992</v>
      </c>
      <c r="F856" s="222">
        <f t="shared" si="280"/>
        <v>3453.3000000000011</v>
      </c>
      <c r="G856" s="222">
        <f t="shared" si="280"/>
        <v>3447.7200000000003</v>
      </c>
      <c r="H856" s="222">
        <f t="shared" si="280"/>
        <v>3425.0800000000008</v>
      </c>
      <c r="I856" s="222">
        <f t="shared" si="280"/>
        <v>3462.4400000000005</v>
      </c>
      <c r="J856" s="222">
        <f t="shared" si="280"/>
        <v>3448.6599999999989</v>
      </c>
      <c r="K856" s="222">
        <f t="shared" si="280"/>
        <v>3457.9399999999996</v>
      </c>
      <c r="L856" s="222">
        <f t="shared" si="280"/>
        <v>3451.7000000000007</v>
      </c>
      <c r="M856" s="223"/>
      <c r="N856" s="222"/>
      <c r="O856" s="222"/>
      <c r="P856" s="222"/>
      <c r="Q856" s="207"/>
      <c r="R856" s="207"/>
      <c r="S856" s="208"/>
      <c r="T856" s="207"/>
      <c r="U856" s="207"/>
      <c r="V856" s="209"/>
      <c r="W856" s="207"/>
      <c r="X856" s="252"/>
      <c r="Y856" s="210"/>
      <c r="Z856" s="210"/>
      <c r="AA856" s="210"/>
      <c r="AB856" s="210"/>
      <c r="AC856" s="210"/>
      <c r="AD856" s="199"/>
      <c r="AE856" s="199"/>
    </row>
    <row r="857" spans="1:31" customFormat="1" ht="15.75">
      <c r="A857" s="253">
        <v>43528</v>
      </c>
      <c r="B857" s="204" t="s">
        <v>158</v>
      </c>
      <c r="C857" s="205" t="s">
        <v>156</v>
      </c>
      <c r="D857">
        <v>1917.65</v>
      </c>
      <c r="E857">
        <v>1915.49</v>
      </c>
      <c r="F857">
        <v>1914.91</v>
      </c>
      <c r="G857">
        <v>1914.83</v>
      </c>
      <c r="H857">
        <v>1922.16</v>
      </c>
      <c r="I857">
        <v>1924.01</v>
      </c>
      <c r="J857">
        <v>1914.38</v>
      </c>
      <c r="K857">
        <v>1914.67</v>
      </c>
      <c r="L857">
        <v>1915</v>
      </c>
      <c r="M857" s="206"/>
      <c r="N857" s="206"/>
      <c r="O857" s="206"/>
      <c r="P857" s="206"/>
      <c r="Q857" s="207">
        <f>IF((L858=""),"",MAX(D859:L859))</f>
        <v>3038.8</v>
      </c>
      <c r="R857" s="207">
        <f>IF(L858="","",MIN(D859:L859))</f>
        <v>2730.2800000000007</v>
      </c>
      <c r="S857" s="208">
        <f>IF((L859=""),"",AVERAGE(D859:L859))</f>
        <v>2868.64</v>
      </c>
      <c r="T857" s="207">
        <f>IF((L858=""),"",((Q857-R857)/(Q857+R857))*100)</f>
        <v>5.3478197563562899</v>
      </c>
      <c r="U857" s="207">
        <f>STDEV(D857:L857)</f>
        <v>3.6027331446663431</v>
      </c>
      <c r="V857" s="209" t="str">
        <f>IF(L858="","",(IF(T857&lt;12,IF(S857&gt;2200,IF(S857&lt;3280,"Pass","Fail"),"Fail"),"Fail")))</f>
        <v>Pass</v>
      </c>
      <c r="W857" s="207" t="s">
        <v>293</v>
      </c>
      <c r="X857" s="199" t="s">
        <v>294</v>
      </c>
      <c r="Y857" s="210"/>
      <c r="Z857" s="210">
        <v>2000</v>
      </c>
      <c r="AA857" s="210">
        <v>3000</v>
      </c>
      <c r="AB857" s="210">
        <v>2200</v>
      </c>
      <c r="AC857" s="210">
        <v>3280</v>
      </c>
      <c r="AD857" s="211">
        <v>12</v>
      </c>
      <c r="AE857" s="211">
        <v>12</v>
      </c>
    </row>
    <row r="858" spans="1:31" customFormat="1" ht="15.75" customHeight="1">
      <c r="A858" s="226"/>
      <c r="B858" s="212"/>
      <c r="C858" s="207" t="s">
        <v>155</v>
      </c>
      <c r="D858">
        <v>1170.3900000000001</v>
      </c>
      <c r="E858">
        <v>1212.24</v>
      </c>
      <c r="F858">
        <v>1232.3399999999999</v>
      </c>
      <c r="G858">
        <v>1212.93</v>
      </c>
      <c r="H858">
        <v>1162.46</v>
      </c>
      <c r="I858">
        <v>1187.55</v>
      </c>
      <c r="J858">
        <v>1224.29</v>
      </c>
      <c r="K858">
        <v>1198.46</v>
      </c>
      <c r="L858">
        <v>1198</v>
      </c>
      <c r="M858" s="213"/>
      <c r="N858" s="213"/>
      <c r="O858" s="213"/>
      <c r="P858" s="213"/>
      <c r="Q858" s="207"/>
      <c r="R858" s="207"/>
      <c r="S858" s="207"/>
      <c r="T858" s="207"/>
      <c r="U858" s="207"/>
      <c r="V858" s="209"/>
      <c r="W858" s="207"/>
      <c r="Y858" s="210"/>
      <c r="Z858" s="210"/>
      <c r="AA858" s="210"/>
      <c r="AB858" s="210"/>
      <c r="AC858" s="210"/>
      <c r="AD858" s="199"/>
      <c r="AE858" s="199"/>
    </row>
    <row r="859" spans="1:31" customFormat="1" ht="24" customHeight="1">
      <c r="A859" s="227"/>
      <c r="B859" s="214"/>
      <c r="C859" s="207" t="s">
        <v>154</v>
      </c>
      <c r="D859" s="215">
        <f t="shared" ref="D859:L859" si="281">IF(((D857="")*AND(D858="")),"",(D857-D858)*4)</f>
        <v>2989.04</v>
      </c>
      <c r="E859" s="215">
        <f t="shared" si="281"/>
        <v>2813</v>
      </c>
      <c r="F859" s="215">
        <f t="shared" si="281"/>
        <v>2730.2800000000007</v>
      </c>
      <c r="G859" s="215">
        <f t="shared" si="281"/>
        <v>2807.5999999999995</v>
      </c>
      <c r="H859" s="215">
        <f t="shared" si="281"/>
        <v>3038.8</v>
      </c>
      <c r="I859" s="215">
        <f t="shared" si="281"/>
        <v>2945.84</v>
      </c>
      <c r="J859" s="215">
        <f t="shared" si="281"/>
        <v>2760.3600000000006</v>
      </c>
      <c r="K859" s="215">
        <f t="shared" si="281"/>
        <v>2864.84</v>
      </c>
      <c r="L859" s="215">
        <f t="shared" si="281"/>
        <v>2868</v>
      </c>
      <c r="M859" s="224"/>
      <c r="N859" s="215"/>
      <c r="O859" s="215"/>
      <c r="P859" s="215" t="str">
        <f>IF(((P857="")*AND(P858="")),"",(P857-P858)*4)</f>
        <v/>
      </c>
      <c r="Q859" s="207"/>
      <c r="R859" s="207"/>
      <c r="S859" s="207"/>
      <c r="T859" s="207"/>
      <c r="U859" s="207"/>
      <c r="V859" s="209"/>
      <c r="W859" s="207"/>
      <c r="Y859" s="210"/>
      <c r="Z859" s="210"/>
      <c r="AA859" s="210"/>
      <c r="AB859" s="210"/>
      <c r="AC859" s="210"/>
      <c r="AD859" s="199"/>
      <c r="AE859" s="199"/>
    </row>
    <row r="860" spans="1:31" customFormat="1" ht="15.75">
      <c r="A860" s="253">
        <v>43528</v>
      </c>
      <c r="B860" s="216" t="s">
        <v>157</v>
      </c>
      <c r="C860" s="207" t="s">
        <v>156</v>
      </c>
      <c r="D860">
        <v>3503.05</v>
      </c>
      <c r="E860">
        <v>3472.06</v>
      </c>
      <c r="F860">
        <v>3501.15</v>
      </c>
      <c r="G860">
        <v>3453.01</v>
      </c>
      <c r="H860">
        <v>3420.24</v>
      </c>
      <c r="I860">
        <v>3462.1</v>
      </c>
      <c r="J860">
        <v>3472.77</v>
      </c>
      <c r="K860">
        <v>3507.15</v>
      </c>
      <c r="L860">
        <v>3543.34</v>
      </c>
      <c r="M860" s="213"/>
      <c r="N860" s="213"/>
      <c r="O860" s="213"/>
      <c r="P860" s="213"/>
      <c r="Q860" s="207">
        <f>IF((L861=""),"",MAX(D862:L862))</f>
        <v>3457.2599999999998</v>
      </c>
      <c r="R860" s="207">
        <f>IF(L861="","",MIN(D862:L862))</f>
        <v>3412.0999999999995</v>
      </c>
      <c r="S860" s="208">
        <f>IF((L862=""),"",AVERAGE(D862:L862))</f>
        <v>3433.804444444444</v>
      </c>
      <c r="T860" s="207">
        <f>IF((L861=""),"",((Q860-R860)/(Q860+R860))*100)</f>
        <v>0.65741204420790755</v>
      </c>
      <c r="U860" s="207">
        <f>STDEV(D860:L860)</f>
        <v>36.122324737519726</v>
      </c>
      <c r="V860" s="209" t="str">
        <f>IF(L861="","",(IF(T860&lt;7,IF(S860&gt;2800,IF(S860&lt;3800,"Pass","Fail"),"Fail"),"Fail")))</f>
        <v>Pass</v>
      </c>
      <c r="W860" s="207" t="s">
        <v>293</v>
      </c>
      <c r="X860" s="199" t="s">
        <v>294</v>
      </c>
      <c r="Y860" s="210"/>
      <c r="Z860" s="218">
        <v>2800</v>
      </c>
      <c r="AA860" s="218">
        <v>3800</v>
      </c>
      <c r="AB860" s="218">
        <v>3100</v>
      </c>
      <c r="AC860" s="218">
        <v>3760</v>
      </c>
      <c r="AD860" s="219">
        <v>6</v>
      </c>
      <c r="AE860" s="219">
        <v>6</v>
      </c>
    </row>
    <row r="861" spans="1:31" customFormat="1" ht="16.5" customHeight="1">
      <c r="A861" s="226"/>
      <c r="B861" s="212"/>
      <c r="C861" s="207" t="s">
        <v>155</v>
      </c>
      <c r="D861">
        <v>1783.49</v>
      </c>
      <c r="E861">
        <v>1751.96</v>
      </c>
      <c r="F861">
        <v>1786.43</v>
      </c>
      <c r="G861">
        <v>1739.62</v>
      </c>
      <c r="H861">
        <v>1714.19</v>
      </c>
      <c r="I861">
        <v>1733.47</v>
      </c>
      <c r="J861">
        <v>1756.8</v>
      </c>
      <c r="K861">
        <v>1790.93</v>
      </c>
      <c r="L861">
        <v>1825.86</v>
      </c>
      <c r="M861" s="213"/>
      <c r="N861" s="213"/>
      <c r="O861" s="213"/>
      <c r="P861" s="213"/>
      <c r="Q861" s="207"/>
      <c r="R861" s="207"/>
      <c r="S861" s="208"/>
      <c r="T861" s="207"/>
      <c r="U861" s="207"/>
      <c r="V861" s="209"/>
      <c r="W861" s="207"/>
      <c r="Y861" s="210"/>
      <c r="Z861" s="210"/>
      <c r="AA861" s="210"/>
      <c r="AB861" s="210"/>
      <c r="AC861" s="210"/>
      <c r="AD861" s="199"/>
      <c r="AE861" s="199"/>
    </row>
    <row r="862" spans="1:31" customFormat="1" ht="24.75" customHeight="1" thickBot="1">
      <c r="A862" s="229"/>
      <c r="B862" s="220"/>
      <c r="C862" s="221" t="s">
        <v>154</v>
      </c>
      <c r="D862" s="222">
        <f t="shared" ref="D862:L862" si="282">IF(((D860="")*AND(D861="")),"",(D860-D861)*2)</f>
        <v>3439.1200000000003</v>
      </c>
      <c r="E862" s="222">
        <f t="shared" si="282"/>
        <v>3440.2</v>
      </c>
      <c r="F862" s="222">
        <f t="shared" si="282"/>
        <v>3429.44</v>
      </c>
      <c r="G862" s="222">
        <f t="shared" si="282"/>
        <v>3426.7800000000007</v>
      </c>
      <c r="H862" s="222">
        <f t="shared" si="282"/>
        <v>3412.0999999999995</v>
      </c>
      <c r="I862" s="222">
        <f t="shared" si="282"/>
        <v>3457.2599999999998</v>
      </c>
      <c r="J862" s="222">
        <f t="shared" si="282"/>
        <v>3431.94</v>
      </c>
      <c r="K862" s="222">
        <f t="shared" si="282"/>
        <v>3432.44</v>
      </c>
      <c r="L862" s="222">
        <f t="shared" si="282"/>
        <v>3434.9600000000005</v>
      </c>
      <c r="M862" s="223"/>
      <c r="N862" s="222"/>
      <c r="O862" s="222"/>
      <c r="P862" s="222"/>
      <c r="Q862" s="207"/>
      <c r="R862" s="207"/>
      <c r="S862" s="208"/>
      <c r="T862" s="207"/>
      <c r="U862" s="207"/>
      <c r="V862" s="209"/>
      <c r="W862" s="207"/>
      <c r="Y862" s="210"/>
      <c r="Z862" s="210"/>
      <c r="AA862" s="210"/>
      <c r="AB862" s="210"/>
      <c r="AC862" s="210"/>
      <c r="AD862" s="199"/>
      <c r="AE862" s="199"/>
    </row>
    <row r="863" spans="1:31" customFormat="1" ht="15.75">
      <c r="A863" s="253">
        <v>43531</v>
      </c>
      <c r="B863" s="204" t="s">
        <v>158</v>
      </c>
      <c r="C863" s="205" t="s">
        <v>156</v>
      </c>
      <c r="D863">
        <v>1923.89</v>
      </c>
      <c r="E863">
        <v>1919.64</v>
      </c>
      <c r="F863">
        <v>1908.36</v>
      </c>
      <c r="G863">
        <v>1920.06</v>
      </c>
      <c r="H863">
        <v>1928.4</v>
      </c>
      <c r="I863">
        <v>1926.83</v>
      </c>
      <c r="J863">
        <v>1919.99</v>
      </c>
      <c r="K863">
        <v>1918.7</v>
      </c>
      <c r="L863">
        <v>1920</v>
      </c>
      <c r="M863" s="206"/>
      <c r="N863" s="206"/>
      <c r="O863" s="206"/>
      <c r="P863" s="206"/>
      <c r="Q863" s="207">
        <f>IF((L864=""),"",MAX(D865:L865))</f>
        <v>2960.6800000000003</v>
      </c>
      <c r="R863" s="207">
        <f>IF(L864="","",MIN(D865:L865))</f>
        <v>2691.9199999999992</v>
      </c>
      <c r="S863" s="208">
        <f>IF((L865=""),"",AVERAGE(D865:L865))</f>
        <v>2840.853333333333</v>
      </c>
      <c r="T863" s="207">
        <f>IF((L864=""),"",((Q863-R863)/(Q863+R863))*100)</f>
        <v>4.7546261897180262</v>
      </c>
      <c r="U863" s="207">
        <f>STDEV(D863:L863)</f>
        <v>5.7643880371714902</v>
      </c>
      <c r="V863" s="209" t="str">
        <f>IF(L864="","",(IF(T863&lt;12,IF(S863&gt;2200,IF(S863&lt;3280,"Pass","Fail"),"Fail"),"Fail")))</f>
        <v>Pass</v>
      </c>
      <c r="W863" s="207">
        <v>1340</v>
      </c>
      <c r="X863" s="251" t="s">
        <v>295</v>
      </c>
      <c r="Y863" s="210"/>
      <c r="Z863" s="210">
        <v>2000</v>
      </c>
      <c r="AA863" s="210">
        <v>3000</v>
      </c>
      <c r="AB863" s="210">
        <v>2200</v>
      </c>
      <c r="AC863" s="210">
        <v>3280</v>
      </c>
      <c r="AD863" s="211">
        <v>12</v>
      </c>
      <c r="AE863" s="211">
        <v>12</v>
      </c>
    </row>
    <row r="864" spans="1:31" customFormat="1" ht="15.75" customHeight="1">
      <c r="A864" s="226"/>
      <c r="B864" s="212"/>
      <c r="C864" s="207" t="s">
        <v>155</v>
      </c>
      <c r="D864">
        <v>1186.6500000000001</v>
      </c>
      <c r="E864">
        <v>1216.79</v>
      </c>
      <c r="F864">
        <v>1235.3800000000001</v>
      </c>
      <c r="G864">
        <v>1220.1199999999999</v>
      </c>
      <c r="H864">
        <v>1188.23</v>
      </c>
      <c r="I864">
        <v>1202.54</v>
      </c>
      <c r="J864">
        <v>1228.83</v>
      </c>
      <c r="K864">
        <v>1205.4100000000001</v>
      </c>
      <c r="L864">
        <v>1210</v>
      </c>
      <c r="M864" s="213"/>
      <c r="N864" s="213"/>
      <c r="O864" s="213"/>
      <c r="P864" s="213"/>
      <c r="Q864" s="207"/>
      <c r="R864" s="207"/>
      <c r="S864" s="207"/>
      <c r="T864" s="207"/>
      <c r="U864" s="207"/>
      <c r="V864" s="209"/>
      <c r="W864" s="207"/>
      <c r="X864" s="250"/>
      <c r="Y864" s="210"/>
      <c r="Z864" s="210"/>
      <c r="AA864" s="210"/>
      <c r="AB864" s="210"/>
      <c r="AC864" s="210"/>
      <c r="AD864" s="199"/>
      <c r="AE864" s="199"/>
    </row>
    <row r="865" spans="1:31" customFormat="1" ht="24" customHeight="1">
      <c r="A865" s="227"/>
      <c r="B865" s="214"/>
      <c r="C865" s="207" t="s">
        <v>154</v>
      </c>
      <c r="D865" s="215">
        <f t="shared" ref="D865:L865" si="283">IF(((D863="")*AND(D864="")),"",(D863-D864)*4)</f>
        <v>2948.96</v>
      </c>
      <c r="E865" s="215">
        <f t="shared" si="283"/>
        <v>2811.4000000000005</v>
      </c>
      <c r="F865" s="215">
        <f t="shared" si="283"/>
        <v>2691.9199999999992</v>
      </c>
      <c r="G865" s="215">
        <f t="shared" si="283"/>
        <v>2799.76</v>
      </c>
      <c r="H865" s="215">
        <f t="shared" si="283"/>
        <v>2960.6800000000003</v>
      </c>
      <c r="I865" s="215">
        <f t="shared" si="283"/>
        <v>2897.16</v>
      </c>
      <c r="J865" s="215">
        <f t="shared" si="283"/>
        <v>2764.6400000000003</v>
      </c>
      <c r="K865" s="215">
        <f t="shared" si="283"/>
        <v>2853.16</v>
      </c>
      <c r="L865" s="215">
        <f t="shared" si="283"/>
        <v>2840</v>
      </c>
      <c r="M865" s="224"/>
      <c r="N865" s="215"/>
      <c r="O865" s="215"/>
      <c r="P865" s="215" t="str">
        <f>IF(((P863="")*AND(P864="")),"",(P863-P864)*4)</f>
        <v/>
      </c>
      <c r="Q865" s="207"/>
      <c r="R865" s="207"/>
      <c r="S865" s="207"/>
      <c r="T865" s="207"/>
      <c r="U865" s="207"/>
      <c r="V865" s="209"/>
      <c r="W865" s="207"/>
      <c r="X865" s="250"/>
      <c r="Y865" s="210"/>
      <c r="Z865" s="210"/>
      <c r="AA865" s="210"/>
      <c r="AB865" s="210"/>
      <c r="AC865" s="210"/>
      <c r="AD865" s="199"/>
      <c r="AE865" s="199"/>
    </row>
    <row r="866" spans="1:31" customFormat="1" ht="15.75">
      <c r="A866" s="253">
        <v>43531</v>
      </c>
      <c r="B866" s="216" t="s">
        <v>157</v>
      </c>
      <c r="C866" s="207" t="s">
        <v>156</v>
      </c>
      <c r="D866">
        <v>6954.48</v>
      </c>
      <c r="E866">
        <v>6933.04</v>
      </c>
      <c r="F866">
        <v>6954.03</v>
      </c>
      <c r="G866">
        <v>6901.82</v>
      </c>
      <c r="H866">
        <v>6836</v>
      </c>
      <c r="I866">
        <v>6895.38</v>
      </c>
      <c r="J866">
        <v>6915.28</v>
      </c>
      <c r="K866">
        <v>6972.15</v>
      </c>
      <c r="L866">
        <v>7001.5</v>
      </c>
      <c r="M866" s="213"/>
      <c r="N866" s="213"/>
      <c r="O866" s="213"/>
      <c r="P866" s="213"/>
      <c r="Q866" s="207">
        <f>IF((L867=""),"",MAX(D868:L868))</f>
        <v>3484.3999999999996</v>
      </c>
      <c r="R866" s="207">
        <f>IF(L867="","",MIN(D868:L868))</f>
        <v>3456.5199999999986</v>
      </c>
      <c r="S866" s="208">
        <f>IF((L868=""),"",AVERAGE(D868:L868))</f>
        <v>3462.8177777777778</v>
      </c>
      <c r="T866" s="207">
        <f>IF((L867=""),"",((Q866-R866)/(Q866+R866))*100)</f>
        <v>0.40167585853173682</v>
      </c>
      <c r="U866" s="207">
        <f>STDEV(D866:L866)</f>
        <v>48.88215747537356</v>
      </c>
      <c r="V866" s="209" t="str">
        <f>IF(L867="","",(IF(T866&lt;7,IF(S866&gt;2800,IF(S866&lt;3800,"Pass","Fail"),"Fail"),"Fail")))</f>
        <v>Pass</v>
      </c>
      <c r="W866" s="207">
        <v>1340</v>
      </c>
      <c r="X866" s="251" t="s">
        <v>295</v>
      </c>
      <c r="Y866" s="210"/>
      <c r="Z866" s="218">
        <v>2800</v>
      </c>
      <c r="AA866" s="218">
        <v>3800</v>
      </c>
      <c r="AB866" s="218">
        <v>3100</v>
      </c>
      <c r="AC866" s="218">
        <v>3760</v>
      </c>
      <c r="AD866" s="219">
        <v>6</v>
      </c>
      <c r="AE866" s="219">
        <v>6</v>
      </c>
    </row>
    <row r="867" spans="1:31" customFormat="1" ht="16.5" customHeight="1">
      <c r="A867" s="226"/>
      <c r="B867" s="212"/>
      <c r="C867" s="207" t="s">
        <v>155</v>
      </c>
      <c r="D867">
        <v>5224.95</v>
      </c>
      <c r="E867">
        <v>5202.25</v>
      </c>
      <c r="F867">
        <v>5225.7700000000004</v>
      </c>
      <c r="G867">
        <v>5172.5600000000004</v>
      </c>
      <c r="H867">
        <v>5105.8599999999997</v>
      </c>
      <c r="I867">
        <v>5153.18</v>
      </c>
      <c r="J867">
        <v>5185.42</v>
      </c>
      <c r="K867">
        <v>5241.43</v>
      </c>
      <c r="L867">
        <v>5269.58</v>
      </c>
      <c r="M867" s="213"/>
      <c r="N867" s="213"/>
      <c r="O867" s="213"/>
      <c r="P867" s="213"/>
      <c r="Q867" s="207"/>
      <c r="R867" s="207"/>
      <c r="S867" s="208"/>
      <c r="T867" s="207"/>
      <c r="U867" s="207"/>
      <c r="V867" s="209"/>
      <c r="W867" s="207"/>
      <c r="X867" s="250"/>
      <c r="Y867" s="210"/>
      <c r="Z867" s="210"/>
      <c r="AA867" s="210"/>
      <c r="AB867" s="210"/>
      <c r="AC867" s="210"/>
      <c r="AD867" s="199"/>
      <c r="AE867" s="199"/>
    </row>
    <row r="868" spans="1:31" customFormat="1" ht="24.75" customHeight="1" thickBot="1">
      <c r="A868" s="229"/>
      <c r="B868" s="220"/>
      <c r="C868" s="221" t="s">
        <v>154</v>
      </c>
      <c r="D868" s="222">
        <f t="shared" ref="D868:L868" si="284">IF(((D866="")*AND(D867="")),"",(D866-D867)*2)</f>
        <v>3459.0599999999995</v>
      </c>
      <c r="E868" s="222">
        <f t="shared" si="284"/>
        <v>3461.58</v>
      </c>
      <c r="F868" s="222">
        <f t="shared" si="284"/>
        <v>3456.5199999999986</v>
      </c>
      <c r="G868" s="222">
        <f t="shared" si="284"/>
        <v>3458.5199999999986</v>
      </c>
      <c r="H868" s="222">
        <f t="shared" si="284"/>
        <v>3460.2800000000007</v>
      </c>
      <c r="I868" s="222">
        <f t="shared" si="284"/>
        <v>3484.3999999999996</v>
      </c>
      <c r="J868" s="222">
        <f t="shared" si="284"/>
        <v>3459.7199999999993</v>
      </c>
      <c r="K868" s="222">
        <f t="shared" si="284"/>
        <v>3461.4399999999987</v>
      </c>
      <c r="L868" s="222">
        <f t="shared" si="284"/>
        <v>3463.84</v>
      </c>
      <c r="M868" s="223"/>
      <c r="N868" s="222"/>
      <c r="O868" s="222"/>
      <c r="P868" s="222"/>
      <c r="Q868" s="207"/>
      <c r="R868" s="207"/>
      <c r="S868" s="208"/>
      <c r="T868" s="207"/>
      <c r="U868" s="207"/>
      <c r="V868" s="209"/>
      <c r="W868" s="207"/>
      <c r="X868" s="250"/>
      <c r="Y868" s="210"/>
      <c r="Z868" s="210"/>
      <c r="AA868" s="210"/>
      <c r="AB868" s="210"/>
      <c r="AC868" s="210"/>
      <c r="AD868" s="199"/>
      <c r="AE868" s="199"/>
    </row>
    <row r="869" spans="1:31" customFormat="1" ht="15.75">
      <c r="A869" s="253">
        <v>43531</v>
      </c>
      <c r="B869" s="204" t="s">
        <v>158</v>
      </c>
      <c r="C869" s="205" t="s">
        <v>156</v>
      </c>
      <c r="D869">
        <v>1262.3499999999999</v>
      </c>
      <c r="E869">
        <v>1255.0999999999999</v>
      </c>
      <c r="F869">
        <v>1262.98</v>
      </c>
      <c r="G869">
        <v>1259.9000000000001</v>
      </c>
      <c r="H869">
        <v>1267.2</v>
      </c>
      <c r="I869">
        <v>1268.96</v>
      </c>
      <c r="J869">
        <v>1261.48</v>
      </c>
      <c r="K869">
        <v>1252.99</v>
      </c>
      <c r="L869">
        <v>1267.8900000000001</v>
      </c>
      <c r="M869" s="206"/>
      <c r="N869" s="206"/>
      <c r="O869" s="206"/>
      <c r="P869" s="206"/>
      <c r="Q869" s="207">
        <f>IF((L870=""),"",MAX(D871:L871))</f>
        <v>3478.88</v>
      </c>
      <c r="R869" s="207">
        <f>IF(L870="","",MIN(D871:L871))</f>
        <v>2869.16</v>
      </c>
      <c r="S869" s="208">
        <f>IF((L871=""),"",AVERAGE(D871:L871))</f>
        <v>3155.0133333333333</v>
      </c>
      <c r="T869" s="207">
        <f>IF((L870=""),"",((Q869-R869)/(Q869+R869))*100)</f>
        <v>9.6048544117554435</v>
      </c>
      <c r="U869" s="207">
        <f>STDEV(D869:L869)</f>
        <v>5.5299957304138703</v>
      </c>
      <c r="V869" s="209" t="str">
        <f>IF(L870="","",(IF(T869&lt;12,IF(S869&gt;2200,IF(S869&lt;3280,"Pass","Fail"),"Fail"),"Fail")))</f>
        <v>Pass</v>
      </c>
      <c r="W869" s="207">
        <v>1340</v>
      </c>
      <c r="X869" s="251" t="s">
        <v>295</v>
      </c>
      <c r="Y869" s="210"/>
      <c r="Z869" s="210">
        <v>2000</v>
      </c>
      <c r="AA869" s="210">
        <v>3000</v>
      </c>
      <c r="AB869" s="210">
        <v>2200</v>
      </c>
      <c r="AC869" s="210">
        <v>3280</v>
      </c>
      <c r="AD869" s="211">
        <v>12</v>
      </c>
      <c r="AE869" s="211">
        <v>12</v>
      </c>
    </row>
    <row r="870" spans="1:31" customFormat="1" ht="15.75" customHeight="1">
      <c r="A870" s="226"/>
      <c r="B870" s="212"/>
      <c r="C870" s="207" t="s">
        <v>155</v>
      </c>
      <c r="D870">
        <v>410.6</v>
      </c>
      <c r="E870">
        <v>505.41</v>
      </c>
      <c r="F870">
        <v>545.69000000000005</v>
      </c>
      <c r="G870">
        <v>508.88</v>
      </c>
      <c r="H870">
        <v>397.48</v>
      </c>
      <c r="I870">
        <v>437.65</v>
      </c>
      <c r="J870">
        <v>528.67999999999995</v>
      </c>
      <c r="K870">
        <v>474.28</v>
      </c>
      <c r="L870">
        <v>451.4</v>
      </c>
      <c r="M870" s="213"/>
      <c r="N870" s="213"/>
      <c r="O870" s="213"/>
      <c r="P870" s="213"/>
      <c r="Q870" s="207"/>
      <c r="R870" s="207"/>
      <c r="S870" s="207"/>
      <c r="T870" s="207"/>
      <c r="U870" s="207"/>
      <c r="V870" s="209"/>
      <c r="W870" s="207"/>
      <c r="X870" s="250"/>
      <c r="Y870" s="210"/>
      <c r="Z870" s="210"/>
      <c r="AA870" s="210"/>
      <c r="AB870" s="210"/>
      <c r="AC870" s="210"/>
      <c r="AD870" s="199"/>
      <c r="AE870" s="199"/>
    </row>
    <row r="871" spans="1:31" customFormat="1" ht="24" customHeight="1">
      <c r="A871" s="227"/>
      <c r="B871" s="214"/>
      <c r="C871" s="207" t="s">
        <v>154</v>
      </c>
      <c r="D871" s="215">
        <f t="shared" ref="D871:L871" si="285">IF(((D869="")*AND(D870="")),"",(D869-D870)*4)</f>
        <v>3406.9999999999995</v>
      </c>
      <c r="E871" s="215">
        <f t="shared" si="285"/>
        <v>2998.7599999999993</v>
      </c>
      <c r="F871" s="215">
        <f t="shared" si="285"/>
        <v>2869.16</v>
      </c>
      <c r="G871" s="215">
        <f t="shared" si="285"/>
        <v>3004.0800000000004</v>
      </c>
      <c r="H871" s="215">
        <f t="shared" si="285"/>
        <v>3478.88</v>
      </c>
      <c r="I871" s="215">
        <f t="shared" si="285"/>
        <v>3325.2400000000002</v>
      </c>
      <c r="J871" s="215">
        <f t="shared" si="285"/>
        <v>2931.2000000000003</v>
      </c>
      <c r="K871" s="215">
        <f t="shared" si="285"/>
        <v>3114.84</v>
      </c>
      <c r="L871" s="215">
        <f t="shared" si="285"/>
        <v>3265.9600000000005</v>
      </c>
      <c r="M871" s="224"/>
      <c r="N871" s="215"/>
      <c r="O871" s="215"/>
      <c r="P871" s="215" t="str">
        <f>IF(((P869="")*AND(P870="")),"",(P869-P870)*4)</f>
        <v/>
      </c>
      <c r="Q871" s="207"/>
      <c r="R871" s="207"/>
      <c r="S871" s="207"/>
      <c r="T871" s="207"/>
      <c r="U871" s="207"/>
      <c r="V871" s="209"/>
      <c r="W871" s="207"/>
      <c r="X871" s="250"/>
      <c r="Y871" s="210"/>
      <c r="Z871" s="210"/>
      <c r="AA871" s="210"/>
      <c r="AB871" s="210"/>
      <c r="AC871" s="210"/>
      <c r="AD871" s="199"/>
      <c r="AE871" s="199"/>
    </row>
    <row r="872" spans="1:31" customFormat="1" ht="15.75">
      <c r="A872" s="253">
        <v>43531</v>
      </c>
      <c r="B872" s="216" t="s">
        <v>157</v>
      </c>
      <c r="C872" s="207" t="s">
        <v>156</v>
      </c>
      <c r="D872">
        <v>7022.93</v>
      </c>
      <c r="E872">
        <v>6998.08</v>
      </c>
      <c r="F872">
        <v>7016.06</v>
      </c>
      <c r="G872">
        <v>6966.91</v>
      </c>
      <c r="H872">
        <v>6910.37</v>
      </c>
      <c r="I872">
        <v>6972.93</v>
      </c>
      <c r="J872">
        <v>6986.32</v>
      </c>
      <c r="K872">
        <v>7034.22</v>
      </c>
      <c r="L872">
        <v>7067.45</v>
      </c>
      <c r="M872" s="213"/>
      <c r="N872" s="213"/>
      <c r="O872" s="213"/>
      <c r="P872" s="213"/>
      <c r="Q872" s="207">
        <f>IF((L873=""),"",MAX(D874:L874))</f>
        <v>3632.7200000000012</v>
      </c>
      <c r="R872" s="207">
        <f>IF(L873="","",MIN(D874:L874))</f>
        <v>3531.7200000000012</v>
      </c>
      <c r="S872" s="208">
        <f>IF((L874=""),"",AVERAGE(D874:L874))</f>
        <v>3558.3999999999996</v>
      </c>
      <c r="T872" s="207">
        <f>IF((L873=""),"",((Q872-R872)/(Q872+R872))*100)</f>
        <v>1.4097403286230321</v>
      </c>
      <c r="U872" s="207">
        <f>STDEV(D872:L872)</f>
        <v>45.398741110910819</v>
      </c>
      <c r="V872" s="209" t="str">
        <f>IF(L873="","",(IF(T872&lt;7,IF(S872&gt;2800,IF(S872&lt;3800,"Pass","Fail"),"Fail"),"Fail")))</f>
        <v>Pass</v>
      </c>
      <c r="W872" s="207">
        <v>1340</v>
      </c>
      <c r="X872" s="251" t="s">
        <v>295</v>
      </c>
      <c r="Y872" s="210"/>
      <c r="Z872" s="218">
        <v>2800</v>
      </c>
      <c r="AA872" s="218">
        <v>3800</v>
      </c>
      <c r="AB872" s="218">
        <v>3100</v>
      </c>
      <c r="AC872" s="218">
        <v>3760</v>
      </c>
      <c r="AD872" s="219">
        <v>6</v>
      </c>
      <c r="AE872" s="219">
        <v>6</v>
      </c>
    </row>
    <row r="873" spans="1:31" customFormat="1" ht="16.5" customHeight="1">
      <c r="A873" s="226"/>
      <c r="B873" s="212"/>
      <c r="C873" s="207" t="s">
        <v>155</v>
      </c>
      <c r="D873">
        <v>5240.3900000000003</v>
      </c>
      <c r="E873">
        <v>5227.1400000000003</v>
      </c>
      <c r="F873">
        <v>5250.2</v>
      </c>
      <c r="G873">
        <v>5199.5200000000004</v>
      </c>
      <c r="H873">
        <v>5122.59</v>
      </c>
      <c r="I873">
        <v>5156.57</v>
      </c>
      <c r="J873">
        <v>5216.1499999999996</v>
      </c>
      <c r="K873">
        <v>5264.95</v>
      </c>
      <c r="L873">
        <v>5284.96</v>
      </c>
      <c r="M873" s="213"/>
      <c r="N873" s="213"/>
      <c r="O873" s="213"/>
      <c r="P873" s="213"/>
      <c r="Q873" s="207"/>
      <c r="R873" s="207"/>
      <c r="S873" s="208"/>
      <c r="T873" s="207"/>
      <c r="U873" s="207"/>
      <c r="V873" s="209"/>
      <c r="W873" s="207"/>
      <c r="X873" s="250"/>
      <c r="Y873" s="210"/>
      <c r="Z873" s="210"/>
      <c r="AA873" s="210"/>
      <c r="AB873" s="210"/>
      <c r="AC873" s="210"/>
      <c r="AD873" s="199"/>
      <c r="AE873" s="199"/>
    </row>
    <row r="874" spans="1:31" customFormat="1" ht="24.75" customHeight="1" thickBot="1">
      <c r="A874" s="229"/>
      <c r="B874" s="220"/>
      <c r="C874" s="221" t="s">
        <v>154</v>
      </c>
      <c r="D874" s="222">
        <f t="shared" ref="D874:L874" si="286">IF(((D872="")*AND(D873="")),"",(D872-D873)*2)</f>
        <v>3565.08</v>
      </c>
      <c r="E874" s="222">
        <f t="shared" si="286"/>
        <v>3541.8799999999992</v>
      </c>
      <c r="F874" s="222">
        <f t="shared" si="286"/>
        <v>3531.7200000000012</v>
      </c>
      <c r="G874" s="222">
        <f t="shared" si="286"/>
        <v>3534.7799999999988</v>
      </c>
      <c r="H874" s="222">
        <f t="shared" si="286"/>
        <v>3575.5599999999995</v>
      </c>
      <c r="I874" s="222">
        <f t="shared" si="286"/>
        <v>3632.7200000000012</v>
      </c>
      <c r="J874" s="222">
        <f t="shared" si="286"/>
        <v>3540.34</v>
      </c>
      <c r="K874" s="222">
        <f t="shared" si="286"/>
        <v>3538.5400000000009</v>
      </c>
      <c r="L874" s="222">
        <f t="shared" si="286"/>
        <v>3564.9799999999996</v>
      </c>
      <c r="M874" s="223"/>
      <c r="N874" s="222"/>
      <c r="O874" s="222"/>
      <c r="P874" s="222"/>
      <c r="Q874" s="207"/>
      <c r="R874" s="207"/>
      <c r="S874" s="208"/>
      <c r="T874" s="207"/>
      <c r="U874" s="207"/>
      <c r="V874" s="209"/>
      <c r="W874" s="207"/>
      <c r="X874" s="250"/>
      <c r="Y874" s="210"/>
      <c r="Z874" s="210"/>
      <c r="AA874" s="210"/>
      <c r="AB874" s="210"/>
      <c r="AC874" s="210"/>
      <c r="AD874" s="199"/>
      <c r="AE874" s="199"/>
    </row>
    <row r="875" spans="1:31" customFormat="1" ht="15.75">
      <c r="A875" s="253">
        <v>43538</v>
      </c>
      <c r="B875" s="204" t="s">
        <v>158</v>
      </c>
      <c r="C875" s="205" t="s">
        <v>156</v>
      </c>
      <c r="D875">
        <v>1923.63</v>
      </c>
      <c r="E875">
        <v>1914.76</v>
      </c>
      <c r="F875">
        <v>1912.58</v>
      </c>
      <c r="G875">
        <v>1918.48</v>
      </c>
      <c r="H875">
        <v>1919.58</v>
      </c>
      <c r="I875">
        <v>1925.78</v>
      </c>
      <c r="J875">
        <v>1918.57</v>
      </c>
      <c r="K875">
        <v>1917.36</v>
      </c>
      <c r="L875">
        <v>1925.16</v>
      </c>
      <c r="M875" s="206"/>
      <c r="N875" s="206"/>
      <c r="O875" s="206"/>
      <c r="P875" s="206"/>
      <c r="Q875" s="207">
        <f>IF((L876=""),"",MAX(D877:L877))</f>
        <v>3191.12</v>
      </c>
      <c r="R875" s="207">
        <f>IF(L876="","",MIN(D877:L877))</f>
        <v>2728.5199999999995</v>
      </c>
      <c r="S875" s="208">
        <f>IF((L877=""),"",AVERAGE(D877:L877))</f>
        <v>2916.9466666666667</v>
      </c>
      <c r="T875" s="207">
        <f>IF((L876=""),"",((Q875-R875)/(Q875+R875))*100)</f>
        <v>7.8146644052678944</v>
      </c>
      <c r="U875" s="207">
        <f>STDEV(D875:L875)</f>
        <v>4.5464054787275074</v>
      </c>
      <c r="V875" s="209" t="str">
        <f>IF(L876="","",(IF(T875&lt;12,IF(S875&gt;2200,IF(S875&lt;3280,"Pass","Fail"),"Fail"),"Fail")))</f>
        <v>Pass</v>
      </c>
      <c r="W875" s="207">
        <v>121</v>
      </c>
      <c r="X875" s="251" t="s">
        <v>296</v>
      </c>
      <c r="Y875" s="210"/>
      <c r="Z875" s="210">
        <v>2000</v>
      </c>
      <c r="AA875" s="210">
        <v>3000</v>
      </c>
      <c r="AB875" s="210">
        <v>2200</v>
      </c>
      <c r="AC875" s="210">
        <v>3280</v>
      </c>
      <c r="AD875" s="211">
        <v>12</v>
      </c>
      <c r="AE875" s="211">
        <v>12</v>
      </c>
    </row>
    <row r="876" spans="1:31" customFormat="1" ht="15.75" customHeight="1">
      <c r="A876" s="226"/>
      <c r="B876" s="212"/>
      <c r="C876" s="207" t="s">
        <v>155</v>
      </c>
      <c r="D876">
        <v>1163.73</v>
      </c>
      <c r="E876">
        <v>1207.96</v>
      </c>
      <c r="F876">
        <v>1230.45</v>
      </c>
      <c r="G876">
        <v>1213.6400000000001</v>
      </c>
      <c r="H876">
        <v>1163.3699999999999</v>
      </c>
      <c r="I876">
        <v>1187.6199999999999</v>
      </c>
      <c r="J876">
        <v>1223.68</v>
      </c>
      <c r="K876">
        <v>1194.94</v>
      </c>
      <c r="L876">
        <v>1127.3800000000001</v>
      </c>
      <c r="M876" s="213"/>
      <c r="N876" s="213"/>
      <c r="O876" s="213"/>
      <c r="P876" s="213"/>
      <c r="Q876" s="207"/>
      <c r="R876" s="207"/>
      <c r="S876" s="207"/>
      <c r="T876" s="207"/>
      <c r="U876" s="207"/>
      <c r="V876" s="209"/>
      <c r="W876" s="207"/>
      <c r="X876" s="250"/>
      <c r="Y876" s="210"/>
      <c r="Z876" s="210"/>
      <c r="AA876" s="210"/>
      <c r="AB876" s="210"/>
      <c r="AC876" s="210"/>
      <c r="AD876" s="199"/>
      <c r="AE876" s="199"/>
    </row>
    <row r="877" spans="1:31" customFormat="1" ht="24" customHeight="1">
      <c r="A877" s="227"/>
      <c r="B877" s="214"/>
      <c r="C877" s="207" t="s">
        <v>154</v>
      </c>
      <c r="D877" s="215">
        <f t="shared" ref="D877:L877" si="287">IF(((D875="")*AND(D876="")),"",(D875-D876)*4)</f>
        <v>3039.6000000000004</v>
      </c>
      <c r="E877" s="215">
        <f t="shared" si="287"/>
        <v>2827.2</v>
      </c>
      <c r="F877" s="215">
        <f t="shared" si="287"/>
        <v>2728.5199999999995</v>
      </c>
      <c r="G877" s="215">
        <f t="shared" si="287"/>
        <v>2819.3599999999997</v>
      </c>
      <c r="H877" s="215">
        <f t="shared" si="287"/>
        <v>3024.84</v>
      </c>
      <c r="I877" s="215">
        <f t="shared" si="287"/>
        <v>2952.6400000000003</v>
      </c>
      <c r="J877" s="215">
        <f t="shared" si="287"/>
        <v>2779.5599999999995</v>
      </c>
      <c r="K877" s="215">
        <f t="shared" si="287"/>
        <v>2889.6799999999994</v>
      </c>
      <c r="L877" s="215">
        <f t="shared" si="287"/>
        <v>3191.12</v>
      </c>
      <c r="M877" s="224"/>
      <c r="N877" s="215"/>
      <c r="O877" s="215"/>
      <c r="P877" s="215" t="str">
        <f>IF(((P875="")*AND(P876="")),"",(P875-P876)*4)</f>
        <v/>
      </c>
      <c r="Q877" s="207"/>
      <c r="R877" s="207"/>
      <c r="S877" s="207"/>
      <c r="T877" s="207"/>
      <c r="U877" s="207"/>
      <c r="V877" s="209"/>
      <c r="W877" s="207"/>
      <c r="X877" s="250"/>
      <c r="Y877" s="210"/>
      <c r="Z877" s="210"/>
      <c r="AA877" s="210"/>
      <c r="AB877" s="210"/>
      <c r="AC877" s="210"/>
      <c r="AD877" s="199"/>
      <c r="AE877" s="199"/>
    </row>
    <row r="878" spans="1:31" customFormat="1" ht="15.75">
      <c r="A878" s="253">
        <v>43538</v>
      </c>
      <c r="B878" s="216" t="s">
        <v>157</v>
      </c>
      <c r="C878" s="207" t="s">
        <v>156</v>
      </c>
      <c r="D878">
        <v>5224.95</v>
      </c>
      <c r="E878">
        <v>5202.25</v>
      </c>
      <c r="F878">
        <v>5225.7700000000004</v>
      </c>
      <c r="G878">
        <v>5172.5600000000004</v>
      </c>
      <c r="H878">
        <v>5105.8599999999997</v>
      </c>
      <c r="I878">
        <v>5153.18</v>
      </c>
      <c r="J878">
        <v>5185.42</v>
      </c>
      <c r="K878">
        <v>5241.43</v>
      </c>
      <c r="L878">
        <v>5269.58</v>
      </c>
      <c r="M878" s="213"/>
      <c r="N878" s="213"/>
      <c r="O878" s="213"/>
      <c r="P878" s="213"/>
      <c r="Q878" s="207">
        <f>IF((L879=""),"",MAX(D880:L880))</f>
        <v>3539.0600000000004</v>
      </c>
      <c r="R878" s="207">
        <f>IF(L879="","",MIN(D880:L880))</f>
        <v>3247.7199999999993</v>
      </c>
      <c r="S878" s="208">
        <f>IF((L880=""),"",AVERAGE(D880:L880))</f>
        <v>3431.0466666666666</v>
      </c>
      <c r="T878" s="207">
        <f>IF((L879=""),"",((Q878-R878)/(Q878+R878))*100)</f>
        <v>4.2927573901025387</v>
      </c>
      <c r="U878" s="207">
        <f>STDEV(D878:L878)</f>
        <v>49.786230637640621</v>
      </c>
      <c r="V878" s="209" t="str">
        <f>IF(L879="","",(IF(T878&lt;7,IF(S878&gt;2800,IF(S878&lt;3800,"Pass","Fail"),"Fail"),"Fail")))</f>
        <v>Pass</v>
      </c>
      <c r="W878" s="207">
        <v>121</v>
      </c>
      <c r="X878" s="251" t="s">
        <v>296</v>
      </c>
      <c r="Y878" s="210"/>
      <c r="Z878" s="218">
        <v>2800</v>
      </c>
      <c r="AA878" s="218">
        <v>3800</v>
      </c>
      <c r="AB878" s="218">
        <v>3100</v>
      </c>
      <c r="AC878" s="218">
        <v>3760</v>
      </c>
      <c r="AD878" s="219">
        <v>6</v>
      </c>
      <c r="AE878" s="219">
        <v>6</v>
      </c>
    </row>
    <row r="879" spans="1:31" customFormat="1" ht="16.5" customHeight="1">
      <c r="A879" s="226"/>
      <c r="B879" s="212"/>
      <c r="C879" s="207" t="s">
        <v>155</v>
      </c>
      <c r="D879">
        <v>3505.92</v>
      </c>
      <c r="E879">
        <v>3476.32</v>
      </c>
      <c r="F879">
        <v>3493.01</v>
      </c>
      <c r="G879">
        <v>3435.39</v>
      </c>
      <c r="H879">
        <v>3482</v>
      </c>
      <c r="I879">
        <v>3383.65</v>
      </c>
      <c r="J879">
        <v>3446.33</v>
      </c>
      <c r="K879">
        <v>3517.05</v>
      </c>
      <c r="L879">
        <v>3601.62</v>
      </c>
      <c r="M879" s="213"/>
      <c r="N879" s="213"/>
      <c r="O879" s="213"/>
      <c r="P879" s="213"/>
      <c r="Q879" s="207"/>
      <c r="R879" s="207"/>
      <c r="S879" s="208"/>
      <c r="T879" s="207"/>
      <c r="U879" s="207"/>
      <c r="V879" s="209"/>
      <c r="W879" s="207"/>
      <c r="X879" s="250"/>
      <c r="Y879" s="210"/>
      <c r="Z879" s="210"/>
      <c r="AA879" s="210"/>
      <c r="AB879" s="210"/>
      <c r="AC879" s="210"/>
      <c r="AD879" s="199"/>
      <c r="AE879" s="199"/>
    </row>
    <row r="880" spans="1:31" customFormat="1" ht="24.75" customHeight="1" thickBot="1">
      <c r="A880" s="229"/>
      <c r="B880" s="220"/>
      <c r="C880" s="221" t="s">
        <v>154</v>
      </c>
      <c r="D880" s="222">
        <f t="shared" ref="D880:L880" si="288">IF(((D878="")*AND(D879="")),"",(D878-D879)*2)</f>
        <v>3438.0599999999995</v>
      </c>
      <c r="E880" s="222">
        <f t="shared" si="288"/>
        <v>3451.8599999999997</v>
      </c>
      <c r="F880" s="222">
        <f t="shared" si="288"/>
        <v>3465.5200000000004</v>
      </c>
      <c r="G880" s="222">
        <f t="shared" si="288"/>
        <v>3474.3400000000011</v>
      </c>
      <c r="H880" s="222">
        <f t="shared" si="288"/>
        <v>3247.7199999999993</v>
      </c>
      <c r="I880" s="222">
        <f t="shared" si="288"/>
        <v>3539.0600000000004</v>
      </c>
      <c r="J880" s="222">
        <f t="shared" si="288"/>
        <v>3478.1800000000003</v>
      </c>
      <c r="K880" s="222">
        <f t="shared" si="288"/>
        <v>3448.76</v>
      </c>
      <c r="L880" s="222">
        <f t="shared" si="288"/>
        <v>3335.92</v>
      </c>
      <c r="M880" s="223"/>
      <c r="N880" s="222"/>
      <c r="O880" s="222"/>
      <c r="P880" s="222"/>
      <c r="Q880" s="207"/>
      <c r="R880" s="207"/>
      <c r="S880" s="208"/>
      <c r="T880" s="207"/>
      <c r="U880" s="207"/>
      <c r="V880" s="209"/>
      <c r="W880" s="207"/>
      <c r="X880" s="250"/>
      <c r="Y880" s="210"/>
      <c r="Z880" s="210"/>
      <c r="AA880" s="210"/>
      <c r="AB880" s="210"/>
      <c r="AC880" s="210"/>
      <c r="AD880" s="199"/>
      <c r="AE880" s="199"/>
    </row>
    <row r="881" spans="1:31" customFormat="1" ht="15.75">
      <c r="A881" s="253">
        <v>43542</v>
      </c>
      <c r="B881" s="204" t="s">
        <v>158</v>
      </c>
      <c r="C881" s="205" t="s">
        <v>156</v>
      </c>
      <c r="D881">
        <v>1921.17</v>
      </c>
      <c r="E881">
        <v>1916.23</v>
      </c>
      <c r="F881">
        <v>1916.06</v>
      </c>
      <c r="G881">
        <v>1919.81</v>
      </c>
      <c r="H881">
        <v>1922.56</v>
      </c>
      <c r="I881">
        <v>1921.53</v>
      </c>
      <c r="J881">
        <v>1913.78</v>
      </c>
      <c r="K881">
        <v>1916.57</v>
      </c>
      <c r="L881">
        <v>1922.75</v>
      </c>
      <c r="M881" s="206"/>
      <c r="N881" s="206"/>
      <c r="O881" s="206"/>
      <c r="P881" s="206"/>
      <c r="Q881" s="207">
        <f>IF((L882=""),"",MAX(D883:L883))</f>
        <v>3124.5600000000004</v>
      </c>
      <c r="R881" s="207">
        <f>IF(L882="","",MIN(D883:L883))</f>
        <v>2736.96</v>
      </c>
      <c r="S881" s="208">
        <f>IF((L883=""),"",AVERAGE(D883:L883))</f>
        <v>2886.8666666666668</v>
      </c>
      <c r="T881" s="207">
        <f>IF((L882=""),"",((Q881-R881)/(Q881+R881))*100)</f>
        <v>6.6126192523441079</v>
      </c>
      <c r="U881" s="207">
        <f>STDEV(D881:L881)</f>
        <v>3.3154826195133404</v>
      </c>
      <c r="V881" s="209" t="str">
        <f>IF(L882="","",(IF(T881&lt;12,IF(S881&gt;2200,IF(S881&lt;3280,"Pass","Fail"),"Fail"),"Fail")))</f>
        <v>Pass</v>
      </c>
      <c r="W881" s="207">
        <v>1428</v>
      </c>
      <c r="X881" s="199" t="s">
        <v>297</v>
      </c>
      <c r="Y881" s="210"/>
      <c r="Z881" s="210">
        <v>2000</v>
      </c>
      <c r="AA881" s="210">
        <v>3000</v>
      </c>
      <c r="AB881" s="210">
        <v>2200</v>
      </c>
      <c r="AC881" s="210">
        <v>3280</v>
      </c>
      <c r="AD881" s="211">
        <v>12</v>
      </c>
      <c r="AE881" s="211">
        <v>12</v>
      </c>
    </row>
    <row r="882" spans="1:31" customFormat="1" ht="15.75" customHeight="1">
      <c r="A882" s="226"/>
      <c r="B882" s="212"/>
      <c r="C882" s="207" t="s">
        <v>155</v>
      </c>
      <c r="D882">
        <v>1180.8399999999999</v>
      </c>
      <c r="E882">
        <v>1216.9000000000001</v>
      </c>
      <c r="F882">
        <v>1231.82</v>
      </c>
      <c r="G882">
        <v>1217.22</v>
      </c>
      <c r="H882">
        <v>1163.8399999999999</v>
      </c>
      <c r="I882">
        <v>1193.79</v>
      </c>
      <c r="J882">
        <v>1224.9100000000001</v>
      </c>
      <c r="K882">
        <v>1204.08</v>
      </c>
      <c r="L882">
        <v>1141.6099999999999</v>
      </c>
      <c r="M882" s="213"/>
      <c r="N882" s="213"/>
      <c r="O882" s="213"/>
      <c r="P882" s="213"/>
      <c r="Q882" s="207"/>
      <c r="R882" s="207"/>
      <c r="S882" s="207"/>
      <c r="T882" s="207"/>
      <c r="U882" s="207"/>
      <c r="V882" s="209"/>
      <c r="W882" s="207"/>
      <c r="X882" s="199"/>
      <c r="Y882" s="210"/>
      <c r="Z882" s="210"/>
      <c r="AA882" s="210"/>
      <c r="AB882" s="210"/>
      <c r="AC882" s="210"/>
      <c r="AD882" s="199"/>
      <c r="AE882" s="199"/>
    </row>
    <row r="883" spans="1:31" customFormat="1" ht="24" customHeight="1">
      <c r="A883" s="227"/>
      <c r="B883" s="214"/>
      <c r="C883" s="207" t="s">
        <v>154</v>
      </c>
      <c r="D883" s="215">
        <f t="shared" ref="D883:L883" si="289">IF(((D881="")*AND(D882="")),"",(D881-D882)*4)</f>
        <v>2961.3200000000006</v>
      </c>
      <c r="E883" s="215">
        <f t="shared" si="289"/>
        <v>2797.3199999999997</v>
      </c>
      <c r="F883" s="215">
        <f t="shared" si="289"/>
        <v>2736.96</v>
      </c>
      <c r="G883" s="215">
        <f t="shared" si="289"/>
        <v>2810.3599999999997</v>
      </c>
      <c r="H883" s="215">
        <f t="shared" si="289"/>
        <v>3034.88</v>
      </c>
      <c r="I883" s="215">
        <f t="shared" si="289"/>
        <v>2910.96</v>
      </c>
      <c r="J883" s="215">
        <f t="shared" si="289"/>
        <v>2755.4799999999996</v>
      </c>
      <c r="K883" s="215">
        <f t="shared" si="289"/>
        <v>2849.96</v>
      </c>
      <c r="L883" s="215">
        <f t="shared" si="289"/>
        <v>3124.5600000000004</v>
      </c>
      <c r="M883" s="224"/>
      <c r="N883" s="215"/>
      <c r="O883" s="215"/>
      <c r="P883" s="215" t="str">
        <f>IF(((P881="")*AND(P882="")),"",(P881-P882)*4)</f>
        <v/>
      </c>
      <c r="Q883" s="207"/>
      <c r="R883" s="207"/>
      <c r="S883" s="207"/>
      <c r="T883" s="207"/>
      <c r="U883" s="207"/>
      <c r="V883" s="209"/>
      <c r="W883" s="207"/>
      <c r="X883" s="199"/>
      <c r="Y883" s="210"/>
      <c r="Z883" s="210"/>
      <c r="AA883" s="210"/>
      <c r="AB883" s="210"/>
      <c r="AC883" s="210"/>
      <c r="AD883" s="199"/>
      <c r="AE883" s="199"/>
    </row>
    <row r="884" spans="1:31" customFormat="1" ht="15.75">
      <c r="A884" s="253">
        <v>43542</v>
      </c>
      <c r="B884" s="216" t="s">
        <v>157</v>
      </c>
      <c r="C884" s="207" t="s">
        <v>156</v>
      </c>
      <c r="D884">
        <v>5255.86</v>
      </c>
      <c r="E884">
        <v>5242.2299999999996</v>
      </c>
      <c r="F884">
        <v>5265.41</v>
      </c>
      <c r="G884">
        <v>5213.25</v>
      </c>
      <c r="H884">
        <v>5135.0200000000004</v>
      </c>
      <c r="I884">
        <v>5171.0600000000004</v>
      </c>
      <c r="J884">
        <v>5231.3100000000004</v>
      </c>
      <c r="K884">
        <v>5280.16</v>
      </c>
      <c r="L884">
        <v>5280</v>
      </c>
      <c r="M884" s="213"/>
      <c r="N884" s="213"/>
      <c r="O884" s="213"/>
      <c r="P884" s="213"/>
      <c r="Q884" s="207">
        <f>IF((L885=""),"",MAX(D886:L886))</f>
        <v>3518.2600000000011</v>
      </c>
      <c r="R884" s="207">
        <f>IF(L885="","",MIN(D886:L886))</f>
        <v>3335.7200000000012</v>
      </c>
      <c r="S884" s="208">
        <f>IF((L886=""),"",AVERAGE(D886:L886))</f>
        <v>3450.7133333333331</v>
      </c>
      <c r="T884" s="207">
        <f>IF((L885=""),"",((Q884-R884)/(Q884+R884))*100)</f>
        <v>2.6632701000002901</v>
      </c>
      <c r="U884" s="207">
        <f>STDEV(D884:L884)</f>
        <v>49.829151050817799</v>
      </c>
      <c r="V884" s="209" t="str">
        <f>IF(L885="","",(IF(T884&lt;7,IF(S884&gt;2800,IF(S884&lt;3800,"Pass","Fail"),"Fail"),"Fail")))</f>
        <v>Pass</v>
      </c>
      <c r="W884" s="207">
        <v>1428</v>
      </c>
      <c r="X884" s="199" t="s">
        <v>297</v>
      </c>
      <c r="Y884" s="210"/>
      <c r="Z884" s="218">
        <v>2800</v>
      </c>
      <c r="AA884" s="218">
        <v>3800</v>
      </c>
      <c r="AB884" s="218">
        <v>3100</v>
      </c>
      <c r="AC884" s="218">
        <v>3760</v>
      </c>
      <c r="AD884" s="219">
        <v>6</v>
      </c>
      <c r="AE884" s="219">
        <v>6</v>
      </c>
    </row>
    <row r="885" spans="1:31" customFormat="1" ht="16.5" customHeight="1">
      <c r="A885" s="226"/>
      <c r="B885" s="212"/>
      <c r="C885" s="207" t="s">
        <v>155</v>
      </c>
      <c r="D885">
        <v>3519.11</v>
      </c>
      <c r="E885">
        <v>3510.54</v>
      </c>
      <c r="F885">
        <v>3536.96</v>
      </c>
      <c r="G885">
        <v>3488.02</v>
      </c>
      <c r="H885">
        <v>3403.2</v>
      </c>
      <c r="I885">
        <v>3411.93</v>
      </c>
      <c r="J885">
        <v>3563.45</v>
      </c>
      <c r="K885">
        <v>3549.43</v>
      </c>
      <c r="L885">
        <v>3563.45</v>
      </c>
      <c r="M885" s="213"/>
      <c r="N885" s="213"/>
      <c r="O885" s="213"/>
      <c r="P885" s="213"/>
      <c r="Q885" s="207"/>
      <c r="R885" s="207"/>
      <c r="S885" s="208"/>
      <c r="T885" s="207"/>
      <c r="U885" s="207"/>
      <c r="V885" s="209"/>
      <c r="W885" s="207"/>
      <c r="X885" s="252"/>
      <c r="Y885" s="210"/>
      <c r="Z885" s="210"/>
      <c r="AA885" s="210"/>
      <c r="AB885" s="210"/>
      <c r="AC885" s="210"/>
      <c r="AD885" s="199"/>
      <c r="AE885" s="199"/>
    </row>
    <row r="886" spans="1:31" customFormat="1" ht="24.75" customHeight="1" thickBot="1">
      <c r="A886" s="229"/>
      <c r="B886" s="220"/>
      <c r="C886" s="221" t="s">
        <v>154</v>
      </c>
      <c r="D886" s="222">
        <f t="shared" ref="D886:L886" si="290">IF(((D884="")*AND(D885="")),"",(D884-D885)*2)</f>
        <v>3473.4999999999991</v>
      </c>
      <c r="E886" s="222">
        <f t="shared" si="290"/>
        <v>3463.3799999999992</v>
      </c>
      <c r="F886" s="222">
        <f t="shared" si="290"/>
        <v>3456.8999999999996</v>
      </c>
      <c r="G886" s="222">
        <f t="shared" si="290"/>
        <v>3450.46</v>
      </c>
      <c r="H886" s="222">
        <f t="shared" si="290"/>
        <v>3463.6400000000012</v>
      </c>
      <c r="I886" s="222">
        <f t="shared" si="290"/>
        <v>3518.2600000000011</v>
      </c>
      <c r="J886" s="222">
        <f t="shared" si="290"/>
        <v>3335.7200000000012</v>
      </c>
      <c r="K886" s="222">
        <f t="shared" si="290"/>
        <v>3461.46</v>
      </c>
      <c r="L886" s="222">
        <f t="shared" si="290"/>
        <v>3433.1000000000004</v>
      </c>
      <c r="M886" s="223"/>
      <c r="N886" s="222"/>
      <c r="O886" s="222"/>
      <c r="P886" s="222"/>
      <c r="Q886" s="207"/>
      <c r="R886" s="207"/>
      <c r="S886" s="208"/>
      <c r="T886" s="207"/>
      <c r="U886" s="207"/>
      <c r="V886" s="209"/>
      <c r="W886" s="207"/>
      <c r="X886" s="252"/>
      <c r="Y886" s="210"/>
      <c r="Z886" s="210"/>
      <c r="AA886" s="210"/>
      <c r="AB886" s="210"/>
      <c r="AC886" s="210"/>
      <c r="AD886" s="199"/>
      <c r="AE886" s="199"/>
    </row>
    <row r="887" spans="1:31" customFormat="1" ht="15.75">
      <c r="A887" s="253">
        <v>43546</v>
      </c>
      <c r="B887" s="204" t="s">
        <v>158</v>
      </c>
      <c r="C887" s="205" t="s">
        <v>156</v>
      </c>
      <c r="D887">
        <v>1184.45</v>
      </c>
      <c r="E887">
        <v>1216.8</v>
      </c>
      <c r="F887">
        <v>1233.8</v>
      </c>
      <c r="G887">
        <v>1215.42</v>
      </c>
      <c r="H887">
        <v>1168.93</v>
      </c>
      <c r="I887">
        <v>1194.95</v>
      </c>
      <c r="J887">
        <v>1228.1400000000001</v>
      </c>
      <c r="K887">
        <v>1202.6600000000001</v>
      </c>
      <c r="L887">
        <v>1141.6500000000001</v>
      </c>
      <c r="M887" s="206"/>
      <c r="N887" s="206"/>
      <c r="O887" s="206"/>
      <c r="P887" s="206"/>
      <c r="Q887" s="207">
        <f>IF((L888=""),"",MAX(D889:L889))</f>
        <v>3188.2000000000003</v>
      </c>
      <c r="R887" s="207">
        <f>IF(L888="","",MIN(D889:L889))</f>
        <v>2758.16</v>
      </c>
      <c r="S887" s="208">
        <f>IF((L889=""),"",AVERAGE(D889:L889))</f>
        <v>2952.4488888888891</v>
      </c>
      <c r="T887" s="207">
        <f>IF((L888=""),"",((Q887-R887)/(Q887+R887))*100)</f>
        <v>7.2319872997934933</v>
      </c>
      <c r="U887" s="207">
        <f>STDEV(D887:L887)</f>
        <v>29.747697389888202</v>
      </c>
      <c r="V887" s="209" t="str">
        <f>IF(L888="","",(IF(T887&lt;12,IF(S887&gt;2200,IF(S887&lt;3280,"Pass","Fail"),"Fail"),"Fail")))</f>
        <v>Pass</v>
      </c>
      <c r="W887" s="207">
        <v>1428</v>
      </c>
      <c r="X887" s="305"/>
      <c r="Y887" s="210"/>
      <c r="Z887" s="210">
        <v>2000</v>
      </c>
      <c r="AA887" s="210">
        <v>3000</v>
      </c>
      <c r="AB887" s="210">
        <v>2200</v>
      </c>
      <c r="AC887" s="210">
        <v>3280</v>
      </c>
      <c r="AD887" s="211">
        <v>12</v>
      </c>
      <c r="AE887" s="211">
        <v>12</v>
      </c>
    </row>
    <row r="888" spans="1:31" customFormat="1" ht="15.75" customHeight="1">
      <c r="A888" s="226"/>
      <c r="B888" s="212"/>
      <c r="C888" s="207" t="s">
        <v>155</v>
      </c>
      <c r="D888">
        <v>419.73</v>
      </c>
      <c r="E888">
        <v>509.72</v>
      </c>
      <c r="F888">
        <v>544.26</v>
      </c>
      <c r="G888">
        <v>504.29</v>
      </c>
      <c r="H888">
        <v>386.2</v>
      </c>
      <c r="I888">
        <v>429.49</v>
      </c>
      <c r="J888">
        <v>524.52</v>
      </c>
      <c r="K888">
        <v>480.98</v>
      </c>
      <c r="L888">
        <v>344.6</v>
      </c>
      <c r="M888" s="213"/>
      <c r="N888" s="213"/>
      <c r="O888" s="213"/>
      <c r="P888" s="213"/>
      <c r="Q888" s="207"/>
      <c r="R888" s="207"/>
      <c r="S888" s="207"/>
      <c r="T888" s="207"/>
      <c r="U888" s="207"/>
      <c r="V888" s="209"/>
      <c r="W888" s="207"/>
      <c r="X888" s="306"/>
      <c r="Y888" s="210"/>
      <c r="Z888" s="210"/>
      <c r="AA888" s="210"/>
      <c r="AB888" s="210"/>
      <c r="AC888" s="210"/>
      <c r="AD888" s="199"/>
      <c r="AE888" s="199"/>
    </row>
    <row r="889" spans="1:31" customFormat="1" ht="24" customHeight="1">
      <c r="A889" s="227"/>
      <c r="B889" s="214"/>
      <c r="C889" s="207" t="s">
        <v>154</v>
      </c>
      <c r="D889" s="215">
        <f t="shared" ref="D889:L889" si="291">IF(((D887="")*AND(D888="")),"",(D887-D888)*4)</f>
        <v>3058.88</v>
      </c>
      <c r="E889" s="215">
        <f t="shared" si="291"/>
        <v>2828.3199999999997</v>
      </c>
      <c r="F889" s="215">
        <f t="shared" si="291"/>
        <v>2758.16</v>
      </c>
      <c r="G889" s="215">
        <f t="shared" si="291"/>
        <v>2844.5200000000004</v>
      </c>
      <c r="H889" s="215">
        <f t="shared" si="291"/>
        <v>3130.92</v>
      </c>
      <c r="I889" s="215">
        <f t="shared" si="291"/>
        <v>3061.84</v>
      </c>
      <c r="J889" s="215">
        <f t="shared" si="291"/>
        <v>2814.4800000000005</v>
      </c>
      <c r="K889" s="215">
        <f t="shared" si="291"/>
        <v>2886.7200000000003</v>
      </c>
      <c r="L889" s="215">
        <f t="shared" si="291"/>
        <v>3188.2000000000003</v>
      </c>
      <c r="M889" s="224"/>
      <c r="N889" s="215"/>
      <c r="O889" s="215"/>
      <c r="P889" s="215" t="str">
        <f>IF(((P887="")*AND(P888="")),"",(P887-P888)*4)</f>
        <v/>
      </c>
      <c r="Q889" s="207"/>
      <c r="R889" s="207"/>
      <c r="S889" s="207"/>
      <c r="T889" s="207"/>
      <c r="U889" s="207"/>
      <c r="V889" s="209"/>
      <c r="W889" s="207"/>
      <c r="X889" s="306"/>
      <c r="Y889" s="210"/>
      <c r="Z889" s="210"/>
      <c r="AA889" s="210"/>
      <c r="AB889" s="210"/>
      <c r="AC889" s="210"/>
      <c r="AD889" s="199"/>
      <c r="AE889" s="199"/>
    </row>
    <row r="890" spans="1:31" customFormat="1" ht="15.75">
      <c r="A890" s="253">
        <v>43546</v>
      </c>
      <c r="B890" s="216" t="s">
        <v>157</v>
      </c>
      <c r="C890" s="207" t="s">
        <v>156</v>
      </c>
      <c r="D890">
        <v>3531.86</v>
      </c>
      <c r="E890">
        <v>3523.85</v>
      </c>
      <c r="F890">
        <v>3549.4</v>
      </c>
      <c r="G890">
        <v>3500.95</v>
      </c>
      <c r="H890">
        <v>3415.1</v>
      </c>
      <c r="I890">
        <v>3423.76</v>
      </c>
      <c r="J890">
        <v>3516.24</v>
      </c>
      <c r="K890">
        <v>3561.93</v>
      </c>
      <c r="L890">
        <v>3576.7</v>
      </c>
      <c r="M890" s="213"/>
      <c r="N890" s="213"/>
      <c r="O890" s="213"/>
      <c r="P890" s="213"/>
      <c r="Q890" s="207">
        <f>IF((L891=""),"",MAX(D892:L892))</f>
        <v>3489.9000000000005</v>
      </c>
      <c r="R890" s="207">
        <f>IF(L891="","",MIN(D892:L892))</f>
        <v>3438.4599999999996</v>
      </c>
      <c r="S890" s="208">
        <f>IF((L892=""),"",AVERAGE(D892:L892))</f>
        <v>3449.3422222222221</v>
      </c>
      <c r="T890" s="207">
        <f>IF((L891=""),"",((Q890-R890)/(Q890+R890))*100)</f>
        <v>0.74245564606921355</v>
      </c>
      <c r="U890" s="207">
        <f>STDEV(D890:L890)</f>
        <v>56.922310383939482</v>
      </c>
      <c r="V890" s="209" t="str">
        <f>IF(L891="","",(IF(T890&lt;7,IF(S890&gt;2800,IF(S890&lt;3800,"Pass","Fail"),"Fail"),"Fail")))</f>
        <v>Pass</v>
      </c>
      <c r="W890" s="207">
        <v>1428</v>
      </c>
      <c r="X890" s="307"/>
      <c r="Y890" s="210"/>
      <c r="Z890" s="218">
        <v>2800</v>
      </c>
      <c r="AA890" s="218">
        <v>3800</v>
      </c>
      <c r="AB890" s="218">
        <v>3100</v>
      </c>
      <c r="AC890" s="218">
        <v>3760</v>
      </c>
      <c r="AD890" s="219">
        <v>6</v>
      </c>
      <c r="AE890" s="219">
        <v>6</v>
      </c>
    </row>
    <row r="891" spans="1:31" customFormat="1" ht="16.5" customHeight="1">
      <c r="A891" s="226"/>
      <c r="B891" s="212"/>
      <c r="C891" s="207" t="s">
        <v>155</v>
      </c>
      <c r="D891">
        <v>1807.29</v>
      </c>
      <c r="E891">
        <v>1798.05</v>
      </c>
      <c r="F891">
        <v>1828.13</v>
      </c>
      <c r="G891">
        <v>1781.72</v>
      </c>
      <c r="H891">
        <v>1692.01</v>
      </c>
      <c r="I891">
        <v>1678.81</v>
      </c>
      <c r="J891">
        <v>1796.81</v>
      </c>
      <c r="K891">
        <v>1839.86</v>
      </c>
      <c r="L891">
        <v>1855.07</v>
      </c>
      <c r="M891" s="213"/>
      <c r="N891" s="213"/>
      <c r="O891" s="213"/>
      <c r="P891" s="213"/>
      <c r="Q891" s="207"/>
      <c r="R891" s="207"/>
      <c r="S891" s="208"/>
      <c r="T891" s="207"/>
      <c r="U891" s="207"/>
      <c r="V891" s="209"/>
      <c r="W891" s="207"/>
      <c r="X891" s="306"/>
      <c r="Y891" s="210"/>
      <c r="Z891" s="210"/>
      <c r="AA891" s="210"/>
      <c r="AB891" s="210"/>
      <c r="AC891" s="210"/>
      <c r="AD891" s="199"/>
      <c r="AE891" s="199"/>
    </row>
    <row r="892" spans="1:31" customFormat="1" ht="24.75" customHeight="1" thickBot="1">
      <c r="A892" s="229"/>
      <c r="B892" s="220"/>
      <c r="C892" s="221" t="s">
        <v>154</v>
      </c>
      <c r="D892" s="222">
        <f t="shared" ref="D892:L892" si="292">IF(((D890="")*AND(D891="")),"",(D890-D891)*2)</f>
        <v>3449.1400000000003</v>
      </c>
      <c r="E892" s="222">
        <f t="shared" si="292"/>
        <v>3451.6</v>
      </c>
      <c r="F892" s="222">
        <f t="shared" si="292"/>
        <v>3442.54</v>
      </c>
      <c r="G892" s="222">
        <f t="shared" si="292"/>
        <v>3438.4599999999996</v>
      </c>
      <c r="H892" s="222">
        <f t="shared" si="292"/>
        <v>3446.18</v>
      </c>
      <c r="I892" s="222">
        <f t="shared" si="292"/>
        <v>3489.9000000000005</v>
      </c>
      <c r="J892" s="222">
        <f t="shared" si="292"/>
        <v>3438.8599999999997</v>
      </c>
      <c r="K892" s="222">
        <f t="shared" si="292"/>
        <v>3444.14</v>
      </c>
      <c r="L892" s="222">
        <f t="shared" si="292"/>
        <v>3443.2599999999998</v>
      </c>
      <c r="M892" s="223"/>
      <c r="N892" s="222"/>
      <c r="O892" s="222"/>
      <c r="P892" s="222"/>
      <c r="Q892" s="207"/>
      <c r="R892" s="207"/>
      <c r="S892" s="208"/>
      <c r="T892" s="207"/>
      <c r="U892" s="207"/>
      <c r="V892" s="209"/>
      <c r="W892" s="207"/>
      <c r="X892" s="306"/>
      <c r="Y892" s="210"/>
      <c r="Z892" s="210"/>
      <c r="AA892" s="210"/>
      <c r="AB892" s="210"/>
      <c r="AC892" s="210"/>
      <c r="AD892" s="199"/>
      <c r="AE892" s="199"/>
    </row>
    <row r="893" spans="1:31" customFormat="1" ht="15.75">
      <c r="A893" s="253">
        <v>43549</v>
      </c>
      <c r="B893" s="204" t="s">
        <v>158</v>
      </c>
      <c r="C893" s="205" t="s">
        <v>156</v>
      </c>
      <c r="D893">
        <v>1920.65</v>
      </c>
      <c r="E893">
        <v>1912.08</v>
      </c>
      <c r="F893">
        <v>1916.88</v>
      </c>
      <c r="G893">
        <v>1918.84</v>
      </c>
      <c r="H893">
        <v>1922.31</v>
      </c>
      <c r="I893">
        <v>1926.57</v>
      </c>
      <c r="J893">
        <v>1913.62</v>
      </c>
      <c r="K893">
        <v>1916.18</v>
      </c>
      <c r="L893">
        <v>1923.4</v>
      </c>
      <c r="M893" s="206"/>
      <c r="N893" s="206"/>
      <c r="O893" s="206"/>
      <c r="P893" s="206"/>
      <c r="Q893" s="207">
        <f>IF((L894=""),"",MAX(D895:L895))</f>
        <v>3118.2800000000007</v>
      </c>
      <c r="R893" s="207">
        <f>IF(L894="","",MIN(D895:L895))</f>
        <v>2741.1200000000008</v>
      </c>
      <c r="S893" s="208">
        <f>IF((L895=""),"",AVERAGE(D895:L895))</f>
        <v>2887.9644444444443</v>
      </c>
      <c r="T893" s="207">
        <f>IF((L894=""),"",((Q893-R893)/(Q893+R893))*100)</f>
        <v>6.4368365361641091</v>
      </c>
      <c r="U893" s="207">
        <f>STDEV(D893:L893)</f>
        <v>4.7384353369505243</v>
      </c>
      <c r="V893" s="209" t="str">
        <f>IF(L894="","",(IF(T893&lt;12,IF(S893&gt;2200,IF(S893&lt;3280,"Pass","Fail"),"Fail"),"Fail")))</f>
        <v>Pass</v>
      </c>
      <c r="W893" s="207">
        <v>1159</v>
      </c>
      <c r="X893" s="199" t="s">
        <v>298</v>
      </c>
      <c r="Y893" s="210"/>
      <c r="Z893" s="210">
        <v>2000</v>
      </c>
      <c r="AA893" s="210">
        <v>3000</v>
      </c>
      <c r="AB893" s="210">
        <v>2200</v>
      </c>
      <c r="AC893" s="210">
        <v>3280</v>
      </c>
      <c r="AD893" s="211">
        <v>12</v>
      </c>
      <c r="AE893" s="211">
        <v>12</v>
      </c>
    </row>
    <row r="894" spans="1:31" customFormat="1" ht="15.75" customHeight="1">
      <c r="A894" s="226"/>
      <c r="B894" s="212"/>
      <c r="C894" s="207" t="s">
        <v>155</v>
      </c>
      <c r="D894">
        <v>1178.56</v>
      </c>
      <c r="E894">
        <v>1211.2</v>
      </c>
      <c r="F894">
        <v>1231.5999999999999</v>
      </c>
      <c r="G894">
        <v>1214.18</v>
      </c>
      <c r="H894">
        <v>1172.8900000000001</v>
      </c>
      <c r="I894">
        <v>1196.76</v>
      </c>
      <c r="J894">
        <v>1223.1199999999999</v>
      </c>
      <c r="K894">
        <v>1200.47</v>
      </c>
      <c r="L894">
        <v>1143.83</v>
      </c>
      <c r="M894" s="213"/>
      <c r="N894" s="213"/>
      <c r="O894" s="213"/>
      <c r="P894" s="213"/>
      <c r="Q894" s="207"/>
      <c r="R894" s="207"/>
      <c r="S894" s="207"/>
      <c r="T894" s="207"/>
      <c r="U894" s="207"/>
      <c r="V894" s="209"/>
      <c r="W894" s="207"/>
      <c r="Y894" s="210"/>
      <c r="Z894" s="210"/>
      <c r="AA894" s="210"/>
      <c r="AB894" s="210"/>
      <c r="AC894" s="210"/>
      <c r="AD894" s="199"/>
      <c r="AE894" s="199"/>
    </row>
    <row r="895" spans="1:31" customFormat="1" ht="24" customHeight="1">
      <c r="A895" s="227"/>
      <c r="B895" s="214"/>
      <c r="C895" s="207" t="s">
        <v>154</v>
      </c>
      <c r="D895" s="215">
        <f t="shared" ref="D895:L895" si="293">IF(((D893="")*AND(D894="")),"",(D893-D894)*4)</f>
        <v>2968.3600000000006</v>
      </c>
      <c r="E895" s="215">
        <f t="shared" si="293"/>
        <v>2803.5199999999995</v>
      </c>
      <c r="F895" s="215">
        <f t="shared" si="293"/>
        <v>2741.1200000000008</v>
      </c>
      <c r="G895" s="215">
        <f t="shared" si="293"/>
        <v>2818.6399999999994</v>
      </c>
      <c r="H895" s="215">
        <f t="shared" si="293"/>
        <v>2997.6799999999994</v>
      </c>
      <c r="I895" s="215">
        <f t="shared" si="293"/>
        <v>2919.24</v>
      </c>
      <c r="J895" s="215">
        <f t="shared" si="293"/>
        <v>2762</v>
      </c>
      <c r="K895" s="215">
        <f t="shared" si="293"/>
        <v>2862.84</v>
      </c>
      <c r="L895" s="215">
        <f t="shared" si="293"/>
        <v>3118.2800000000007</v>
      </c>
      <c r="M895" s="224"/>
      <c r="N895" s="215"/>
      <c r="O895" s="215"/>
      <c r="P895" s="215" t="str">
        <f>IF(((P893="")*AND(P894="")),"",(P893-P894)*4)</f>
        <v/>
      </c>
      <c r="Q895" s="207"/>
      <c r="R895" s="207"/>
      <c r="S895" s="207"/>
      <c r="T895" s="207"/>
      <c r="U895" s="207"/>
      <c r="V895" s="209"/>
      <c r="W895" s="207"/>
      <c r="Y895" s="210"/>
      <c r="Z895" s="210"/>
      <c r="AA895" s="210"/>
      <c r="AB895" s="210"/>
      <c r="AC895" s="210"/>
      <c r="AD895" s="199"/>
      <c r="AE895" s="199"/>
    </row>
    <row r="896" spans="1:31" customFormat="1" ht="15.75">
      <c r="A896" s="253">
        <v>43549</v>
      </c>
      <c r="B896" s="216" t="s">
        <v>157</v>
      </c>
      <c r="C896" s="207" t="s">
        <v>156</v>
      </c>
      <c r="D896">
        <v>6993.26</v>
      </c>
      <c r="E896">
        <v>6975.39</v>
      </c>
      <c r="F896">
        <v>6983.5</v>
      </c>
      <c r="G896">
        <v>6923.58</v>
      </c>
      <c r="H896">
        <v>6845.38</v>
      </c>
      <c r="I896">
        <v>6918.1</v>
      </c>
      <c r="J896">
        <v>6947.89</v>
      </c>
      <c r="K896">
        <v>6996.13</v>
      </c>
      <c r="L896">
        <v>7023.97</v>
      </c>
      <c r="M896" s="213"/>
      <c r="N896" s="213"/>
      <c r="O896" s="213"/>
      <c r="P896" s="213"/>
      <c r="Q896" s="207">
        <f>IF((L897=""),"",MAX(D898:L898))</f>
        <v>3475.9400000000005</v>
      </c>
      <c r="R896" s="207">
        <f>IF(L897="","",MIN(D898:L898))</f>
        <v>3435.7199999999993</v>
      </c>
      <c r="S896" s="208">
        <f>IF((L898=""),"",AVERAGE(D898:L898))</f>
        <v>3446.7933333333335</v>
      </c>
      <c r="T896" s="207">
        <f>IF((L897=""),"",((Q896-R896)/(Q896+R896))*100)</f>
        <v>0.58191519837493688</v>
      </c>
      <c r="U896" s="207">
        <f>STDEV(D896:L896)</f>
        <v>54.244530395131022</v>
      </c>
      <c r="V896" s="209" t="str">
        <f>IF(L897="","",(IF(T896&lt;7,IF(S896&gt;2800,IF(S896&lt;3800,"Pass","Fail"),"Fail"),"Fail")))</f>
        <v>Pass</v>
      </c>
      <c r="W896" s="207">
        <v>1159</v>
      </c>
      <c r="X896" s="199" t="s">
        <v>298</v>
      </c>
      <c r="Y896" s="210"/>
      <c r="Z896" s="218">
        <v>2800</v>
      </c>
      <c r="AA896" s="218">
        <v>3800</v>
      </c>
      <c r="AB896" s="218">
        <v>3100</v>
      </c>
      <c r="AC896" s="218">
        <v>3760</v>
      </c>
      <c r="AD896" s="219">
        <v>6</v>
      </c>
      <c r="AE896" s="219">
        <v>6</v>
      </c>
    </row>
    <row r="897" spans="1:31" customFormat="1" ht="16.5" customHeight="1">
      <c r="A897" s="226"/>
      <c r="B897" s="212"/>
      <c r="C897" s="207" t="s">
        <v>155</v>
      </c>
      <c r="D897">
        <v>5263.81</v>
      </c>
      <c r="E897">
        <v>5252.98</v>
      </c>
      <c r="F897">
        <v>5265.64</v>
      </c>
      <c r="G897">
        <v>5205.34</v>
      </c>
      <c r="H897">
        <v>5124.76</v>
      </c>
      <c r="I897">
        <v>5180.13</v>
      </c>
      <c r="J897">
        <v>5227.6499999999996</v>
      </c>
      <c r="K897">
        <v>5276.21</v>
      </c>
      <c r="L897">
        <v>5300.11</v>
      </c>
      <c r="M897" s="213"/>
      <c r="N897" s="213"/>
      <c r="O897" s="213"/>
      <c r="P897" s="213"/>
      <c r="Q897" s="207"/>
      <c r="R897" s="207"/>
      <c r="S897" s="208"/>
      <c r="T897" s="207"/>
      <c r="U897" s="207"/>
      <c r="V897" s="209"/>
      <c r="W897" s="207"/>
      <c r="Y897" s="210"/>
      <c r="Z897" s="210"/>
      <c r="AA897" s="210"/>
      <c r="AB897" s="210"/>
      <c r="AC897" s="210"/>
      <c r="AD897" s="199"/>
      <c r="AE897" s="199"/>
    </row>
    <row r="898" spans="1:31" customFormat="1" ht="24.75" customHeight="1" thickBot="1">
      <c r="A898" s="229"/>
      <c r="B898" s="220"/>
      <c r="C898" s="221" t="s">
        <v>154</v>
      </c>
      <c r="D898" s="222">
        <f t="shared" ref="D898:L898" si="294">IF(((D896="")*AND(D897="")),"",(D896-D897)*2)</f>
        <v>3458.8999999999996</v>
      </c>
      <c r="E898" s="222">
        <f t="shared" si="294"/>
        <v>3444.8200000000015</v>
      </c>
      <c r="F898" s="222">
        <f t="shared" si="294"/>
        <v>3435.7199999999993</v>
      </c>
      <c r="G898" s="222">
        <f t="shared" si="294"/>
        <v>3436.4799999999996</v>
      </c>
      <c r="H898" s="222">
        <f t="shared" si="294"/>
        <v>3441.24</v>
      </c>
      <c r="I898" s="222">
        <f t="shared" si="294"/>
        <v>3475.9400000000005</v>
      </c>
      <c r="J898" s="222">
        <f t="shared" si="294"/>
        <v>3440.4800000000014</v>
      </c>
      <c r="K898" s="222">
        <f t="shared" si="294"/>
        <v>3439.84</v>
      </c>
      <c r="L898" s="222">
        <f t="shared" si="294"/>
        <v>3447.7200000000012</v>
      </c>
      <c r="M898" s="223"/>
      <c r="N898" s="222"/>
      <c r="O898" s="222"/>
      <c r="P898" s="222"/>
      <c r="Q898" s="207"/>
      <c r="R898" s="207"/>
      <c r="S898" s="208"/>
      <c r="T898" s="207"/>
      <c r="U898" s="207"/>
      <c r="V898" s="209"/>
      <c r="W898" s="207"/>
      <c r="Y898" s="210"/>
      <c r="Z898" s="210"/>
      <c r="AA898" s="210"/>
      <c r="AB898" s="210"/>
      <c r="AC898" s="210"/>
      <c r="AD898" s="199"/>
      <c r="AE898" s="199"/>
    </row>
    <row r="899" spans="1:31" customFormat="1" ht="15.75">
      <c r="A899" s="253">
        <v>43555</v>
      </c>
      <c r="B899" s="204" t="s">
        <v>158</v>
      </c>
      <c r="C899" s="205" t="s">
        <v>156</v>
      </c>
      <c r="D899">
        <v>1928.92</v>
      </c>
      <c r="E899">
        <v>1917.91</v>
      </c>
      <c r="F899">
        <v>1917.51</v>
      </c>
      <c r="G899">
        <v>1918.9</v>
      </c>
      <c r="H899">
        <v>1925.69</v>
      </c>
      <c r="I899">
        <v>1925.9</v>
      </c>
      <c r="J899">
        <v>1919.21</v>
      </c>
      <c r="K899">
        <v>1918.83</v>
      </c>
      <c r="L899">
        <v>1928.3</v>
      </c>
      <c r="M899" s="206"/>
      <c r="N899" s="206"/>
      <c r="O899" s="206"/>
      <c r="P899" s="206"/>
      <c r="Q899" s="207">
        <f>IF((L900=""),"",MAX(D901:L901))</f>
        <v>3117.88</v>
      </c>
      <c r="R899" s="207">
        <f>IF(L900="","",MIN(D901:L901))</f>
        <v>2737.08</v>
      </c>
      <c r="S899" s="208">
        <f>IF((L901=""),"",AVERAGE(D901:L901))</f>
        <v>2881.2933333333335</v>
      </c>
      <c r="T899" s="207">
        <f>IF((L900=""),"",((Q899-R899)/(Q899+R899))*100)</f>
        <v>6.5038873023897716</v>
      </c>
      <c r="U899" s="207">
        <f>STDEV(D899:L899)</f>
        <v>4.738369386563603</v>
      </c>
      <c r="V899" s="209" t="str">
        <f>IF(L900="","",(IF(T899&lt;12,IF(S899&gt;2200,IF(S899&lt;3280,"Pass","Fail"),"Fail"),"Fail")))</f>
        <v>Pass</v>
      </c>
      <c r="W899" s="207">
        <v>1335</v>
      </c>
      <c r="X899" s="199" t="s">
        <v>299</v>
      </c>
      <c r="Y899" s="210"/>
      <c r="Z899" s="210">
        <v>2000</v>
      </c>
      <c r="AA899" s="210">
        <v>3000</v>
      </c>
      <c r="AB899" s="210">
        <v>2200</v>
      </c>
      <c r="AC899" s="210">
        <v>3280</v>
      </c>
      <c r="AD899" s="211">
        <v>12</v>
      </c>
      <c r="AE899" s="211">
        <v>12</v>
      </c>
    </row>
    <row r="900" spans="1:31" customFormat="1" ht="15.75" customHeight="1">
      <c r="A900" s="226"/>
      <c r="B900" s="212"/>
      <c r="C900" s="207" t="s">
        <v>155</v>
      </c>
      <c r="D900">
        <v>1187.1300000000001</v>
      </c>
      <c r="E900">
        <v>1214.68</v>
      </c>
      <c r="F900">
        <v>1233.24</v>
      </c>
      <c r="G900">
        <v>1216.04</v>
      </c>
      <c r="H900">
        <v>1183.3699999999999</v>
      </c>
      <c r="I900">
        <v>1204.6199999999999</v>
      </c>
      <c r="J900">
        <v>1229.07</v>
      </c>
      <c r="K900">
        <v>1201.28</v>
      </c>
      <c r="L900">
        <v>1148.83</v>
      </c>
      <c r="M900" s="213"/>
      <c r="N900" s="213"/>
      <c r="O900" s="213"/>
      <c r="P900" s="213"/>
      <c r="Q900" s="207"/>
      <c r="R900" s="207"/>
      <c r="S900" s="207"/>
      <c r="T900" s="207"/>
      <c r="U900" s="207"/>
      <c r="V900" s="209"/>
      <c r="W900" s="207"/>
      <c r="Y900" s="210"/>
      <c r="Z900" s="210"/>
      <c r="AA900" s="210"/>
      <c r="AB900" s="210"/>
      <c r="AC900" s="210"/>
      <c r="AD900" s="199"/>
      <c r="AE900" s="199"/>
    </row>
    <row r="901" spans="1:31" customFormat="1" ht="24" customHeight="1">
      <c r="A901" s="227"/>
      <c r="B901" s="214"/>
      <c r="C901" s="207" t="s">
        <v>154</v>
      </c>
      <c r="D901" s="215">
        <f t="shared" ref="D901:L901" si="295">IF(((D899="")*AND(D900="")),"",(D899-D900)*4)</f>
        <v>2967.16</v>
      </c>
      <c r="E901" s="215">
        <f t="shared" si="295"/>
        <v>2812.92</v>
      </c>
      <c r="F901" s="215">
        <f t="shared" si="295"/>
        <v>2737.08</v>
      </c>
      <c r="G901" s="215">
        <f t="shared" si="295"/>
        <v>2811.4400000000005</v>
      </c>
      <c r="H901" s="215">
        <f t="shared" si="295"/>
        <v>2969.2800000000007</v>
      </c>
      <c r="I901" s="215">
        <f t="shared" si="295"/>
        <v>2885.1200000000008</v>
      </c>
      <c r="J901" s="215">
        <f t="shared" si="295"/>
        <v>2760.5600000000004</v>
      </c>
      <c r="K901" s="215">
        <f t="shared" si="295"/>
        <v>2870.2</v>
      </c>
      <c r="L901" s="215">
        <f t="shared" si="295"/>
        <v>3117.88</v>
      </c>
      <c r="M901" s="224"/>
      <c r="N901" s="215"/>
      <c r="O901" s="215"/>
      <c r="P901" s="215" t="str">
        <f>IF(((P899="")*AND(P900="")),"",(P899-P900)*4)</f>
        <v/>
      </c>
      <c r="Q901" s="207"/>
      <c r="R901" s="207"/>
      <c r="S901" s="207"/>
      <c r="T901" s="207"/>
      <c r="U901" s="207"/>
      <c r="V901" s="209"/>
      <c r="W901" s="207"/>
      <c r="Y901" s="210"/>
      <c r="Z901" s="210"/>
      <c r="AA901" s="210"/>
      <c r="AB901" s="210"/>
      <c r="AC901" s="210"/>
      <c r="AD901" s="199"/>
      <c r="AE901" s="199"/>
    </row>
    <row r="902" spans="1:31" customFormat="1" ht="15.75">
      <c r="A902" s="253">
        <v>43555</v>
      </c>
      <c r="B902" s="216" t="s">
        <v>157</v>
      </c>
      <c r="C902" s="207" t="s">
        <v>156</v>
      </c>
      <c r="D902">
        <v>5271.61</v>
      </c>
      <c r="E902">
        <v>5260.65</v>
      </c>
      <c r="F902">
        <v>5273.32</v>
      </c>
      <c r="G902">
        <v>5212.78</v>
      </c>
      <c r="H902">
        <v>5131.38</v>
      </c>
      <c r="I902">
        <v>5187.2299999999996</v>
      </c>
      <c r="J902">
        <v>5235.3599999999997</v>
      </c>
      <c r="K902">
        <v>5283.45</v>
      </c>
      <c r="L902">
        <v>5307.53</v>
      </c>
      <c r="M902" s="213"/>
      <c r="N902" s="213"/>
      <c r="O902" s="213"/>
      <c r="P902" s="213"/>
      <c r="Q902" s="207">
        <f>IF((L903=""),"",MAX(D904:L904))</f>
        <v>3425.1399999999994</v>
      </c>
      <c r="R902" s="207">
        <f>IF(L903="","",MIN(D904:L904))</f>
        <v>3252.2199999999993</v>
      </c>
      <c r="S902" s="208">
        <f>IF((L904=""),"",AVERAGE(D904:L904))</f>
        <v>3373.5599999999995</v>
      </c>
      <c r="T902" s="207">
        <f>IF((L903=""),"",((Q902-R902)/(Q902+R902))*100)</f>
        <v>2.5896462074831987</v>
      </c>
      <c r="U902" s="207">
        <f>STDEV(D902:L902)</f>
        <v>55.145555527675263</v>
      </c>
      <c r="V902" s="209" t="str">
        <f>IF(L903="","",(IF(T902&lt;7,IF(S902&gt;2800,IF(S902&lt;3800,"Pass","Fail"),"Fail"),"Fail")))</f>
        <v>Pass</v>
      </c>
      <c r="W902" s="207">
        <v>1335</v>
      </c>
      <c r="X902" s="199" t="s">
        <v>299</v>
      </c>
      <c r="Y902" s="210"/>
      <c r="Z902" s="218">
        <v>2800</v>
      </c>
      <c r="AA902" s="218">
        <v>3800</v>
      </c>
      <c r="AB902" s="218">
        <v>3100</v>
      </c>
      <c r="AC902" s="218">
        <v>3760</v>
      </c>
      <c r="AD902" s="219">
        <v>6</v>
      </c>
      <c r="AE902" s="219">
        <v>6</v>
      </c>
    </row>
    <row r="903" spans="1:31" customFormat="1" ht="16.5" customHeight="1">
      <c r="A903" s="226"/>
      <c r="B903" s="212"/>
      <c r="C903" s="207" t="s">
        <v>155</v>
      </c>
      <c r="D903">
        <v>3561.12</v>
      </c>
      <c r="E903">
        <v>3549.99</v>
      </c>
      <c r="F903">
        <v>3565.24</v>
      </c>
      <c r="G903">
        <v>3549.99</v>
      </c>
      <c r="H903">
        <v>3431.76</v>
      </c>
      <c r="I903">
        <v>3561.12</v>
      </c>
      <c r="J903">
        <v>3594.96</v>
      </c>
      <c r="K903">
        <v>3573.15</v>
      </c>
      <c r="L903">
        <v>3594.96</v>
      </c>
      <c r="M903" s="213"/>
      <c r="N903" s="213"/>
      <c r="O903" s="213"/>
      <c r="P903" s="213"/>
      <c r="Q903" s="207"/>
      <c r="R903" s="207"/>
      <c r="S903" s="208"/>
      <c r="T903" s="207"/>
      <c r="U903" s="207"/>
      <c r="V903" s="209"/>
      <c r="W903" s="207"/>
      <c r="Y903" s="210"/>
      <c r="Z903" s="210"/>
      <c r="AA903" s="210"/>
      <c r="AB903" s="210"/>
      <c r="AC903" s="210"/>
      <c r="AD903" s="199"/>
      <c r="AE903" s="199"/>
    </row>
    <row r="904" spans="1:31" customFormat="1" ht="24.75" customHeight="1" thickBot="1">
      <c r="A904" s="229"/>
      <c r="B904" s="220"/>
      <c r="C904" s="221" t="s">
        <v>154</v>
      </c>
      <c r="D904" s="222">
        <f t="shared" ref="D904:L904" si="296">IF(((D902="")*AND(D903="")),"",(D902-D903)*2)</f>
        <v>3420.9799999999996</v>
      </c>
      <c r="E904" s="222">
        <f t="shared" si="296"/>
        <v>3421.3199999999997</v>
      </c>
      <c r="F904" s="222">
        <f t="shared" si="296"/>
        <v>3416.16</v>
      </c>
      <c r="G904" s="222">
        <f t="shared" si="296"/>
        <v>3325.58</v>
      </c>
      <c r="H904" s="222">
        <f t="shared" si="296"/>
        <v>3399.24</v>
      </c>
      <c r="I904" s="222">
        <f t="shared" si="296"/>
        <v>3252.2199999999993</v>
      </c>
      <c r="J904" s="222">
        <f t="shared" si="296"/>
        <v>3280.7999999999993</v>
      </c>
      <c r="K904" s="222">
        <f t="shared" si="296"/>
        <v>3420.5999999999995</v>
      </c>
      <c r="L904" s="222">
        <f t="shared" si="296"/>
        <v>3425.1399999999994</v>
      </c>
      <c r="M904" s="223"/>
      <c r="N904" s="222"/>
      <c r="O904" s="222"/>
      <c r="P904" s="222"/>
      <c r="Q904" s="207"/>
      <c r="R904" s="207"/>
      <c r="S904" s="208"/>
      <c r="T904" s="207"/>
      <c r="U904" s="207"/>
      <c r="V904" s="209"/>
      <c r="W904" s="207"/>
      <c r="Y904" s="210"/>
      <c r="Z904" s="210"/>
      <c r="AA904" s="210"/>
      <c r="AB904" s="210"/>
      <c r="AC904" s="210"/>
      <c r="AD904" s="199"/>
      <c r="AE904" s="199"/>
    </row>
    <row r="905" spans="1:31" customFormat="1" ht="15.75">
      <c r="A905" s="253">
        <v>43560</v>
      </c>
      <c r="B905" s="204" t="s">
        <v>158</v>
      </c>
      <c r="C905" s="205" t="s">
        <v>156</v>
      </c>
      <c r="D905">
        <v>1918.18</v>
      </c>
      <c r="E905">
        <v>1913.66</v>
      </c>
      <c r="F905">
        <v>1908.01</v>
      </c>
      <c r="G905">
        <v>1913.95</v>
      </c>
      <c r="H905">
        <v>1922.98</v>
      </c>
      <c r="I905">
        <v>1922.71</v>
      </c>
      <c r="J905">
        <v>1917.51</v>
      </c>
      <c r="K905">
        <v>1912.78</v>
      </c>
      <c r="L905">
        <v>1923.74</v>
      </c>
      <c r="M905" s="206"/>
      <c r="N905" s="206"/>
      <c r="O905" s="206"/>
      <c r="P905" s="206"/>
      <c r="Q905" s="207">
        <f>IF((L906=""),"",MAX(D907:L907))</f>
        <v>3125.88</v>
      </c>
      <c r="R905" s="207">
        <f>IF(L906="","",MIN(D907:L907))</f>
        <v>2724.6000000000004</v>
      </c>
      <c r="S905" s="208">
        <f>IF((L907=""),"",AVERAGE(D907:L907))</f>
        <v>2877.3866666666672</v>
      </c>
      <c r="T905" s="207">
        <f>IF((L906=""),"",((Q905-R905)/(Q905+R905))*100)</f>
        <v>6.8589243959469943</v>
      </c>
      <c r="U905" s="207">
        <f>STDEV(D905:L905)</f>
        <v>5.41411529642739</v>
      </c>
      <c r="V905" s="209" t="str">
        <f>IF(L906="","",(IF(T905&lt;12,IF(S905&gt;2200,IF(S905&lt;3280,"Pass","Fail"),"Fail"),"Fail")))</f>
        <v>Pass</v>
      </c>
      <c r="W905" s="207" t="s">
        <v>289</v>
      </c>
      <c r="X905" s="251" t="s">
        <v>300</v>
      </c>
      <c r="Y905" s="210"/>
      <c r="Z905" s="210">
        <v>2000</v>
      </c>
      <c r="AA905" s="210">
        <v>3000</v>
      </c>
      <c r="AB905" s="210">
        <v>2200</v>
      </c>
      <c r="AC905" s="210">
        <v>3280</v>
      </c>
      <c r="AD905" s="211">
        <v>12</v>
      </c>
      <c r="AE905" s="211">
        <v>12</v>
      </c>
    </row>
    <row r="906" spans="1:31" customFormat="1" ht="15.75" customHeight="1">
      <c r="A906" s="226"/>
      <c r="B906" s="212"/>
      <c r="C906" s="207" t="s">
        <v>155</v>
      </c>
      <c r="D906">
        <v>1181.55</v>
      </c>
      <c r="E906">
        <v>1209.7</v>
      </c>
      <c r="F906">
        <v>1226.8599999999999</v>
      </c>
      <c r="G906">
        <v>1213.94</v>
      </c>
      <c r="H906">
        <v>1183.3800000000001</v>
      </c>
      <c r="I906">
        <v>1200.6199999999999</v>
      </c>
      <c r="J906">
        <v>1226.55</v>
      </c>
      <c r="K906">
        <v>1194.53</v>
      </c>
      <c r="L906">
        <v>1142.27</v>
      </c>
      <c r="M906" s="213"/>
      <c r="N906" s="213"/>
      <c r="O906" s="213"/>
      <c r="P906" s="213"/>
      <c r="Q906" s="207"/>
      <c r="R906" s="207"/>
      <c r="S906" s="207"/>
      <c r="T906" s="207"/>
      <c r="U906" s="207"/>
      <c r="V906" s="209"/>
      <c r="W906" s="207"/>
      <c r="X906" s="250"/>
      <c r="Y906" s="210"/>
      <c r="Z906" s="210"/>
      <c r="AA906" s="210"/>
      <c r="AB906" s="210"/>
      <c r="AC906" s="210"/>
      <c r="AD906" s="199"/>
      <c r="AE906" s="199"/>
    </row>
    <row r="907" spans="1:31" customFormat="1" ht="24" customHeight="1">
      <c r="A907" s="227"/>
      <c r="B907" s="214"/>
      <c r="C907" s="207" t="s">
        <v>154</v>
      </c>
      <c r="D907" s="215">
        <f t="shared" ref="D907:L907" si="297">IF(((D905="")*AND(D906="")),"",(D905-D906)*4)</f>
        <v>2946.5200000000004</v>
      </c>
      <c r="E907" s="215">
        <f t="shared" si="297"/>
        <v>2815.84</v>
      </c>
      <c r="F907" s="215">
        <f t="shared" si="297"/>
        <v>2724.6000000000004</v>
      </c>
      <c r="G907" s="215">
        <f t="shared" si="297"/>
        <v>2800.04</v>
      </c>
      <c r="H907" s="215">
        <f t="shared" si="297"/>
        <v>2958.3999999999996</v>
      </c>
      <c r="I907" s="215">
        <f t="shared" si="297"/>
        <v>2888.3600000000006</v>
      </c>
      <c r="J907" s="215">
        <f t="shared" si="297"/>
        <v>2763.84</v>
      </c>
      <c r="K907" s="215">
        <f t="shared" si="297"/>
        <v>2873</v>
      </c>
      <c r="L907" s="215">
        <f t="shared" si="297"/>
        <v>3125.88</v>
      </c>
      <c r="M907" s="224"/>
      <c r="N907" s="215"/>
      <c r="O907" s="215"/>
      <c r="P907" s="215" t="str">
        <f>IF(((P905="")*AND(P906="")),"",(P905-P906)*4)</f>
        <v/>
      </c>
      <c r="Q907" s="207"/>
      <c r="R907" s="207"/>
      <c r="S907" s="207"/>
      <c r="T907" s="207"/>
      <c r="U907" s="207"/>
      <c r="V907" s="209"/>
      <c r="W907" s="207"/>
      <c r="X907" s="250"/>
      <c r="Y907" s="210"/>
      <c r="Z907" s="210"/>
      <c r="AA907" s="210"/>
      <c r="AB907" s="210"/>
      <c r="AC907" s="210"/>
      <c r="AD907" s="199"/>
      <c r="AE907" s="199"/>
    </row>
    <row r="908" spans="1:31" customFormat="1" ht="15.75">
      <c r="A908" s="253">
        <v>43560</v>
      </c>
      <c r="B908" s="216" t="s">
        <v>157</v>
      </c>
      <c r="C908" s="207" t="s">
        <v>156</v>
      </c>
      <c r="D908">
        <v>7085.65</v>
      </c>
      <c r="E908">
        <v>7060.63</v>
      </c>
      <c r="F908">
        <v>7073.26</v>
      </c>
      <c r="G908">
        <v>7024.57</v>
      </c>
      <c r="H908">
        <v>6975.2</v>
      </c>
      <c r="I908">
        <v>7031.63</v>
      </c>
      <c r="J908">
        <v>7039.19</v>
      </c>
      <c r="K908">
        <v>7104.83</v>
      </c>
      <c r="L908">
        <v>7153.67</v>
      </c>
      <c r="M908" s="213"/>
      <c r="N908" s="213"/>
      <c r="O908" s="213"/>
      <c r="P908" s="213"/>
      <c r="Q908" s="207">
        <f>IF((L909=""),"",MAX(D910:L910))</f>
        <v>3469.84</v>
      </c>
      <c r="R908" s="207">
        <f>IF(L909="","",MIN(D910:L910))</f>
        <v>3424.1800000000003</v>
      </c>
      <c r="S908" s="208">
        <f>IF((L910=""),"",AVERAGE(D910:L910))</f>
        <v>3444.235555555555</v>
      </c>
      <c r="T908" s="207">
        <f>IF((L909=""),"",((Q908-R908)/(Q908+R908))*100)</f>
        <v>0.66231313515191215</v>
      </c>
      <c r="U908" s="207">
        <f>STDEV(D908:L908)</f>
        <v>51.592038495467186</v>
      </c>
      <c r="V908" s="209" t="str">
        <f>IF(L909="","",(IF(T908&lt;7,IF(S908&gt;2800,IF(S908&lt;3800,"Pass","Fail"),"Fail"),"Fail")))</f>
        <v>Pass</v>
      </c>
      <c r="W908" s="207" t="s">
        <v>289</v>
      </c>
      <c r="X908" s="251" t="s">
        <v>300</v>
      </c>
      <c r="Y908" s="210"/>
      <c r="Z908" s="218">
        <v>2800</v>
      </c>
      <c r="AA908" s="218">
        <v>3800</v>
      </c>
      <c r="AB908" s="218">
        <v>3100</v>
      </c>
      <c r="AC908" s="218">
        <v>3760</v>
      </c>
      <c r="AD908" s="219">
        <v>6</v>
      </c>
      <c r="AE908" s="219">
        <v>6</v>
      </c>
    </row>
    <row r="909" spans="1:31" customFormat="1" ht="16.5" customHeight="1">
      <c r="A909" s="226"/>
      <c r="B909" s="212"/>
      <c r="C909" s="207" t="s">
        <v>155</v>
      </c>
      <c r="D909">
        <v>5356.08</v>
      </c>
      <c r="E909">
        <v>5331.96</v>
      </c>
      <c r="F909">
        <v>5358.74</v>
      </c>
      <c r="G909">
        <v>5312.37</v>
      </c>
      <c r="H909">
        <v>5263.11</v>
      </c>
      <c r="I909">
        <v>5296.71</v>
      </c>
      <c r="J909">
        <v>5323.7</v>
      </c>
      <c r="K909">
        <v>5380.59</v>
      </c>
      <c r="L909">
        <v>5426.31</v>
      </c>
      <c r="M909" s="213"/>
      <c r="N909" s="213"/>
      <c r="O909" s="213"/>
      <c r="P909" s="213"/>
      <c r="Q909" s="207"/>
      <c r="R909" s="207"/>
      <c r="S909" s="208"/>
      <c r="T909" s="207"/>
      <c r="U909" s="207"/>
      <c r="V909" s="209"/>
      <c r="W909" s="207"/>
      <c r="X909" s="250"/>
      <c r="Y909" s="210"/>
      <c r="Z909" s="210"/>
      <c r="AA909" s="210"/>
      <c r="AB909" s="210"/>
      <c r="AC909" s="210"/>
      <c r="AD909" s="199"/>
      <c r="AE909" s="199"/>
    </row>
    <row r="910" spans="1:31" customFormat="1" ht="24.75" customHeight="1" thickBot="1">
      <c r="A910" s="229"/>
      <c r="B910" s="220"/>
      <c r="C910" s="221" t="s">
        <v>154</v>
      </c>
      <c r="D910" s="222">
        <f t="shared" ref="D910:L910" si="298">IF(((D908="")*AND(D909="")),"",(D908-D909)*2)</f>
        <v>3459.1399999999994</v>
      </c>
      <c r="E910" s="222">
        <f t="shared" si="298"/>
        <v>3457.34</v>
      </c>
      <c r="F910" s="222">
        <f t="shared" si="298"/>
        <v>3429.0400000000009</v>
      </c>
      <c r="G910" s="222">
        <f t="shared" si="298"/>
        <v>3424.3999999999996</v>
      </c>
      <c r="H910" s="222">
        <f t="shared" si="298"/>
        <v>3424.1800000000003</v>
      </c>
      <c r="I910" s="222">
        <f t="shared" si="298"/>
        <v>3469.84</v>
      </c>
      <c r="J910" s="222">
        <f t="shared" si="298"/>
        <v>3430.9799999999996</v>
      </c>
      <c r="K910" s="222">
        <f t="shared" si="298"/>
        <v>3448.4799999999996</v>
      </c>
      <c r="L910" s="222">
        <f t="shared" si="298"/>
        <v>3454.7199999999993</v>
      </c>
      <c r="M910" s="223"/>
      <c r="N910" s="222"/>
      <c r="O910" s="222"/>
      <c r="P910" s="222"/>
      <c r="Q910" s="207"/>
      <c r="R910" s="207"/>
      <c r="S910" s="208"/>
      <c r="T910" s="207"/>
      <c r="U910" s="207"/>
      <c r="V910" s="209"/>
      <c r="W910" s="207"/>
      <c r="X910" s="250"/>
      <c r="Y910" s="210"/>
      <c r="Z910" s="210"/>
      <c r="AA910" s="210"/>
      <c r="AB910" s="210"/>
      <c r="AC910" s="210"/>
      <c r="AD910" s="199"/>
      <c r="AE910" s="199"/>
    </row>
    <row r="911" spans="1:31" customFormat="1" ht="15.75">
      <c r="A911" s="253">
        <v>43564</v>
      </c>
      <c r="B911" s="204" t="s">
        <v>158</v>
      </c>
      <c r="C911" s="205" t="s">
        <v>156</v>
      </c>
      <c r="D911">
        <v>1929</v>
      </c>
      <c r="E911">
        <v>1924</v>
      </c>
      <c r="F911">
        <v>1924</v>
      </c>
      <c r="G911">
        <v>1923</v>
      </c>
      <c r="H911">
        <v>1931</v>
      </c>
      <c r="I911">
        <v>1930</v>
      </c>
      <c r="J911">
        <v>1925</v>
      </c>
      <c r="K911">
        <v>1927</v>
      </c>
      <c r="L911">
        <v>1933</v>
      </c>
      <c r="M911" s="206"/>
      <c r="N911" s="206"/>
      <c r="O911" s="206"/>
      <c r="P911" s="206"/>
      <c r="Q911" s="207">
        <f>IF((L912=""),"",MAX(D913:L913))</f>
        <v>3188</v>
      </c>
      <c r="R911" s="207">
        <f>IF(L912="","",MIN(D913:L913))</f>
        <v>2824</v>
      </c>
      <c r="S911" s="208">
        <f>IF((L913=""),"",AVERAGE(D913:L913))</f>
        <v>2971.1111111111113</v>
      </c>
      <c r="T911" s="207">
        <f>IF((L912=""),"",((Q911-R911)/(Q911+R911))*100)</f>
        <v>6.0545575515635397</v>
      </c>
      <c r="U911" s="207">
        <f>STDEV(D911:L911)</f>
        <v>3.5707142142714252</v>
      </c>
      <c r="V911" s="209" t="str">
        <f>IF(L912="","",(IF(T911&lt;12,IF(S911&gt;2200,IF(S911&lt;3280,"Pass","Fail"),"Fail"),"Fail")))</f>
        <v>Pass</v>
      </c>
      <c r="W911" s="207">
        <v>74</v>
      </c>
      <c r="X911" s="199"/>
      <c r="Y911" s="210"/>
      <c r="Z911" s="210">
        <v>2000</v>
      </c>
      <c r="AA911" s="210">
        <v>3000</v>
      </c>
      <c r="AB911" s="210">
        <v>2200</v>
      </c>
      <c r="AC911" s="210">
        <v>3280</v>
      </c>
      <c r="AD911" s="211">
        <v>12</v>
      </c>
      <c r="AE911" s="211">
        <v>12</v>
      </c>
    </row>
    <row r="912" spans="1:31" customFormat="1" ht="15.75" customHeight="1">
      <c r="A912" s="226"/>
      <c r="B912" s="212"/>
      <c r="C912" s="207" t="s">
        <v>155</v>
      </c>
      <c r="D912">
        <v>1156</v>
      </c>
      <c r="E912">
        <v>1198</v>
      </c>
      <c r="F912">
        <v>1218</v>
      </c>
      <c r="G912">
        <v>1203</v>
      </c>
      <c r="H912">
        <v>1175</v>
      </c>
      <c r="I912">
        <v>1133</v>
      </c>
      <c r="J912">
        <v>1182</v>
      </c>
      <c r="K912">
        <v>1212</v>
      </c>
      <c r="L912">
        <v>1184</v>
      </c>
      <c r="M912" s="213"/>
      <c r="N912" s="213"/>
      <c r="O912" s="213"/>
      <c r="P912" s="213"/>
      <c r="Q912" s="207"/>
      <c r="R912" s="207"/>
      <c r="S912" s="207"/>
      <c r="T912" s="207"/>
      <c r="U912" s="207"/>
      <c r="V912" s="209"/>
      <c r="W912" s="207"/>
      <c r="Y912" s="210"/>
      <c r="Z912" s="210"/>
      <c r="AA912" s="210"/>
      <c r="AB912" s="210"/>
      <c r="AC912" s="210"/>
      <c r="AD912" s="199"/>
      <c r="AE912" s="199"/>
    </row>
    <row r="913" spans="1:31" customFormat="1" ht="24" customHeight="1">
      <c r="A913" s="227"/>
      <c r="B913" s="214"/>
      <c r="C913" s="207" t="s">
        <v>154</v>
      </c>
      <c r="D913" s="215">
        <f t="shared" ref="D913:L913" si="299">IF(((D911="")*AND(D912="")),"",(D911-D912)*4)</f>
        <v>3092</v>
      </c>
      <c r="E913" s="215">
        <f t="shared" si="299"/>
        <v>2904</v>
      </c>
      <c r="F913" s="215">
        <f t="shared" si="299"/>
        <v>2824</v>
      </c>
      <c r="G913" s="215">
        <f t="shared" si="299"/>
        <v>2880</v>
      </c>
      <c r="H913" s="215">
        <f t="shared" si="299"/>
        <v>3024</v>
      </c>
      <c r="I913" s="215">
        <f t="shared" si="299"/>
        <v>3188</v>
      </c>
      <c r="J913" s="215">
        <f t="shared" si="299"/>
        <v>2972</v>
      </c>
      <c r="K913" s="215">
        <f t="shared" si="299"/>
        <v>2860</v>
      </c>
      <c r="L913" s="215">
        <f t="shared" si="299"/>
        <v>2996</v>
      </c>
      <c r="M913" s="224"/>
      <c r="N913" s="215"/>
      <c r="O913" s="215"/>
      <c r="P913" s="215" t="str">
        <f>IF(((P911="")*AND(P912="")),"",(P911-P912)*4)</f>
        <v/>
      </c>
      <c r="Q913" s="207"/>
      <c r="R913" s="207"/>
      <c r="S913" s="207"/>
      <c r="T913" s="207"/>
      <c r="U913" s="207"/>
      <c r="V913" s="209"/>
      <c r="W913" s="207"/>
      <c r="Y913" s="210"/>
      <c r="Z913" s="210"/>
      <c r="AA913" s="210"/>
      <c r="AB913" s="210"/>
      <c r="AC913" s="210"/>
      <c r="AD913" s="199"/>
      <c r="AE913" s="199"/>
    </row>
    <row r="914" spans="1:31" customFormat="1" ht="15.75">
      <c r="A914" s="253">
        <v>43564</v>
      </c>
      <c r="B914" s="216" t="s">
        <v>157</v>
      </c>
      <c r="C914" s="207" t="s">
        <v>156</v>
      </c>
      <c r="D914">
        <v>6943</v>
      </c>
      <c r="E914">
        <v>6912</v>
      </c>
      <c r="F914">
        <v>6940</v>
      </c>
      <c r="G914">
        <v>6904</v>
      </c>
      <c r="H914">
        <v>6890</v>
      </c>
      <c r="I914">
        <v>6953</v>
      </c>
      <c r="J914">
        <v>6944</v>
      </c>
      <c r="K914">
        <v>6956</v>
      </c>
      <c r="L914">
        <v>7083</v>
      </c>
      <c r="M914" s="213"/>
      <c r="N914" s="213"/>
      <c r="O914" s="213"/>
      <c r="P914" s="213"/>
      <c r="Q914" s="207">
        <f>IF((L915=""),"",MAX(D916:L916))</f>
        <v>3290</v>
      </c>
      <c r="R914" s="207">
        <f>IF(L915="","",MIN(D916:L916))</f>
        <v>3196</v>
      </c>
      <c r="S914" s="208">
        <f>IF((L916=""),"",AVERAGE(D916:L916))</f>
        <v>3251.7777777777778</v>
      </c>
      <c r="T914" s="207">
        <f>IF((L915=""),"",((Q914-R914)/(Q914+R914))*100)</f>
        <v>1.4492753623188406</v>
      </c>
      <c r="U914" s="207">
        <f>STDEV(D914:L914)</f>
        <v>55.912381852750251</v>
      </c>
      <c r="V914" s="209" t="str">
        <f>IF(L915="","",(IF(T914&lt;7,IF(S914&gt;2800,IF(S914&lt;3800,"Pass","Fail"),"Fail"),"Fail")))</f>
        <v>Pass</v>
      </c>
      <c r="W914" s="207">
        <v>74</v>
      </c>
      <c r="X914" s="199"/>
      <c r="Y914" s="210"/>
      <c r="Z914" s="218">
        <v>2800</v>
      </c>
      <c r="AA914" s="218">
        <v>3800</v>
      </c>
      <c r="AB914" s="218">
        <v>3100</v>
      </c>
      <c r="AC914" s="218">
        <v>3760</v>
      </c>
      <c r="AD914" s="219">
        <v>6</v>
      </c>
      <c r="AE914" s="219">
        <v>6</v>
      </c>
    </row>
    <row r="915" spans="1:31" customFormat="1" ht="16.5" customHeight="1">
      <c r="A915" s="226"/>
      <c r="B915" s="212"/>
      <c r="C915" s="207" t="s">
        <v>155</v>
      </c>
      <c r="D915">
        <v>5304</v>
      </c>
      <c r="E915">
        <v>5267</v>
      </c>
      <c r="F915">
        <v>5310</v>
      </c>
      <c r="G915">
        <v>5259</v>
      </c>
      <c r="H915">
        <v>5288</v>
      </c>
      <c r="I915">
        <v>5334</v>
      </c>
      <c r="J915">
        <v>5313</v>
      </c>
      <c r="K915">
        <v>5332</v>
      </c>
      <c r="L915">
        <v>5485</v>
      </c>
      <c r="M915" s="213"/>
      <c r="N915" s="213"/>
      <c r="O915" s="213"/>
      <c r="P915" s="213"/>
      <c r="Q915" s="207"/>
      <c r="R915" s="207"/>
      <c r="S915" s="208"/>
      <c r="T915" s="207"/>
      <c r="U915" s="207"/>
      <c r="V915" s="209"/>
      <c r="W915" s="207"/>
      <c r="Y915" s="210"/>
      <c r="Z915" s="210"/>
      <c r="AA915" s="210"/>
      <c r="AB915" s="210"/>
      <c r="AC915" s="210"/>
      <c r="AD915" s="199"/>
      <c r="AE915" s="199"/>
    </row>
    <row r="916" spans="1:31" customFormat="1" ht="24.75" customHeight="1" thickBot="1">
      <c r="A916" s="229"/>
      <c r="B916" s="220"/>
      <c r="C916" s="221" t="s">
        <v>154</v>
      </c>
      <c r="D916" s="222">
        <f t="shared" ref="D916:L916" si="300">IF(((D914="")*AND(D915="")),"",(D914-D915)*2)</f>
        <v>3278</v>
      </c>
      <c r="E916" s="222">
        <f t="shared" si="300"/>
        <v>3290</v>
      </c>
      <c r="F916" s="222">
        <f t="shared" si="300"/>
        <v>3260</v>
      </c>
      <c r="G916" s="222">
        <f t="shared" si="300"/>
        <v>3290</v>
      </c>
      <c r="H916" s="222">
        <f t="shared" si="300"/>
        <v>3204</v>
      </c>
      <c r="I916" s="222">
        <f t="shared" si="300"/>
        <v>3238</v>
      </c>
      <c r="J916" s="222">
        <f t="shared" si="300"/>
        <v>3262</v>
      </c>
      <c r="K916" s="222">
        <f t="shared" si="300"/>
        <v>3248</v>
      </c>
      <c r="L916" s="222">
        <f t="shared" si="300"/>
        <v>3196</v>
      </c>
      <c r="M916" s="223"/>
      <c r="N916" s="222"/>
      <c r="O916" s="222"/>
      <c r="P916" s="222"/>
      <c r="Q916" s="207"/>
      <c r="R916" s="207"/>
      <c r="S916" s="208"/>
      <c r="T916" s="207"/>
      <c r="U916" s="207"/>
      <c r="V916" s="209"/>
      <c r="W916" s="207"/>
      <c r="Y916" s="210"/>
      <c r="Z916" s="210"/>
      <c r="AA916" s="210"/>
      <c r="AB916" s="210"/>
      <c r="AC916" s="210"/>
      <c r="AD916" s="199"/>
      <c r="AE916" s="199"/>
    </row>
    <row r="917" spans="1:31" customFormat="1" ht="15.75">
      <c r="A917" s="253">
        <v>43577</v>
      </c>
      <c r="B917" s="204" t="s">
        <v>158</v>
      </c>
      <c r="C917" s="205" t="s">
        <v>156</v>
      </c>
      <c r="D917">
        <v>1156</v>
      </c>
      <c r="E917">
        <v>1198</v>
      </c>
      <c r="F917">
        <v>1218</v>
      </c>
      <c r="G917">
        <v>1203</v>
      </c>
      <c r="H917">
        <v>1175</v>
      </c>
      <c r="I917">
        <v>1133</v>
      </c>
      <c r="J917">
        <v>1182</v>
      </c>
      <c r="K917">
        <v>1212</v>
      </c>
      <c r="L917">
        <v>1184</v>
      </c>
      <c r="M917" s="206"/>
      <c r="N917" s="206"/>
      <c r="O917" s="206"/>
      <c r="P917" s="206"/>
      <c r="Q917" s="207">
        <f>IF((L918=""),"",MAX(D919:L919))</f>
        <v>2984</v>
      </c>
      <c r="R917" s="207">
        <f>IF(L918="","",MIN(D919:L919))</f>
        <v>2620</v>
      </c>
      <c r="S917" s="208">
        <f>IF((L919=""),"",AVERAGE(D919:L919))</f>
        <v>2783.5555555555557</v>
      </c>
      <c r="T917" s="207">
        <f>IF((L918=""),"",((Q917-R917)/(Q917+R917))*100)</f>
        <v>6.4953604568165595</v>
      </c>
      <c r="U917" s="207">
        <f>STDEV(D917:L917)</f>
        <v>27.304354557061991</v>
      </c>
      <c r="V917" s="209" t="str">
        <f>IF(L918="","",(IF(T917&lt;12,IF(S917&gt;2200,IF(S917&lt;3280,"Pass","Fail"),"Fail"),"Fail")))</f>
        <v>Pass</v>
      </c>
      <c r="W917" s="207">
        <v>1340</v>
      </c>
      <c r="X917" s="251" t="s">
        <v>301</v>
      </c>
      <c r="Y917" s="210"/>
      <c r="Z917" s="210">
        <v>2000</v>
      </c>
      <c r="AA917" s="210">
        <v>3000</v>
      </c>
      <c r="AB917" s="210">
        <v>2200</v>
      </c>
      <c r="AC917" s="210">
        <v>3280</v>
      </c>
      <c r="AD917" s="211">
        <v>12</v>
      </c>
      <c r="AE917" s="211">
        <v>12</v>
      </c>
    </row>
    <row r="918" spans="1:31" customFormat="1" ht="15.75" customHeight="1">
      <c r="A918" s="226"/>
      <c r="B918" s="212"/>
      <c r="C918" s="207" t="s">
        <v>155</v>
      </c>
      <c r="D918">
        <v>435</v>
      </c>
      <c r="E918">
        <v>520</v>
      </c>
      <c r="F918">
        <v>563</v>
      </c>
      <c r="G918">
        <v>521</v>
      </c>
      <c r="H918">
        <v>459</v>
      </c>
      <c r="I918">
        <v>387</v>
      </c>
      <c r="J918">
        <v>493</v>
      </c>
      <c r="K918">
        <v>541</v>
      </c>
      <c r="L918">
        <v>479</v>
      </c>
      <c r="M918" s="213"/>
      <c r="N918" s="213"/>
      <c r="O918" s="213"/>
      <c r="P918" s="213"/>
      <c r="Q918" s="207"/>
      <c r="R918" s="207"/>
      <c r="S918" s="207"/>
      <c r="T918" s="207"/>
      <c r="U918" s="207"/>
      <c r="V918" s="209"/>
      <c r="W918" s="207"/>
      <c r="X918" s="250"/>
      <c r="Y918" s="210"/>
      <c r="Z918" s="210"/>
      <c r="AA918" s="210"/>
      <c r="AB918" s="210"/>
      <c r="AC918" s="210"/>
      <c r="AD918" s="199"/>
      <c r="AE918" s="199"/>
    </row>
    <row r="919" spans="1:31" customFormat="1" ht="24" customHeight="1">
      <c r="A919" s="227"/>
      <c r="B919" s="214"/>
      <c r="C919" s="207" t="s">
        <v>154</v>
      </c>
      <c r="D919" s="215">
        <f t="shared" ref="D919:L919" si="301">IF(((D917="")*AND(D918="")),"",(D917-D918)*4)</f>
        <v>2884</v>
      </c>
      <c r="E919" s="215">
        <f t="shared" si="301"/>
        <v>2712</v>
      </c>
      <c r="F919" s="215">
        <f t="shared" si="301"/>
        <v>2620</v>
      </c>
      <c r="G919" s="215">
        <f t="shared" si="301"/>
        <v>2728</v>
      </c>
      <c r="H919" s="215">
        <f t="shared" si="301"/>
        <v>2864</v>
      </c>
      <c r="I919" s="215">
        <f t="shared" si="301"/>
        <v>2984</v>
      </c>
      <c r="J919" s="215">
        <f t="shared" si="301"/>
        <v>2756</v>
      </c>
      <c r="K919" s="215">
        <f t="shared" si="301"/>
        <v>2684</v>
      </c>
      <c r="L919" s="215">
        <f t="shared" si="301"/>
        <v>2820</v>
      </c>
      <c r="M919" s="224"/>
      <c r="N919" s="215"/>
      <c r="O919" s="215"/>
      <c r="P919" s="215" t="str">
        <f>IF(((P917="")*AND(P918="")),"",(P917-P918)*4)</f>
        <v/>
      </c>
      <c r="Q919" s="207"/>
      <c r="R919" s="207"/>
      <c r="S919" s="207"/>
      <c r="T919" s="207"/>
      <c r="U919" s="207"/>
      <c r="V919" s="209"/>
      <c r="W919" s="207"/>
      <c r="X919" s="250"/>
      <c r="Y919" s="210"/>
      <c r="Z919" s="210"/>
      <c r="AA919" s="210"/>
      <c r="AB919" s="210"/>
      <c r="AC919" s="210"/>
      <c r="AD919" s="199"/>
      <c r="AE919" s="199"/>
    </row>
    <row r="920" spans="1:31" customFormat="1" ht="15.75">
      <c r="A920" s="253">
        <v>43577</v>
      </c>
      <c r="B920" s="216" t="s">
        <v>157</v>
      </c>
      <c r="C920" s="207" t="s">
        <v>156</v>
      </c>
      <c r="D920">
        <v>5305</v>
      </c>
      <c r="E920">
        <v>5268</v>
      </c>
      <c r="F920">
        <v>5310</v>
      </c>
      <c r="G920">
        <v>5259</v>
      </c>
      <c r="H920">
        <v>5288</v>
      </c>
      <c r="I920">
        <v>5334</v>
      </c>
      <c r="J920">
        <v>5313</v>
      </c>
      <c r="K920">
        <v>5332</v>
      </c>
      <c r="L920">
        <v>5485</v>
      </c>
      <c r="M920" s="213"/>
      <c r="N920" s="213"/>
      <c r="O920" s="213"/>
      <c r="P920" s="213"/>
      <c r="Q920" s="207">
        <f>IF((L921=""),"",MAX(D922:L922))</f>
        <v>3926</v>
      </c>
      <c r="R920" s="207">
        <f>IF(L921="","",MIN(D922:L922))</f>
        <v>3472</v>
      </c>
      <c r="S920" s="208">
        <f>IF((L922=""),"",AVERAGE(D922:L922))</f>
        <v>3634.6666666666665</v>
      </c>
      <c r="T920" s="207">
        <f>IF((L921=""),"",((Q920-R920)/(Q920+R920))*100)</f>
        <v>6.1367937280346041</v>
      </c>
      <c r="U920" s="207">
        <f>STDEV(D920:L920)</f>
        <v>66.488929738537095</v>
      </c>
      <c r="V920" s="209" t="str">
        <f>IF(L921="","",(IF(T920&lt;7,IF(S920&gt;2800,IF(S920&lt;3800,"Pass","Fail"),"Fail"),"Fail")))</f>
        <v>Pass</v>
      </c>
      <c r="W920" s="207">
        <v>1340</v>
      </c>
      <c r="X920" s="251" t="s">
        <v>301</v>
      </c>
      <c r="Y920" s="210"/>
      <c r="Z920" s="218">
        <v>2800</v>
      </c>
      <c r="AA920" s="218">
        <v>3800</v>
      </c>
      <c r="AB920" s="218">
        <v>3100</v>
      </c>
      <c r="AC920" s="218">
        <v>3760</v>
      </c>
      <c r="AD920" s="219">
        <v>6</v>
      </c>
      <c r="AE920" s="219">
        <v>6</v>
      </c>
    </row>
    <row r="921" spans="1:31" customFormat="1" ht="16.5" customHeight="1">
      <c r="A921" s="226"/>
      <c r="B921" s="212"/>
      <c r="C921" s="207" t="s">
        <v>155</v>
      </c>
      <c r="D921">
        <v>3502</v>
      </c>
      <c r="E921">
        <v>3449</v>
      </c>
      <c r="F921">
        <v>3502</v>
      </c>
      <c r="G921">
        <v>3449</v>
      </c>
      <c r="H921">
        <v>3325</v>
      </c>
      <c r="I921">
        <v>3532</v>
      </c>
      <c r="J921">
        <v>3503</v>
      </c>
      <c r="K921">
        <v>3527</v>
      </c>
      <c r="L921">
        <v>3749</v>
      </c>
      <c r="M921" s="213"/>
      <c r="N921" s="213"/>
      <c r="O921" s="213"/>
      <c r="P921" s="213"/>
      <c r="Q921" s="207"/>
      <c r="R921" s="207"/>
      <c r="S921" s="208"/>
      <c r="T921" s="207"/>
      <c r="U921" s="207"/>
      <c r="V921" s="209"/>
      <c r="W921" s="207"/>
      <c r="X921" s="250"/>
      <c r="Y921" s="210"/>
      <c r="Z921" s="210"/>
      <c r="AA921" s="210"/>
      <c r="AB921" s="210"/>
      <c r="AC921" s="210"/>
      <c r="AD921" s="199"/>
      <c r="AE921" s="199"/>
    </row>
    <row r="922" spans="1:31" customFormat="1" ht="24.75" customHeight="1" thickBot="1">
      <c r="A922" s="229"/>
      <c r="B922" s="220"/>
      <c r="C922" s="221" t="s">
        <v>154</v>
      </c>
      <c r="D922" s="222">
        <f t="shared" ref="D922:L922" si="302">IF(((D920="")*AND(D921="")),"",(D920-D921)*2)</f>
        <v>3606</v>
      </c>
      <c r="E922" s="222">
        <f t="shared" si="302"/>
        <v>3638</v>
      </c>
      <c r="F922" s="222">
        <f t="shared" si="302"/>
        <v>3616</v>
      </c>
      <c r="G922" s="222">
        <f t="shared" si="302"/>
        <v>3620</v>
      </c>
      <c r="H922" s="222">
        <f t="shared" si="302"/>
        <v>3926</v>
      </c>
      <c r="I922" s="222">
        <f t="shared" si="302"/>
        <v>3604</v>
      </c>
      <c r="J922" s="222">
        <f t="shared" si="302"/>
        <v>3620</v>
      </c>
      <c r="K922" s="222">
        <f t="shared" si="302"/>
        <v>3610</v>
      </c>
      <c r="L922" s="222">
        <f t="shared" si="302"/>
        <v>3472</v>
      </c>
      <c r="M922" s="223"/>
      <c r="N922" s="222"/>
      <c r="O922" s="222"/>
      <c r="P922" s="222"/>
      <c r="Q922" s="207"/>
      <c r="R922" s="207"/>
      <c r="S922" s="208"/>
      <c r="T922" s="207"/>
      <c r="U922" s="207"/>
      <c r="V922" s="209"/>
      <c r="W922" s="207"/>
      <c r="X922" s="250"/>
      <c r="Y922" s="210"/>
      <c r="Z922" s="210"/>
      <c r="AA922" s="210"/>
      <c r="AB922" s="210"/>
      <c r="AC922" s="210"/>
      <c r="AD922" s="199"/>
      <c r="AE922" s="199"/>
    </row>
    <row r="923" spans="1:31" customFormat="1" ht="15.75">
      <c r="A923" s="253">
        <v>43581</v>
      </c>
      <c r="B923" s="204" t="s">
        <v>158</v>
      </c>
      <c r="C923" s="205" t="s">
        <v>156</v>
      </c>
      <c r="D923" s="230">
        <v>1921.3</v>
      </c>
      <c r="E923">
        <v>1919.1</v>
      </c>
      <c r="F923">
        <v>1915.74</v>
      </c>
      <c r="G923">
        <v>1923.65</v>
      </c>
      <c r="H923">
        <v>1931.06</v>
      </c>
      <c r="I923">
        <v>1931.14</v>
      </c>
      <c r="J923">
        <v>1924.01</v>
      </c>
      <c r="K923">
        <v>1920.76</v>
      </c>
      <c r="L923">
        <v>1929.71</v>
      </c>
      <c r="M923" s="206"/>
      <c r="N923" s="206"/>
      <c r="O923" s="206"/>
      <c r="P923" s="206"/>
      <c r="Q923" s="207">
        <f>IF((L924=""),"",MAX(D925:L925))</f>
        <v>3085.16</v>
      </c>
      <c r="R923" s="207">
        <f>IF(L924="","",MIN(D925:L925))</f>
        <v>2733.5200000000004</v>
      </c>
      <c r="S923" s="208">
        <f>IF((L925=""),"",AVERAGE(D925:L925))</f>
        <v>2865.7111111111108</v>
      </c>
      <c r="T923" s="207">
        <f>IF((L924=""),"",((Q923-R923)/(Q923+R923))*100)</f>
        <v>6.0432950428619447</v>
      </c>
      <c r="U923" s="207">
        <f>STDEV(D923:L923)</f>
        <v>5.5175918157795882</v>
      </c>
      <c r="V923" s="209" t="str">
        <f>IF(L924="","",(IF(T923&lt;12,IF(S923&gt;2200,IF(S923&lt;3280,"Pass","Fail"),"Fail"),"Fail")))</f>
        <v>Pass</v>
      </c>
      <c r="W923" s="207">
        <v>1159</v>
      </c>
      <c r="X923" s="251" t="s">
        <v>302</v>
      </c>
      <c r="Y923" s="210"/>
      <c r="Z923" s="210">
        <v>2000</v>
      </c>
      <c r="AA923" s="210">
        <v>3000</v>
      </c>
      <c r="AB923" s="210">
        <v>2200</v>
      </c>
      <c r="AC923" s="210">
        <v>3280</v>
      </c>
      <c r="AD923" s="211">
        <v>12</v>
      </c>
      <c r="AE923" s="211">
        <v>12</v>
      </c>
    </row>
    <row r="924" spans="1:31" customFormat="1" ht="15.75" customHeight="1">
      <c r="A924" s="226"/>
      <c r="B924" s="212"/>
      <c r="C924" s="207" t="s">
        <v>155</v>
      </c>
      <c r="D924" s="231">
        <v>1195.79</v>
      </c>
      <c r="E924">
        <v>1221.5</v>
      </c>
      <c r="F924">
        <v>1232.3599999999999</v>
      </c>
      <c r="G924">
        <v>1222.02</v>
      </c>
      <c r="H924">
        <v>1192.19</v>
      </c>
      <c r="I924">
        <v>1208.6600000000001</v>
      </c>
      <c r="J924">
        <v>1231.76</v>
      </c>
      <c r="K924">
        <v>1205.92</v>
      </c>
      <c r="L924">
        <v>1158.42</v>
      </c>
      <c r="M924" s="213"/>
      <c r="N924" s="213"/>
      <c r="O924" s="213"/>
      <c r="P924" s="213"/>
      <c r="Q924" s="207"/>
      <c r="R924" s="207"/>
      <c r="S924" s="207"/>
      <c r="T924" s="207"/>
      <c r="U924" s="207"/>
      <c r="V924" s="209"/>
      <c r="W924" s="207"/>
      <c r="X924" s="250"/>
      <c r="Y924" s="210"/>
      <c r="Z924" s="210"/>
      <c r="AA924" s="210"/>
      <c r="AB924" s="210"/>
      <c r="AC924" s="210"/>
      <c r="AD924" s="199"/>
      <c r="AE924" s="199"/>
    </row>
    <row r="925" spans="1:31" customFormat="1" ht="24" customHeight="1">
      <c r="A925" s="227"/>
      <c r="B925" s="214"/>
      <c r="C925" s="207" t="s">
        <v>154</v>
      </c>
      <c r="D925" s="215">
        <f t="shared" ref="D925:L925" si="303">IF(((D923="")*AND(D924="")),"",(D923-D924)*4)</f>
        <v>2902.04</v>
      </c>
      <c r="E925" s="215">
        <f t="shared" si="303"/>
        <v>2790.3999999999996</v>
      </c>
      <c r="F925" s="215">
        <f t="shared" si="303"/>
        <v>2733.5200000000004</v>
      </c>
      <c r="G925" s="215">
        <f t="shared" si="303"/>
        <v>2806.5200000000004</v>
      </c>
      <c r="H925" s="215">
        <f t="shared" si="303"/>
        <v>2955.4799999999996</v>
      </c>
      <c r="I925" s="215">
        <f t="shared" si="303"/>
        <v>2889.92</v>
      </c>
      <c r="J925" s="215">
        <f t="shared" si="303"/>
        <v>2769</v>
      </c>
      <c r="K925" s="215">
        <f t="shared" si="303"/>
        <v>2859.3599999999997</v>
      </c>
      <c r="L925" s="215">
        <f t="shared" si="303"/>
        <v>3085.16</v>
      </c>
      <c r="M925" s="224"/>
      <c r="N925" s="215"/>
      <c r="O925" s="215"/>
      <c r="P925" s="215" t="str">
        <f>IF(((P923="")*AND(P924="")),"",(P923-P924)*4)</f>
        <v/>
      </c>
      <c r="Q925" s="207"/>
      <c r="R925" s="207"/>
      <c r="S925" s="207"/>
      <c r="T925" s="207"/>
      <c r="U925" s="207"/>
      <c r="V925" s="209"/>
      <c r="W925" s="207"/>
      <c r="X925" s="250"/>
      <c r="Y925" s="210"/>
      <c r="Z925" s="210"/>
      <c r="AA925" s="210"/>
      <c r="AB925" s="210"/>
      <c r="AC925" s="210"/>
      <c r="AD925" s="199"/>
      <c r="AE925" s="199"/>
    </row>
    <row r="926" spans="1:31" customFormat="1" ht="15.75">
      <c r="A926" s="253">
        <v>43581</v>
      </c>
      <c r="B926" s="216" t="s">
        <v>157</v>
      </c>
      <c r="C926" s="207" t="s">
        <v>156</v>
      </c>
      <c r="D926" s="231">
        <v>6969.85</v>
      </c>
      <c r="E926">
        <v>6946.13</v>
      </c>
      <c r="F926">
        <v>6967.28</v>
      </c>
      <c r="G926">
        <v>6909.29</v>
      </c>
      <c r="H926">
        <v>6834.38</v>
      </c>
      <c r="I926">
        <v>6898.51</v>
      </c>
      <c r="J926">
        <v>6921.08</v>
      </c>
      <c r="K926">
        <v>6983.66</v>
      </c>
      <c r="L926">
        <v>7005.73</v>
      </c>
      <c r="M926" s="213"/>
      <c r="N926" s="213"/>
      <c r="O926" s="213"/>
      <c r="P926" s="213"/>
      <c r="Q926" s="207">
        <f>IF((L927=""),"",MAX(D928:L928))</f>
        <v>3652.6800000000003</v>
      </c>
      <c r="R926" s="207">
        <f>IF(L927="","",MIN(D928:L928))</f>
        <v>3537.0199999999986</v>
      </c>
      <c r="S926" s="208">
        <f>IF((L928=""),"",AVERAGE(D928:L928))</f>
        <v>3568.8822222222216</v>
      </c>
      <c r="T926" s="207">
        <f>IF((L927=""),"",((Q926-R926)/(Q926+R926))*100)</f>
        <v>1.6086902096054314</v>
      </c>
      <c r="U926" s="207">
        <f>STDEV(D926:L926)</f>
        <v>52.455958193431293</v>
      </c>
      <c r="V926" s="209" t="str">
        <f>IF(L927="","",(IF(T926&lt;7,IF(S926&gt;2800,IF(S926&lt;3800,"Pass","Fail"),"Fail"),"Fail")))</f>
        <v>Pass</v>
      </c>
      <c r="W926" s="207">
        <v>1159</v>
      </c>
      <c r="X926" s="251" t="s">
        <v>302</v>
      </c>
      <c r="Y926" s="210"/>
      <c r="Z926" s="218">
        <v>2800</v>
      </c>
      <c r="AA926" s="218">
        <v>3800</v>
      </c>
      <c r="AB926" s="218">
        <v>3100</v>
      </c>
      <c r="AC926" s="218">
        <v>3760</v>
      </c>
      <c r="AD926" s="219">
        <v>6</v>
      </c>
      <c r="AE926" s="219">
        <v>6</v>
      </c>
    </row>
    <row r="927" spans="1:31" customFormat="1" ht="16.5" customHeight="1">
      <c r="A927" s="226"/>
      <c r="B927" s="212"/>
      <c r="C927" s="207" t="s">
        <v>155</v>
      </c>
      <c r="D927" s="231">
        <v>5182.42</v>
      </c>
      <c r="E927">
        <v>5173.0600000000004</v>
      </c>
      <c r="F927">
        <v>5198.7700000000004</v>
      </c>
      <c r="G927">
        <v>5137.05</v>
      </c>
      <c r="H927">
        <v>5034.01</v>
      </c>
      <c r="I927">
        <v>5072.17</v>
      </c>
      <c r="J927">
        <v>5145.3</v>
      </c>
      <c r="K927">
        <v>5212.84</v>
      </c>
      <c r="L927">
        <v>5220.32</v>
      </c>
      <c r="M927" s="213"/>
      <c r="N927" s="213"/>
      <c r="O927" s="213"/>
      <c r="P927" s="213"/>
      <c r="Q927" s="207"/>
      <c r="R927" s="207"/>
      <c r="S927" s="208"/>
      <c r="T927" s="207"/>
      <c r="U927" s="207"/>
      <c r="V927" s="209"/>
      <c r="W927" s="207"/>
      <c r="X927" s="250"/>
      <c r="Y927" s="210"/>
      <c r="Z927" s="210"/>
      <c r="AA927" s="210"/>
      <c r="AB927" s="210"/>
      <c r="AC927" s="210"/>
      <c r="AD927" s="199"/>
      <c r="AE927" s="199"/>
    </row>
    <row r="928" spans="1:31" customFormat="1" ht="24.75" customHeight="1" thickBot="1">
      <c r="A928" s="229"/>
      <c r="B928" s="220"/>
      <c r="C928" s="221" t="s">
        <v>154</v>
      </c>
      <c r="D928" s="222">
        <f t="shared" ref="D928:L928" si="304">IF(((D926="")*AND(D927="")),"",(D926-D927)*2)</f>
        <v>3574.8600000000006</v>
      </c>
      <c r="E928" s="222">
        <f t="shared" si="304"/>
        <v>3546.1399999999994</v>
      </c>
      <c r="F928" s="222">
        <f t="shared" si="304"/>
        <v>3537.0199999999986</v>
      </c>
      <c r="G928" s="222">
        <f t="shared" si="304"/>
        <v>3544.4799999999996</v>
      </c>
      <c r="H928" s="222">
        <f t="shared" si="304"/>
        <v>3600.74</v>
      </c>
      <c r="I928" s="222">
        <f t="shared" si="304"/>
        <v>3652.6800000000003</v>
      </c>
      <c r="J928" s="222">
        <f t="shared" si="304"/>
        <v>3551.5599999999995</v>
      </c>
      <c r="K928" s="222">
        <f t="shared" si="304"/>
        <v>3541.6399999999994</v>
      </c>
      <c r="L928" s="222">
        <f t="shared" si="304"/>
        <v>3570.8199999999997</v>
      </c>
      <c r="M928" s="223"/>
      <c r="N928" s="222"/>
      <c r="O928" s="222"/>
      <c r="P928" s="222"/>
      <c r="Q928" s="207"/>
      <c r="R928" s="207"/>
      <c r="S928" s="208"/>
      <c r="T928" s="207"/>
      <c r="U928" s="207"/>
      <c r="V928" s="209"/>
      <c r="W928" s="207"/>
      <c r="X928" s="250"/>
      <c r="Y928" s="210"/>
      <c r="Z928" s="210"/>
      <c r="AA928" s="210"/>
      <c r="AB928" s="210"/>
      <c r="AC928" s="210"/>
      <c r="AD928" s="199"/>
      <c r="AE928" s="199"/>
    </row>
    <row r="929" spans="1:31" customFormat="1" ht="15.75">
      <c r="A929" s="253">
        <v>43585</v>
      </c>
      <c r="B929" s="204" t="s">
        <v>158</v>
      </c>
      <c r="C929" s="205" t="s">
        <v>156</v>
      </c>
      <c r="D929" s="231">
        <v>1969.62</v>
      </c>
      <c r="E929">
        <v>1964.92</v>
      </c>
      <c r="F929">
        <v>1955.45</v>
      </c>
      <c r="G929">
        <v>1965.22</v>
      </c>
      <c r="H929">
        <v>1968.51</v>
      </c>
      <c r="I929">
        <v>1964.74</v>
      </c>
      <c r="J929">
        <v>1960.94</v>
      </c>
      <c r="K929">
        <v>1967.41</v>
      </c>
      <c r="L929">
        <v>1972.33</v>
      </c>
      <c r="M929" s="206"/>
      <c r="N929" s="206"/>
      <c r="O929" s="206"/>
      <c r="P929" s="206"/>
      <c r="Q929" s="207">
        <f>IF((L930=""),"",MAX(D931:L931))</f>
        <v>3284.7200000000003</v>
      </c>
      <c r="R929" s="207">
        <f>IF(L930="","",MIN(D931:L931))</f>
        <v>2927.08</v>
      </c>
      <c r="S929" s="208">
        <f>IF((L931=""),"",AVERAGE(D931:L931))</f>
        <v>3087.0488888888885</v>
      </c>
      <c r="T929" s="207">
        <f>IF((L930=""),"",((Q929-R929)/(Q929+R929))*100)</f>
        <v>5.7574294085450326</v>
      </c>
      <c r="U929" s="207">
        <f>STDEV(D929:L929)</f>
        <v>4.9888074727261698</v>
      </c>
      <c r="V929" s="209" t="str">
        <f>IF(L930="","",(IF(T929&lt;12,IF(S929&gt;2200,IF(S929&lt;3280,"Pass","Fail"),"Fail"),"Fail")))</f>
        <v>Pass</v>
      </c>
      <c r="W929" s="207">
        <v>1159</v>
      </c>
      <c r="X929" s="251" t="s">
        <v>303</v>
      </c>
      <c r="Y929" s="210"/>
      <c r="Z929" s="210">
        <v>2000</v>
      </c>
      <c r="AA929" s="210">
        <v>3000</v>
      </c>
      <c r="AB929" s="210">
        <v>2200</v>
      </c>
      <c r="AC929" s="210">
        <v>3280</v>
      </c>
      <c r="AD929" s="211">
        <v>12</v>
      </c>
      <c r="AE929" s="211">
        <v>12</v>
      </c>
    </row>
    <row r="930" spans="1:31" customFormat="1" ht="15.75" customHeight="1">
      <c r="A930" s="226"/>
      <c r="B930" s="212"/>
      <c r="C930" s="207" t="s">
        <v>155</v>
      </c>
      <c r="D930" s="231">
        <v>1169.6400000000001</v>
      </c>
      <c r="E930">
        <v>1208.74</v>
      </c>
      <c r="F930">
        <v>1223.68</v>
      </c>
      <c r="G930">
        <v>1208.49</v>
      </c>
      <c r="H930">
        <v>1180.5</v>
      </c>
      <c r="I930">
        <v>1143.56</v>
      </c>
      <c r="J930">
        <v>1191.54</v>
      </c>
      <c r="K930">
        <v>1223.74</v>
      </c>
      <c r="L930">
        <v>1193.3900000000001</v>
      </c>
      <c r="M930" s="213"/>
      <c r="N930" s="213"/>
      <c r="O930" s="213"/>
      <c r="P930" s="213"/>
      <c r="Q930" s="207"/>
      <c r="R930" s="207"/>
      <c r="S930" s="207"/>
      <c r="T930" s="207"/>
      <c r="U930" s="207"/>
      <c r="V930" s="209"/>
      <c r="W930" s="207"/>
      <c r="X930" s="250"/>
      <c r="Y930" s="210"/>
      <c r="Z930" s="210"/>
      <c r="AA930" s="210"/>
      <c r="AB930" s="210"/>
      <c r="AC930" s="210"/>
      <c r="AD930" s="199"/>
      <c r="AE930" s="199"/>
    </row>
    <row r="931" spans="1:31" customFormat="1" ht="24" customHeight="1">
      <c r="A931" s="227"/>
      <c r="B931" s="214"/>
      <c r="C931" s="207" t="s">
        <v>154</v>
      </c>
      <c r="D931" s="215">
        <f t="shared" ref="D931:L931" si="305">IF(((D929="")*AND(D930="")),"",(D929-D930)*4)</f>
        <v>3199.9199999999992</v>
      </c>
      <c r="E931" s="215">
        <f t="shared" si="305"/>
        <v>3024.7200000000003</v>
      </c>
      <c r="F931" s="215">
        <f t="shared" si="305"/>
        <v>2927.08</v>
      </c>
      <c r="G931" s="215">
        <f t="shared" si="305"/>
        <v>3026.92</v>
      </c>
      <c r="H931" s="215">
        <f t="shared" si="305"/>
        <v>3152.04</v>
      </c>
      <c r="I931" s="215">
        <f t="shared" si="305"/>
        <v>3284.7200000000003</v>
      </c>
      <c r="J931" s="215">
        <f t="shared" si="305"/>
        <v>3077.6000000000004</v>
      </c>
      <c r="K931" s="215">
        <f t="shared" si="305"/>
        <v>2974.6800000000003</v>
      </c>
      <c r="L931" s="215">
        <f t="shared" si="305"/>
        <v>3115.7599999999993</v>
      </c>
      <c r="M931" s="224"/>
      <c r="N931" s="215"/>
      <c r="O931" s="215"/>
      <c r="P931" s="215" t="str">
        <f>IF(((P929="")*AND(P930="")),"",(P929-P930)*4)</f>
        <v/>
      </c>
      <c r="Q931" s="207"/>
      <c r="R931" s="207"/>
      <c r="S931" s="207"/>
      <c r="T931" s="207"/>
      <c r="U931" s="207"/>
      <c r="V931" s="209"/>
      <c r="W931" s="207"/>
      <c r="X931" s="250"/>
      <c r="Y931" s="210"/>
      <c r="Z931" s="210"/>
      <c r="AA931" s="210"/>
      <c r="AB931" s="210"/>
      <c r="AC931" s="210"/>
      <c r="AD931" s="199"/>
      <c r="AE931" s="199"/>
    </row>
    <row r="932" spans="1:31" customFormat="1" ht="15.75">
      <c r="A932" s="253">
        <v>43585</v>
      </c>
      <c r="B932" s="216" t="s">
        <v>157</v>
      </c>
      <c r="C932" s="207" t="s">
        <v>156</v>
      </c>
      <c r="D932" s="231">
        <v>5132.37</v>
      </c>
      <c r="E932">
        <v>4987.2299999999996</v>
      </c>
      <c r="F932">
        <v>4995.82</v>
      </c>
      <c r="G932">
        <v>4961.9799999999996</v>
      </c>
      <c r="H932">
        <v>4937.17</v>
      </c>
      <c r="I932">
        <v>5066.43</v>
      </c>
      <c r="J932">
        <v>5023.8500000000004</v>
      </c>
      <c r="K932">
        <v>5032.43</v>
      </c>
      <c r="L932">
        <v>5335.2</v>
      </c>
      <c r="M932" s="213"/>
      <c r="N932" s="213"/>
      <c r="O932" s="213"/>
      <c r="P932" s="213"/>
      <c r="Q932" s="207">
        <f>IF((L933=""),"",MAX(D934:L934))</f>
        <v>3414.9799999999996</v>
      </c>
      <c r="R932" s="207">
        <f>IF(L933="","",MIN(D934:L934))</f>
        <v>3117.16</v>
      </c>
      <c r="S932" s="208">
        <f>IF((L934=""),"",AVERAGE(D934:L934))</f>
        <v>3243.7933333333331</v>
      </c>
      <c r="T932" s="207">
        <f>IF((L933=""),"",((Q932-R932)/(Q932+R932))*100)</f>
        <v>4.5593021582513504</v>
      </c>
      <c r="U932" s="207">
        <f>STDEV(D932:L932)</f>
        <v>120.7703677209167</v>
      </c>
      <c r="V932" s="209" t="str">
        <f>IF(L933="","",(IF(T932&lt;7,IF(S932&gt;2800,IF(S932&lt;3800,"Pass","Fail"),"Fail"),"Fail")))</f>
        <v>Pass</v>
      </c>
      <c r="W932" s="207">
        <v>1159</v>
      </c>
      <c r="X932" s="251" t="s">
        <v>303</v>
      </c>
      <c r="Y932" s="210"/>
      <c r="Z932" s="218">
        <v>2800</v>
      </c>
      <c r="AA932" s="218">
        <v>3800</v>
      </c>
      <c r="AB932" s="218">
        <v>3100</v>
      </c>
      <c r="AC932" s="218">
        <v>3760</v>
      </c>
      <c r="AD932" s="219">
        <v>6</v>
      </c>
      <c r="AE932" s="219">
        <v>6</v>
      </c>
    </row>
    <row r="933" spans="1:31" customFormat="1" ht="16.5" customHeight="1">
      <c r="A933" s="226"/>
      <c r="B933" s="212"/>
      <c r="C933" s="207" t="s">
        <v>155</v>
      </c>
      <c r="D933" s="231">
        <v>3432.6</v>
      </c>
      <c r="E933">
        <v>3399.24</v>
      </c>
      <c r="F933">
        <v>3437.24</v>
      </c>
      <c r="G933">
        <v>3385.69</v>
      </c>
      <c r="H933">
        <v>3305.27</v>
      </c>
      <c r="I933">
        <v>3390.49</v>
      </c>
      <c r="J933">
        <v>3446.6</v>
      </c>
      <c r="K933">
        <v>3450.57</v>
      </c>
      <c r="L933">
        <v>3627.71</v>
      </c>
      <c r="M933" s="213"/>
      <c r="N933" s="213"/>
      <c r="O933" s="213"/>
      <c r="P933" s="213"/>
      <c r="Q933" s="207"/>
      <c r="R933" s="207"/>
      <c r="S933" s="208"/>
      <c r="T933" s="207"/>
      <c r="U933" s="207"/>
      <c r="V933" s="209"/>
      <c r="W933" s="207"/>
      <c r="X933" s="250"/>
      <c r="Y933" s="210"/>
      <c r="Z933" s="210"/>
      <c r="AA933" s="210"/>
      <c r="AB933" s="210"/>
      <c r="AC933" s="210"/>
      <c r="AD933" s="199"/>
      <c r="AE933" s="199"/>
    </row>
    <row r="934" spans="1:31" customFormat="1" ht="24.75" customHeight="1" thickBot="1">
      <c r="A934" s="229"/>
      <c r="B934" s="220"/>
      <c r="C934" s="221" t="s">
        <v>154</v>
      </c>
      <c r="D934" s="222">
        <f t="shared" ref="D934:L934" si="306">IF(((D932="")*AND(D933="")),"",(D932-D933)*2)</f>
        <v>3399.54</v>
      </c>
      <c r="E934" s="222">
        <f t="shared" si="306"/>
        <v>3175.9799999999996</v>
      </c>
      <c r="F934" s="222">
        <f t="shared" si="306"/>
        <v>3117.16</v>
      </c>
      <c r="G934" s="222">
        <f t="shared" si="306"/>
        <v>3152.579999999999</v>
      </c>
      <c r="H934" s="222">
        <f t="shared" si="306"/>
        <v>3263.8</v>
      </c>
      <c r="I934" s="222">
        <f t="shared" si="306"/>
        <v>3351.880000000001</v>
      </c>
      <c r="J934" s="222">
        <f t="shared" si="306"/>
        <v>3154.5000000000009</v>
      </c>
      <c r="K934" s="222">
        <f t="shared" si="306"/>
        <v>3163.7200000000003</v>
      </c>
      <c r="L934" s="222">
        <f t="shared" si="306"/>
        <v>3414.9799999999996</v>
      </c>
      <c r="M934" s="223"/>
      <c r="N934" s="222"/>
      <c r="O934" s="222"/>
      <c r="P934" s="222"/>
      <c r="Q934" s="207"/>
      <c r="R934" s="207"/>
      <c r="S934" s="208"/>
      <c r="T934" s="207"/>
      <c r="U934" s="207"/>
      <c r="V934" s="209"/>
      <c r="W934" s="207"/>
      <c r="X934" s="250"/>
      <c r="Y934" s="210"/>
      <c r="Z934" s="210"/>
      <c r="AA934" s="210"/>
      <c r="AB934" s="210"/>
      <c r="AC934" s="210"/>
      <c r="AD934" s="199"/>
      <c r="AE934" s="199"/>
    </row>
    <row r="935" spans="1:31" customFormat="1" ht="15.75">
      <c r="A935" s="253">
        <v>43589</v>
      </c>
      <c r="B935" s="204" t="s">
        <v>158</v>
      </c>
      <c r="C935" s="205" t="s">
        <v>156</v>
      </c>
      <c r="D935">
        <v>1934.02</v>
      </c>
      <c r="E935">
        <v>1922.46</v>
      </c>
      <c r="F935">
        <v>1927.42</v>
      </c>
      <c r="G935">
        <v>1924.7</v>
      </c>
      <c r="H935">
        <v>1933.08</v>
      </c>
      <c r="I935">
        <v>1935.99</v>
      </c>
      <c r="J935">
        <v>1931.31</v>
      </c>
      <c r="K935">
        <v>1926.84</v>
      </c>
      <c r="L935">
        <v>1932.52</v>
      </c>
      <c r="M935" s="206"/>
      <c r="N935" s="206"/>
      <c r="O935" s="206"/>
      <c r="P935" s="206"/>
      <c r="Q935" s="207">
        <f>IF((L936=""),"",MAX(D937:L937))</f>
        <v>3136.6799999999994</v>
      </c>
      <c r="R935" s="207">
        <f>IF(L936="","",MIN(D937:L937))</f>
        <v>2800.5200000000004</v>
      </c>
      <c r="S935" s="208">
        <f>IF((L937=""),"",AVERAGE(D937:L937))</f>
        <v>2940.24</v>
      </c>
      <c r="T935" s="207">
        <f>IF((L936=""),"",((Q935-R935)/(Q935+R935))*100)</f>
        <v>5.6619281816344227</v>
      </c>
      <c r="U935" s="207">
        <f>STDEV(D935:L935)</f>
        <v>4.6215638887318313</v>
      </c>
      <c r="V935" s="209" t="str">
        <f>IF(L936="","",(IF(T935&lt;12,IF(S935&gt;2200,IF(S935&lt;3280,"Pass","Fail"),"Fail"),"Fail")))</f>
        <v>Pass</v>
      </c>
      <c r="W935" s="207">
        <v>102</v>
      </c>
      <c r="X935" s="251" t="s">
        <v>304</v>
      </c>
      <c r="Y935" s="210"/>
      <c r="Z935" s="210">
        <v>2000</v>
      </c>
      <c r="AA935" s="210">
        <v>3000</v>
      </c>
      <c r="AB935" s="210">
        <v>2200</v>
      </c>
      <c r="AC935" s="210">
        <v>3280</v>
      </c>
      <c r="AD935" s="211">
        <v>12</v>
      </c>
      <c r="AE935" s="211">
        <v>12</v>
      </c>
    </row>
    <row r="936" spans="1:31" customFormat="1" ht="15.75" customHeight="1">
      <c r="A936" s="226"/>
      <c r="B936" s="212"/>
      <c r="C936" s="207" t="s">
        <v>155</v>
      </c>
      <c r="D936">
        <v>1208.76</v>
      </c>
      <c r="E936">
        <v>1222.33</v>
      </c>
      <c r="F936">
        <v>1221.3399999999999</v>
      </c>
      <c r="G936">
        <v>1198.93</v>
      </c>
      <c r="H936">
        <v>1148.9100000000001</v>
      </c>
      <c r="I936">
        <v>1182.98</v>
      </c>
      <c r="J936">
        <v>1220.8900000000001</v>
      </c>
      <c r="K936">
        <v>1199.95</v>
      </c>
      <c r="L936">
        <v>1148.71</v>
      </c>
      <c r="M936" s="213"/>
      <c r="N936" s="213"/>
      <c r="O936" s="213"/>
      <c r="P936" s="213"/>
      <c r="Q936" s="207"/>
      <c r="R936" s="207"/>
      <c r="S936" s="207"/>
      <c r="T936" s="207"/>
      <c r="U936" s="207"/>
      <c r="V936" s="209"/>
      <c r="W936" s="207"/>
      <c r="X936" s="250"/>
      <c r="Y936" s="210"/>
      <c r="Z936" s="210"/>
      <c r="AA936" s="210"/>
      <c r="AB936" s="210"/>
      <c r="AC936" s="210"/>
      <c r="AD936" s="199"/>
      <c r="AE936" s="199"/>
    </row>
    <row r="937" spans="1:31" customFormat="1" ht="24" customHeight="1">
      <c r="A937" s="227"/>
      <c r="B937" s="214"/>
      <c r="C937" s="207" t="s">
        <v>154</v>
      </c>
      <c r="D937" s="215">
        <f t="shared" ref="D937:L937" si="307">IF(((D935="")*AND(D936="")),"",(D935-D936)*4)</f>
        <v>2901.04</v>
      </c>
      <c r="E937" s="215">
        <f t="shared" si="307"/>
        <v>2800.5200000000004</v>
      </c>
      <c r="F937" s="215">
        <f t="shared" si="307"/>
        <v>2824.3200000000006</v>
      </c>
      <c r="G937" s="215">
        <f t="shared" si="307"/>
        <v>2903.08</v>
      </c>
      <c r="H937" s="215">
        <f t="shared" si="307"/>
        <v>3136.6799999999994</v>
      </c>
      <c r="I937" s="215">
        <f t="shared" si="307"/>
        <v>3012.04</v>
      </c>
      <c r="J937" s="215">
        <f t="shared" si="307"/>
        <v>2841.6799999999994</v>
      </c>
      <c r="K937" s="215">
        <f t="shared" si="307"/>
        <v>2907.5599999999995</v>
      </c>
      <c r="L937" s="215">
        <f t="shared" si="307"/>
        <v>3135.24</v>
      </c>
      <c r="M937" s="224"/>
      <c r="N937" s="215"/>
      <c r="O937" s="215"/>
      <c r="P937" s="215" t="str">
        <f>IF(((P935="")*AND(P936="")),"",(P935-P936)*4)</f>
        <v/>
      </c>
      <c r="Q937" s="207"/>
      <c r="R937" s="207"/>
      <c r="S937" s="207"/>
      <c r="T937" s="207"/>
      <c r="U937" s="207"/>
      <c r="V937" s="209"/>
      <c r="W937" s="207"/>
      <c r="X937" s="250"/>
      <c r="Y937" s="210"/>
      <c r="Z937" s="210"/>
      <c r="AA937" s="210"/>
      <c r="AB937" s="210"/>
      <c r="AC937" s="210"/>
      <c r="AD937" s="199"/>
      <c r="AE937" s="199"/>
    </row>
    <row r="938" spans="1:31" customFormat="1" ht="15.75">
      <c r="A938" s="253">
        <v>43589</v>
      </c>
      <c r="B938" s="216" t="s">
        <v>157</v>
      </c>
      <c r="C938" s="207" t="s">
        <v>156</v>
      </c>
      <c r="D938">
        <v>7071</v>
      </c>
      <c r="E938">
        <v>7040.22</v>
      </c>
      <c r="F938">
        <v>7058.24</v>
      </c>
      <c r="G938">
        <v>7004.22</v>
      </c>
      <c r="H938">
        <v>6943.66</v>
      </c>
      <c r="I938">
        <v>7007.31</v>
      </c>
      <c r="J938">
        <v>7019.63</v>
      </c>
      <c r="K938">
        <v>7073.82</v>
      </c>
      <c r="L938">
        <v>7104.8</v>
      </c>
      <c r="M938" s="213"/>
      <c r="N938" s="213"/>
      <c r="O938" s="213"/>
      <c r="P938" s="213"/>
      <c r="Q938" s="207">
        <f>IF((L939=""),"",MAX(D940:L940))</f>
        <v>3336.1400000000012</v>
      </c>
      <c r="R938" s="207">
        <f>IF(L939="","",MIN(D940:L940))</f>
        <v>3173.34</v>
      </c>
      <c r="S938" s="208">
        <f>IF((L940=""),"",AVERAGE(D940:L940))</f>
        <v>3290.8444444444444</v>
      </c>
      <c r="T938" s="207">
        <f>IF((L939=""),"",((Q938-R938)/(Q938+R938))*100)</f>
        <v>2.5009678192421063</v>
      </c>
      <c r="U938" s="207">
        <f>STDEV(D938:L938)</f>
        <v>48.125903829998506</v>
      </c>
      <c r="V938" s="209" t="str">
        <f>IF(L939="","",(IF(T938&lt;7,IF(S938&gt;2800,IF(S938&lt;3800,"Pass","Fail"),"Fail"),"Fail")))</f>
        <v>Pass</v>
      </c>
      <c r="W938" s="207">
        <v>102</v>
      </c>
      <c r="X938" s="251" t="s">
        <v>304</v>
      </c>
      <c r="Y938" s="210"/>
      <c r="Z938" s="218">
        <v>2800</v>
      </c>
      <c r="AA938" s="218">
        <v>3800</v>
      </c>
      <c r="AB938" s="218">
        <v>3100</v>
      </c>
      <c r="AC938" s="218">
        <v>3760</v>
      </c>
      <c r="AD938" s="219">
        <v>6</v>
      </c>
      <c r="AE938" s="219">
        <v>6</v>
      </c>
    </row>
    <row r="939" spans="1:31" customFormat="1" ht="16.5" customHeight="1">
      <c r="A939" s="226"/>
      <c r="B939" s="212"/>
      <c r="C939" s="207" t="s">
        <v>155</v>
      </c>
      <c r="D939">
        <v>5415.93</v>
      </c>
      <c r="E939">
        <v>5372.15</v>
      </c>
      <c r="F939">
        <v>5404.65</v>
      </c>
      <c r="G939">
        <v>5361.16</v>
      </c>
      <c r="H939">
        <v>5356.99</v>
      </c>
      <c r="I939">
        <v>5375.47</v>
      </c>
      <c r="J939">
        <v>5373.91</v>
      </c>
      <c r="K939">
        <v>5406.72</v>
      </c>
      <c r="L939">
        <v>5447.12</v>
      </c>
      <c r="M939" s="213"/>
      <c r="N939" s="213"/>
      <c r="O939" s="213"/>
      <c r="P939" s="213"/>
      <c r="Q939" s="207"/>
      <c r="R939" s="207"/>
      <c r="S939" s="208"/>
      <c r="T939" s="207"/>
      <c r="U939" s="207"/>
      <c r="V939" s="209"/>
      <c r="W939" s="207"/>
      <c r="X939" s="250"/>
      <c r="Y939" s="210"/>
      <c r="Z939" s="210"/>
      <c r="AA939" s="210"/>
      <c r="AB939" s="210"/>
      <c r="AC939" s="210"/>
      <c r="AD939" s="199"/>
      <c r="AE939" s="199"/>
    </row>
    <row r="940" spans="1:31" customFormat="1" ht="24.75" customHeight="1" thickBot="1">
      <c r="A940" s="229"/>
      <c r="B940" s="220"/>
      <c r="C940" s="221" t="s">
        <v>154</v>
      </c>
      <c r="D940" s="222">
        <f t="shared" ref="D940:L940" si="308">IF(((D938="")*AND(D939="")),"",(D938-D939)*2)</f>
        <v>3310.1399999999994</v>
      </c>
      <c r="E940" s="222">
        <f t="shared" si="308"/>
        <v>3336.1400000000012</v>
      </c>
      <c r="F940" s="222">
        <f t="shared" si="308"/>
        <v>3307.1800000000003</v>
      </c>
      <c r="G940" s="222">
        <f t="shared" si="308"/>
        <v>3286.1200000000008</v>
      </c>
      <c r="H940" s="222">
        <f t="shared" si="308"/>
        <v>3173.34</v>
      </c>
      <c r="I940" s="222">
        <f t="shared" si="308"/>
        <v>3263.6800000000003</v>
      </c>
      <c r="J940" s="222">
        <f t="shared" si="308"/>
        <v>3291.4400000000005</v>
      </c>
      <c r="K940" s="222">
        <f t="shared" si="308"/>
        <v>3334.1999999999989</v>
      </c>
      <c r="L940" s="222">
        <f t="shared" si="308"/>
        <v>3315.3600000000006</v>
      </c>
      <c r="M940" s="223"/>
      <c r="N940" s="222"/>
      <c r="O940" s="222"/>
      <c r="P940" s="222"/>
      <c r="Q940" s="207"/>
      <c r="R940" s="207"/>
      <c r="S940" s="208"/>
      <c r="T940" s="207"/>
      <c r="U940" s="207"/>
      <c r="V940" s="209"/>
      <c r="W940" s="207"/>
      <c r="X940" s="250"/>
      <c r="Y940" s="210"/>
      <c r="Z940" s="210"/>
      <c r="AA940" s="210"/>
      <c r="AB940" s="210"/>
      <c r="AC940" s="210"/>
      <c r="AD940" s="199"/>
      <c r="AE940" s="199"/>
    </row>
    <row r="941" spans="1:31" customFormat="1" ht="15.75">
      <c r="A941" s="253">
        <v>43593</v>
      </c>
      <c r="B941" s="204" t="s">
        <v>158</v>
      </c>
      <c r="C941" s="205" t="s">
        <v>156</v>
      </c>
      <c r="D941">
        <v>1924.31</v>
      </c>
      <c r="E941">
        <v>1920.06</v>
      </c>
      <c r="F941">
        <v>1920</v>
      </c>
      <c r="G941">
        <v>1924.88</v>
      </c>
      <c r="H941">
        <v>1929.39</v>
      </c>
      <c r="I941">
        <v>1926.16</v>
      </c>
      <c r="J941">
        <v>1923.18</v>
      </c>
      <c r="K941">
        <v>1921.27</v>
      </c>
      <c r="L941">
        <v>1926.35</v>
      </c>
      <c r="M941" s="206"/>
      <c r="N941" s="206"/>
      <c r="O941" s="206"/>
      <c r="P941" s="206"/>
      <c r="Q941" s="207">
        <f>IF((L942=""),"",MAX(D943:L943))</f>
        <v>3110.4400000000005</v>
      </c>
      <c r="R941" s="207">
        <f>IF(L942="","",MIN(D943:L943))</f>
        <v>2778.3599999999997</v>
      </c>
      <c r="S941" s="208">
        <f>IF((L943=""),"",AVERAGE(D943:L943))</f>
        <v>2927.5022222222228</v>
      </c>
      <c r="T941" s="207">
        <f>IF((L942=""),"",((Q941-R941)/(Q941+R941))*100)</f>
        <v>5.639179459312607</v>
      </c>
      <c r="U941" s="207">
        <f>STDEV(D941:L941)</f>
        <v>3.157170850452208</v>
      </c>
      <c r="V941" s="209" t="str">
        <f>IF(L942="","",(IF(T941&lt;12,IF(S941&gt;2200,IF(S941&lt;3280,"Pass","Fail"),"Fail"),"Fail")))</f>
        <v>Pass</v>
      </c>
      <c r="W941" s="207" t="s">
        <v>305</v>
      </c>
      <c r="X941" s="251" t="s">
        <v>306</v>
      </c>
      <c r="Y941" s="210"/>
      <c r="Z941" s="210">
        <v>2000</v>
      </c>
      <c r="AA941" s="210">
        <v>3000</v>
      </c>
      <c r="AB941" s="210">
        <v>2200</v>
      </c>
      <c r="AC941" s="210">
        <v>3280</v>
      </c>
      <c r="AD941" s="211">
        <v>12</v>
      </c>
      <c r="AE941" s="211">
        <v>12</v>
      </c>
    </row>
    <row r="942" spans="1:31" customFormat="1" ht="15.75" customHeight="1">
      <c r="A942" s="226"/>
      <c r="B942" s="212"/>
      <c r="C942" s="207" t="s">
        <v>155</v>
      </c>
      <c r="D942">
        <v>1199.3399999999999</v>
      </c>
      <c r="E942">
        <v>1218.07</v>
      </c>
      <c r="F942">
        <v>1225.4100000000001</v>
      </c>
      <c r="G942">
        <v>1196.75</v>
      </c>
      <c r="H942">
        <v>1151.78</v>
      </c>
      <c r="I942">
        <v>1179.1199999999999</v>
      </c>
      <c r="J942">
        <v>1209.08</v>
      </c>
      <c r="K942">
        <v>1195.48</v>
      </c>
      <c r="L942">
        <v>1153.69</v>
      </c>
      <c r="M942" s="213"/>
      <c r="N942" s="213"/>
      <c r="O942" s="213"/>
      <c r="P942" s="213"/>
      <c r="Q942" s="207"/>
      <c r="R942" s="207"/>
      <c r="S942" s="207"/>
      <c r="T942" s="207"/>
      <c r="U942" s="207"/>
      <c r="V942" s="209"/>
      <c r="W942" s="207"/>
      <c r="X942" s="250"/>
      <c r="Y942" s="210"/>
      <c r="Z942" s="210"/>
      <c r="AA942" s="210"/>
      <c r="AB942" s="210"/>
      <c r="AC942" s="210"/>
      <c r="AD942" s="199"/>
      <c r="AE942" s="199"/>
    </row>
    <row r="943" spans="1:31" customFormat="1" ht="24" customHeight="1">
      <c r="A943" s="227"/>
      <c r="B943" s="214"/>
      <c r="C943" s="207" t="s">
        <v>154</v>
      </c>
      <c r="D943" s="215">
        <f t="shared" ref="D943:L943" si="309">IF(((D941="")*AND(D942="")),"",(D941-D942)*4)</f>
        <v>2899.88</v>
      </c>
      <c r="E943" s="215">
        <f t="shared" si="309"/>
        <v>2807.96</v>
      </c>
      <c r="F943" s="215">
        <f t="shared" si="309"/>
        <v>2778.3599999999997</v>
      </c>
      <c r="G943" s="215">
        <f t="shared" si="309"/>
        <v>2912.5200000000004</v>
      </c>
      <c r="H943" s="215">
        <f t="shared" si="309"/>
        <v>3110.4400000000005</v>
      </c>
      <c r="I943" s="215">
        <f t="shared" si="309"/>
        <v>2988.1600000000008</v>
      </c>
      <c r="J943" s="215">
        <f t="shared" si="309"/>
        <v>2856.4000000000005</v>
      </c>
      <c r="K943" s="215">
        <f t="shared" si="309"/>
        <v>2903.16</v>
      </c>
      <c r="L943" s="215">
        <f t="shared" si="309"/>
        <v>3090.6399999999994</v>
      </c>
      <c r="M943" s="224"/>
      <c r="N943" s="215"/>
      <c r="O943" s="215"/>
      <c r="P943" s="215" t="str">
        <f>IF(((P941="")*AND(P942="")),"",(P941-P942)*4)</f>
        <v/>
      </c>
      <c r="Q943" s="207"/>
      <c r="R943" s="207"/>
      <c r="S943" s="207"/>
      <c r="T943" s="207"/>
      <c r="U943" s="207"/>
      <c r="V943" s="209"/>
      <c r="W943" s="207"/>
      <c r="X943" s="250"/>
      <c r="Y943" s="210"/>
      <c r="Z943" s="210"/>
      <c r="AA943" s="210"/>
      <c r="AB943" s="210"/>
      <c r="AC943" s="210"/>
      <c r="AD943" s="199"/>
      <c r="AE943" s="199"/>
    </row>
    <row r="944" spans="1:31" customFormat="1" ht="15.75">
      <c r="A944" s="253">
        <v>43593</v>
      </c>
      <c r="B944" s="216" t="s">
        <v>157</v>
      </c>
      <c r="C944" s="207" t="s">
        <v>156</v>
      </c>
      <c r="D944">
        <v>5415.93</v>
      </c>
      <c r="E944">
        <v>5372.15</v>
      </c>
      <c r="F944">
        <v>5404.65</v>
      </c>
      <c r="G944">
        <v>5361.16</v>
      </c>
      <c r="H944">
        <v>5356.99</v>
      </c>
      <c r="I944">
        <v>5375.47</v>
      </c>
      <c r="J944">
        <v>5373.91</v>
      </c>
      <c r="K944">
        <v>5406.72</v>
      </c>
      <c r="L944">
        <v>5447.12</v>
      </c>
      <c r="M944" s="213"/>
      <c r="N944" s="213"/>
      <c r="O944" s="213"/>
      <c r="P944" s="213"/>
      <c r="Q944" s="207">
        <f>IF((L945=""),"",MAX(D946:L946))</f>
        <v>3340.5599999999995</v>
      </c>
      <c r="R944" s="207">
        <f>IF(L945="","",MIN(D946:L946))</f>
        <v>3190.8399999999992</v>
      </c>
      <c r="S944" s="208">
        <f>IF((L946=""),"",AVERAGE(D946:L946))</f>
        <v>3303.6644444444446</v>
      </c>
      <c r="T944" s="207">
        <f>IF((L945=""),"",((Q944-R944)/(Q944+R944))*100)</f>
        <v>2.292310989986837</v>
      </c>
      <c r="U944" s="207">
        <f>STDEV(D944:L944)</f>
        <v>29.869318753220643</v>
      </c>
      <c r="V944" s="209" t="str">
        <f>IF(L945="","",(IF(T944&lt;7,IF(S944&gt;2800,IF(S944&lt;3800,"Pass","Fail"),"Fail"),"Fail")))</f>
        <v>Pass</v>
      </c>
      <c r="W944" s="207" t="s">
        <v>305</v>
      </c>
      <c r="X944" s="251" t="s">
        <v>306</v>
      </c>
      <c r="Y944" s="210"/>
      <c r="Z944" s="218">
        <v>2800</v>
      </c>
      <c r="AA944" s="218">
        <v>3800</v>
      </c>
      <c r="AB944" s="218">
        <v>3100</v>
      </c>
      <c r="AC944" s="218">
        <v>3760</v>
      </c>
      <c r="AD944" s="219">
        <v>6</v>
      </c>
      <c r="AE944" s="219">
        <v>6</v>
      </c>
    </row>
    <row r="945" spans="1:31" customFormat="1" ht="16.5" customHeight="1">
      <c r="A945" s="226"/>
      <c r="B945" s="212"/>
      <c r="C945" s="207" t="s">
        <v>155</v>
      </c>
      <c r="D945">
        <v>3752.61</v>
      </c>
      <c r="E945">
        <v>3701.87</v>
      </c>
      <c r="F945">
        <v>3739.68</v>
      </c>
      <c r="G945">
        <v>3714.43</v>
      </c>
      <c r="H945">
        <v>3761.57</v>
      </c>
      <c r="I945">
        <v>3737.08</v>
      </c>
      <c r="J945">
        <v>3723.92</v>
      </c>
      <c r="K945">
        <v>3737.76</v>
      </c>
      <c r="L945">
        <v>3778.69</v>
      </c>
      <c r="M945" s="213"/>
      <c r="N945" s="213"/>
      <c r="O945" s="213"/>
      <c r="P945" s="213"/>
      <c r="Q945" s="207"/>
      <c r="R945" s="207"/>
      <c r="S945" s="208"/>
      <c r="T945" s="207"/>
      <c r="U945" s="207"/>
      <c r="V945" s="209"/>
      <c r="W945" s="207"/>
      <c r="X945" s="250"/>
      <c r="Y945" s="210"/>
      <c r="Z945" s="210"/>
      <c r="AA945" s="210"/>
      <c r="AB945" s="210"/>
      <c r="AC945" s="210"/>
      <c r="AD945" s="199"/>
      <c r="AE945" s="199"/>
    </row>
    <row r="946" spans="1:31" customFormat="1" ht="24.75" customHeight="1" thickBot="1">
      <c r="A946" s="229"/>
      <c r="B946" s="220"/>
      <c r="C946" s="221" t="s">
        <v>154</v>
      </c>
      <c r="D946" s="222">
        <f t="shared" ref="D946:L946" si="310">IF(((D944="")*AND(D945="")),"",(D944-D945)*2)</f>
        <v>3326.6400000000003</v>
      </c>
      <c r="E946" s="222">
        <f t="shared" si="310"/>
        <v>3340.5599999999995</v>
      </c>
      <c r="F946" s="222">
        <f t="shared" si="310"/>
        <v>3329.9399999999996</v>
      </c>
      <c r="G946" s="222">
        <f t="shared" si="310"/>
        <v>3293.46</v>
      </c>
      <c r="H946" s="222">
        <f t="shared" si="310"/>
        <v>3190.8399999999992</v>
      </c>
      <c r="I946" s="222">
        <f t="shared" si="310"/>
        <v>3276.7800000000007</v>
      </c>
      <c r="J946" s="222">
        <f t="shared" si="310"/>
        <v>3299.9799999999996</v>
      </c>
      <c r="K946" s="222">
        <f t="shared" si="310"/>
        <v>3337.92</v>
      </c>
      <c r="L946" s="222">
        <f t="shared" si="310"/>
        <v>3336.8599999999997</v>
      </c>
      <c r="M946" s="223"/>
      <c r="N946" s="222"/>
      <c r="O946" s="222"/>
      <c r="P946" s="222"/>
      <c r="Q946" s="207"/>
      <c r="R946" s="207"/>
      <c r="S946" s="208"/>
      <c r="T946" s="207"/>
      <c r="U946" s="207"/>
      <c r="V946" s="209"/>
      <c r="W946" s="207"/>
      <c r="X946" s="250"/>
      <c r="Y946" s="210"/>
      <c r="Z946" s="210"/>
      <c r="AA946" s="210"/>
      <c r="AB946" s="210"/>
      <c r="AC946" s="210"/>
      <c r="AD946" s="199"/>
      <c r="AE946" s="199"/>
    </row>
    <row r="947" spans="1:31" customFormat="1" ht="15.75">
      <c r="A947" s="253">
        <v>43593</v>
      </c>
      <c r="B947" s="204" t="s">
        <v>158</v>
      </c>
      <c r="C947" s="205" t="s">
        <v>156</v>
      </c>
      <c r="D947">
        <v>1199.3399999999999</v>
      </c>
      <c r="E947">
        <v>1218.07</v>
      </c>
      <c r="F947">
        <v>1225.4100000000001</v>
      </c>
      <c r="G947">
        <v>1196.75</v>
      </c>
      <c r="H947">
        <v>1151.78</v>
      </c>
      <c r="I947">
        <v>1179.1199999999999</v>
      </c>
      <c r="J947">
        <v>1209.08</v>
      </c>
      <c r="K947">
        <v>1195.48</v>
      </c>
      <c r="L947">
        <v>1153.69</v>
      </c>
      <c r="M947" s="206"/>
      <c r="N947" s="206"/>
      <c r="O947" s="206"/>
      <c r="P947" s="206"/>
      <c r="Q947" s="207">
        <f>IF((L948=""),"",MAX(D949:L949))</f>
        <v>3213.3599999999997</v>
      </c>
      <c r="R947" s="207">
        <f>IF(L948="","",MIN(D949:L949))</f>
        <v>2623</v>
      </c>
      <c r="S947" s="208">
        <f>IF((L949=""),"",AVERAGE(D949:L949))</f>
        <v>2825.2088888888884</v>
      </c>
      <c r="T947" s="207">
        <f>IF((L948=""),"",((Q947-R947)/(Q947+R947))*100)</f>
        <v>10.115208794522609</v>
      </c>
      <c r="U947" s="207">
        <f>STDEV(D947:L947)</f>
        <v>26.046326996331466</v>
      </c>
      <c r="V947" s="209" t="str">
        <f>IF(L948="","",(IF(T947&lt;12,IF(S947&gt;2200,IF(S947&lt;3280,"Pass","Fail"),"Fail"),"Fail")))</f>
        <v>Pass</v>
      </c>
      <c r="W947" s="207">
        <v>121</v>
      </c>
      <c r="X947" s="251" t="s">
        <v>307</v>
      </c>
      <c r="Y947" s="210"/>
      <c r="Z947" s="210">
        <v>2000</v>
      </c>
      <c r="AA947" s="210">
        <v>3000</v>
      </c>
      <c r="AB947" s="210">
        <v>2200</v>
      </c>
      <c r="AC947" s="210">
        <v>3280</v>
      </c>
      <c r="AD947" s="211">
        <v>12</v>
      </c>
      <c r="AE947" s="211">
        <v>12</v>
      </c>
    </row>
    <row r="948" spans="1:31" customFormat="1" ht="15.75" customHeight="1">
      <c r="A948" s="226"/>
      <c r="B948" s="212"/>
      <c r="C948" s="207" t="s">
        <v>155</v>
      </c>
      <c r="D948">
        <v>396</v>
      </c>
      <c r="E948">
        <v>500</v>
      </c>
      <c r="F948">
        <v>562</v>
      </c>
      <c r="G948">
        <v>541</v>
      </c>
      <c r="H948">
        <v>489</v>
      </c>
      <c r="I948" s="232">
        <v>402</v>
      </c>
      <c r="J948" s="233">
        <v>500</v>
      </c>
      <c r="K948" s="233">
        <v>532</v>
      </c>
      <c r="L948" s="233">
        <v>450</v>
      </c>
      <c r="M948" s="213"/>
      <c r="N948" s="213"/>
      <c r="O948" s="213"/>
      <c r="P948" s="213"/>
      <c r="Q948" s="207"/>
      <c r="R948" s="207"/>
      <c r="S948" s="207"/>
      <c r="T948" s="207"/>
      <c r="U948" s="207"/>
      <c r="V948" s="209"/>
      <c r="W948" s="207"/>
      <c r="X948" s="251"/>
      <c r="Y948" s="210"/>
      <c r="Z948" s="210"/>
      <c r="AA948" s="210"/>
      <c r="AB948" s="210"/>
      <c r="AC948" s="210"/>
      <c r="AD948" s="199"/>
      <c r="AE948" s="199"/>
    </row>
    <row r="949" spans="1:31" customFormat="1" ht="24" customHeight="1">
      <c r="A949" s="227"/>
      <c r="B949" s="214"/>
      <c r="C949" s="207" t="s">
        <v>154</v>
      </c>
      <c r="D949" s="215">
        <f t="shared" ref="D949:L949" si="311">IF(((D947="")*AND(D948="")),"",(D947-D948)*4)</f>
        <v>3213.3599999999997</v>
      </c>
      <c r="E949" s="215">
        <f t="shared" si="311"/>
        <v>2872.2799999999997</v>
      </c>
      <c r="F949" s="215">
        <f t="shared" si="311"/>
        <v>2653.6400000000003</v>
      </c>
      <c r="G949" s="215">
        <f t="shared" si="311"/>
        <v>2623</v>
      </c>
      <c r="H949" s="215">
        <f t="shared" si="311"/>
        <v>2651.12</v>
      </c>
      <c r="I949" s="215">
        <f t="shared" si="311"/>
        <v>3108.4799999999996</v>
      </c>
      <c r="J949" s="215">
        <f t="shared" si="311"/>
        <v>2836.3199999999997</v>
      </c>
      <c r="K949" s="215">
        <f t="shared" si="311"/>
        <v>2653.92</v>
      </c>
      <c r="L949" s="215">
        <f t="shared" si="311"/>
        <v>2814.76</v>
      </c>
      <c r="M949" s="224"/>
      <c r="N949" s="215"/>
      <c r="O949" s="215"/>
      <c r="P949" s="215" t="str">
        <f>IF(((P947="")*AND(P948="")),"",(P947-P948)*4)</f>
        <v/>
      </c>
      <c r="Q949" s="207"/>
      <c r="R949" s="207"/>
      <c r="S949" s="207"/>
      <c r="T949" s="207"/>
      <c r="U949" s="207"/>
      <c r="V949" s="209"/>
      <c r="W949" s="207"/>
      <c r="X949" s="251"/>
      <c r="Y949" s="210"/>
      <c r="Z949" s="210"/>
      <c r="AA949" s="210"/>
      <c r="AB949" s="210"/>
      <c r="AC949" s="210"/>
      <c r="AD949" s="199"/>
      <c r="AE949" s="199"/>
    </row>
    <row r="950" spans="1:31" customFormat="1" ht="15.75">
      <c r="A950" s="253">
        <v>43593</v>
      </c>
      <c r="B950" s="216" t="s">
        <v>157</v>
      </c>
      <c r="C950" s="207" t="s">
        <v>156</v>
      </c>
      <c r="D950">
        <v>3752.61</v>
      </c>
      <c r="E950">
        <v>3701.87</v>
      </c>
      <c r="F950">
        <v>3739.68</v>
      </c>
      <c r="G950">
        <v>3714.43</v>
      </c>
      <c r="H950">
        <v>3761.57</v>
      </c>
      <c r="I950">
        <v>3737.08</v>
      </c>
      <c r="J950">
        <v>3723.92</v>
      </c>
      <c r="K950">
        <v>3737.76</v>
      </c>
      <c r="L950">
        <v>3778.69</v>
      </c>
      <c r="M950" s="213"/>
      <c r="N950" s="213"/>
      <c r="O950" s="213"/>
      <c r="P950" s="213"/>
      <c r="Q950" s="207">
        <f>IF((L951=""),"",MAX(D952:L952))</f>
        <v>3343.74</v>
      </c>
      <c r="R950" s="207">
        <f>IF(L951="","",MIN(D952:L952))</f>
        <v>2907.38</v>
      </c>
      <c r="S950" s="208">
        <f>IF((L952=""),"",AVERAGE(D952:L952))</f>
        <v>3188.58</v>
      </c>
      <c r="T950" s="207">
        <f>IF((L951=""),"",((Q950-R950)/(Q950+R950))*100)</f>
        <v>6.9805090927705704</v>
      </c>
      <c r="U950" s="207">
        <f>STDEV(D950:L950)</f>
        <v>23.675068109700046</v>
      </c>
      <c r="V950" s="209" t="str">
        <f>IF(L951="","",(IF(T950&lt;7,IF(S950&gt;2800,IF(S950&lt;3800,"Pass","Fail"),"Fail"),"Fail")))</f>
        <v>Pass</v>
      </c>
      <c r="W950" s="207">
        <v>121</v>
      </c>
      <c r="X950" s="251" t="s">
        <v>307</v>
      </c>
      <c r="Y950" s="210"/>
      <c r="Z950" s="218">
        <v>2800</v>
      </c>
      <c r="AA950" s="218">
        <v>3800</v>
      </c>
      <c r="AB950" s="218">
        <v>3100</v>
      </c>
      <c r="AC950" s="218">
        <v>3760</v>
      </c>
      <c r="AD950" s="219">
        <v>6</v>
      </c>
      <c r="AE950" s="219">
        <v>6</v>
      </c>
    </row>
    <row r="951" spans="1:31" customFormat="1" ht="16.5" customHeight="1">
      <c r="A951" s="226"/>
      <c r="B951" s="212"/>
      <c r="C951" s="207" t="s">
        <v>155</v>
      </c>
      <c r="D951">
        <v>2090</v>
      </c>
      <c r="E951">
        <v>2030</v>
      </c>
      <c r="F951">
        <v>2090</v>
      </c>
      <c r="G951">
        <v>2094</v>
      </c>
      <c r="H951">
        <v>2234</v>
      </c>
      <c r="I951" s="232">
        <v>2192</v>
      </c>
      <c r="J951" s="233">
        <v>2122</v>
      </c>
      <c r="K951" s="233">
        <v>2122</v>
      </c>
      <c r="L951" s="233">
        <v>2325</v>
      </c>
      <c r="M951" s="213"/>
      <c r="N951" s="213"/>
      <c r="O951" s="213"/>
      <c r="P951" s="213"/>
      <c r="Q951" s="207"/>
      <c r="R951" s="207"/>
      <c r="S951" s="208"/>
      <c r="T951" s="207"/>
      <c r="U951" s="207"/>
      <c r="V951" s="209"/>
      <c r="W951" s="207"/>
      <c r="X951" s="252"/>
      <c r="Y951" s="210"/>
      <c r="Z951" s="210"/>
      <c r="AA951" s="210"/>
      <c r="AB951" s="210"/>
      <c r="AC951" s="210"/>
      <c r="AD951" s="199"/>
      <c r="AE951" s="199"/>
    </row>
    <row r="952" spans="1:31" customFormat="1" ht="24.75" customHeight="1" thickBot="1">
      <c r="A952" s="229"/>
      <c r="B952" s="220"/>
      <c r="C952" s="221" t="s">
        <v>154</v>
      </c>
      <c r="D952" s="222">
        <f t="shared" ref="D952:L952" si="312">IF(((D950="")*AND(D951="")),"",(D950-D951)*2)</f>
        <v>3325.2200000000003</v>
      </c>
      <c r="E952" s="222">
        <f t="shared" si="312"/>
        <v>3343.74</v>
      </c>
      <c r="F952" s="222">
        <f t="shared" si="312"/>
        <v>3299.3599999999997</v>
      </c>
      <c r="G952" s="222">
        <f t="shared" si="312"/>
        <v>3240.8599999999997</v>
      </c>
      <c r="H952" s="222">
        <f t="shared" si="312"/>
        <v>3055.1400000000003</v>
      </c>
      <c r="I952" s="222">
        <f t="shared" si="312"/>
        <v>3090.16</v>
      </c>
      <c r="J952" s="222">
        <f t="shared" si="312"/>
        <v>3203.84</v>
      </c>
      <c r="K952" s="222">
        <f t="shared" si="312"/>
        <v>3231.5200000000004</v>
      </c>
      <c r="L952" s="222">
        <f t="shared" si="312"/>
        <v>2907.38</v>
      </c>
      <c r="M952" s="223"/>
      <c r="N952" s="222"/>
      <c r="O952" s="222"/>
      <c r="P952" s="222"/>
      <c r="Q952" s="207"/>
      <c r="R952" s="207"/>
      <c r="S952" s="208"/>
      <c r="T952" s="207"/>
      <c r="U952" s="207"/>
      <c r="V952" s="209"/>
      <c r="W952" s="207"/>
      <c r="X952" s="252"/>
      <c r="Y952" s="210"/>
      <c r="Z952" s="210"/>
      <c r="AA952" s="210"/>
      <c r="AB952" s="210"/>
      <c r="AC952" s="210"/>
      <c r="AD952" s="199"/>
      <c r="AE952" s="199"/>
    </row>
    <row r="953" spans="1:31" customFormat="1" ht="15.75">
      <c r="A953" s="253">
        <v>43600</v>
      </c>
      <c r="B953" s="204" t="s">
        <v>158</v>
      </c>
      <c r="C953" s="205" t="s">
        <v>156</v>
      </c>
      <c r="D953">
        <v>1934.46</v>
      </c>
      <c r="E953">
        <v>1932.67</v>
      </c>
      <c r="F953">
        <v>1928.47</v>
      </c>
      <c r="G953">
        <v>1934.82</v>
      </c>
      <c r="H953">
        <v>1937.37</v>
      </c>
      <c r="I953">
        <v>1937.48</v>
      </c>
      <c r="J953">
        <v>1931.76</v>
      </c>
      <c r="K953">
        <v>1932.07</v>
      </c>
      <c r="L953">
        <v>1936.21</v>
      </c>
      <c r="M953" s="206"/>
      <c r="N953" s="206"/>
      <c r="O953" s="206"/>
      <c r="P953" s="206"/>
      <c r="Q953" s="207">
        <f>IF((L954=""),"",MAX(D955:L955))</f>
        <v>3212.4399999999996</v>
      </c>
      <c r="R953" s="207">
        <f>IF(L954="","",MIN(D955:L955))</f>
        <v>2765</v>
      </c>
      <c r="S953" s="208">
        <f>IF((L955=""),"",AVERAGE(D955:L955))</f>
        <v>2942.6488888888885</v>
      </c>
      <c r="T953" s="207">
        <f>IF((L954=""),"",((Q953-R953)/(Q953+R953))*100)</f>
        <v>7.4854787333708011</v>
      </c>
      <c r="U953" s="207">
        <f>STDEV(D953:L953)</f>
        <v>2.9638404137974805</v>
      </c>
      <c r="V953" s="209" t="str">
        <f>IF(L954="","",(IF(T953&lt;12,IF(S953&gt;2200,IF(S953&lt;3280,"Pass","Fail"),"Fail"),"Fail")))</f>
        <v>Pass</v>
      </c>
      <c r="W953" s="207" t="s">
        <v>289</v>
      </c>
      <c r="X953" s="199"/>
      <c r="Y953" s="210"/>
      <c r="Z953" s="210">
        <v>2000</v>
      </c>
      <c r="AA953" s="210">
        <v>3000</v>
      </c>
      <c r="AB953" s="210">
        <v>2200</v>
      </c>
      <c r="AC953" s="210">
        <v>3280</v>
      </c>
      <c r="AD953" s="211">
        <v>12</v>
      </c>
      <c r="AE953" s="211">
        <v>12</v>
      </c>
    </row>
    <row r="954" spans="1:31" customFormat="1" ht="15.75" customHeight="1">
      <c r="A954" s="226"/>
      <c r="B954" s="212"/>
      <c r="C954" s="207" t="s">
        <v>155</v>
      </c>
      <c r="D954">
        <v>1210.56</v>
      </c>
      <c r="E954">
        <v>1233.45</v>
      </c>
      <c r="F954">
        <v>1237.22</v>
      </c>
      <c r="G954">
        <v>1204.1099999999999</v>
      </c>
      <c r="H954">
        <v>1134.26</v>
      </c>
      <c r="I954">
        <v>1175.96</v>
      </c>
      <c r="J954">
        <v>1222.1500000000001</v>
      </c>
      <c r="K954">
        <v>1211.0899999999999</v>
      </c>
      <c r="L954">
        <v>1155.55</v>
      </c>
      <c r="M954" s="213"/>
      <c r="N954" s="213"/>
      <c r="O954" s="213"/>
      <c r="P954" s="213"/>
      <c r="Q954" s="207"/>
      <c r="R954" s="207"/>
      <c r="S954" s="207"/>
      <c r="T954" s="207"/>
      <c r="U954" s="207"/>
      <c r="V954" s="209"/>
      <c r="W954" s="207"/>
      <c r="Y954" s="210"/>
      <c r="Z954" s="210"/>
      <c r="AA954" s="210"/>
      <c r="AB954" s="210"/>
      <c r="AC954" s="210"/>
      <c r="AD954" s="199"/>
      <c r="AE954" s="199"/>
    </row>
    <row r="955" spans="1:31" customFormat="1" ht="24" customHeight="1">
      <c r="A955" s="227"/>
      <c r="B955" s="214"/>
      <c r="C955" s="207" t="s">
        <v>154</v>
      </c>
      <c r="D955" s="215">
        <f t="shared" ref="D955:L955" si="313">IF(((D953="")*AND(D954="")),"",(D953-D954)*4)</f>
        <v>2895.6000000000004</v>
      </c>
      <c r="E955" s="215">
        <f t="shared" si="313"/>
        <v>2796.88</v>
      </c>
      <c r="F955" s="215">
        <f t="shared" si="313"/>
        <v>2765</v>
      </c>
      <c r="G955" s="215">
        <f t="shared" si="313"/>
        <v>2922.84</v>
      </c>
      <c r="H955" s="215">
        <f t="shared" si="313"/>
        <v>3212.4399999999996</v>
      </c>
      <c r="I955" s="215">
        <f t="shared" si="313"/>
        <v>3046.08</v>
      </c>
      <c r="J955" s="215">
        <f t="shared" si="313"/>
        <v>2838.4399999999996</v>
      </c>
      <c r="K955" s="215">
        <f t="shared" si="313"/>
        <v>2883.92</v>
      </c>
      <c r="L955" s="215">
        <f t="shared" si="313"/>
        <v>3122.6400000000003</v>
      </c>
      <c r="M955" s="224"/>
      <c r="N955" s="215"/>
      <c r="O955" s="215"/>
      <c r="P955" s="215" t="str">
        <f>IF(((P953="")*AND(P954="")),"",(P953-P954)*4)</f>
        <v/>
      </c>
      <c r="Q955" s="207"/>
      <c r="R955" s="207"/>
      <c r="S955" s="207"/>
      <c r="T955" s="207"/>
      <c r="U955" s="207"/>
      <c r="V955" s="209"/>
      <c r="W955" s="207"/>
      <c r="Y955" s="210"/>
      <c r="Z955" s="210"/>
      <c r="AA955" s="210"/>
      <c r="AB955" s="210"/>
      <c r="AC955" s="210"/>
      <c r="AD955" s="199"/>
      <c r="AE955" s="199"/>
    </row>
    <row r="956" spans="1:31" customFormat="1" ht="15.75">
      <c r="A956" s="253">
        <v>43600</v>
      </c>
      <c r="B956" s="216" t="s">
        <v>157</v>
      </c>
      <c r="C956" s="207" t="s">
        <v>156</v>
      </c>
      <c r="D956">
        <v>6974.15</v>
      </c>
      <c r="E956">
        <v>6938.08</v>
      </c>
      <c r="F956">
        <v>6961.09</v>
      </c>
      <c r="G956">
        <v>6914.19</v>
      </c>
      <c r="H956">
        <v>6872.1</v>
      </c>
      <c r="I956">
        <v>6871.01</v>
      </c>
      <c r="J956">
        <v>6937</v>
      </c>
      <c r="K956">
        <v>6972.89</v>
      </c>
      <c r="L956">
        <v>6995.16</v>
      </c>
      <c r="M956" s="213"/>
      <c r="N956" s="213"/>
      <c r="O956" s="213"/>
      <c r="P956" s="213"/>
      <c r="Q956" s="207">
        <f>IF((L957=""),"",MAX(D958:L958))</f>
        <v>3353.0599999999995</v>
      </c>
      <c r="R956" s="207">
        <f>IF(L957="","",MIN(D958:L958))</f>
        <v>3201.5400000000009</v>
      </c>
      <c r="S956" s="208">
        <f>IF((L958=""),"",AVERAGE(D958:L958))</f>
        <v>3305.08</v>
      </c>
      <c r="T956" s="207">
        <f>IF((L957=""),"",((Q956-R956)/(Q956+R956))*100)</f>
        <v>2.3116589875812195</v>
      </c>
      <c r="U956" s="207">
        <f>STDEV(D956:L956)</f>
        <v>44.326189775246895</v>
      </c>
      <c r="V956" s="209" t="str">
        <f>IF(L957="","",(IF(T956&lt;7,IF(S956&gt;2800,IF(S956&lt;3800,"Pass","Fail"),"Fail"),"Fail")))</f>
        <v>Pass</v>
      </c>
      <c r="W956" s="207" t="s">
        <v>289</v>
      </c>
      <c r="X956" s="199"/>
      <c r="Y956" s="210"/>
      <c r="Z956" s="218">
        <v>2800</v>
      </c>
      <c r="AA956" s="218">
        <v>3800</v>
      </c>
      <c r="AB956" s="218">
        <v>3100</v>
      </c>
      <c r="AC956" s="218">
        <v>3760</v>
      </c>
      <c r="AD956" s="219">
        <v>6</v>
      </c>
      <c r="AE956" s="219">
        <v>6</v>
      </c>
    </row>
    <row r="957" spans="1:31" customFormat="1" ht="16.5" customHeight="1">
      <c r="A957" s="226"/>
      <c r="B957" s="212"/>
      <c r="C957" s="207" t="s">
        <v>155</v>
      </c>
      <c r="D957">
        <v>5297.62</v>
      </c>
      <c r="E957">
        <v>5267</v>
      </c>
      <c r="F957">
        <v>5298.44</v>
      </c>
      <c r="G957">
        <v>5260.14</v>
      </c>
      <c r="H957">
        <v>5245.39</v>
      </c>
      <c r="I957">
        <v>5270.24</v>
      </c>
      <c r="J957">
        <v>5268.93</v>
      </c>
      <c r="K957">
        <v>5309.05</v>
      </c>
      <c r="L957">
        <v>5346</v>
      </c>
      <c r="M957" s="213"/>
      <c r="N957" s="213"/>
      <c r="O957" s="213"/>
      <c r="P957" s="213"/>
      <c r="Q957" s="207"/>
      <c r="R957" s="207"/>
      <c r="S957" s="208"/>
      <c r="T957" s="207"/>
      <c r="U957" s="207"/>
      <c r="V957" s="209"/>
      <c r="W957" s="207"/>
      <c r="Y957" s="210"/>
      <c r="Z957" s="210"/>
      <c r="AA957" s="210"/>
      <c r="AB957" s="210"/>
      <c r="AC957" s="210"/>
      <c r="AD957" s="199"/>
      <c r="AE957" s="199"/>
    </row>
    <row r="958" spans="1:31" customFormat="1" ht="24.75" customHeight="1" thickBot="1">
      <c r="A958" s="229"/>
      <c r="B958" s="220"/>
      <c r="C958" s="221" t="s">
        <v>154</v>
      </c>
      <c r="D958" s="222">
        <f t="shared" ref="D958:L958" si="314">IF(((D956="")*AND(D957="")),"",(D956-D957)*2)</f>
        <v>3353.0599999999995</v>
      </c>
      <c r="E958" s="222">
        <f t="shared" si="314"/>
        <v>3342.16</v>
      </c>
      <c r="F958" s="222">
        <f t="shared" si="314"/>
        <v>3325.3000000000011</v>
      </c>
      <c r="G958" s="222">
        <f t="shared" si="314"/>
        <v>3308.0999999999985</v>
      </c>
      <c r="H958" s="222">
        <f t="shared" si="314"/>
        <v>3253.42</v>
      </c>
      <c r="I958" s="222">
        <f t="shared" si="314"/>
        <v>3201.5400000000009</v>
      </c>
      <c r="J958" s="222">
        <f t="shared" si="314"/>
        <v>3336.1399999999994</v>
      </c>
      <c r="K958" s="222">
        <f t="shared" si="314"/>
        <v>3327.6800000000003</v>
      </c>
      <c r="L958" s="222">
        <f t="shared" si="314"/>
        <v>3298.3199999999997</v>
      </c>
      <c r="M958" s="223"/>
      <c r="N958" s="222"/>
      <c r="O958" s="222"/>
      <c r="P958" s="222"/>
      <c r="Q958" s="207"/>
      <c r="R958" s="207"/>
      <c r="S958" s="208"/>
      <c r="T958" s="207"/>
      <c r="U958" s="207"/>
      <c r="V958" s="209"/>
      <c r="W958" s="207"/>
      <c r="Y958" s="210"/>
      <c r="Z958" s="210"/>
      <c r="AA958" s="210"/>
      <c r="AB958" s="210"/>
      <c r="AC958" s="210"/>
      <c r="AD958" s="199"/>
      <c r="AE958" s="199"/>
    </row>
    <row r="959" spans="1:31" customFormat="1" ht="15.75">
      <c r="A959" s="253">
        <v>43605</v>
      </c>
      <c r="B959" s="204" t="s">
        <v>158</v>
      </c>
      <c r="C959" s="205" t="s">
        <v>156</v>
      </c>
      <c r="D959">
        <v>1929.18</v>
      </c>
      <c r="E959">
        <v>1926.51</v>
      </c>
      <c r="F959">
        <v>1922.43</v>
      </c>
      <c r="G959">
        <v>1932.03</v>
      </c>
      <c r="H959">
        <v>1935.69</v>
      </c>
      <c r="I959">
        <v>1934.52</v>
      </c>
      <c r="J959">
        <v>1925.77</v>
      </c>
      <c r="K959">
        <v>1928.86</v>
      </c>
      <c r="L959">
        <v>1933.36</v>
      </c>
      <c r="M959" s="206"/>
      <c r="N959" s="206"/>
      <c r="O959" s="206"/>
      <c r="P959" s="206"/>
      <c r="Q959" s="207">
        <f>IF((L960=""),"",MAX(D961:L961))</f>
        <v>3182.4800000000005</v>
      </c>
      <c r="R959" s="207">
        <f>IF(L960="","",MIN(D961:L961))</f>
        <v>2769.2</v>
      </c>
      <c r="S959" s="208">
        <f>IF((L961=""),"",AVERAGE(D961:L961))</f>
        <v>2946.3066666666664</v>
      </c>
      <c r="T959" s="207">
        <f>IF((L960=""),"",((Q959-R959)/(Q959+R959))*100)</f>
        <v>6.9439217162213129</v>
      </c>
      <c r="U959" s="207">
        <f>STDEV(D959:L959)</f>
        <v>4.4337399561549535</v>
      </c>
      <c r="V959" s="209" t="str">
        <f>IF(L960="","",(IF(T959&lt;12,IF(S959&gt;2200,IF(S959&lt;3280,"Pass","Fail"),"Fail"),"Fail")))</f>
        <v>Pass</v>
      </c>
      <c r="W959" s="207">
        <v>1159</v>
      </c>
      <c r="X959" s="199" t="s">
        <v>308</v>
      </c>
      <c r="Y959" s="210"/>
      <c r="Z959" s="210">
        <v>2000</v>
      </c>
      <c r="AA959" s="210">
        <v>3000</v>
      </c>
      <c r="AB959" s="210">
        <v>2200</v>
      </c>
      <c r="AC959" s="210">
        <v>3280</v>
      </c>
      <c r="AD959" s="211">
        <v>12</v>
      </c>
      <c r="AE959" s="211">
        <v>12</v>
      </c>
    </row>
    <row r="960" spans="1:31" customFormat="1" ht="15.75" customHeight="1">
      <c r="A960" s="226"/>
      <c r="B960" s="212"/>
      <c r="C960" s="207" t="s">
        <v>155</v>
      </c>
      <c r="D960">
        <v>1206.83</v>
      </c>
      <c r="E960">
        <v>1221.9000000000001</v>
      </c>
      <c r="F960">
        <v>1230.1300000000001</v>
      </c>
      <c r="G960">
        <v>1196.42</v>
      </c>
      <c r="H960">
        <v>1140.07</v>
      </c>
      <c r="I960">
        <v>1175.6500000000001</v>
      </c>
      <c r="J960">
        <v>1211.3</v>
      </c>
      <c r="K960">
        <v>1199.21</v>
      </c>
      <c r="L960">
        <v>1157.6500000000001</v>
      </c>
      <c r="M960" s="213"/>
      <c r="N960" s="213"/>
      <c r="O960" s="213"/>
      <c r="P960" s="213"/>
      <c r="Q960" s="207"/>
      <c r="R960" s="207"/>
      <c r="S960" s="207"/>
      <c r="T960" s="207"/>
      <c r="U960" s="207"/>
      <c r="V960" s="209"/>
      <c r="W960" s="207"/>
      <c r="Y960" s="210"/>
      <c r="Z960" s="210"/>
      <c r="AA960" s="210"/>
      <c r="AB960" s="210"/>
      <c r="AC960" s="210"/>
      <c r="AD960" s="199"/>
      <c r="AE960" s="199"/>
    </row>
    <row r="961" spans="1:31" customFormat="1" ht="24" customHeight="1">
      <c r="A961" s="227"/>
      <c r="B961" s="214"/>
      <c r="C961" s="207" t="s">
        <v>154</v>
      </c>
      <c r="D961" s="215">
        <f t="shared" ref="D961:L961" si="315">IF(((D959="")*AND(D960="")),"",(D959-D960)*4)</f>
        <v>2889.4000000000005</v>
      </c>
      <c r="E961" s="215">
        <f t="shared" si="315"/>
        <v>2818.4399999999996</v>
      </c>
      <c r="F961" s="215">
        <f t="shared" si="315"/>
        <v>2769.2</v>
      </c>
      <c r="G961" s="215">
        <f t="shared" si="315"/>
        <v>2942.4399999999996</v>
      </c>
      <c r="H961" s="215">
        <f t="shared" si="315"/>
        <v>3182.4800000000005</v>
      </c>
      <c r="I961" s="215">
        <f t="shared" si="315"/>
        <v>3035.4799999999996</v>
      </c>
      <c r="J961" s="215">
        <f t="shared" si="315"/>
        <v>2857.88</v>
      </c>
      <c r="K961" s="215">
        <f t="shared" si="315"/>
        <v>2918.5999999999995</v>
      </c>
      <c r="L961" s="215">
        <f t="shared" si="315"/>
        <v>3102.8399999999992</v>
      </c>
      <c r="M961" s="224"/>
      <c r="N961" s="215"/>
      <c r="O961" s="215"/>
      <c r="P961" s="215" t="str">
        <f>IF(((P959="")*AND(P960="")),"",(P959-P960)*4)</f>
        <v/>
      </c>
      <c r="Q961" s="207"/>
      <c r="R961" s="207"/>
      <c r="S961" s="207"/>
      <c r="T961" s="207"/>
      <c r="U961" s="207"/>
      <c r="V961" s="209"/>
      <c r="W961" s="207"/>
      <c r="Y961" s="210"/>
      <c r="Z961" s="210"/>
      <c r="AA961" s="210"/>
      <c r="AB961" s="210"/>
      <c r="AC961" s="210"/>
      <c r="AD961" s="199"/>
      <c r="AE961" s="199"/>
    </row>
    <row r="962" spans="1:31" customFormat="1" ht="15.75">
      <c r="A962" s="253">
        <v>43605</v>
      </c>
      <c r="B962" s="216" t="s">
        <v>157</v>
      </c>
      <c r="C962" s="207" t="s">
        <v>156</v>
      </c>
      <c r="D962">
        <v>5305.33</v>
      </c>
      <c r="E962">
        <v>5273.38</v>
      </c>
      <c r="F962">
        <v>5304.69</v>
      </c>
      <c r="G962">
        <v>5266.96</v>
      </c>
      <c r="H962">
        <v>5253.46</v>
      </c>
      <c r="I962">
        <v>5277.09</v>
      </c>
      <c r="J962">
        <v>5275.28</v>
      </c>
      <c r="K962">
        <v>5315.63</v>
      </c>
      <c r="L962">
        <v>5352.82</v>
      </c>
      <c r="M962" s="213"/>
      <c r="N962" s="213"/>
      <c r="O962" s="213"/>
      <c r="P962" s="213"/>
      <c r="Q962" s="207">
        <f>IF((L963=""),"",MAX(D964:L964))</f>
        <v>3376.9799999999996</v>
      </c>
      <c r="R962" s="207">
        <f>IF(L963="","",MIN(D964:L964))</f>
        <v>3263.4400000000005</v>
      </c>
      <c r="S962" s="208">
        <f>IF((L964=""),"",AVERAGE(D964:L964))</f>
        <v>3339.9711111111114</v>
      </c>
      <c r="T962" s="207">
        <f>IF((L963=""),"",((Q962-R962)/(Q962+R962))*100)</f>
        <v>1.70983160703689</v>
      </c>
      <c r="U962" s="207">
        <f>STDEV(D962:L962)</f>
        <v>30.732360794629738</v>
      </c>
      <c r="V962" s="209" t="str">
        <f>IF(L963="","",(IF(T962&lt;7,IF(S962&gt;2800,IF(S962&lt;3800,"Pass","Fail"),"Fail"),"Fail")))</f>
        <v>Pass</v>
      </c>
      <c r="W962" s="207">
        <v>1159</v>
      </c>
      <c r="X962" s="199" t="s">
        <v>308</v>
      </c>
      <c r="Y962" s="210"/>
      <c r="Z962" s="218">
        <v>2800</v>
      </c>
      <c r="AA962" s="218">
        <v>3800</v>
      </c>
      <c r="AB962" s="218">
        <v>3100</v>
      </c>
      <c r="AC962" s="218">
        <v>3760</v>
      </c>
      <c r="AD962" s="219">
        <v>6</v>
      </c>
      <c r="AE962" s="219">
        <v>6</v>
      </c>
    </row>
    <row r="963" spans="1:31" customFormat="1" ht="16.5" customHeight="1">
      <c r="A963" s="226"/>
      <c r="B963" s="212"/>
      <c r="C963" s="207" t="s">
        <v>155</v>
      </c>
      <c r="D963">
        <v>3616.84</v>
      </c>
      <c r="E963">
        <v>3589.66</v>
      </c>
      <c r="F963">
        <v>3629.22</v>
      </c>
      <c r="G963">
        <v>3604.74</v>
      </c>
      <c r="H963">
        <v>3621.74</v>
      </c>
      <c r="I963">
        <v>3608.98</v>
      </c>
      <c r="J963">
        <v>3608.86</v>
      </c>
      <c r="K963">
        <v>3636.38</v>
      </c>
      <c r="L963">
        <v>3678.35</v>
      </c>
      <c r="M963" s="213"/>
      <c r="N963" s="213"/>
      <c r="O963" s="213"/>
      <c r="P963" s="213"/>
      <c r="Q963" s="207"/>
      <c r="R963" s="207"/>
      <c r="S963" s="208"/>
      <c r="T963" s="207"/>
      <c r="U963" s="207"/>
      <c r="V963" s="209"/>
      <c r="W963" s="207"/>
      <c r="Y963" s="210"/>
      <c r="Z963" s="210"/>
      <c r="AA963" s="210"/>
      <c r="AB963" s="210"/>
      <c r="AC963" s="210"/>
      <c r="AD963" s="199"/>
      <c r="AE963" s="199"/>
    </row>
    <row r="964" spans="1:31" customFormat="1" ht="24.75" customHeight="1" thickBot="1">
      <c r="A964" s="229"/>
      <c r="B964" s="220"/>
      <c r="C964" s="221" t="s">
        <v>154</v>
      </c>
      <c r="D964" s="222">
        <f t="shared" ref="D964:L964" si="316">IF(((D962="")*AND(D963="")),"",(D962-D963)*2)</f>
        <v>3376.9799999999996</v>
      </c>
      <c r="E964" s="222">
        <f t="shared" si="316"/>
        <v>3367.4400000000005</v>
      </c>
      <c r="F964" s="222">
        <f t="shared" si="316"/>
        <v>3350.9399999999996</v>
      </c>
      <c r="G964" s="222">
        <f t="shared" si="316"/>
        <v>3324.4400000000005</v>
      </c>
      <c r="H964" s="222">
        <f t="shared" si="316"/>
        <v>3263.4400000000005</v>
      </c>
      <c r="I964" s="222">
        <f t="shared" si="316"/>
        <v>3336.2200000000003</v>
      </c>
      <c r="J964" s="222">
        <f t="shared" si="316"/>
        <v>3332.8399999999992</v>
      </c>
      <c r="K964" s="222">
        <f t="shared" si="316"/>
        <v>3358.5</v>
      </c>
      <c r="L964" s="222">
        <f t="shared" si="316"/>
        <v>3348.9399999999996</v>
      </c>
      <c r="M964" s="223"/>
      <c r="N964" s="222"/>
      <c r="O964" s="222"/>
      <c r="P964" s="222"/>
      <c r="Q964" s="207"/>
      <c r="R964" s="207"/>
      <c r="S964" s="208"/>
      <c r="T964" s="207"/>
      <c r="U964" s="207"/>
      <c r="V964" s="209"/>
      <c r="W964" s="207"/>
      <c r="Y964" s="210"/>
      <c r="Z964" s="210"/>
      <c r="AA964" s="210"/>
      <c r="AB964" s="210"/>
      <c r="AC964" s="210"/>
      <c r="AD964" s="199"/>
      <c r="AE964" s="199"/>
    </row>
    <row r="965" spans="1:31" ht="15.75">
      <c r="A965" s="195">
        <v>43616</v>
      </c>
      <c r="B965" s="63" t="s">
        <v>158</v>
      </c>
      <c r="C965" s="56" t="s">
        <v>156</v>
      </c>
      <c r="D965">
        <v>1931.91</v>
      </c>
      <c r="E965">
        <v>1928.4</v>
      </c>
      <c r="F965">
        <v>1925.21</v>
      </c>
      <c r="G965">
        <v>1929.45</v>
      </c>
      <c r="H965">
        <v>1935.52</v>
      </c>
      <c r="I965">
        <v>1937.66</v>
      </c>
      <c r="J965">
        <v>1932.43</v>
      </c>
      <c r="K965">
        <v>1925.37</v>
      </c>
      <c r="L965">
        <v>1932.8</v>
      </c>
      <c r="M965" s="62"/>
      <c r="N965" s="62"/>
      <c r="O965" s="62"/>
      <c r="P965" s="62"/>
      <c r="Q965" s="57">
        <f>IF((L966=""),"",MAX(D967:L967))</f>
        <v>3131.3199999999997</v>
      </c>
      <c r="R965" s="57">
        <f>IF(L966="","",MIN(D967:L967))</f>
        <v>2793.6000000000004</v>
      </c>
      <c r="S965" s="58">
        <f>IF((L967=""),"",AVERAGE(D967:L967))</f>
        <v>2927.2133333333331</v>
      </c>
      <c r="T965" s="57">
        <f>IF((L966=""),"",((Q965-R965)/(Q965+R965))*100)</f>
        <v>5.6999925737393813</v>
      </c>
      <c r="U965" s="56">
        <f>STDEV(D965:L965)</f>
        <v>4.2613899661825734</v>
      </c>
      <c r="V965" s="55" t="str">
        <f>IF(L966="","",(IF(T965&lt;12,IF(S965&gt;2200,IF(S965&lt;3280,"Pass","Fail"),"Fail"),"Fail")))</f>
        <v>Pass</v>
      </c>
      <c r="W965" s="54">
        <v>1340</v>
      </c>
      <c r="X965" s="26" t="s">
        <v>322</v>
      </c>
      <c r="Z965" s="37">
        <v>2000</v>
      </c>
      <c r="AA965" s="37">
        <v>3000</v>
      </c>
      <c r="AB965" s="37">
        <v>2200</v>
      </c>
      <c r="AC965" s="37">
        <v>3280</v>
      </c>
      <c r="AD965" s="39">
        <v>12</v>
      </c>
      <c r="AE965" s="39">
        <v>12</v>
      </c>
    </row>
    <row r="966" spans="1:31" ht="16.5" customHeight="1">
      <c r="A966" s="199"/>
      <c r="B966" s="48"/>
      <c r="C966" s="51" t="s">
        <v>155</v>
      </c>
      <c r="D966">
        <v>1208.01</v>
      </c>
      <c r="E966">
        <v>1228.96</v>
      </c>
      <c r="F966">
        <v>1226.81</v>
      </c>
      <c r="G966">
        <v>1202.0999999999999</v>
      </c>
      <c r="H966">
        <v>1152.69</v>
      </c>
      <c r="I966">
        <v>1181.03</v>
      </c>
      <c r="J966">
        <v>1219.02</v>
      </c>
      <c r="K966">
        <v>1207.67</v>
      </c>
      <c r="L966">
        <v>1166.23</v>
      </c>
      <c r="M966" s="50"/>
      <c r="N966" s="50"/>
      <c r="O966" s="50"/>
      <c r="P966" s="50"/>
      <c r="Q966" s="48"/>
      <c r="R966" s="48"/>
      <c r="S966" s="48"/>
      <c r="T966" s="48"/>
      <c r="U966" s="48"/>
      <c r="V966" s="47"/>
      <c r="W966" s="46"/>
      <c r="X966" s="8"/>
    </row>
    <row r="967" spans="1:31" ht="24.75" customHeight="1" thickBot="1">
      <c r="A967" s="199"/>
      <c r="B967" s="61"/>
      <c r="C967" s="51" t="s">
        <v>154</v>
      </c>
      <c r="D967" s="24">
        <f t="shared" ref="D967:L967" si="317">IF(((D965="")*AND(D966="")),"",(D965-D966)*4)</f>
        <v>2895.6000000000004</v>
      </c>
      <c r="E967" s="24">
        <f t="shared" si="317"/>
        <v>2797.76</v>
      </c>
      <c r="F967" s="24">
        <f t="shared" si="317"/>
        <v>2793.6000000000004</v>
      </c>
      <c r="G967" s="24">
        <f t="shared" si="317"/>
        <v>2909.4000000000005</v>
      </c>
      <c r="H967" s="24">
        <f t="shared" si="317"/>
        <v>3131.3199999999997</v>
      </c>
      <c r="I967" s="24">
        <f t="shared" si="317"/>
        <v>3026.5200000000004</v>
      </c>
      <c r="J967" s="24">
        <f t="shared" si="317"/>
        <v>2853.6400000000003</v>
      </c>
      <c r="K967" s="24">
        <f t="shared" si="317"/>
        <v>2870.7999999999993</v>
      </c>
      <c r="L967" s="24">
        <f t="shared" si="317"/>
        <v>3066.2799999999997</v>
      </c>
      <c r="M967" s="24"/>
      <c r="N967" s="24"/>
      <c r="O967" s="24"/>
      <c r="P967" s="24" t="str">
        <f>IF(((P965="")*AND(P966="")),"",(P965-P966)*4)</f>
        <v/>
      </c>
      <c r="Q967" s="61"/>
      <c r="R967" s="61"/>
      <c r="S967" s="61"/>
      <c r="T967" s="61"/>
      <c r="U967" s="61"/>
      <c r="V967" s="60"/>
      <c r="W967" s="59"/>
      <c r="X967" s="8"/>
    </row>
    <row r="968" spans="1:31" ht="15.75">
      <c r="A968" s="195">
        <v>43616</v>
      </c>
      <c r="B968" s="57" t="s">
        <v>157</v>
      </c>
      <c r="C968" s="51" t="s">
        <v>156</v>
      </c>
      <c r="D968">
        <v>5911.09</v>
      </c>
      <c r="E968">
        <v>5884.96</v>
      </c>
      <c r="F968">
        <v>5914.47</v>
      </c>
      <c r="G968">
        <v>5874.66</v>
      </c>
      <c r="H968">
        <v>5831.96</v>
      </c>
      <c r="I968">
        <v>5852.96</v>
      </c>
      <c r="J968">
        <v>5880.26</v>
      </c>
      <c r="K968">
        <v>5929.68</v>
      </c>
      <c r="L968">
        <v>5949.89</v>
      </c>
      <c r="M968" s="50"/>
      <c r="N968" s="50"/>
      <c r="O968" s="50"/>
      <c r="P968" s="50"/>
      <c r="Q968" s="57">
        <f>IF((L969=""),"",MAX(D970:L970))</f>
        <v>3275.8199999999997</v>
      </c>
      <c r="R968" s="57">
        <f>IF(L969="","",MIN(D970:L970))</f>
        <v>3189.4400000000005</v>
      </c>
      <c r="S968" s="58">
        <f>IF((L970=""),"",AVERAGE(D970:L970))</f>
        <v>3251.7822222222221</v>
      </c>
      <c r="T968" s="57">
        <f>IF((L969=""),"",((Q968-R968)/(Q968+R968))*100)</f>
        <v>1.3360638241926728</v>
      </c>
      <c r="U968" s="56">
        <f>STDEV(D968:L968)</f>
        <v>37.511560921583765</v>
      </c>
      <c r="V968" s="55" t="str">
        <f>IF(L969="","",(IF(T968&lt;7,IF(S968&gt;2800,IF(S968&lt;3800,"Pass","Fail"),"Fail"),"Fail")))</f>
        <v>Pass</v>
      </c>
      <c r="W968" s="54">
        <v>1340</v>
      </c>
      <c r="X968" s="26" t="s">
        <v>322</v>
      </c>
      <c r="Z968" s="53">
        <v>2800</v>
      </c>
      <c r="AA968" s="53">
        <v>3800</v>
      </c>
      <c r="AB968" s="53">
        <v>3100</v>
      </c>
      <c r="AC968" s="53">
        <v>3760</v>
      </c>
      <c r="AD968" s="52">
        <v>6</v>
      </c>
      <c r="AE968" s="52">
        <v>6</v>
      </c>
    </row>
    <row r="969" spans="1:31" ht="16.5" customHeight="1">
      <c r="A969" s="199"/>
      <c r="B969" s="48"/>
      <c r="C969" s="51" t="s">
        <v>155</v>
      </c>
      <c r="D969">
        <v>4281.97</v>
      </c>
      <c r="E969">
        <v>4247.05</v>
      </c>
      <c r="F969">
        <v>4282.7299999999996</v>
      </c>
      <c r="G969">
        <v>4254.1000000000004</v>
      </c>
      <c r="H969">
        <v>4237.24</v>
      </c>
      <c r="I969">
        <v>4222.25</v>
      </c>
      <c r="J969">
        <v>4259.0200000000004</v>
      </c>
      <c r="K969">
        <v>4292.91</v>
      </c>
      <c r="L969">
        <v>4319.6400000000003</v>
      </c>
      <c r="M969" s="50"/>
      <c r="N969" s="50"/>
      <c r="O969" s="50"/>
      <c r="P969" s="50"/>
      <c r="Q969" s="48"/>
      <c r="R969" s="48"/>
      <c r="S969" s="49"/>
      <c r="T969" s="48"/>
      <c r="U969" s="48"/>
      <c r="V969" s="47"/>
      <c r="W969" s="46"/>
      <c r="X969" s="8"/>
    </row>
    <row r="970" spans="1:31" ht="24.75" customHeight="1" thickBot="1">
      <c r="A970" s="199"/>
      <c r="B970" s="42"/>
      <c r="C970" s="45" t="s">
        <v>154</v>
      </c>
      <c r="D970" s="44">
        <f t="shared" ref="D970:L970" si="318">IF(((D968="")*AND(D969="")),"",(D968-D969)*2)</f>
        <v>3258.24</v>
      </c>
      <c r="E970" s="44">
        <f t="shared" si="318"/>
        <v>3275.8199999999997</v>
      </c>
      <c r="F970" s="44">
        <f t="shared" si="318"/>
        <v>3263.4800000000014</v>
      </c>
      <c r="G970" s="44">
        <f t="shared" si="318"/>
        <v>3241.119999999999</v>
      </c>
      <c r="H970" s="44">
        <f t="shared" si="318"/>
        <v>3189.4400000000005</v>
      </c>
      <c r="I970" s="44">
        <f t="shared" si="318"/>
        <v>3261.42</v>
      </c>
      <c r="J970" s="44">
        <f t="shared" si="318"/>
        <v>3242.4799999999996</v>
      </c>
      <c r="K970" s="44">
        <f t="shared" si="318"/>
        <v>3273.5400000000009</v>
      </c>
      <c r="L970" s="44">
        <f t="shared" si="318"/>
        <v>3260.5</v>
      </c>
      <c r="M970" s="44"/>
      <c r="N970" s="44"/>
      <c r="O970" s="44"/>
      <c r="P970" s="44"/>
      <c r="Q970" s="42"/>
      <c r="R970" s="42"/>
      <c r="S970" s="43"/>
      <c r="T970" s="42"/>
      <c r="U970" s="42"/>
      <c r="V970" s="41"/>
      <c r="W970" s="40"/>
      <c r="X970" s="8"/>
    </row>
    <row r="971" spans="1:31" ht="15.75">
      <c r="A971" s="195">
        <v>43623</v>
      </c>
      <c r="B971" s="63" t="s">
        <v>158</v>
      </c>
      <c r="C971" s="56" t="s">
        <v>156</v>
      </c>
      <c r="D971">
        <v>1942.74</v>
      </c>
      <c r="E971">
        <v>1938.23</v>
      </c>
      <c r="F971">
        <v>1932.19</v>
      </c>
      <c r="G971">
        <v>1935.66</v>
      </c>
      <c r="H971">
        <v>1940.04</v>
      </c>
      <c r="I971">
        <v>1940.94</v>
      </c>
      <c r="J971">
        <v>1936.93</v>
      </c>
      <c r="K971">
        <v>1934.23</v>
      </c>
      <c r="L971">
        <v>1936.37</v>
      </c>
      <c r="M971" s="62"/>
      <c r="N971" s="62"/>
      <c r="O971" s="62"/>
      <c r="P971" s="62"/>
      <c r="Q971" s="57">
        <f>IF((L972=""),"",MAX(D973:L973))</f>
        <v>3079.8399999999992</v>
      </c>
      <c r="R971" s="57">
        <f>IF(L972="","",MIN(D973:L973))</f>
        <v>2762.5600000000004</v>
      </c>
      <c r="S971" s="58">
        <f>IF((L973=""),"",AVERAGE(D973:L973))</f>
        <v>2907.7422222222226</v>
      </c>
      <c r="T971" s="57">
        <f>IF((L972=""),"",((Q971-R971)/(Q971+R971))*100)</f>
        <v>5.4306449404354185</v>
      </c>
      <c r="U971" s="56">
        <f>STDEV(D971:L971)</f>
        <v>3.356875200353278</v>
      </c>
      <c r="V971" s="55" t="str">
        <f>IF(L972="","",(IF(T971&lt;12,IF(S971&gt;2200,IF(S971&lt;3280,"Pass","Fail"),"Fail"),"Fail")))</f>
        <v>Pass</v>
      </c>
      <c r="W971" s="54">
        <v>1340</v>
      </c>
      <c r="X971" s="26" t="s">
        <v>324</v>
      </c>
      <c r="Z971" s="37">
        <v>2000</v>
      </c>
      <c r="AA971" s="37">
        <v>3000</v>
      </c>
      <c r="AB971" s="37">
        <v>2200</v>
      </c>
      <c r="AC971" s="37">
        <v>3280</v>
      </c>
      <c r="AD971" s="39">
        <v>12</v>
      </c>
      <c r="AE971" s="39">
        <v>12</v>
      </c>
    </row>
    <row r="972" spans="1:31" ht="16.5" customHeight="1">
      <c r="A972" s="199"/>
      <c r="B972" s="48"/>
      <c r="C972" s="51" t="s">
        <v>155</v>
      </c>
      <c r="D972">
        <v>1225.8599999999999</v>
      </c>
      <c r="E972">
        <v>1231.52</v>
      </c>
      <c r="F972">
        <v>1241.55</v>
      </c>
      <c r="G972">
        <v>1211.3900000000001</v>
      </c>
      <c r="H972">
        <v>1179.0999999999999</v>
      </c>
      <c r="I972">
        <v>1200.19</v>
      </c>
      <c r="J972">
        <v>1225.26</v>
      </c>
      <c r="K972">
        <v>1213.6300000000001</v>
      </c>
      <c r="L972">
        <v>1166.4100000000001</v>
      </c>
      <c r="M972" s="50"/>
      <c r="N972" s="50"/>
      <c r="O972" s="50"/>
      <c r="P972" s="50"/>
      <c r="Q972" s="48"/>
      <c r="R972" s="48"/>
      <c r="S972" s="48"/>
      <c r="T972" s="48"/>
      <c r="U972" s="48"/>
      <c r="V972" s="47"/>
      <c r="W972" s="46"/>
      <c r="X972" s="8"/>
    </row>
    <row r="973" spans="1:31" ht="24.75" customHeight="1" thickBot="1">
      <c r="A973" s="199"/>
      <c r="B973" s="61"/>
      <c r="C973" s="51" t="s">
        <v>154</v>
      </c>
      <c r="D973" s="24">
        <f t="shared" ref="D973:L973" si="319">IF(((D971="")*AND(D972="")),"",(D971-D972)*4)</f>
        <v>2867.5200000000004</v>
      </c>
      <c r="E973" s="24">
        <f t="shared" si="319"/>
        <v>2826.84</v>
      </c>
      <c r="F973" s="24">
        <f t="shared" si="319"/>
        <v>2762.5600000000004</v>
      </c>
      <c r="G973" s="24">
        <f t="shared" si="319"/>
        <v>2897.08</v>
      </c>
      <c r="H973" s="24">
        <f t="shared" si="319"/>
        <v>3043.76</v>
      </c>
      <c r="I973" s="24">
        <f t="shared" si="319"/>
        <v>2963</v>
      </c>
      <c r="J973" s="24">
        <f t="shared" si="319"/>
        <v>2846.6800000000003</v>
      </c>
      <c r="K973" s="24">
        <f t="shared" si="319"/>
        <v>2882.3999999999996</v>
      </c>
      <c r="L973" s="24">
        <f t="shared" si="319"/>
        <v>3079.8399999999992</v>
      </c>
      <c r="M973" s="24"/>
      <c r="N973" s="24"/>
      <c r="O973" s="24"/>
      <c r="P973" s="24" t="str">
        <f>IF(((P971="")*AND(P972="")),"",(P971-P972)*4)</f>
        <v/>
      </c>
      <c r="Q973" s="61"/>
      <c r="R973" s="61"/>
      <c r="S973" s="61"/>
      <c r="T973" s="61"/>
      <c r="U973" s="61"/>
      <c r="V973" s="60"/>
      <c r="W973" s="59"/>
      <c r="X973" s="8"/>
    </row>
    <row r="974" spans="1:31" ht="15.75">
      <c r="A974" s="195">
        <v>43623</v>
      </c>
      <c r="B974" s="57" t="s">
        <v>157</v>
      </c>
      <c r="C974" s="51" t="s">
        <v>156</v>
      </c>
      <c r="D974">
        <v>4282.33</v>
      </c>
      <c r="E974">
        <v>4270.1099999999997</v>
      </c>
      <c r="F974">
        <v>4296.22</v>
      </c>
      <c r="G974">
        <v>4282.3900000000003</v>
      </c>
      <c r="H974">
        <v>4261.7700000000004</v>
      </c>
      <c r="I974">
        <v>4286</v>
      </c>
      <c r="J974">
        <v>4269.29</v>
      </c>
      <c r="K974">
        <v>4309.93</v>
      </c>
      <c r="L974">
        <v>4317.88</v>
      </c>
      <c r="M974" s="50"/>
      <c r="N974" s="50"/>
      <c r="O974" s="50"/>
      <c r="P974" s="50"/>
      <c r="Q974" s="57">
        <f>IF((L975=""),"",MAX(D976:L976))</f>
        <v>3327.3200000000006</v>
      </c>
      <c r="R974" s="57">
        <f>IF(L975="","",MIN(D976:L976))</f>
        <v>3235.7000000000007</v>
      </c>
      <c r="S974" s="58">
        <f>IF((L976=""),"",AVERAGE(D976:L976))</f>
        <v>3298.126666666667</v>
      </c>
      <c r="T974" s="57">
        <f>IF((L975=""),"",((Q974-R974)/(Q974+R974))*100)</f>
        <v>1.3960036690426034</v>
      </c>
      <c r="U974" s="56">
        <f>STDEV(D974:L974)</f>
        <v>18.835897244497829</v>
      </c>
      <c r="V974" s="55" t="str">
        <f>IF(L975="","",(IF(T974&lt;7,IF(S974&gt;2800,IF(S974&lt;3800,"Pass","Fail"),"Fail"),"Fail")))</f>
        <v>Pass</v>
      </c>
      <c r="W974" s="54">
        <v>1340</v>
      </c>
      <c r="X974" s="26" t="s">
        <v>324</v>
      </c>
      <c r="Z974" s="53">
        <v>2800</v>
      </c>
      <c r="AA974" s="53">
        <v>3800</v>
      </c>
      <c r="AB974" s="53">
        <v>3100</v>
      </c>
      <c r="AC974" s="53">
        <v>3760</v>
      </c>
      <c r="AD974" s="52">
        <v>6</v>
      </c>
      <c r="AE974" s="52">
        <v>6</v>
      </c>
    </row>
    <row r="975" spans="1:31" ht="16.5" customHeight="1">
      <c r="A975" s="199"/>
      <c r="B975" s="48"/>
      <c r="C975" s="51" t="s">
        <v>155</v>
      </c>
      <c r="D975">
        <v>2629.38</v>
      </c>
      <c r="E975">
        <v>2613.09</v>
      </c>
      <c r="F975">
        <v>2644.69</v>
      </c>
      <c r="G975">
        <v>2637.77</v>
      </c>
      <c r="H975">
        <v>2643.92</v>
      </c>
      <c r="I975">
        <v>2637</v>
      </c>
      <c r="J975">
        <v>2624.18</v>
      </c>
      <c r="K975">
        <v>2650.1</v>
      </c>
      <c r="L975">
        <v>2654.22</v>
      </c>
      <c r="M975" s="50"/>
      <c r="N975" s="50"/>
      <c r="O975" s="50"/>
      <c r="P975" s="50"/>
      <c r="Q975" s="48"/>
      <c r="R975" s="48"/>
      <c r="S975" s="49"/>
      <c r="T975" s="48"/>
      <c r="U975" s="48"/>
      <c r="V975" s="47"/>
      <c r="W975" s="46"/>
      <c r="X975" s="8"/>
    </row>
    <row r="976" spans="1:31" ht="24.75" customHeight="1" thickBot="1">
      <c r="A976" s="199"/>
      <c r="B976" s="42"/>
      <c r="C976" s="45" t="s">
        <v>154</v>
      </c>
      <c r="D976" s="44">
        <f t="shared" ref="D976:L976" si="320">IF(((D974="")*AND(D975="")),"",(D974-D975)*2)</f>
        <v>3305.8999999999996</v>
      </c>
      <c r="E976" s="44">
        <f t="shared" si="320"/>
        <v>3314.0399999999991</v>
      </c>
      <c r="F976" s="44">
        <f t="shared" si="320"/>
        <v>3303.0600000000004</v>
      </c>
      <c r="G976" s="44">
        <f t="shared" si="320"/>
        <v>3289.2400000000007</v>
      </c>
      <c r="H976" s="44">
        <f t="shared" si="320"/>
        <v>3235.7000000000007</v>
      </c>
      <c r="I976" s="44">
        <f t="shared" si="320"/>
        <v>3298</v>
      </c>
      <c r="J976" s="44">
        <f t="shared" si="320"/>
        <v>3290.2200000000003</v>
      </c>
      <c r="K976" s="44">
        <f t="shared" si="320"/>
        <v>3319.6600000000008</v>
      </c>
      <c r="L976" s="44">
        <f t="shared" si="320"/>
        <v>3327.3200000000006</v>
      </c>
      <c r="M976" s="44"/>
      <c r="N976" s="44"/>
      <c r="O976" s="44"/>
      <c r="P976" s="44"/>
      <c r="Q976" s="42"/>
      <c r="R976" s="42"/>
      <c r="S976" s="43"/>
      <c r="T976" s="42"/>
      <c r="U976" s="42"/>
      <c r="V976" s="41"/>
      <c r="W976" s="40"/>
      <c r="X976" s="8"/>
    </row>
    <row r="977" spans="1:31" ht="15.75">
      <c r="A977" s="195">
        <v>43630</v>
      </c>
      <c r="B977" s="63" t="s">
        <v>158</v>
      </c>
      <c r="C977" s="56" t="s">
        <v>156</v>
      </c>
      <c r="D977">
        <v>1228.42</v>
      </c>
      <c r="E977">
        <v>1231.6300000000001</v>
      </c>
      <c r="F977">
        <v>1246.92</v>
      </c>
      <c r="G977">
        <v>1214.6400000000001</v>
      </c>
      <c r="H977">
        <v>1181.3699999999999</v>
      </c>
      <c r="I977">
        <v>1201.9100000000001</v>
      </c>
      <c r="J977">
        <v>1226.73</v>
      </c>
      <c r="K977">
        <v>1215.72</v>
      </c>
      <c r="L977">
        <v>1169.4100000000001</v>
      </c>
      <c r="M977" s="62"/>
      <c r="N977" s="62"/>
      <c r="O977" s="62"/>
      <c r="P977" s="62"/>
      <c r="Q977" s="57">
        <f>IF((L978=""),"",MAX(D979:L979))</f>
        <v>2913.1200000000003</v>
      </c>
      <c r="R977" s="57">
        <f>IF(L978="","",MIN(D979:L979))</f>
        <v>2635.92</v>
      </c>
      <c r="S977" s="58">
        <f>IF((L979=""),"",AVERAGE(D979:L979))</f>
        <v>2756.3244444444445</v>
      </c>
      <c r="T977" s="57">
        <f>IF((L978=""),"",((Q977-R977)/(Q977+R977))*100)</f>
        <v>4.9954586739327924</v>
      </c>
      <c r="U977" s="56">
        <f>STDEV(D977:L977)</f>
        <v>24.893640642636726</v>
      </c>
      <c r="V977" s="55" t="str">
        <f>IF(L978="","",(IF(T977&lt;12,IF(S977&gt;2200,IF(S977&lt;3280,"Pass","Fail"),"Fail"),"Fail")))</f>
        <v>Pass</v>
      </c>
      <c r="W977" s="54">
        <v>1428</v>
      </c>
      <c r="X977" s="26" t="s">
        <v>325</v>
      </c>
      <c r="Z977" s="37">
        <v>2000</v>
      </c>
      <c r="AA977" s="37">
        <v>3000</v>
      </c>
      <c r="AB977" s="37">
        <v>2200</v>
      </c>
      <c r="AC977" s="37">
        <v>3280</v>
      </c>
      <c r="AD977" s="39">
        <v>12</v>
      </c>
      <c r="AE977" s="39">
        <v>12</v>
      </c>
    </row>
    <row r="978" spans="1:31" ht="16.5" customHeight="1">
      <c r="A978" s="199"/>
      <c r="B978" s="48"/>
      <c r="C978" s="51" t="s">
        <v>155</v>
      </c>
      <c r="D978">
        <v>557.05999999999995</v>
      </c>
      <c r="E978">
        <v>565.83000000000004</v>
      </c>
      <c r="F978">
        <v>587.94000000000005</v>
      </c>
      <c r="G978">
        <v>524.30999999999995</v>
      </c>
      <c r="H978">
        <v>458.61</v>
      </c>
      <c r="I978">
        <v>497.63</v>
      </c>
      <c r="J978">
        <v>550.13</v>
      </c>
      <c r="K978">
        <v>532.38</v>
      </c>
      <c r="L978">
        <v>441.13</v>
      </c>
      <c r="M978" s="50"/>
      <c r="N978" s="50"/>
      <c r="O978" s="50"/>
      <c r="P978" s="50"/>
      <c r="Q978" s="48"/>
      <c r="R978" s="48"/>
      <c r="S978" s="48"/>
      <c r="T978" s="48"/>
      <c r="U978" s="48"/>
      <c r="V978" s="47"/>
      <c r="W978" s="46"/>
      <c r="X978" s="8"/>
    </row>
    <row r="979" spans="1:31" ht="24.75" customHeight="1" thickBot="1">
      <c r="A979" s="199"/>
      <c r="B979" s="61"/>
      <c r="C979" s="51" t="s">
        <v>154</v>
      </c>
      <c r="D979" s="24">
        <f t="shared" ref="D979:L979" si="321">IF(((D977="")*AND(D978="")),"",(D977-D978)*4)</f>
        <v>2685.4400000000005</v>
      </c>
      <c r="E979" s="24">
        <f t="shared" si="321"/>
        <v>2663.2000000000003</v>
      </c>
      <c r="F979" s="24">
        <f t="shared" si="321"/>
        <v>2635.92</v>
      </c>
      <c r="G979" s="24">
        <f t="shared" si="321"/>
        <v>2761.3200000000006</v>
      </c>
      <c r="H979" s="24">
        <f t="shared" si="321"/>
        <v>2891.0399999999995</v>
      </c>
      <c r="I979" s="24">
        <f t="shared" si="321"/>
        <v>2817.1200000000003</v>
      </c>
      <c r="J979" s="24">
        <f t="shared" si="321"/>
        <v>2706.4</v>
      </c>
      <c r="K979" s="24">
        <f t="shared" si="321"/>
        <v>2733.36</v>
      </c>
      <c r="L979" s="24">
        <f t="shared" si="321"/>
        <v>2913.1200000000003</v>
      </c>
      <c r="M979" s="24"/>
      <c r="N979" s="24"/>
      <c r="O979" s="24"/>
      <c r="P979" s="24" t="str">
        <f>IF(((P977="")*AND(P978="")),"",(P977-P978)*4)</f>
        <v/>
      </c>
      <c r="Q979" s="61"/>
      <c r="R979" s="61"/>
      <c r="S979" s="61"/>
      <c r="T979" s="61"/>
      <c r="U979" s="61"/>
      <c r="V979" s="60"/>
      <c r="W979" s="59"/>
      <c r="X979" s="8"/>
    </row>
    <row r="980" spans="1:31" ht="15.75">
      <c r="A980" s="195">
        <v>43630</v>
      </c>
      <c r="B980" s="57" t="s">
        <v>157</v>
      </c>
      <c r="C980" s="51" t="s">
        <v>156</v>
      </c>
      <c r="D980">
        <v>2636.65</v>
      </c>
      <c r="E980">
        <v>2619.21</v>
      </c>
      <c r="F980">
        <v>2651.47</v>
      </c>
      <c r="G980">
        <v>2644.84</v>
      </c>
      <c r="H980">
        <v>2650.86</v>
      </c>
      <c r="I980">
        <v>2616.4299999999998</v>
      </c>
      <c r="J980">
        <v>2628.93</v>
      </c>
      <c r="K980">
        <v>2656.89</v>
      </c>
      <c r="L980">
        <v>2660.88</v>
      </c>
      <c r="M980" s="50"/>
      <c r="N980" s="50"/>
      <c r="O980" s="50"/>
      <c r="P980" s="50"/>
      <c r="Q980" s="57">
        <f>IF((L981=""),"",MAX(D982:L982))</f>
        <v>3633.04</v>
      </c>
      <c r="R980" s="57">
        <f>IF(L981="","",MIN(D982:L982))</f>
        <v>3537.8200000000006</v>
      </c>
      <c r="S980" s="58">
        <f>IF((L982=""),"",AVERAGE(D982:L982))</f>
        <v>3563.1711111111113</v>
      </c>
      <c r="T980" s="57">
        <f>IF((L981=""),"",((Q980-R980)/(Q980+R980))*100)</f>
        <v>1.3278742019785539</v>
      </c>
      <c r="U980" s="56">
        <f>STDEV(D980:L980)</f>
        <v>16.246125777511782</v>
      </c>
      <c r="V980" s="55" t="str">
        <f>IF(L981="","",(IF(T980&lt;7,IF(S980&gt;2800,IF(S980&lt;3800,"Pass","Fail"),"Fail"),"Fail")))</f>
        <v>Pass</v>
      </c>
      <c r="W980" s="54">
        <v>1428</v>
      </c>
      <c r="X980" s="26" t="s">
        <v>325</v>
      </c>
      <c r="Z980" s="53">
        <v>2800</v>
      </c>
      <c r="AA980" s="53">
        <v>3800</v>
      </c>
      <c r="AB980" s="53">
        <v>3100</v>
      </c>
      <c r="AC980" s="53">
        <v>3760</v>
      </c>
      <c r="AD980" s="52">
        <v>6</v>
      </c>
      <c r="AE980" s="52">
        <v>6</v>
      </c>
    </row>
    <row r="981" spans="1:31" ht="16.5" customHeight="1">
      <c r="A981" s="199"/>
      <c r="B981" s="48"/>
      <c r="C981" s="51" t="s">
        <v>155</v>
      </c>
      <c r="D981">
        <v>845.37</v>
      </c>
      <c r="E981">
        <v>842.12</v>
      </c>
      <c r="F981">
        <v>881.1</v>
      </c>
      <c r="G981">
        <v>875.93</v>
      </c>
      <c r="H981">
        <v>875.7</v>
      </c>
      <c r="I981">
        <v>799.91</v>
      </c>
      <c r="J981">
        <v>853.66</v>
      </c>
      <c r="K981">
        <v>887.82</v>
      </c>
      <c r="L981">
        <v>870.28</v>
      </c>
      <c r="M981" s="50"/>
      <c r="N981" s="50"/>
      <c r="O981" s="50"/>
      <c r="P981" s="50"/>
      <c r="Q981" s="48"/>
      <c r="R981" s="48"/>
      <c r="S981" s="49"/>
      <c r="T981" s="48"/>
      <c r="U981" s="48"/>
      <c r="V981" s="47"/>
      <c r="W981" s="46"/>
      <c r="X981" s="8"/>
    </row>
    <row r="982" spans="1:31" ht="24.75" customHeight="1" thickBot="1">
      <c r="A982" s="199"/>
      <c r="B982" s="42"/>
      <c r="C982" s="45" t="s">
        <v>154</v>
      </c>
      <c r="D982" s="44">
        <f t="shared" ref="D982:L982" si="322">IF(((D980="")*AND(D981="")),"",(D980-D981)*2)</f>
        <v>3582.5600000000004</v>
      </c>
      <c r="E982" s="44">
        <f t="shared" si="322"/>
        <v>3554.1800000000003</v>
      </c>
      <c r="F982" s="44">
        <f t="shared" si="322"/>
        <v>3540.74</v>
      </c>
      <c r="G982" s="44">
        <f t="shared" si="322"/>
        <v>3537.8200000000006</v>
      </c>
      <c r="H982" s="44">
        <f t="shared" si="322"/>
        <v>3550.32</v>
      </c>
      <c r="I982" s="44">
        <f t="shared" si="322"/>
        <v>3633.04</v>
      </c>
      <c r="J982" s="44">
        <f t="shared" si="322"/>
        <v>3550.54</v>
      </c>
      <c r="K982" s="44">
        <f t="shared" si="322"/>
        <v>3538.1399999999994</v>
      </c>
      <c r="L982" s="44">
        <f t="shared" si="322"/>
        <v>3581.2000000000003</v>
      </c>
      <c r="M982" s="44"/>
      <c r="N982" s="44"/>
      <c r="O982" s="44"/>
      <c r="P982" s="44"/>
      <c r="Q982" s="42"/>
      <c r="R982" s="42"/>
      <c r="S982" s="43"/>
      <c r="T982" s="42"/>
      <c r="U982" s="42"/>
      <c r="V982" s="41"/>
      <c r="W982" s="40"/>
      <c r="X982" s="8"/>
    </row>
    <row r="983" spans="1:31" ht="15.75">
      <c r="A983" s="195">
        <v>43633</v>
      </c>
      <c r="B983" s="63" t="s">
        <v>158</v>
      </c>
      <c r="C983" s="56" t="s">
        <v>156</v>
      </c>
      <c r="D983">
        <v>1952.81</v>
      </c>
      <c r="E983">
        <v>1947.81</v>
      </c>
      <c r="F983">
        <v>1942.13</v>
      </c>
      <c r="G983">
        <v>1947.41</v>
      </c>
      <c r="H983">
        <v>1952.63</v>
      </c>
      <c r="I983">
        <v>1953.52</v>
      </c>
      <c r="J983">
        <v>1949.7</v>
      </c>
      <c r="K983">
        <v>1947.37</v>
      </c>
      <c r="L983">
        <v>1949.67</v>
      </c>
      <c r="M983" s="62"/>
      <c r="N983" s="62"/>
      <c r="O983" s="62"/>
      <c r="P983" s="62"/>
      <c r="Q983" s="57">
        <f>IF((L984=""),"",MAX(D985:L985))</f>
        <v>3003.3200000000006</v>
      </c>
      <c r="R983" s="57">
        <f>IF(L984="","",MIN(D985:L985))</f>
        <v>2716.96</v>
      </c>
      <c r="S983" s="58">
        <f>IF((L985=""),"",AVERAGE(D985:L985))</f>
        <v>2848.9733333333334</v>
      </c>
      <c r="T983" s="57">
        <f>IF((L984=""),"",((Q983-R983)/(Q983+R983))*100)</f>
        <v>5.0060486549609555</v>
      </c>
      <c r="U983" s="56">
        <f>STDEV(D983:L983)</f>
        <v>3.5775926881936133</v>
      </c>
      <c r="V983" s="55" t="str">
        <f>IF(L984="","",(IF(T983&lt;12,IF(S983&gt;2200,IF(S983&lt;3280,"Pass","Fail"),"Fail"),"Fail")))</f>
        <v>Pass</v>
      </c>
      <c r="W983" s="54">
        <v>1335</v>
      </c>
      <c r="X983" s="8" t="s">
        <v>327</v>
      </c>
      <c r="Z983" s="37">
        <v>2000</v>
      </c>
      <c r="AA983" s="37">
        <v>3000</v>
      </c>
      <c r="AB983" s="37">
        <v>2200</v>
      </c>
      <c r="AC983" s="37">
        <v>3280</v>
      </c>
      <c r="AD983" s="39">
        <v>12</v>
      </c>
      <c r="AE983" s="39">
        <v>12</v>
      </c>
    </row>
    <row r="984" spans="1:31" ht="16.5" customHeight="1">
      <c r="A984" s="199"/>
      <c r="B984" s="48"/>
      <c r="C984" s="51" t="s">
        <v>155</v>
      </c>
      <c r="D984">
        <v>1246.75</v>
      </c>
      <c r="E984">
        <v>1255.1300000000001</v>
      </c>
      <c r="F984">
        <v>1262.8900000000001</v>
      </c>
      <c r="G984">
        <v>1241.4100000000001</v>
      </c>
      <c r="H984">
        <v>1201.8</v>
      </c>
      <c r="I984">
        <v>1232.81</v>
      </c>
      <c r="J984">
        <v>1253.1400000000001</v>
      </c>
      <c r="K984">
        <v>1239.02</v>
      </c>
      <c r="L984">
        <v>1199.9100000000001</v>
      </c>
      <c r="M984" s="50"/>
      <c r="N984" s="50"/>
      <c r="O984" s="50"/>
      <c r="P984" s="50"/>
      <c r="Q984" s="48"/>
      <c r="R984" s="48"/>
      <c r="S984" s="48"/>
      <c r="T984" s="48"/>
      <c r="U984" s="48"/>
      <c r="V984" s="47"/>
      <c r="W984" s="46"/>
      <c r="X984" s="8"/>
    </row>
    <row r="985" spans="1:31" ht="24.75" customHeight="1" thickBot="1">
      <c r="A985" s="199"/>
      <c r="B985" s="61"/>
      <c r="C985" s="51" t="s">
        <v>154</v>
      </c>
      <c r="D985" s="24">
        <f t="shared" ref="D985:L985" si="323">IF(((D983="")*AND(D984="")),"",(D983-D984)*4)</f>
        <v>2824.24</v>
      </c>
      <c r="E985" s="24">
        <f t="shared" si="323"/>
        <v>2770.7199999999993</v>
      </c>
      <c r="F985" s="24">
        <f t="shared" si="323"/>
        <v>2716.96</v>
      </c>
      <c r="G985" s="24">
        <f t="shared" si="323"/>
        <v>2824</v>
      </c>
      <c r="H985" s="24">
        <f t="shared" si="323"/>
        <v>3003.3200000000006</v>
      </c>
      <c r="I985" s="24">
        <f t="shared" si="323"/>
        <v>2882.84</v>
      </c>
      <c r="J985" s="24">
        <f t="shared" si="323"/>
        <v>2786.24</v>
      </c>
      <c r="K985" s="24">
        <f t="shared" si="323"/>
        <v>2833.3999999999996</v>
      </c>
      <c r="L985" s="24">
        <f t="shared" si="323"/>
        <v>2999.04</v>
      </c>
      <c r="M985" s="24"/>
      <c r="N985" s="24"/>
      <c r="O985" s="24"/>
      <c r="P985" s="24" t="str">
        <f>IF(((P983="")*AND(P984="")),"",(P983-P984)*4)</f>
        <v/>
      </c>
      <c r="Q985" s="61"/>
      <c r="R985" s="61"/>
      <c r="S985" s="61"/>
      <c r="T985" s="61"/>
      <c r="U985" s="61"/>
      <c r="V985" s="60"/>
      <c r="W985" s="59"/>
      <c r="X985" s="8"/>
    </row>
    <row r="986" spans="1:31" ht="15.75">
      <c r="A986" s="195">
        <v>43633</v>
      </c>
      <c r="B986" s="57" t="s">
        <v>157</v>
      </c>
      <c r="C986" s="51" t="s">
        <v>156</v>
      </c>
      <c r="D986">
        <v>6897.65</v>
      </c>
      <c r="E986">
        <v>6942.51</v>
      </c>
      <c r="F986">
        <v>6944.39</v>
      </c>
      <c r="G986">
        <v>6920.56</v>
      </c>
      <c r="H986">
        <v>6803.11</v>
      </c>
      <c r="I986">
        <v>6835.01</v>
      </c>
      <c r="J986">
        <v>6917.63</v>
      </c>
      <c r="K986">
        <v>6960</v>
      </c>
      <c r="L986">
        <v>6958.5</v>
      </c>
      <c r="M986" s="50"/>
      <c r="N986" s="50"/>
      <c r="O986" s="50"/>
      <c r="P986" s="50"/>
      <c r="Q986" s="57">
        <f>IF((L987=""),"",MAX(D988:L988))</f>
        <v>3677.24</v>
      </c>
      <c r="R986" s="57">
        <f>IF(L987="","",MIN(D988:L988))</f>
        <v>3631.0999999999985</v>
      </c>
      <c r="S986" s="58">
        <f>IF((L988=""),"",AVERAGE(D988:L988))</f>
        <v>3648.76</v>
      </c>
      <c r="T986" s="57">
        <f>IF((L987=""),"",((Q986-R986)/(Q986+R986))*100)</f>
        <v>0.63133351759772049</v>
      </c>
      <c r="U986" s="56">
        <f>STDEV(D986:L986)</f>
        <v>55.283890686516948</v>
      </c>
      <c r="V986" s="55" t="str">
        <f>IF(L987="","",(IF(T986&lt;7,IF(S986&gt;2800,IF(S986&lt;3800,"Pass","Fail"),"Fail"),"Fail")))</f>
        <v>Pass</v>
      </c>
      <c r="W986" s="54">
        <v>1335</v>
      </c>
      <c r="X986" s="8" t="s">
        <v>327</v>
      </c>
      <c r="Z986" s="53">
        <v>2800</v>
      </c>
      <c r="AA986" s="53">
        <v>3800</v>
      </c>
      <c r="AB986" s="53">
        <v>3100</v>
      </c>
      <c r="AC986" s="53">
        <v>3760</v>
      </c>
      <c r="AD986" s="52">
        <v>6</v>
      </c>
      <c r="AE986" s="52">
        <v>6</v>
      </c>
    </row>
    <row r="987" spans="1:31" ht="16.5" customHeight="1">
      <c r="A987" s="199"/>
      <c r="B987" s="48"/>
      <c r="C987" s="51" t="s">
        <v>155</v>
      </c>
      <c r="D987">
        <v>5069.74</v>
      </c>
      <c r="E987">
        <v>5117.6899999999996</v>
      </c>
      <c r="F987">
        <v>5126.17</v>
      </c>
      <c r="G987">
        <v>5102.2299999999996</v>
      </c>
      <c r="H987">
        <v>4987.5600000000004</v>
      </c>
      <c r="I987">
        <v>4996.3900000000003</v>
      </c>
      <c r="J987">
        <v>5094.84</v>
      </c>
      <c r="K987">
        <v>5139.84</v>
      </c>
      <c r="L987">
        <v>5125.4799999999996</v>
      </c>
      <c r="M987" s="50"/>
      <c r="N987" s="50"/>
      <c r="O987" s="50"/>
      <c r="P987" s="50"/>
      <c r="Q987" s="48"/>
      <c r="R987" s="48"/>
      <c r="S987" s="49"/>
      <c r="T987" s="48"/>
      <c r="U987" s="48"/>
      <c r="V987" s="47"/>
      <c r="W987" s="46"/>
      <c r="X987" s="8"/>
    </row>
    <row r="988" spans="1:31" ht="24.75" customHeight="1" thickBot="1">
      <c r="A988" s="199"/>
      <c r="B988" s="42"/>
      <c r="C988" s="45" t="s">
        <v>154</v>
      </c>
      <c r="D988" s="44">
        <f t="shared" ref="D988:L988" si="324">IF(((D986="")*AND(D987="")),"",(D986-D987)*2)</f>
        <v>3655.8199999999997</v>
      </c>
      <c r="E988" s="44">
        <f t="shared" si="324"/>
        <v>3649.6400000000012</v>
      </c>
      <c r="F988" s="44">
        <f t="shared" si="324"/>
        <v>3636.4400000000005</v>
      </c>
      <c r="G988" s="44">
        <f t="shared" si="324"/>
        <v>3636.6600000000017</v>
      </c>
      <c r="H988" s="44">
        <f t="shared" si="324"/>
        <v>3631.0999999999985</v>
      </c>
      <c r="I988" s="44">
        <f t="shared" si="324"/>
        <v>3677.24</v>
      </c>
      <c r="J988" s="44">
        <f t="shared" si="324"/>
        <v>3645.58</v>
      </c>
      <c r="K988" s="44">
        <f t="shared" si="324"/>
        <v>3640.3199999999997</v>
      </c>
      <c r="L988" s="44">
        <f t="shared" si="324"/>
        <v>3666.0400000000009</v>
      </c>
      <c r="M988" s="44"/>
      <c r="N988" s="44"/>
      <c r="O988" s="44"/>
      <c r="P988" s="44"/>
      <c r="Q988" s="42"/>
      <c r="R988" s="42"/>
      <c r="S988" s="43"/>
      <c r="T988" s="42"/>
      <c r="U988" s="42"/>
      <c r="V988" s="41"/>
      <c r="W988" s="40"/>
      <c r="X988" s="8"/>
    </row>
    <row r="989" spans="1:31" ht="15.75">
      <c r="A989" s="195">
        <v>43636</v>
      </c>
      <c r="B989" s="63" t="s">
        <v>158</v>
      </c>
      <c r="C989" s="56" t="s">
        <v>156</v>
      </c>
      <c r="D989">
        <v>2199.14</v>
      </c>
      <c r="E989">
        <v>2174.5100000000002</v>
      </c>
      <c r="F989">
        <v>2146.0100000000002</v>
      </c>
      <c r="G989">
        <v>2164.06</v>
      </c>
      <c r="H989">
        <v>2190.88</v>
      </c>
      <c r="I989">
        <v>2193.33</v>
      </c>
      <c r="J989">
        <v>2166.12</v>
      </c>
      <c r="K989">
        <v>2168.6999999999998</v>
      </c>
      <c r="L989">
        <v>2193.7800000000002</v>
      </c>
      <c r="M989" s="62"/>
      <c r="N989" s="62"/>
      <c r="O989" s="62"/>
      <c r="P989" s="62"/>
      <c r="Q989" s="57">
        <f>IF((L990=""),"",MAX(D991:L991))</f>
        <v>3350.4400000000005</v>
      </c>
      <c r="R989" s="57">
        <f>IF(L990="","",MIN(D991:L991))</f>
        <v>2922.880000000001</v>
      </c>
      <c r="S989" s="58">
        <f>IF((L991=""),"",AVERAGE(D991:L991))</f>
        <v>3157.1822222222222</v>
      </c>
      <c r="T989" s="57">
        <f>IF((L990=""),"",((Q989-R989)/(Q989+R989))*100)</f>
        <v>6.8155298948563026</v>
      </c>
      <c r="U989" s="56">
        <f>STDEV(D989:L989)</f>
        <v>17.856983772318525</v>
      </c>
      <c r="V989" s="55" t="str">
        <f>IF(L990="","",(IF(T989&lt;12,IF(S989&gt;2200,IF(S989&lt;3280,"Pass","Fail"),"Fail"),"Fail")))</f>
        <v>Pass</v>
      </c>
      <c r="W989" s="54">
        <v>1335</v>
      </c>
      <c r="X989" s="26" t="s">
        <v>329</v>
      </c>
      <c r="Z989" s="37">
        <v>2000</v>
      </c>
      <c r="AA989" s="37">
        <v>3000</v>
      </c>
      <c r="AB989" s="37">
        <v>2200</v>
      </c>
      <c r="AC989" s="37">
        <v>3280</v>
      </c>
      <c r="AD989" s="39">
        <v>12</v>
      </c>
      <c r="AE989" s="39">
        <v>12</v>
      </c>
    </row>
    <row r="990" spans="1:31" ht="16.5" customHeight="1">
      <c r="A990" s="199"/>
      <c r="B990" s="48"/>
      <c r="C990" s="51" t="s">
        <v>155</v>
      </c>
      <c r="D990">
        <v>1394.06</v>
      </c>
      <c r="E990">
        <v>1406.29</v>
      </c>
      <c r="F990">
        <v>1415.29</v>
      </c>
      <c r="G990">
        <v>1397.28</v>
      </c>
      <c r="H990">
        <v>1353.27</v>
      </c>
      <c r="I990">
        <v>1371.91</v>
      </c>
      <c r="J990">
        <v>1402.01</v>
      </c>
      <c r="K990">
        <v>1396.36</v>
      </c>
      <c r="L990">
        <v>1356.4</v>
      </c>
      <c r="M990" s="50"/>
      <c r="N990" s="50"/>
      <c r="O990" s="50"/>
      <c r="P990" s="50"/>
      <c r="Q990" s="48"/>
      <c r="R990" s="48"/>
      <c r="S990" s="48"/>
      <c r="T990" s="48"/>
      <c r="U990" s="48"/>
      <c r="V990" s="47"/>
      <c r="W990" s="46"/>
      <c r="X990" s="8"/>
    </row>
    <row r="991" spans="1:31" ht="24.75" customHeight="1" thickBot="1">
      <c r="A991" s="199"/>
      <c r="B991" s="61"/>
      <c r="C991" s="51" t="s">
        <v>154</v>
      </c>
      <c r="D991" s="24">
        <f t="shared" ref="D991:L991" si="325">IF(((D989="")*AND(D990="")),"",(D989-D990)*4)</f>
        <v>3220.3199999999997</v>
      </c>
      <c r="E991" s="24">
        <f t="shared" si="325"/>
        <v>3072.880000000001</v>
      </c>
      <c r="F991" s="24">
        <f t="shared" si="325"/>
        <v>2922.880000000001</v>
      </c>
      <c r="G991" s="24">
        <f t="shared" si="325"/>
        <v>3067.12</v>
      </c>
      <c r="H991" s="24">
        <f t="shared" si="325"/>
        <v>3350.4400000000005</v>
      </c>
      <c r="I991" s="24">
        <f t="shared" si="325"/>
        <v>3285.6799999999994</v>
      </c>
      <c r="J991" s="24">
        <f t="shared" si="325"/>
        <v>3056.4399999999996</v>
      </c>
      <c r="K991" s="24">
        <f t="shared" si="325"/>
        <v>3089.3599999999997</v>
      </c>
      <c r="L991" s="24">
        <f t="shared" si="325"/>
        <v>3349.5200000000004</v>
      </c>
      <c r="M991" s="24"/>
      <c r="N991" s="24"/>
      <c r="O991" s="24"/>
      <c r="P991" s="24" t="str">
        <f>IF(((P989="")*AND(P990="")),"",(P989-P990)*4)</f>
        <v/>
      </c>
      <c r="Q991" s="61"/>
      <c r="R991" s="61"/>
      <c r="S991" s="61"/>
      <c r="T991" s="61"/>
      <c r="U991" s="61"/>
      <c r="V991" s="60"/>
      <c r="W991" s="59"/>
      <c r="X991" s="8"/>
    </row>
    <row r="992" spans="1:31" ht="15.75">
      <c r="A992" s="195">
        <v>43636</v>
      </c>
      <c r="B992" s="57" t="s">
        <v>157</v>
      </c>
      <c r="C992" s="51" t="s">
        <v>156</v>
      </c>
      <c r="D992">
        <v>5072.0200000000004</v>
      </c>
      <c r="E992">
        <v>5119.41</v>
      </c>
      <c r="F992">
        <v>5127.59</v>
      </c>
      <c r="G992">
        <v>5104.41</v>
      </c>
      <c r="H992">
        <v>4991.9799999999996</v>
      </c>
      <c r="I992">
        <v>5000.21</v>
      </c>
      <c r="J992">
        <v>5096.63</v>
      </c>
      <c r="K992">
        <v>5141.3599999999997</v>
      </c>
      <c r="L992">
        <v>5127.1000000000004</v>
      </c>
      <c r="M992" s="50"/>
      <c r="N992" s="50"/>
      <c r="O992" s="50"/>
      <c r="P992" s="50"/>
      <c r="Q992" s="57">
        <f>IF((L993=""),"",MAX(D994:L994))</f>
        <v>3561.4800000000005</v>
      </c>
      <c r="R992" s="57">
        <f>IF(L993="","",MIN(D994:L994))</f>
        <v>3505.3599999999988</v>
      </c>
      <c r="S992" s="58">
        <f>IF((L994=""),"",AVERAGE(D994:L994))</f>
        <v>3541.9044444444439</v>
      </c>
      <c r="T992" s="57">
        <f>IF((L993=""),"",((Q992-R992)/(Q992+R992))*100)</f>
        <v>0.79413146469994678</v>
      </c>
      <c r="U992" s="56">
        <f>STDEV(D992:L992)</f>
        <v>55.274251490014692</v>
      </c>
      <c r="V992" s="55" t="str">
        <f>IF(L993="","",(IF(T992&lt;7,IF(S992&gt;2800,IF(S992&lt;3800,"Pass","Fail"),"Fail"),"Fail")))</f>
        <v>Pass</v>
      </c>
      <c r="W992" s="54">
        <v>1335</v>
      </c>
      <c r="X992" s="26" t="s">
        <v>329</v>
      </c>
      <c r="Z992" s="53">
        <v>2800</v>
      </c>
      <c r="AA992" s="53">
        <v>3800</v>
      </c>
      <c r="AB992" s="53">
        <v>3100</v>
      </c>
      <c r="AC992" s="53">
        <v>3760</v>
      </c>
      <c r="AD992" s="52">
        <v>6</v>
      </c>
      <c r="AE992" s="52">
        <v>6</v>
      </c>
    </row>
    <row r="993" spans="1:31" ht="16.5" customHeight="1">
      <c r="A993" s="199"/>
      <c r="B993" s="48"/>
      <c r="C993" s="51" t="s">
        <v>155</v>
      </c>
      <c r="D993">
        <v>3300.76</v>
      </c>
      <c r="E993">
        <v>3341.76</v>
      </c>
      <c r="F993">
        <v>3355.95</v>
      </c>
      <c r="G993">
        <v>3336.13</v>
      </c>
      <c r="H993">
        <v>3239.3</v>
      </c>
      <c r="I993">
        <v>3230.01</v>
      </c>
      <c r="J993">
        <v>3325.82</v>
      </c>
      <c r="K993">
        <v>3366.05</v>
      </c>
      <c r="L993">
        <v>3346.36</v>
      </c>
      <c r="M993" s="50"/>
      <c r="N993" s="50"/>
      <c r="O993" s="50"/>
      <c r="P993" s="50"/>
      <c r="Q993" s="48"/>
      <c r="R993" s="48"/>
      <c r="S993" s="49"/>
      <c r="T993" s="48"/>
      <c r="U993" s="48"/>
      <c r="V993" s="47"/>
      <c r="W993" s="46"/>
      <c r="X993" s="8"/>
    </row>
    <row r="994" spans="1:31" ht="24.75" customHeight="1" thickBot="1">
      <c r="A994" s="199"/>
      <c r="B994" s="42"/>
      <c r="C994" s="45" t="s">
        <v>154</v>
      </c>
      <c r="D994" s="44">
        <f t="shared" ref="D994:L994" si="326">IF(((D992="")*AND(D993="")),"",(D992-D993)*2)</f>
        <v>3542.5200000000004</v>
      </c>
      <c r="E994" s="44">
        <f t="shared" si="326"/>
        <v>3555.2999999999993</v>
      </c>
      <c r="F994" s="44">
        <f t="shared" si="326"/>
        <v>3543.2800000000007</v>
      </c>
      <c r="G994" s="44">
        <f t="shared" si="326"/>
        <v>3536.5599999999995</v>
      </c>
      <c r="H994" s="44">
        <f t="shared" si="326"/>
        <v>3505.3599999999988</v>
      </c>
      <c r="I994" s="44">
        <f t="shared" si="326"/>
        <v>3540.3999999999996</v>
      </c>
      <c r="J994" s="44">
        <f t="shared" si="326"/>
        <v>3541.62</v>
      </c>
      <c r="K994" s="44">
        <f t="shared" si="326"/>
        <v>3550.619999999999</v>
      </c>
      <c r="L994" s="44">
        <f t="shared" si="326"/>
        <v>3561.4800000000005</v>
      </c>
      <c r="M994" s="44"/>
      <c r="N994" s="44"/>
      <c r="O994" s="44"/>
      <c r="P994" s="44"/>
      <c r="Q994" s="42"/>
      <c r="R994" s="42"/>
      <c r="S994" s="43"/>
      <c r="T994" s="42"/>
      <c r="U994" s="42"/>
      <c r="V994" s="41"/>
      <c r="W994" s="40"/>
      <c r="X994" s="8"/>
    </row>
    <row r="995" spans="1:31" ht="15.75">
      <c r="A995" s="195">
        <v>43640</v>
      </c>
      <c r="B995" s="63" t="s">
        <v>158</v>
      </c>
      <c r="C995" s="56" t="s">
        <v>156</v>
      </c>
      <c r="D995">
        <v>1992.04</v>
      </c>
      <c r="E995">
        <v>1973.5</v>
      </c>
      <c r="F995">
        <v>1968.25</v>
      </c>
      <c r="G995">
        <v>1978.5</v>
      </c>
      <c r="H995">
        <v>1995.01</v>
      </c>
      <c r="I995">
        <v>1995.79</v>
      </c>
      <c r="J995">
        <v>1978.42</v>
      </c>
      <c r="K995">
        <v>1978.08</v>
      </c>
      <c r="L995">
        <v>1987.95</v>
      </c>
      <c r="M995" s="62"/>
      <c r="N995" s="62"/>
      <c r="O995" s="62"/>
      <c r="P995" s="62"/>
      <c r="Q995" s="57">
        <f>IF((L996=""),"",MAX(D997:L997))</f>
        <v>3308.3599999999997</v>
      </c>
      <c r="R995" s="57">
        <f>IF(L996="","",MIN(D997:L997))</f>
        <v>2886</v>
      </c>
      <c r="S995" s="58">
        <f>IF((L997=""),"",AVERAGE(D997:L997))</f>
        <v>3087.991111111111</v>
      </c>
      <c r="T995" s="57">
        <f>IF((L996=""),"",((Q995-R995)/(Q995+R995))*100)</f>
        <v>6.8184606642171213</v>
      </c>
      <c r="U995" s="56">
        <f>STDEV(D995:L995)</f>
        <v>9.920063003806197</v>
      </c>
      <c r="V995" s="55" t="str">
        <f>IF(L996="","",(IF(T995&lt;12,IF(S995&gt;2200,IF(S995&lt;3280,"Pass","Fail"),"Fail"),"Fail")))</f>
        <v>Pass</v>
      </c>
      <c r="W995" s="54">
        <v>1340</v>
      </c>
      <c r="X995" s="26" t="s">
        <v>331</v>
      </c>
      <c r="Z995" s="37">
        <v>2000</v>
      </c>
      <c r="AA995" s="37">
        <v>3000</v>
      </c>
      <c r="AB995" s="37">
        <v>2200</v>
      </c>
      <c r="AC995" s="37">
        <v>3280</v>
      </c>
      <c r="AD995" s="39">
        <v>12</v>
      </c>
      <c r="AE995" s="39">
        <v>12</v>
      </c>
    </row>
    <row r="996" spans="1:31" ht="16.5" customHeight="1">
      <c r="A996" s="199"/>
      <c r="B996" s="48"/>
      <c r="C996" s="51" t="s">
        <v>155</v>
      </c>
      <c r="D996">
        <v>1212.3800000000001</v>
      </c>
      <c r="E996">
        <v>1235.21</v>
      </c>
      <c r="F996">
        <v>1246.75</v>
      </c>
      <c r="G996">
        <v>1223.42</v>
      </c>
      <c r="H996">
        <v>1167.92</v>
      </c>
      <c r="I996">
        <v>1193.96</v>
      </c>
      <c r="J996">
        <v>1234.18</v>
      </c>
      <c r="K996">
        <v>1220.1600000000001</v>
      </c>
      <c r="L996">
        <v>1165.58</v>
      </c>
      <c r="M996" s="50"/>
      <c r="N996" s="50"/>
      <c r="O996" s="50"/>
      <c r="P996" s="50"/>
      <c r="Q996" s="48"/>
      <c r="R996" s="48"/>
      <c r="S996" s="48"/>
      <c r="T996" s="48"/>
      <c r="U996" s="48"/>
      <c r="V996" s="47"/>
      <c r="W996" s="46"/>
      <c r="X996" s="8"/>
    </row>
    <row r="997" spans="1:31" ht="24.75" customHeight="1" thickBot="1">
      <c r="A997" s="199"/>
      <c r="B997" s="61"/>
      <c r="C997" s="51" t="s">
        <v>154</v>
      </c>
      <c r="D997" s="24">
        <f t="shared" ref="D997:L997" si="327">IF(((D995="")*AND(D996="")),"",(D995-D996)*4)</f>
        <v>3118.6399999999994</v>
      </c>
      <c r="E997" s="24">
        <f t="shared" si="327"/>
        <v>2953.16</v>
      </c>
      <c r="F997" s="24">
        <f t="shared" si="327"/>
        <v>2886</v>
      </c>
      <c r="G997" s="24">
        <f t="shared" si="327"/>
        <v>3020.3199999999997</v>
      </c>
      <c r="H997" s="24">
        <f t="shared" si="327"/>
        <v>3308.3599999999997</v>
      </c>
      <c r="I997" s="24">
        <f t="shared" si="327"/>
        <v>3207.3199999999997</v>
      </c>
      <c r="J997" s="24">
        <f t="shared" si="327"/>
        <v>2976.96</v>
      </c>
      <c r="K997" s="24">
        <f t="shared" si="327"/>
        <v>3031.6799999999994</v>
      </c>
      <c r="L997" s="24">
        <f t="shared" si="327"/>
        <v>3289.4800000000005</v>
      </c>
      <c r="M997" s="24"/>
      <c r="N997" s="24"/>
      <c r="O997" s="24"/>
      <c r="P997" s="24" t="str">
        <f>IF(((P995="")*AND(P996="")),"",(P995-P996)*4)</f>
        <v/>
      </c>
      <c r="Q997" s="61"/>
      <c r="R997" s="61"/>
      <c r="S997" s="61"/>
      <c r="T997" s="61"/>
      <c r="U997" s="61"/>
      <c r="V997" s="60"/>
      <c r="W997" s="59"/>
      <c r="X997" s="8"/>
    </row>
    <row r="998" spans="1:31" ht="15.75">
      <c r="A998" s="195">
        <v>43640</v>
      </c>
      <c r="B998" s="57" t="s">
        <v>157</v>
      </c>
      <c r="C998" s="51" t="s">
        <v>156</v>
      </c>
      <c r="D998">
        <v>3305.96</v>
      </c>
      <c r="E998">
        <v>3348.34</v>
      </c>
      <c r="F998">
        <v>3361.94</v>
      </c>
      <c r="G998">
        <v>3344.46</v>
      </c>
      <c r="H998">
        <v>3246.8</v>
      </c>
      <c r="I998">
        <v>3235.82</v>
      </c>
      <c r="J998">
        <v>3332.36</v>
      </c>
      <c r="K998">
        <v>3371.54</v>
      </c>
      <c r="L998">
        <v>3350.73</v>
      </c>
      <c r="M998" s="50"/>
      <c r="N998" s="50"/>
      <c r="O998" s="50"/>
      <c r="P998" s="50"/>
      <c r="Q998" s="57">
        <f>IF((L999=""),"",MAX(D1000:L1000))</f>
        <v>3560.52</v>
      </c>
      <c r="R998" s="57">
        <f>IF(L999="","",MIN(D1000:L1000))</f>
        <v>3484.9600000000005</v>
      </c>
      <c r="S998" s="58">
        <f>IF((L1000=""),"",AVERAGE(D1000:L1000))</f>
        <v>3538.5622222222223</v>
      </c>
      <c r="T998" s="57">
        <f>IF((L999=""),"",((Q998-R998)/(Q998+R998))*100)</f>
        <v>1.072460641432514</v>
      </c>
      <c r="U998" s="56">
        <f>STDEV(D998:L998)</f>
        <v>49.396000119237193</v>
      </c>
      <c r="V998" s="55" t="str">
        <f>IF(L999="","",(IF(T998&lt;7,IF(S998&gt;2800,IF(S998&lt;3800,"Pass","Fail"),"Fail"),"Fail")))</f>
        <v>Pass</v>
      </c>
      <c r="W998" s="54">
        <v>1340</v>
      </c>
      <c r="X998" s="26" t="s">
        <v>331</v>
      </c>
      <c r="Z998" s="53">
        <v>2800</v>
      </c>
      <c r="AA998" s="53">
        <v>3800</v>
      </c>
      <c r="AB998" s="53">
        <v>3100</v>
      </c>
      <c r="AC998" s="53">
        <v>3760</v>
      </c>
      <c r="AD998" s="52">
        <v>6</v>
      </c>
      <c r="AE998" s="52">
        <v>6</v>
      </c>
    </row>
    <row r="999" spans="1:31" ht="16.5" customHeight="1">
      <c r="A999" s="199"/>
      <c r="B999" s="48"/>
      <c r="C999" s="51" t="s">
        <v>155</v>
      </c>
      <c r="D999">
        <v>1537.21</v>
      </c>
      <c r="E999">
        <v>1569.05</v>
      </c>
      <c r="F999">
        <v>1587.97</v>
      </c>
      <c r="G999">
        <v>1576.13</v>
      </c>
      <c r="H999">
        <v>1504.32</v>
      </c>
      <c r="I999">
        <v>1473.79</v>
      </c>
      <c r="J999">
        <v>1561.48</v>
      </c>
      <c r="K999">
        <v>1594</v>
      </c>
      <c r="L999">
        <v>1570.47</v>
      </c>
      <c r="M999" s="50"/>
      <c r="N999" s="50"/>
      <c r="O999" s="50"/>
      <c r="P999" s="50"/>
      <c r="Q999" s="48"/>
      <c r="R999" s="48"/>
      <c r="S999" s="49"/>
      <c r="T999" s="48"/>
      <c r="U999" s="48"/>
      <c r="V999" s="47"/>
      <c r="W999" s="46"/>
      <c r="X999" s="8"/>
    </row>
    <row r="1000" spans="1:31" ht="24.75" customHeight="1" thickBot="1">
      <c r="A1000" s="199"/>
      <c r="B1000" s="42"/>
      <c r="C1000" s="45" t="s">
        <v>154</v>
      </c>
      <c r="D1000" s="44">
        <f t="shared" ref="D1000:L1000" si="328">IF(((D998="")*AND(D999="")),"",(D998-D999)*2)</f>
        <v>3537.5</v>
      </c>
      <c r="E1000" s="44">
        <f t="shared" si="328"/>
        <v>3558.5800000000004</v>
      </c>
      <c r="F1000" s="44">
        <f t="shared" si="328"/>
        <v>3547.94</v>
      </c>
      <c r="G1000" s="44">
        <f t="shared" si="328"/>
        <v>3536.66</v>
      </c>
      <c r="H1000" s="44">
        <f t="shared" si="328"/>
        <v>3484.9600000000005</v>
      </c>
      <c r="I1000" s="44">
        <f t="shared" si="328"/>
        <v>3524.0600000000004</v>
      </c>
      <c r="J1000" s="44">
        <f t="shared" si="328"/>
        <v>3541.76</v>
      </c>
      <c r="K1000" s="44">
        <f t="shared" si="328"/>
        <v>3555.08</v>
      </c>
      <c r="L1000" s="44">
        <f t="shared" si="328"/>
        <v>3560.52</v>
      </c>
      <c r="M1000" s="44"/>
      <c r="N1000" s="44"/>
      <c r="O1000" s="44"/>
      <c r="P1000" s="44"/>
      <c r="Q1000" s="42"/>
      <c r="R1000" s="42"/>
      <c r="S1000" s="43"/>
      <c r="T1000" s="42"/>
      <c r="U1000" s="42"/>
      <c r="V1000" s="41"/>
      <c r="W1000" s="40"/>
      <c r="X1000" s="8"/>
    </row>
    <row r="1001" spans="1:31" ht="15.75">
      <c r="A1001" s="195">
        <v>43648</v>
      </c>
      <c r="B1001" s="63" t="s">
        <v>158</v>
      </c>
      <c r="C1001" s="56" t="s">
        <v>156</v>
      </c>
      <c r="D1001">
        <v>1213.42</v>
      </c>
      <c r="E1001">
        <v>1236.05</v>
      </c>
      <c r="F1001">
        <v>1250.23</v>
      </c>
      <c r="G1001">
        <v>1225.3</v>
      </c>
      <c r="H1001">
        <v>1168.3</v>
      </c>
      <c r="I1001">
        <v>1195.6600000000001</v>
      </c>
      <c r="J1001">
        <v>1236.21</v>
      </c>
      <c r="K1001">
        <v>1223.49</v>
      </c>
      <c r="L1001">
        <v>1168.68</v>
      </c>
      <c r="M1001" s="62"/>
      <c r="N1001" s="62"/>
      <c r="O1001" s="62"/>
      <c r="P1001" s="62"/>
      <c r="Q1001" s="57">
        <f>IF((L1002=""),"",MAX(D1003:L1003))</f>
        <v>2925.96</v>
      </c>
      <c r="R1001" s="57">
        <f>IF(L1002="","",MIN(D1003:L1003))</f>
        <v>2629.8</v>
      </c>
      <c r="S1001" s="58">
        <f>IF((L1003=""),"",AVERAGE(D1003:L1003))</f>
        <v>2778.9999999999995</v>
      </c>
      <c r="T1001" s="57">
        <f>IF((L1002=""),"",((Q1001-R1001)/(Q1001+R1001))*100)</f>
        <v>5.3306838308350226</v>
      </c>
      <c r="U1001" s="56">
        <f>STDEV(D1001:L1001)</f>
        <v>29.539382939472944</v>
      </c>
      <c r="V1001" s="55" t="str">
        <f>IF(L1002="","",(IF(T1001&lt;12,IF(S1001&gt;2200,IF(S1001&lt;3280,"Pass","Fail"),"Fail"),"Fail")))</f>
        <v>Pass</v>
      </c>
      <c r="W1001" s="54">
        <v>1159</v>
      </c>
      <c r="X1001" s="26" t="s">
        <v>333</v>
      </c>
      <c r="Z1001" s="37">
        <v>2000</v>
      </c>
      <c r="AA1001" s="37">
        <v>3000</v>
      </c>
      <c r="AB1001" s="37">
        <v>2200</v>
      </c>
      <c r="AC1001" s="37">
        <v>3280</v>
      </c>
      <c r="AD1001" s="39">
        <v>12</v>
      </c>
      <c r="AE1001" s="39">
        <v>12</v>
      </c>
    </row>
    <row r="1002" spans="1:31" ht="16.5" customHeight="1">
      <c r="A1002" s="199"/>
      <c r="B1002" s="48"/>
      <c r="C1002" s="51" t="s">
        <v>155</v>
      </c>
      <c r="D1002">
        <v>511.61</v>
      </c>
      <c r="E1002">
        <v>565.22</v>
      </c>
      <c r="F1002">
        <v>592.78</v>
      </c>
      <c r="G1002">
        <v>542.91999999999996</v>
      </c>
      <c r="H1002">
        <v>437.79</v>
      </c>
      <c r="I1002">
        <v>477.45</v>
      </c>
      <c r="J1002">
        <v>561.13</v>
      </c>
      <c r="K1002">
        <v>538.5</v>
      </c>
      <c r="L1002">
        <v>437.19</v>
      </c>
      <c r="M1002" s="50"/>
      <c r="N1002" s="50"/>
      <c r="O1002" s="50"/>
      <c r="P1002" s="50"/>
      <c r="Q1002" s="48"/>
      <c r="R1002" s="48"/>
      <c r="S1002" s="48"/>
      <c r="T1002" s="48"/>
      <c r="U1002" s="48"/>
      <c r="V1002" s="47"/>
      <c r="W1002" s="46"/>
      <c r="X1002" s="8"/>
    </row>
    <row r="1003" spans="1:31" ht="24.75" customHeight="1" thickBot="1">
      <c r="A1003" s="199"/>
      <c r="B1003" s="61"/>
      <c r="C1003" s="51" t="s">
        <v>154</v>
      </c>
      <c r="D1003" s="24">
        <f t="shared" ref="D1003:L1003" si="329">IF(((D1001="")*AND(D1002="")),"",(D1001-D1002)*4)</f>
        <v>2807.2400000000002</v>
      </c>
      <c r="E1003" s="24">
        <f t="shared" si="329"/>
        <v>2683.3199999999997</v>
      </c>
      <c r="F1003" s="24">
        <f t="shared" si="329"/>
        <v>2629.8</v>
      </c>
      <c r="G1003" s="24">
        <f t="shared" si="329"/>
        <v>2729.52</v>
      </c>
      <c r="H1003" s="24">
        <f t="shared" si="329"/>
        <v>2922.04</v>
      </c>
      <c r="I1003" s="24">
        <f t="shared" si="329"/>
        <v>2872.84</v>
      </c>
      <c r="J1003" s="24">
        <f t="shared" si="329"/>
        <v>2700.32</v>
      </c>
      <c r="K1003" s="24">
        <f t="shared" si="329"/>
        <v>2739.96</v>
      </c>
      <c r="L1003" s="24">
        <f t="shared" si="329"/>
        <v>2925.96</v>
      </c>
      <c r="M1003" s="24"/>
      <c r="N1003" s="24"/>
      <c r="O1003" s="24"/>
      <c r="P1003" s="24" t="str">
        <f>IF(((P1001="")*AND(P1002="")),"",(P1001-P1002)*4)</f>
        <v/>
      </c>
      <c r="Q1003" s="61"/>
      <c r="R1003" s="61"/>
      <c r="S1003" s="61"/>
      <c r="T1003" s="61"/>
      <c r="U1003" s="61"/>
      <c r="V1003" s="60"/>
      <c r="W1003" s="59"/>
      <c r="X1003" s="8"/>
    </row>
    <row r="1004" spans="1:31" ht="15.75">
      <c r="A1004" s="195">
        <v>43648</v>
      </c>
      <c r="B1004" s="57" t="s">
        <v>157</v>
      </c>
      <c r="C1004" s="51" t="s">
        <v>156</v>
      </c>
      <c r="D1004">
        <v>6994.36</v>
      </c>
      <c r="E1004">
        <v>6977.81</v>
      </c>
      <c r="F1004">
        <v>6979.07</v>
      </c>
      <c r="G1004">
        <v>6942.82</v>
      </c>
      <c r="H1004">
        <v>6848.31</v>
      </c>
      <c r="I1004">
        <v>6932.73</v>
      </c>
      <c r="J1004">
        <v>6936.24</v>
      </c>
      <c r="K1004">
        <v>6996.19</v>
      </c>
      <c r="L1004">
        <v>6997.6</v>
      </c>
      <c r="M1004" s="50"/>
      <c r="N1004" s="50"/>
      <c r="O1004" s="50"/>
      <c r="P1004" s="50"/>
      <c r="Q1004" s="57">
        <f>IF((L1005=""),"",MAX(D1006:L1006))</f>
        <v>3635.2199999999993</v>
      </c>
      <c r="R1004" s="57">
        <f>IF(L1005="","",MIN(D1006:L1006))</f>
        <v>3546.5</v>
      </c>
      <c r="S1004" s="58">
        <f>IF((L1006=""),"",AVERAGE(D1006:L1006))</f>
        <v>3574.8466666666664</v>
      </c>
      <c r="T1004" s="57">
        <f>IF((L1005=""),"",((Q1004-R1004)/(Q1004+R1004))*100)</f>
        <v>1.2353586605994016</v>
      </c>
      <c r="U1004" s="56">
        <f>STDEV(D1004:L1004)</f>
        <v>48.124634832848393</v>
      </c>
      <c r="V1004" s="55" t="str">
        <f>IF(L1005="","",(IF(T1004&lt;7,IF(S1004&gt;2800,IF(S1004&lt;3800,"Pass","Fail"),"Fail"),"Fail")))</f>
        <v>Pass</v>
      </c>
      <c r="W1004" s="54">
        <v>1159</v>
      </c>
      <c r="X1004" s="26" t="s">
        <v>333</v>
      </c>
      <c r="Z1004" s="53">
        <v>2800</v>
      </c>
      <c r="AA1004" s="53">
        <v>3800</v>
      </c>
      <c r="AB1004" s="53">
        <v>3100</v>
      </c>
      <c r="AC1004" s="53">
        <v>3760</v>
      </c>
      <c r="AD1004" s="52">
        <v>6</v>
      </c>
      <c r="AE1004" s="52">
        <v>6</v>
      </c>
    </row>
    <row r="1005" spans="1:31" ht="16.5" customHeight="1">
      <c r="A1005" s="199"/>
      <c r="B1005" s="48"/>
      <c r="C1005" s="51" t="s">
        <v>155</v>
      </c>
      <c r="D1005">
        <v>5195.34</v>
      </c>
      <c r="E1005">
        <v>5197.92</v>
      </c>
      <c r="F1005">
        <v>5204.87</v>
      </c>
      <c r="G1005">
        <v>5169.57</v>
      </c>
      <c r="H1005">
        <v>5064.16</v>
      </c>
      <c r="I1005">
        <v>5115.12</v>
      </c>
      <c r="J1005">
        <v>5156.0600000000004</v>
      </c>
      <c r="K1005">
        <v>5217.43</v>
      </c>
      <c r="L1005">
        <v>5197.8500000000004</v>
      </c>
      <c r="M1005" s="50"/>
      <c r="N1005" s="50"/>
      <c r="O1005" s="50"/>
      <c r="P1005" s="50"/>
      <c r="Q1005" s="48"/>
      <c r="R1005" s="48"/>
      <c r="S1005" s="49"/>
      <c r="T1005" s="48"/>
      <c r="U1005" s="48"/>
      <c r="V1005" s="47"/>
      <c r="W1005" s="46"/>
      <c r="X1005" s="8"/>
    </row>
    <row r="1006" spans="1:31" ht="24.75" customHeight="1" thickBot="1">
      <c r="A1006" s="199"/>
      <c r="B1006" s="42"/>
      <c r="C1006" s="45" t="s">
        <v>154</v>
      </c>
      <c r="D1006" s="44">
        <f t="shared" ref="D1006:L1006" si="330">IF(((D1004="")*AND(D1005="")),"",(D1004-D1005)*2)</f>
        <v>3598.0399999999991</v>
      </c>
      <c r="E1006" s="44">
        <f t="shared" si="330"/>
        <v>3559.7800000000007</v>
      </c>
      <c r="F1006" s="44">
        <f t="shared" si="330"/>
        <v>3548.3999999999996</v>
      </c>
      <c r="G1006" s="44">
        <f t="shared" si="330"/>
        <v>3546.5</v>
      </c>
      <c r="H1006" s="44">
        <f t="shared" si="330"/>
        <v>3568.3000000000011</v>
      </c>
      <c r="I1006" s="44">
        <f t="shared" si="330"/>
        <v>3635.2199999999993</v>
      </c>
      <c r="J1006" s="44">
        <f t="shared" si="330"/>
        <v>3560.3599999999988</v>
      </c>
      <c r="K1006" s="44">
        <f t="shared" si="330"/>
        <v>3557.5199999999986</v>
      </c>
      <c r="L1006" s="44">
        <f t="shared" si="330"/>
        <v>3599.5</v>
      </c>
      <c r="M1006" s="44"/>
      <c r="N1006" s="44"/>
      <c r="O1006" s="44"/>
      <c r="P1006" s="44"/>
      <c r="Q1006" s="42"/>
      <c r="R1006" s="42"/>
      <c r="S1006" s="43"/>
      <c r="T1006" s="42"/>
      <c r="U1006" s="42"/>
      <c r="V1006" s="41"/>
      <c r="W1006" s="40"/>
      <c r="X1006" s="8"/>
    </row>
    <row r="1007" spans="1:31" ht="15.75">
      <c r="A1007" s="195">
        <v>43651</v>
      </c>
      <c r="B1007" s="63" t="s">
        <v>158</v>
      </c>
      <c r="C1007" s="56" t="s">
        <v>156</v>
      </c>
      <c r="D1007">
        <v>1934.69</v>
      </c>
      <c r="E1007">
        <v>1927.44</v>
      </c>
      <c r="F1007">
        <v>1928.02</v>
      </c>
      <c r="G1007">
        <v>1928.33</v>
      </c>
      <c r="H1007">
        <v>1938.01</v>
      </c>
      <c r="I1007">
        <v>1936.67</v>
      </c>
      <c r="J1007">
        <v>1929.89</v>
      </c>
      <c r="K1007">
        <v>1927.48</v>
      </c>
      <c r="L1007">
        <v>1934.72</v>
      </c>
      <c r="M1007" s="62"/>
      <c r="N1007" s="62"/>
      <c r="O1007" s="62"/>
      <c r="P1007" s="62"/>
      <c r="Q1007" s="57">
        <f>IF((L1008=""),"",MAX(D1009:L1009))</f>
        <v>3093.84</v>
      </c>
      <c r="R1007" s="57">
        <f>IF(L1008="","",MIN(D1009:L1009))</f>
        <v>2757.12</v>
      </c>
      <c r="S1007" s="58">
        <f>IF((L1009=""),"",AVERAGE(D1009:L1009))</f>
        <v>2900.5955555555556</v>
      </c>
      <c r="T1007" s="57">
        <f>IF((L1008=""),"",((Q1007-R1007)/(Q1007+R1007))*100)</f>
        <v>5.7549530333483778</v>
      </c>
      <c r="U1007" s="56">
        <f>STDEV(D1007:L1007)</f>
        <v>4.2823565684106617</v>
      </c>
      <c r="V1007" s="55" t="str">
        <f>IF(L1008="","",(IF(T1007&lt;12,IF(S1007&gt;2200,IF(S1007&lt;3280,"Pass","Fail"),"Fail"),"Fail")))</f>
        <v>Pass</v>
      </c>
      <c r="W1007" s="54">
        <v>1159</v>
      </c>
      <c r="X1007" s="26" t="s">
        <v>335</v>
      </c>
      <c r="Z1007" s="37">
        <v>2000</v>
      </c>
      <c r="AA1007" s="37">
        <v>3000</v>
      </c>
      <c r="AB1007" s="37">
        <v>2200</v>
      </c>
      <c r="AC1007" s="37">
        <v>3280</v>
      </c>
      <c r="AD1007" s="39">
        <v>12</v>
      </c>
      <c r="AE1007" s="39">
        <v>12</v>
      </c>
    </row>
    <row r="1008" spans="1:31" ht="16.5" customHeight="1">
      <c r="A1008" s="199"/>
      <c r="B1008" s="48"/>
      <c r="C1008" s="51" t="s">
        <v>155</v>
      </c>
      <c r="D1008">
        <v>1210.19</v>
      </c>
      <c r="E1008">
        <v>1231.3900000000001</v>
      </c>
      <c r="F1008">
        <v>1238.74</v>
      </c>
      <c r="G1008">
        <v>1214.82</v>
      </c>
      <c r="H1008">
        <v>1164.8599999999999</v>
      </c>
      <c r="I1008">
        <v>1197.01</v>
      </c>
      <c r="J1008">
        <v>1228.28</v>
      </c>
      <c r="K1008">
        <v>1212.3599999999999</v>
      </c>
      <c r="L1008">
        <v>1161.26</v>
      </c>
      <c r="M1008" s="50"/>
      <c r="N1008" s="50"/>
      <c r="O1008" s="50"/>
      <c r="P1008" s="50"/>
      <c r="Q1008" s="48"/>
      <c r="R1008" s="48"/>
      <c r="S1008" s="48"/>
      <c r="T1008" s="48"/>
      <c r="U1008" s="48"/>
      <c r="V1008" s="47"/>
      <c r="W1008" s="46"/>
      <c r="X1008" s="8"/>
    </row>
    <row r="1009" spans="1:31" ht="24.75" customHeight="1" thickBot="1">
      <c r="A1009" s="199"/>
      <c r="B1009" s="61"/>
      <c r="C1009" s="51" t="s">
        <v>154</v>
      </c>
      <c r="D1009" s="24">
        <f t="shared" ref="D1009:L1009" si="331">IF(((D1007="")*AND(D1008="")),"",(D1007-D1008)*4)</f>
        <v>2898</v>
      </c>
      <c r="E1009" s="24">
        <f t="shared" si="331"/>
        <v>2784.2</v>
      </c>
      <c r="F1009" s="24">
        <f t="shared" si="331"/>
        <v>2757.12</v>
      </c>
      <c r="G1009" s="24">
        <f t="shared" si="331"/>
        <v>2854.04</v>
      </c>
      <c r="H1009" s="24">
        <f t="shared" si="331"/>
        <v>3092.6000000000004</v>
      </c>
      <c r="I1009" s="24">
        <f t="shared" si="331"/>
        <v>2958.6400000000003</v>
      </c>
      <c r="J1009" s="24">
        <f t="shared" si="331"/>
        <v>2806.4400000000005</v>
      </c>
      <c r="K1009" s="24">
        <f t="shared" si="331"/>
        <v>2860.4800000000005</v>
      </c>
      <c r="L1009" s="24">
        <f t="shared" si="331"/>
        <v>3093.84</v>
      </c>
      <c r="M1009" s="24"/>
      <c r="N1009" s="24"/>
      <c r="O1009" s="24"/>
      <c r="P1009" s="24" t="str">
        <f>IF(((P1007="")*AND(P1008="")),"",(P1007-P1008)*4)</f>
        <v/>
      </c>
      <c r="Q1009" s="61"/>
      <c r="R1009" s="61"/>
      <c r="S1009" s="61"/>
      <c r="T1009" s="61"/>
      <c r="U1009" s="61"/>
      <c r="V1009" s="60"/>
      <c r="W1009" s="59"/>
      <c r="X1009" s="8"/>
    </row>
    <row r="1010" spans="1:31" ht="15.75">
      <c r="A1010" s="195">
        <v>43651</v>
      </c>
      <c r="B1010" s="57" t="s">
        <v>157</v>
      </c>
      <c r="C1010" s="51" t="s">
        <v>156</v>
      </c>
      <c r="D1010">
        <v>5199.37</v>
      </c>
      <c r="E1010">
        <v>5201.5</v>
      </c>
      <c r="F1010">
        <v>5208.59</v>
      </c>
      <c r="G1010">
        <v>5173.1000000000004</v>
      </c>
      <c r="H1010">
        <v>5068.5200000000004</v>
      </c>
      <c r="I1010">
        <v>5118.47</v>
      </c>
      <c r="J1010">
        <v>5159.53</v>
      </c>
      <c r="K1010">
        <v>5221.03</v>
      </c>
      <c r="L1010">
        <v>5201.6099999999997</v>
      </c>
      <c r="M1010" s="50"/>
      <c r="N1010" s="50"/>
      <c r="O1010" s="50"/>
      <c r="P1010" s="50"/>
      <c r="Q1010" s="57">
        <f>IF((L1011=""),"",MAX(D1012:L1012))</f>
        <v>3610.0000000000009</v>
      </c>
      <c r="R1010" s="57">
        <f>IF(L1011="","",MIN(D1012:L1012))</f>
        <v>3524.4800000000005</v>
      </c>
      <c r="S1010" s="58">
        <f>IF((L1012=""),"",AVERAGE(D1012:L1012))</f>
        <v>3552.9933333333333</v>
      </c>
      <c r="T1010" s="57">
        <f>IF((L1011=""),"",((Q1010-R1010)/(Q1010+R1010))*100)</f>
        <v>1.1986858187282103</v>
      </c>
      <c r="U1010" s="56">
        <f>STDEV(D1010:L1010)</f>
        <v>49.959524367168768</v>
      </c>
      <c r="V1010" s="55" t="str">
        <f>IF(L1011="","",(IF(T1010&lt;7,IF(S1010&gt;2800,IF(S1010&lt;3800,"Pass","Fail"),"Fail"),"Fail")))</f>
        <v>Pass</v>
      </c>
      <c r="W1010" s="54">
        <v>1159</v>
      </c>
      <c r="X1010" s="26" t="s">
        <v>335</v>
      </c>
      <c r="Z1010" s="53">
        <v>2800</v>
      </c>
      <c r="AA1010" s="53">
        <v>3800</v>
      </c>
      <c r="AB1010" s="53">
        <v>3100</v>
      </c>
      <c r="AC1010" s="53">
        <v>3760</v>
      </c>
      <c r="AD1010" s="52">
        <v>6</v>
      </c>
      <c r="AE1010" s="52">
        <v>6</v>
      </c>
    </row>
    <row r="1011" spans="1:31" ht="16.5" customHeight="1">
      <c r="A1011" s="199"/>
      <c r="B1011" s="48"/>
      <c r="C1011" s="51" t="s">
        <v>155</v>
      </c>
      <c r="D1011">
        <v>3407.67</v>
      </c>
      <c r="E1011">
        <v>3429.14</v>
      </c>
      <c r="F1011">
        <v>3443.35</v>
      </c>
      <c r="G1011">
        <v>3410.86</v>
      </c>
      <c r="H1011">
        <v>3305.6</v>
      </c>
      <c r="I1011">
        <v>3313.47</v>
      </c>
      <c r="J1011">
        <v>3390.95</v>
      </c>
      <c r="K1011">
        <v>3450.07</v>
      </c>
      <c r="L1011">
        <v>3412.14</v>
      </c>
      <c r="M1011" s="50"/>
      <c r="N1011" s="50"/>
      <c r="O1011" s="50"/>
      <c r="P1011" s="50"/>
      <c r="Q1011" s="48"/>
      <c r="R1011" s="48"/>
      <c r="S1011" s="49"/>
      <c r="T1011" s="48"/>
      <c r="U1011" s="48"/>
      <c r="V1011" s="47"/>
      <c r="W1011" s="46"/>
      <c r="X1011" s="8"/>
    </row>
    <row r="1012" spans="1:31" ht="24.75" customHeight="1" thickBot="1">
      <c r="A1012" s="199"/>
      <c r="B1012" s="42"/>
      <c r="C1012" s="45" t="s">
        <v>154</v>
      </c>
      <c r="D1012" s="44">
        <f t="shared" ref="D1012:L1012" si="332">IF(((D1010="")*AND(D1011="")),"",(D1010-D1011)*2)</f>
        <v>3583.3999999999996</v>
      </c>
      <c r="E1012" s="44">
        <f t="shared" si="332"/>
        <v>3544.7200000000003</v>
      </c>
      <c r="F1012" s="44">
        <f t="shared" si="332"/>
        <v>3530.4800000000005</v>
      </c>
      <c r="G1012" s="44">
        <f t="shared" si="332"/>
        <v>3524.4800000000005</v>
      </c>
      <c r="H1012" s="44">
        <f t="shared" si="332"/>
        <v>3525.8400000000011</v>
      </c>
      <c r="I1012" s="44">
        <f t="shared" si="332"/>
        <v>3610.0000000000009</v>
      </c>
      <c r="J1012" s="44">
        <f t="shared" si="332"/>
        <v>3537.16</v>
      </c>
      <c r="K1012" s="44">
        <f t="shared" si="332"/>
        <v>3541.9199999999992</v>
      </c>
      <c r="L1012" s="44">
        <f t="shared" si="332"/>
        <v>3578.9399999999996</v>
      </c>
      <c r="M1012" s="44"/>
      <c r="N1012" s="44"/>
      <c r="O1012" s="44"/>
      <c r="P1012" s="44"/>
      <c r="Q1012" s="42"/>
      <c r="R1012" s="42"/>
      <c r="S1012" s="43"/>
      <c r="T1012" s="42"/>
      <c r="U1012" s="42"/>
      <c r="V1012" s="41"/>
      <c r="W1012" s="40"/>
      <c r="X1012" s="8"/>
    </row>
    <row r="1013" spans="1:31" ht="15.75">
      <c r="A1013" s="195">
        <v>43654</v>
      </c>
      <c r="B1013" s="63" t="s">
        <v>158</v>
      </c>
      <c r="C1013" s="56" t="s">
        <v>156</v>
      </c>
      <c r="D1013">
        <v>1211.3499999999999</v>
      </c>
      <c r="E1013">
        <v>1230.6199999999999</v>
      </c>
      <c r="F1013">
        <v>1243.28</v>
      </c>
      <c r="G1013">
        <v>1215.6600000000001</v>
      </c>
      <c r="H1013">
        <v>1166.33</v>
      </c>
      <c r="I1013">
        <v>1194.3499999999999</v>
      </c>
      <c r="J1013">
        <v>1227.56</v>
      </c>
      <c r="K1013">
        <v>1212.72</v>
      </c>
      <c r="L1013">
        <v>1163.07</v>
      </c>
      <c r="M1013" s="62"/>
      <c r="N1013" s="62"/>
      <c r="O1013" s="62"/>
      <c r="P1013" s="62"/>
      <c r="Q1013" s="57">
        <f>IF((L1014=""),"",MAX(D1015:L1015))</f>
        <v>2983.24</v>
      </c>
      <c r="R1013" s="57">
        <f>IF(L1014="","",MIN(D1015:L1015))</f>
        <v>2650.24</v>
      </c>
      <c r="S1013" s="58">
        <f>IF((L1015=""),"",AVERAGE(D1015:L1015))</f>
        <v>2805.911111111111</v>
      </c>
      <c r="T1013" s="57">
        <f>IF((L1014=""),"",((Q1013-R1013)/(Q1013+R1013))*100)</f>
        <v>5.9110887053828183</v>
      </c>
      <c r="U1013" s="56">
        <f>STDEV(D1013:L1013)</f>
        <v>27.764615570509591</v>
      </c>
      <c r="V1013" s="55" t="str">
        <f>IF(L1014="","",(IF(T1013&lt;12,IF(S1013&gt;2200,IF(S1013&lt;3280,"Pass","Fail"),"Fail"),"Fail")))</f>
        <v>Pass</v>
      </c>
      <c r="W1013" s="54">
        <v>64</v>
      </c>
      <c r="X1013" s="26" t="s">
        <v>336</v>
      </c>
      <c r="Z1013" s="37">
        <v>2000</v>
      </c>
      <c r="AA1013" s="37">
        <v>3000</v>
      </c>
      <c r="AB1013" s="37">
        <v>2200</v>
      </c>
      <c r="AC1013" s="37">
        <v>3280</v>
      </c>
      <c r="AD1013" s="39">
        <v>12</v>
      </c>
      <c r="AE1013" s="39">
        <v>12</v>
      </c>
    </row>
    <row r="1014" spans="1:31" ht="16.5" customHeight="1">
      <c r="A1014" s="199"/>
      <c r="B1014" s="48"/>
      <c r="C1014" s="51" t="s">
        <v>155</v>
      </c>
      <c r="D1014">
        <v>506.6</v>
      </c>
      <c r="E1014">
        <v>555.09</v>
      </c>
      <c r="F1014">
        <v>580.72</v>
      </c>
      <c r="G1014">
        <v>529.1</v>
      </c>
      <c r="H1014">
        <v>420.52</v>
      </c>
      <c r="I1014">
        <v>467.73</v>
      </c>
      <c r="J1014">
        <v>550.39</v>
      </c>
      <c r="K1014">
        <v>523.42999999999995</v>
      </c>
      <c r="L1014">
        <v>418.06</v>
      </c>
      <c r="M1014" s="50"/>
      <c r="N1014" s="50"/>
      <c r="O1014" s="50"/>
      <c r="P1014" s="50"/>
      <c r="Q1014" s="48"/>
      <c r="R1014" s="48"/>
      <c r="S1014" s="48"/>
      <c r="T1014" s="48"/>
      <c r="U1014" s="48"/>
      <c r="V1014" s="47"/>
      <c r="W1014" s="46"/>
      <c r="X1014" s="8"/>
    </row>
    <row r="1015" spans="1:31" ht="24.75" customHeight="1" thickBot="1">
      <c r="A1015" s="199"/>
      <c r="B1015" s="61"/>
      <c r="C1015" s="51" t="s">
        <v>154</v>
      </c>
      <c r="D1015" s="24">
        <f t="shared" ref="D1015:L1015" si="333">IF(((D1013="")*AND(D1014="")),"",(D1013-D1014)*4)</f>
        <v>2818.9999999999995</v>
      </c>
      <c r="E1015" s="24">
        <f t="shared" si="333"/>
        <v>2702.1199999999994</v>
      </c>
      <c r="F1015" s="24">
        <f t="shared" si="333"/>
        <v>2650.24</v>
      </c>
      <c r="G1015" s="24">
        <f t="shared" si="333"/>
        <v>2746.2400000000002</v>
      </c>
      <c r="H1015" s="24">
        <f t="shared" si="333"/>
        <v>2983.24</v>
      </c>
      <c r="I1015" s="24">
        <f t="shared" si="333"/>
        <v>2906.4799999999996</v>
      </c>
      <c r="J1015" s="24">
        <f t="shared" si="333"/>
        <v>2708.68</v>
      </c>
      <c r="K1015" s="24">
        <f t="shared" si="333"/>
        <v>2757.1600000000003</v>
      </c>
      <c r="L1015" s="24">
        <f t="shared" si="333"/>
        <v>2980.04</v>
      </c>
      <c r="M1015" s="24"/>
      <c r="N1015" s="24"/>
      <c r="O1015" s="24"/>
      <c r="P1015" s="24" t="str">
        <f>IF(((P1013="")*AND(P1014="")),"",(P1013-P1014)*4)</f>
        <v/>
      </c>
      <c r="Q1015" s="61"/>
      <c r="R1015" s="61"/>
      <c r="S1015" s="61"/>
      <c r="T1015" s="61"/>
      <c r="U1015" s="61"/>
      <c r="V1015" s="60"/>
      <c r="W1015" s="59"/>
      <c r="X1015" s="8"/>
    </row>
    <row r="1016" spans="1:31" ht="15.75">
      <c r="A1016" s="195">
        <v>43654</v>
      </c>
      <c r="B1016" s="57" t="s">
        <v>157</v>
      </c>
      <c r="C1016" s="51" t="s">
        <v>156</v>
      </c>
      <c r="D1016">
        <v>3420.23</v>
      </c>
      <c r="E1016">
        <v>3440.65</v>
      </c>
      <c r="F1016">
        <v>3454.99</v>
      </c>
      <c r="G1016">
        <v>3422.34</v>
      </c>
      <c r="H1016">
        <v>3317.52</v>
      </c>
      <c r="I1016">
        <v>3323.91</v>
      </c>
      <c r="J1016">
        <v>3402.17</v>
      </c>
      <c r="K1016">
        <v>3461.66</v>
      </c>
      <c r="L1016">
        <v>3423.5</v>
      </c>
      <c r="M1016" s="50"/>
      <c r="N1016" s="50"/>
      <c r="O1016" s="50"/>
      <c r="P1016" s="50"/>
      <c r="Q1016" s="57">
        <f>IF((L1017=""),"",MAX(D1018:L1018))</f>
        <v>3711.6</v>
      </c>
      <c r="R1016" s="57">
        <f>IF(L1017="","",MIN(D1018:L1018))</f>
        <v>3612.6000000000004</v>
      </c>
      <c r="S1016" s="58">
        <f>IF((L1018=""),"",AVERAGE(D1018:L1018))</f>
        <v>3645.1933333333332</v>
      </c>
      <c r="T1016" s="57">
        <f>IF((L1017=""),"",((Q1016-R1016)/(Q1016+R1016))*100)</f>
        <v>1.3516834603096521</v>
      </c>
      <c r="U1016" s="56">
        <f>STDEV(D1016:L1016)</f>
        <v>52.485560977410479</v>
      </c>
      <c r="V1016" s="55" t="str">
        <f>IF(L1017="","",(IF(T1016&lt;7,IF(S1016&gt;2800,IF(S1016&lt;3800,"Pass","Fail"),"Fail"),"Fail")))</f>
        <v>Pass</v>
      </c>
      <c r="W1016" s="54">
        <v>64</v>
      </c>
      <c r="X1016" s="26" t="s">
        <v>336</v>
      </c>
      <c r="Z1016" s="53">
        <v>2800</v>
      </c>
      <c r="AA1016" s="53">
        <v>3800</v>
      </c>
      <c r="AB1016" s="53">
        <v>3100</v>
      </c>
      <c r="AC1016" s="53">
        <v>3760</v>
      </c>
      <c r="AD1016" s="52">
        <v>6</v>
      </c>
      <c r="AE1016" s="52">
        <v>6</v>
      </c>
    </row>
    <row r="1017" spans="1:31" ht="16.5" customHeight="1">
      <c r="A1017" s="199"/>
      <c r="B1017" s="48"/>
      <c r="C1017" s="51" t="s">
        <v>155</v>
      </c>
      <c r="D1017">
        <v>1576.18</v>
      </c>
      <c r="E1017">
        <v>1626.18</v>
      </c>
      <c r="F1017">
        <v>1647.92</v>
      </c>
      <c r="G1017">
        <v>1616.04</v>
      </c>
      <c r="H1017">
        <v>1503.71</v>
      </c>
      <c r="I1017">
        <v>1468.11</v>
      </c>
      <c r="J1017">
        <v>1589.61</v>
      </c>
      <c r="K1017">
        <v>1650.07</v>
      </c>
      <c r="L1017">
        <v>1585.78</v>
      </c>
      <c r="M1017" s="50"/>
      <c r="N1017" s="50"/>
      <c r="O1017" s="50"/>
      <c r="P1017" s="50"/>
      <c r="Q1017" s="48"/>
      <c r="R1017" s="48"/>
      <c r="S1017" s="49"/>
      <c r="T1017" s="48"/>
      <c r="U1017" s="48"/>
      <c r="V1017" s="47"/>
      <c r="W1017" s="46"/>
      <c r="X1017" s="8"/>
    </row>
    <row r="1018" spans="1:31" ht="24.75" customHeight="1" thickBot="1">
      <c r="A1018" s="199"/>
      <c r="B1018" s="42"/>
      <c r="C1018" s="45" t="s">
        <v>154</v>
      </c>
      <c r="D1018" s="44">
        <f t="shared" ref="D1018:L1018" si="334">IF(((D1016="")*AND(D1017="")),"",(D1016-D1017)*2)</f>
        <v>3688.1</v>
      </c>
      <c r="E1018" s="44">
        <f t="shared" si="334"/>
        <v>3628.94</v>
      </c>
      <c r="F1018" s="44">
        <f t="shared" si="334"/>
        <v>3614.1399999999994</v>
      </c>
      <c r="G1018" s="44">
        <f t="shared" si="334"/>
        <v>3612.6000000000004</v>
      </c>
      <c r="H1018" s="44">
        <f t="shared" si="334"/>
        <v>3627.62</v>
      </c>
      <c r="I1018" s="44">
        <f t="shared" si="334"/>
        <v>3711.6</v>
      </c>
      <c r="J1018" s="44">
        <f t="shared" si="334"/>
        <v>3625.1200000000003</v>
      </c>
      <c r="K1018" s="44">
        <f t="shared" si="334"/>
        <v>3623.18</v>
      </c>
      <c r="L1018" s="44">
        <f t="shared" si="334"/>
        <v>3675.44</v>
      </c>
      <c r="M1018" s="44"/>
      <c r="N1018" s="44"/>
      <c r="O1018" s="44"/>
      <c r="P1018" s="44"/>
      <c r="Q1018" s="42"/>
      <c r="R1018" s="42"/>
      <c r="S1018" s="43"/>
      <c r="T1018" s="42"/>
      <c r="U1018" s="42"/>
      <c r="V1018" s="41"/>
      <c r="W1018" s="40"/>
      <c r="X1018" s="8"/>
    </row>
    <row r="1019" spans="1:31" ht="15.75">
      <c r="A1019" s="195">
        <v>43657</v>
      </c>
      <c r="B1019" s="63" t="s">
        <v>158</v>
      </c>
      <c r="C1019" s="56" t="s">
        <v>156</v>
      </c>
      <c r="D1019">
        <v>1934.91</v>
      </c>
      <c r="E1019">
        <v>1928.64</v>
      </c>
      <c r="F1019">
        <v>1926.78</v>
      </c>
      <c r="G1019">
        <v>1932.24</v>
      </c>
      <c r="H1019">
        <v>1934.22</v>
      </c>
      <c r="I1019">
        <v>1938.5</v>
      </c>
      <c r="J1019">
        <v>1932.87</v>
      </c>
      <c r="K1019">
        <v>1931.53</v>
      </c>
      <c r="L1019">
        <v>1931.8</v>
      </c>
      <c r="M1019" s="62"/>
      <c r="N1019" s="62"/>
      <c r="O1019" s="62"/>
      <c r="P1019" s="62"/>
      <c r="Q1019" s="57">
        <f>IF((L1020=""),"",MAX(D1021:L1021))</f>
        <v>3095.16</v>
      </c>
      <c r="R1019" s="57">
        <f>IF(L1020="","",MIN(D1021:L1021))</f>
        <v>2770.16</v>
      </c>
      <c r="S1019" s="58">
        <f>IF((L1021=""),"",AVERAGE(D1021:L1021))</f>
        <v>2923.8044444444445</v>
      </c>
      <c r="T1019" s="57">
        <f>IF((L1020=""),"",((Q1019-R1019)/(Q1019+R1019))*100)</f>
        <v>5.5410446488853129</v>
      </c>
      <c r="U1019" s="56">
        <f>STDEV(D1019:L1019)</f>
        <v>3.4261230924282491</v>
      </c>
      <c r="V1019" s="55" t="str">
        <f>IF(L1020="","",(IF(T1019&lt;12,IF(S1019&gt;2200,IF(S1019&lt;3280,"Pass","Fail"),"Fail"),"Fail")))</f>
        <v>Pass</v>
      </c>
      <c r="W1019" s="54">
        <v>64</v>
      </c>
      <c r="X1019" s="26" t="s">
        <v>337</v>
      </c>
      <c r="Z1019" s="37">
        <v>2000</v>
      </c>
      <c r="AA1019" s="37">
        <v>3000</v>
      </c>
      <c r="AB1019" s="37">
        <v>2200</v>
      </c>
      <c r="AC1019" s="37">
        <v>3280</v>
      </c>
      <c r="AD1019" s="39">
        <v>12</v>
      </c>
      <c r="AE1019" s="39">
        <v>12</v>
      </c>
    </row>
    <row r="1020" spans="1:31" ht="16.5" customHeight="1">
      <c r="A1020" s="199"/>
      <c r="B1020" s="48"/>
      <c r="C1020" s="51" t="s">
        <v>155</v>
      </c>
      <c r="D1020">
        <v>1201.49</v>
      </c>
      <c r="E1020">
        <v>1225.2</v>
      </c>
      <c r="F1020">
        <v>1234.24</v>
      </c>
      <c r="G1020">
        <v>1212.7</v>
      </c>
      <c r="H1020">
        <v>1161.96</v>
      </c>
      <c r="I1020">
        <v>1187.27</v>
      </c>
      <c r="J1020">
        <v>1223.71</v>
      </c>
      <c r="K1020">
        <v>1208.3499999999999</v>
      </c>
      <c r="L1020">
        <v>1158.01</v>
      </c>
      <c r="M1020" s="50"/>
      <c r="N1020" s="50"/>
      <c r="O1020" s="50"/>
      <c r="P1020" s="50"/>
      <c r="Q1020" s="48"/>
      <c r="R1020" s="48"/>
      <c r="S1020" s="48"/>
      <c r="T1020" s="48"/>
      <c r="U1020" s="48"/>
      <c r="V1020" s="47"/>
      <c r="W1020" s="46"/>
      <c r="X1020" s="8"/>
    </row>
    <row r="1021" spans="1:31" ht="24.75" customHeight="1" thickBot="1">
      <c r="A1021" s="199"/>
      <c r="B1021" s="61"/>
      <c r="C1021" s="51" t="s">
        <v>154</v>
      </c>
      <c r="D1021" s="24">
        <f t="shared" ref="D1021:L1021" si="335">IF(((D1019="")*AND(D1020="")),"",(D1019-D1020)*4)</f>
        <v>2933.6800000000003</v>
      </c>
      <c r="E1021" s="24">
        <f t="shared" si="335"/>
        <v>2813.76</v>
      </c>
      <c r="F1021" s="24">
        <f t="shared" si="335"/>
        <v>2770.16</v>
      </c>
      <c r="G1021" s="24">
        <f t="shared" si="335"/>
        <v>2878.16</v>
      </c>
      <c r="H1021" s="24">
        <f t="shared" si="335"/>
        <v>3089.04</v>
      </c>
      <c r="I1021" s="24">
        <f t="shared" si="335"/>
        <v>3004.92</v>
      </c>
      <c r="J1021" s="24">
        <f t="shared" si="335"/>
        <v>2836.6399999999994</v>
      </c>
      <c r="K1021" s="24">
        <f t="shared" si="335"/>
        <v>2892.7200000000003</v>
      </c>
      <c r="L1021" s="24">
        <f t="shared" si="335"/>
        <v>3095.16</v>
      </c>
      <c r="M1021" s="24"/>
      <c r="N1021" s="24"/>
      <c r="O1021" s="24"/>
      <c r="P1021" s="24" t="str">
        <f>IF(((P1019="")*AND(P1020="")),"",(P1019-P1020)*4)</f>
        <v/>
      </c>
      <c r="Q1021" s="61"/>
      <c r="R1021" s="61"/>
      <c r="S1021" s="61"/>
      <c r="T1021" s="61"/>
      <c r="U1021" s="61"/>
      <c r="V1021" s="60"/>
      <c r="W1021" s="59"/>
      <c r="X1021" s="8"/>
    </row>
    <row r="1022" spans="1:31" ht="15.75">
      <c r="A1022" s="195">
        <v>43657</v>
      </c>
      <c r="B1022" s="57" t="s">
        <v>157</v>
      </c>
      <c r="C1022" s="51" t="s">
        <v>156</v>
      </c>
      <c r="D1022">
        <v>3580.41</v>
      </c>
      <c r="E1022">
        <v>3586.61</v>
      </c>
      <c r="F1022">
        <v>3597.83</v>
      </c>
      <c r="G1022">
        <v>3566.89</v>
      </c>
      <c r="H1022">
        <v>3483.58</v>
      </c>
      <c r="I1022">
        <v>3512.1</v>
      </c>
      <c r="J1022">
        <v>3557.8</v>
      </c>
      <c r="K1022">
        <v>3610.32</v>
      </c>
      <c r="L1022">
        <v>3606.89</v>
      </c>
      <c r="M1022" s="50"/>
      <c r="N1022" s="50"/>
      <c r="O1022" s="50"/>
      <c r="P1022" s="50"/>
      <c r="Q1022" s="57">
        <f>IF((L1023=""),"",MAX(D1024:L1024))</f>
        <v>3545.3799999999997</v>
      </c>
      <c r="R1022" s="57">
        <f>IF(L1023="","",MIN(D1024:L1024))</f>
        <v>3497.8999999999996</v>
      </c>
      <c r="S1022" s="58">
        <f>IF((L1024=""),"",AVERAGE(D1024:L1024))</f>
        <v>3516.0466666666666</v>
      </c>
      <c r="T1022" s="57">
        <f>IF((L1023=""),"",((Q1022-R1022)/(Q1022+R1022))*100)</f>
        <v>0.67411774059813079</v>
      </c>
      <c r="U1022" s="56">
        <f>STDEV(D1022:L1022)</f>
        <v>43.359292545003932</v>
      </c>
      <c r="V1022" s="55" t="str">
        <f>IF(L1023="","",(IF(T1022&lt;7,IF(S1022&gt;2800,IF(S1022&lt;3800,"Pass","Fail"),"Fail"),"Fail")))</f>
        <v>Pass</v>
      </c>
      <c r="W1022" s="54">
        <v>64</v>
      </c>
      <c r="X1022" s="26" t="s">
        <v>337</v>
      </c>
      <c r="Z1022" s="53">
        <v>2800</v>
      </c>
      <c r="AA1022" s="53">
        <v>3800</v>
      </c>
      <c r="AB1022" s="53">
        <v>3100</v>
      </c>
      <c r="AC1022" s="53">
        <v>3760</v>
      </c>
      <c r="AD1022" s="52">
        <v>6</v>
      </c>
      <c r="AE1022" s="52">
        <v>6</v>
      </c>
    </row>
    <row r="1023" spans="1:31" ht="16.5" customHeight="1">
      <c r="A1023" s="199"/>
      <c r="B1023" s="48"/>
      <c r="C1023" s="51" t="s">
        <v>155</v>
      </c>
      <c r="D1023">
        <v>1811.49</v>
      </c>
      <c r="E1023">
        <v>1830.53</v>
      </c>
      <c r="F1023">
        <v>1846.69</v>
      </c>
      <c r="G1023">
        <v>1816.61</v>
      </c>
      <c r="H1023">
        <v>1734.63</v>
      </c>
      <c r="I1023">
        <v>1739.41</v>
      </c>
      <c r="J1023">
        <v>1805.67</v>
      </c>
      <c r="K1023">
        <v>1855.62</v>
      </c>
      <c r="L1023">
        <v>1839.57</v>
      </c>
      <c r="M1023" s="50"/>
      <c r="N1023" s="50"/>
      <c r="O1023" s="50"/>
      <c r="P1023" s="50"/>
      <c r="Q1023" s="48"/>
      <c r="R1023" s="48"/>
      <c r="S1023" s="49"/>
      <c r="T1023" s="48"/>
      <c r="U1023" s="48"/>
      <c r="V1023" s="47"/>
      <c r="W1023" s="46"/>
      <c r="X1023" s="8"/>
    </row>
    <row r="1024" spans="1:31" ht="24.75" customHeight="1" thickBot="1">
      <c r="A1024" s="199"/>
      <c r="B1024" s="42"/>
      <c r="C1024" s="45" t="s">
        <v>154</v>
      </c>
      <c r="D1024" s="44">
        <f t="shared" ref="D1024:L1024" si="336">IF(((D1022="")*AND(D1023="")),"",(D1022-D1023)*2)</f>
        <v>3537.8399999999997</v>
      </c>
      <c r="E1024" s="44">
        <f t="shared" si="336"/>
        <v>3512.1600000000003</v>
      </c>
      <c r="F1024" s="44">
        <f t="shared" si="336"/>
        <v>3502.2799999999997</v>
      </c>
      <c r="G1024" s="44">
        <f t="shared" si="336"/>
        <v>3500.56</v>
      </c>
      <c r="H1024" s="44">
        <f t="shared" si="336"/>
        <v>3497.8999999999996</v>
      </c>
      <c r="I1024" s="44">
        <f t="shared" si="336"/>
        <v>3545.3799999999997</v>
      </c>
      <c r="J1024" s="44">
        <f t="shared" si="336"/>
        <v>3504.26</v>
      </c>
      <c r="K1024" s="44">
        <f t="shared" si="336"/>
        <v>3509.4000000000005</v>
      </c>
      <c r="L1024" s="44">
        <f t="shared" si="336"/>
        <v>3534.64</v>
      </c>
      <c r="M1024" s="44"/>
      <c r="N1024" s="44"/>
      <c r="O1024" s="44"/>
      <c r="P1024" s="44"/>
      <c r="Q1024" s="42"/>
      <c r="R1024" s="42"/>
      <c r="S1024" s="43"/>
      <c r="T1024" s="42"/>
      <c r="U1024" s="42"/>
      <c r="V1024" s="41"/>
      <c r="W1024" s="40"/>
      <c r="X1024" s="8"/>
    </row>
    <row r="1025" spans="1:31" ht="15.75">
      <c r="A1025" s="195">
        <v>43660</v>
      </c>
      <c r="B1025" s="63" t="s">
        <v>158</v>
      </c>
      <c r="C1025" s="56" t="s">
        <v>156</v>
      </c>
      <c r="D1025">
        <v>1933.99</v>
      </c>
      <c r="E1025">
        <v>1927.5</v>
      </c>
      <c r="F1025">
        <v>1922.82</v>
      </c>
      <c r="G1025">
        <v>1932.4</v>
      </c>
      <c r="H1025">
        <v>1937.61</v>
      </c>
      <c r="I1025">
        <v>1934.04</v>
      </c>
      <c r="J1025">
        <v>1932.46</v>
      </c>
      <c r="K1025">
        <v>1930.14</v>
      </c>
      <c r="L1025">
        <v>1934.69</v>
      </c>
      <c r="M1025" s="62"/>
      <c r="N1025" s="62"/>
      <c r="O1025" s="62"/>
      <c r="P1025" s="62"/>
      <c r="Q1025" s="57">
        <f>IF((L1026=""),"",MAX(D1027:L1027))</f>
        <v>3082.7999999999993</v>
      </c>
      <c r="R1025" s="57">
        <f>IF(L1026="","",MIN(D1027:L1027))</f>
        <v>2721.5199999999995</v>
      </c>
      <c r="S1025" s="58">
        <f>IF((L1027=""),"",AVERAGE(D1027:L1027))</f>
        <v>2894.6755555555555</v>
      </c>
      <c r="T1025" s="57">
        <f>IF((L1026=""),"",((Q1025-R1025)/(Q1025+R1025))*100)</f>
        <v>6.224329464950241</v>
      </c>
      <c r="U1025" s="56">
        <f>STDEV(D1025:L1025)</f>
        <v>4.3955928056504892</v>
      </c>
      <c r="V1025" s="55" t="str">
        <f>IF(L1026="","",(IF(T1025&lt;12,IF(S1025&gt;2200,IF(S1025&lt;3280,"Pass","Fail"),"Fail"),"Fail")))</f>
        <v>Pass</v>
      </c>
      <c r="W1025" s="54">
        <v>74</v>
      </c>
      <c r="X1025" s="26" t="s">
        <v>339</v>
      </c>
      <c r="Z1025" s="37">
        <v>2000</v>
      </c>
      <c r="AA1025" s="37">
        <v>3000</v>
      </c>
      <c r="AB1025" s="37">
        <v>2200</v>
      </c>
      <c r="AC1025" s="37">
        <v>3280</v>
      </c>
      <c r="AD1025" s="39">
        <v>12</v>
      </c>
      <c r="AE1025" s="39">
        <v>12</v>
      </c>
    </row>
    <row r="1026" spans="1:31" ht="16.5" customHeight="1">
      <c r="A1026" s="199"/>
      <c r="B1026" s="48"/>
      <c r="C1026" s="51" t="s">
        <v>155</v>
      </c>
      <c r="D1026">
        <v>1206.92</v>
      </c>
      <c r="E1026">
        <v>1232.57</v>
      </c>
      <c r="F1026">
        <v>1242.44</v>
      </c>
      <c r="G1026">
        <v>1219.8800000000001</v>
      </c>
      <c r="H1026">
        <v>1166.9100000000001</v>
      </c>
      <c r="I1026">
        <v>1192.8800000000001</v>
      </c>
      <c r="J1026">
        <v>1231.57</v>
      </c>
      <c r="K1026">
        <v>1215.1400000000001</v>
      </c>
      <c r="L1026">
        <v>1164.32</v>
      </c>
      <c r="M1026" s="50"/>
      <c r="N1026" s="50"/>
      <c r="O1026" s="50"/>
      <c r="P1026" s="50"/>
      <c r="Q1026" s="48"/>
      <c r="R1026" s="48"/>
      <c r="S1026" s="48"/>
      <c r="T1026" s="48"/>
      <c r="U1026" s="48"/>
      <c r="V1026" s="47"/>
      <c r="W1026" s="46"/>
      <c r="X1026" s="8"/>
    </row>
    <row r="1027" spans="1:31" ht="24.75" customHeight="1" thickBot="1">
      <c r="A1027" s="199"/>
      <c r="B1027" s="61"/>
      <c r="C1027" s="51" t="s">
        <v>154</v>
      </c>
      <c r="D1027" s="24">
        <f t="shared" ref="D1027:L1027" si="337">IF(((D1025="")*AND(D1026="")),"",(D1025-D1026)*4)</f>
        <v>2908.2799999999997</v>
      </c>
      <c r="E1027" s="24">
        <f t="shared" si="337"/>
        <v>2779.7200000000003</v>
      </c>
      <c r="F1027" s="24">
        <f t="shared" si="337"/>
        <v>2721.5199999999995</v>
      </c>
      <c r="G1027" s="24">
        <f t="shared" si="337"/>
        <v>2850.08</v>
      </c>
      <c r="H1027" s="24">
        <f t="shared" si="337"/>
        <v>3082.7999999999993</v>
      </c>
      <c r="I1027" s="24">
        <f t="shared" si="337"/>
        <v>2964.6399999999994</v>
      </c>
      <c r="J1027" s="24">
        <f t="shared" si="337"/>
        <v>2803.5600000000004</v>
      </c>
      <c r="K1027" s="24">
        <f t="shared" si="337"/>
        <v>2860</v>
      </c>
      <c r="L1027" s="24">
        <f t="shared" si="337"/>
        <v>3081.4800000000005</v>
      </c>
      <c r="M1027" s="24"/>
      <c r="N1027" s="24"/>
      <c r="O1027" s="24"/>
      <c r="P1027" s="24" t="str">
        <f>IF(((P1025="")*AND(P1026="")),"",(P1025-P1026)*4)</f>
        <v/>
      </c>
      <c r="Q1027" s="61"/>
      <c r="R1027" s="61"/>
      <c r="S1027" s="61"/>
      <c r="T1027" s="61"/>
      <c r="U1027" s="61"/>
      <c r="V1027" s="60"/>
      <c r="W1027" s="59"/>
      <c r="X1027" s="8"/>
    </row>
    <row r="1028" spans="1:31" ht="15.75">
      <c r="A1028" s="195">
        <v>43660</v>
      </c>
      <c r="B1028" s="57" t="s">
        <v>157</v>
      </c>
      <c r="C1028" s="51" t="s">
        <v>156</v>
      </c>
      <c r="D1028">
        <v>7064.17</v>
      </c>
      <c r="E1028">
        <v>7050.51</v>
      </c>
      <c r="F1028">
        <v>7065.1</v>
      </c>
      <c r="G1028">
        <v>7041.4</v>
      </c>
      <c r="H1028">
        <v>6980.12</v>
      </c>
      <c r="I1028">
        <v>7043.63</v>
      </c>
      <c r="J1028">
        <v>7032.03</v>
      </c>
      <c r="K1028">
        <v>7081.3</v>
      </c>
      <c r="L1028">
        <v>7091.64</v>
      </c>
      <c r="M1028" s="50"/>
      <c r="N1028" s="50"/>
      <c r="O1028" s="50"/>
      <c r="P1028" s="50"/>
      <c r="Q1028" s="57">
        <f>IF((L1029=""),"",MAX(D1030:L1030))</f>
        <v>3554.92</v>
      </c>
      <c r="R1028" s="57">
        <f>IF(L1029="","",MIN(D1030:L1030))</f>
        <v>3494.24</v>
      </c>
      <c r="S1028" s="58">
        <f>IF((L1030=""),"",AVERAGE(D1030:L1030))</f>
        <v>3518.597777777778</v>
      </c>
      <c r="T1028" s="57">
        <f>IF((L1029=""),"",((Q1028-R1028)/(Q1028+R1028))*100)</f>
        <v>0.86081178466654606</v>
      </c>
      <c r="U1028" s="56">
        <f>STDEV(D1028:L1028)</f>
        <v>32.525585484366253</v>
      </c>
      <c r="V1028" s="55" t="str">
        <f>IF(L1029="","",(IF(T1028&lt;7,IF(S1028&gt;2800,IF(S1028&lt;3800,"Pass","Fail"),"Fail"),"Fail")))</f>
        <v>Pass</v>
      </c>
      <c r="W1028" s="54">
        <v>74</v>
      </c>
      <c r="X1028" s="26" t="s">
        <v>339</v>
      </c>
      <c r="Z1028" s="53">
        <v>2800</v>
      </c>
      <c r="AA1028" s="53">
        <v>3800</v>
      </c>
      <c r="AB1028" s="53">
        <v>3100</v>
      </c>
      <c r="AC1028" s="53">
        <v>3760</v>
      </c>
      <c r="AD1028" s="52">
        <v>6</v>
      </c>
      <c r="AE1028" s="52">
        <v>6</v>
      </c>
    </row>
    <row r="1029" spans="1:31" ht="15.75" customHeight="1">
      <c r="A1029" s="199"/>
      <c r="B1029" s="48"/>
      <c r="C1029" s="51" t="s">
        <v>155</v>
      </c>
      <c r="D1029">
        <v>5293.08</v>
      </c>
      <c r="E1029">
        <v>5293.45</v>
      </c>
      <c r="F1029">
        <v>5315.31</v>
      </c>
      <c r="G1029">
        <v>5291.62</v>
      </c>
      <c r="H1029">
        <v>5233</v>
      </c>
      <c r="I1029">
        <v>5266.17</v>
      </c>
      <c r="J1029">
        <v>5280.76</v>
      </c>
      <c r="K1029">
        <v>5324.28</v>
      </c>
      <c r="L1029">
        <v>5318.54</v>
      </c>
      <c r="M1029" s="50"/>
      <c r="N1029" s="50"/>
      <c r="O1029" s="50"/>
      <c r="P1029" s="50"/>
      <c r="Q1029" s="48"/>
      <c r="R1029" s="48"/>
      <c r="S1029" s="49"/>
      <c r="T1029" s="48"/>
      <c r="U1029" s="48"/>
      <c r="V1029" s="47"/>
      <c r="W1029" s="46"/>
      <c r="X1029" s="8"/>
    </row>
    <row r="1030" spans="1:31" ht="24.75" customHeight="1" thickBot="1">
      <c r="A1030" s="199"/>
      <c r="B1030" s="42"/>
      <c r="C1030" s="45" t="s">
        <v>154</v>
      </c>
      <c r="D1030" s="44">
        <f t="shared" ref="D1030:L1030" si="338">IF(((D1028="")*AND(D1029="")),"",(D1028-D1029)*2)</f>
        <v>3542.1800000000003</v>
      </c>
      <c r="E1030" s="44">
        <f t="shared" si="338"/>
        <v>3514.1200000000008</v>
      </c>
      <c r="F1030" s="44">
        <f t="shared" si="338"/>
        <v>3499.58</v>
      </c>
      <c r="G1030" s="44">
        <f t="shared" si="338"/>
        <v>3499.5599999999995</v>
      </c>
      <c r="H1030" s="44">
        <f t="shared" si="338"/>
        <v>3494.24</v>
      </c>
      <c r="I1030" s="44">
        <f t="shared" si="338"/>
        <v>3554.92</v>
      </c>
      <c r="J1030" s="44">
        <f t="shared" si="338"/>
        <v>3502.5399999999991</v>
      </c>
      <c r="K1030" s="44">
        <f t="shared" si="338"/>
        <v>3514.0400000000009</v>
      </c>
      <c r="L1030" s="44">
        <f t="shared" si="338"/>
        <v>3546.2000000000007</v>
      </c>
      <c r="M1030" s="44"/>
      <c r="N1030" s="44"/>
      <c r="O1030" s="44"/>
      <c r="P1030" s="44"/>
      <c r="Q1030" s="42"/>
      <c r="R1030" s="42"/>
      <c r="S1030" s="43"/>
      <c r="T1030" s="42"/>
      <c r="U1030" s="42"/>
      <c r="V1030" s="41"/>
      <c r="W1030" s="40"/>
      <c r="X1030" s="8"/>
    </row>
    <row r="1031" spans="1:31" ht="15.75">
      <c r="A1031" s="195">
        <v>43664</v>
      </c>
      <c r="B1031" s="63" t="s">
        <v>158</v>
      </c>
      <c r="C1031" s="56" t="s">
        <v>156</v>
      </c>
      <c r="D1031">
        <v>1972.44</v>
      </c>
      <c r="E1031">
        <v>1973.81</v>
      </c>
      <c r="F1031">
        <v>1968.4</v>
      </c>
      <c r="G1031">
        <v>1970.89</v>
      </c>
      <c r="H1031">
        <v>1969.44</v>
      </c>
      <c r="I1031">
        <v>1977.05</v>
      </c>
      <c r="J1031">
        <v>1973.22</v>
      </c>
      <c r="K1031">
        <v>1968.85</v>
      </c>
      <c r="L1031">
        <v>1968.77</v>
      </c>
      <c r="M1031" s="62"/>
      <c r="N1031" s="62"/>
      <c r="O1031" s="62"/>
      <c r="P1031" s="62"/>
      <c r="Q1031" s="57">
        <f>IF((L1032=""),"",MAX(D1033:L1033))</f>
        <v>3229.16</v>
      </c>
      <c r="R1031" s="57">
        <f>IF(L1032="","",MIN(D1033:L1033))</f>
        <v>2831.88</v>
      </c>
      <c r="S1031" s="58">
        <f>IF((L1033=""),"",AVERAGE(D1033:L1033))</f>
        <v>3018.2266666666674</v>
      </c>
      <c r="T1031" s="57">
        <f>IF((L1032=""),"",((Q1031-R1031)/(Q1031+R1031))*100)</f>
        <v>6.5546506870108061</v>
      </c>
      <c r="U1031" s="56">
        <f>STDEV(D1031:L1031)</f>
        <v>2.9291124938307589</v>
      </c>
      <c r="V1031" s="55" t="str">
        <f>IF(L1032="","",(IF(T1031&lt;12,IF(S1031&gt;2200,IF(S1031&lt;3280,"Pass","Fail"),"Fail"),"Fail")))</f>
        <v>Pass</v>
      </c>
      <c r="W1031" s="54">
        <v>1335</v>
      </c>
      <c r="X1031" s="26" t="s">
        <v>341</v>
      </c>
      <c r="Z1031" s="37">
        <v>2000</v>
      </c>
      <c r="AA1031" s="37">
        <v>3000</v>
      </c>
      <c r="AB1031" s="37">
        <v>2200</v>
      </c>
      <c r="AC1031" s="37">
        <v>3280</v>
      </c>
      <c r="AD1031" s="39">
        <v>12</v>
      </c>
      <c r="AE1031" s="39">
        <v>12</v>
      </c>
    </row>
    <row r="1032" spans="1:31" ht="16.5" customHeight="1">
      <c r="A1032" s="199"/>
      <c r="B1032" s="48"/>
      <c r="C1032" s="51" t="s">
        <v>155</v>
      </c>
      <c r="D1032">
        <v>1211.4100000000001</v>
      </c>
      <c r="E1032">
        <v>1249.75</v>
      </c>
      <c r="F1032">
        <v>1260.43</v>
      </c>
      <c r="G1032">
        <v>1234.1199999999999</v>
      </c>
      <c r="H1032">
        <v>1162.1500000000001</v>
      </c>
      <c r="I1032">
        <v>1195.1199999999999</v>
      </c>
      <c r="J1032">
        <v>1246.71</v>
      </c>
      <c r="K1032">
        <v>1230.1199999999999</v>
      </c>
      <c r="L1032">
        <v>1162.05</v>
      </c>
      <c r="M1032" s="50"/>
      <c r="N1032" s="50"/>
      <c r="O1032" s="50"/>
      <c r="P1032" s="50"/>
      <c r="Q1032" s="48"/>
      <c r="R1032" s="48"/>
      <c r="S1032" s="48"/>
      <c r="T1032" s="48"/>
      <c r="U1032" s="48"/>
      <c r="V1032" s="47"/>
      <c r="W1032" s="46"/>
      <c r="X1032" s="8"/>
    </row>
    <row r="1033" spans="1:31" ht="24.75" customHeight="1" thickBot="1">
      <c r="A1033" s="199"/>
      <c r="B1033" s="61"/>
      <c r="C1033" s="51" t="s">
        <v>154</v>
      </c>
      <c r="D1033" s="24">
        <f t="shared" ref="D1033:L1033" si="339">IF(((D1031="")*AND(D1032="")),"",(D1031-D1032)*4)</f>
        <v>3044.12</v>
      </c>
      <c r="E1033" s="24">
        <f t="shared" si="339"/>
        <v>2896.24</v>
      </c>
      <c r="F1033" s="24">
        <f t="shared" si="339"/>
        <v>2831.88</v>
      </c>
      <c r="G1033" s="24">
        <f t="shared" si="339"/>
        <v>2947.0800000000008</v>
      </c>
      <c r="H1033" s="24">
        <f t="shared" si="339"/>
        <v>3229.16</v>
      </c>
      <c r="I1033" s="24">
        <f t="shared" si="339"/>
        <v>3127.7200000000003</v>
      </c>
      <c r="J1033" s="24">
        <f t="shared" si="339"/>
        <v>2906.04</v>
      </c>
      <c r="K1033" s="24">
        <f t="shared" si="339"/>
        <v>2954.92</v>
      </c>
      <c r="L1033" s="24">
        <f t="shared" si="339"/>
        <v>3226.88</v>
      </c>
      <c r="M1033" s="24"/>
      <c r="N1033" s="24"/>
      <c r="O1033" s="24"/>
      <c r="P1033" s="24" t="str">
        <f>IF(((P1031="")*AND(P1032="")),"",(P1031-P1032)*4)</f>
        <v/>
      </c>
      <c r="Q1033" s="61"/>
      <c r="R1033" s="61"/>
      <c r="S1033" s="61"/>
      <c r="T1033" s="61"/>
      <c r="U1033" s="61"/>
      <c r="V1033" s="60"/>
      <c r="W1033" s="59"/>
      <c r="X1033" s="8"/>
    </row>
    <row r="1034" spans="1:31" ht="15.75">
      <c r="A1034" s="195">
        <v>43664</v>
      </c>
      <c r="B1034" s="57" t="s">
        <v>157</v>
      </c>
      <c r="C1034" s="51" t="s">
        <v>156</v>
      </c>
      <c r="D1034">
        <v>6975.76</v>
      </c>
      <c r="E1034">
        <v>6955.25</v>
      </c>
      <c r="F1034">
        <v>6964.23</v>
      </c>
      <c r="G1034">
        <v>6939.05</v>
      </c>
      <c r="H1034">
        <v>6886.74</v>
      </c>
      <c r="I1034">
        <v>6987.94</v>
      </c>
      <c r="J1034">
        <v>6930.83</v>
      </c>
      <c r="K1034">
        <v>6987.94</v>
      </c>
      <c r="L1034">
        <v>6999.97</v>
      </c>
      <c r="M1034" s="50"/>
      <c r="N1034" s="50"/>
      <c r="O1034" s="50"/>
      <c r="P1034" s="50"/>
      <c r="Q1034" s="57">
        <f>IF((L1035=""),"",MAX(D1036:L1036))</f>
        <v>3543.58</v>
      </c>
      <c r="R1034" s="57">
        <f>IF(L1035="","",MIN(D1036:L1036))</f>
        <v>3442.9799999999996</v>
      </c>
      <c r="S1034" s="58">
        <f>IF((L1036=""),"",AVERAGE(D1036:L1036))</f>
        <v>3478.94</v>
      </c>
      <c r="T1034" s="57">
        <f>IF((L1035=""),"",((Q1034-R1034)/(Q1034+R1034))*100)</f>
        <v>1.4399074795035092</v>
      </c>
      <c r="U1034" s="56">
        <f>STDEV(D1034:L1034)</f>
        <v>35.510134859905101</v>
      </c>
      <c r="V1034" s="55" t="str">
        <f>IF(L1035="","",(IF(T1034&lt;7,IF(S1034&gt;2800,IF(S1034&lt;3800,"Pass","Fail"),"Fail"),"Fail")))</f>
        <v>Pass</v>
      </c>
      <c r="W1034" s="54">
        <v>1335</v>
      </c>
      <c r="X1034" s="26" t="s">
        <v>341</v>
      </c>
      <c r="Z1034" s="53">
        <v>2800</v>
      </c>
      <c r="AA1034" s="53">
        <v>3800</v>
      </c>
      <c r="AB1034" s="53">
        <v>3100</v>
      </c>
      <c r="AC1034" s="53">
        <v>3760</v>
      </c>
      <c r="AD1034" s="52">
        <v>6</v>
      </c>
      <c r="AE1034" s="52">
        <v>6</v>
      </c>
    </row>
    <row r="1035" spans="1:31" ht="15.75" customHeight="1">
      <c r="A1035" s="199"/>
      <c r="B1035" s="48"/>
      <c r="C1035" s="51" t="s">
        <v>155</v>
      </c>
      <c r="D1035">
        <v>5216.1499999999996</v>
      </c>
      <c r="E1035">
        <v>5215.04</v>
      </c>
      <c r="F1035">
        <v>5234.46</v>
      </c>
      <c r="G1035">
        <v>5212.51</v>
      </c>
      <c r="H1035">
        <v>5165.25</v>
      </c>
      <c r="I1035">
        <v>5216.1499999999996</v>
      </c>
      <c r="J1035">
        <v>5198.18</v>
      </c>
      <c r="K1035">
        <v>5252.47</v>
      </c>
      <c r="L1035">
        <v>5262.27</v>
      </c>
      <c r="M1035" s="50"/>
      <c r="N1035" s="50"/>
      <c r="O1035" s="50"/>
      <c r="P1035" s="50"/>
      <c r="Q1035" s="48"/>
      <c r="R1035" s="48"/>
      <c r="S1035" s="49"/>
      <c r="T1035" s="48"/>
      <c r="U1035" s="48"/>
      <c r="V1035" s="47"/>
      <c r="W1035" s="46"/>
      <c r="X1035" s="8"/>
    </row>
    <row r="1036" spans="1:31" ht="24.75" customHeight="1" thickBot="1">
      <c r="A1036" s="199"/>
      <c r="B1036" s="42"/>
      <c r="C1036" s="45" t="s">
        <v>154</v>
      </c>
      <c r="D1036" s="44">
        <f t="shared" ref="D1036:L1036" si="340">IF(((D1034="")*AND(D1035="")),"",(D1034-D1035)*2)</f>
        <v>3519.2200000000012</v>
      </c>
      <c r="E1036" s="44">
        <f t="shared" si="340"/>
        <v>3480.42</v>
      </c>
      <c r="F1036" s="44">
        <f t="shared" si="340"/>
        <v>3459.5399999999991</v>
      </c>
      <c r="G1036" s="44">
        <f t="shared" si="340"/>
        <v>3453.08</v>
      </c>
      <c r="H1036" s="44">
        <f t="shared" si="340"/>
        <v>3442.9799999999996</v>
      </c>
      <c r="I1036" s="44">
        <f t="shared" si="340"/>
        <v>3543.58</v>
      </c>
      <c r="J1036" s="44">
        <f t="shared" si="340"/>
        <v>3465.2999999999993</v>
      </c>
      <c r="K1036" s="44">
        <f t="shared" si="340"/>
        <v>3470.9399999999987</v>
      </c>
      <c r="L1036" s="44">
        <f t="shared" si="340"/>
        <v>3475.3999999999996</v>
      </c>
      <c r="M1036" s="44"/>
      <c r="N1036" s="44"/>
      <c r="O1036" s="44"/>
      <c r="P1036" s="44"/>
      <c r="Q1036" s="42"/>
      <c r="R1036" s="42"/>
      <c r="S1036" s="43"/>
      <c r="T1036" s="42"/>
      <c r="U1036" s="42"/>
      <c r="V1036" s="41"/>
      <c r="W1036" s="40"/>
      <c r="X1036" s="8"/>
    </row>
    <row r="1037" spans="1:31" ht="15.75">
      <c r="A1037" s="195">
        <v>43677</v>
      </c>
      <c r="B1037" s="63" t="s">
        <v>158</v>
      </c>
      <c r="C1037" s="56" t="s">
        <v>156</v>
      </c>
      <c r="D1037">
        <v>1211.4100000000001</v>
      </c>
      <c r="E1037">
        <v>1249.75</v>
      </c>
      <c r="F1037">
        <v>1260.43</v>
      </c>
      <c r="G1037">
        <v>1234.1199999999999</v>
      </c>
      <c r="H1037">
        <v>1162.1500000000001</v>
      </c>
      <c r="I1037">
        <v>1195.1199999999999</v>
      </c>
      <c r="J1037">
        <v>1246.71</v>
      </c>
      <c r="K1037">
        <v>1230.1199999999999</v>
      </c>
      <c r="L1037">
        <v>1162.05</v>
      </c>
      <c r="M1037" s="62"/>
      <c r="N1037" s="62"/>
      <c r="O1037" s="62"/>
      <c r="P1037" s="62"/>
      <c r="Q1037" s="57">
        <f>IF((L1038=""),"",MAX(D1039:L1039))</f>
        <v>3086.4800000000005</v>
      </c>
      <c r="R1037" s="57">
        <f>IF(L1038="","",MIN(D1039:L1039))</f>
        <v>2638.84</v>
      </c>
      <c r="S1037" s="58">
        <f>IF((L1039=""),"",AVERAGE(D1039:L1039))</f>
        <v>2853.9688888888891</v>
      </c>
      <c r="T1037" s="57">
        <f>IF((L1038=""),"",((Q1037-R1037)/(Q1037+R1037))*100)</f>
        <v>7.8186022789992577</v>
      </c>
      <c r="U1037" s="56">
        <f>STDEV(D1037:L1037)</f>
        <v>36.817970136873974</v>
      </c>
      <c r="V1037" s="55" t="str">
        <f>IF(L1038="","",(IF(T1037&lt;12,IF(S1037&gt;2200,IF(S1037&lt;3280,"Pass","Fail"),"Fail"),"Fail")))</f>
        <v>Pass</v>
      </c>
      <c r="W1037" s="54"/>
      <c r="X1037" s="26" t="s">
        <v>343</v>
      </c>
      <c r="Z1037" s="37">
        <v>2000</v>
      </c>
      <c r="AA1037" s="37">
        <v>3000</v>
      </c>
      <c r="AB1037" s="37">
        <v>2200</v>
      </c>
      <c r="AC1037" s="37">
        <v>3280</v>
      </c>
      <c r="AD1037" s="39">
        <v>12</v>
      </c>
      <c r="AE1037" s="39">
        <v>12</v>
      </c>
    </row>
    <row r="1038" spans="1:31" ht="16.5" customHeight="1">
      <c r="A1038" s="199"/>
      <c r="B1038" s="48"/>
      <c r="C1038" s="51" t="s">
        <v>155</v>
      </c>
      <c r="D1038">
        <v>491.03</v>
      </c>
      <c r="E1038">
        <v>571.1</v>
      </c>
      <c r="F1038">
        <v>600.72</v>
      </c>
      <c r="G1038">
        <v>534</v>
      </c>
      <c r="H1038">
        <v>390.53</v>
      </c>
      <c r="I1038">
        <v>447.43</v>
      </c>
      <c r="J1038">
        <v>559.20000000000005</v>
      </c>
      <c r="K1038">
        <v>536.91999999999996</v>
      </c>
      <c r="L1038">
        <v>399.5</v>
      </c>
      <c r="M1038" s="50"/>
      <c r="N1038" s="50"/>
      <c r="O1038" s="50"/>
      <c r="P1038" s="50"/>
      <c r="Q1038" s="48"/>
      <c r="R1038" s="48"/>
      <c r="S1038" s="48"/>
      <c r="T1038" s="48"/>
      <c r="U1038" s="48"/>
      <c r="V1038" s="47"/>
      <c r="W1038" s="46"/>
      <c r="X1038" s="8"/>
    </row>
    <row r="1039" spans="1:31" ht="24.75" customHeight="1" thickBot="1">
      <c r="A1039" s="199"/>
      <c r="B1039" s="61"/>
      <c r="C1039" s="51" t="s">
        <v>154</v>
      </c>
      <c r="D1039" s="24">
        <f t="shared" ref="D1039:L1039" si="341">IF(((D1037="")*AND(D1038="")),"",(D1037-D1038)*4)</f>
        <v>2881.5200000000004</v>
      </c>
      <c r="E1039" s="24">
        <f t="shared" si="341"/>
        <v>2714.6</v>
      </c>
      <c r="F1039" s="24">
        <f t="shared" si="341"/>
        <v>2638.84</v>
      </c>
      <c r="G1039" s="24">
        <f t="shared" si="341"/>
        <v>2800.4799999999996</v>
      </c>
      <c r="H1039" s="24">
        <f t="shared" si="341"/>
        <v>3086.4800000000005</v>
      </c>
      <c r="I1039" s="24">
        <f t="shared" si="341"/>
        <v>2990.7599999999993</v>
      </c>
      <c r="J1039" s="24">
        <f t="shared" si="341"/>
        <v>2750.04</v>
      </c>
      <c r="K1039" s="24">
        <f t="shared" si="341"/>
        <v>2772.7999999999997</v>
      </c>
      <c r="L1039" s="24">
        <f t="shared" si="341"/>
        <v>3050.2</v>
      </c>
      <c r="M1039" s="24"/>
      <c r="N1039" s="24"/>
      <c r="O1039" s="24"/>
      <c r="P1039" s="24" t="str">
        <f>IF(((P1037="")*AND(P1038="")),"",(P1037-P1038)*4)</f>
        <v/>
      </c>
      <c r="Q1039" s="61"/>
      <c r="R1039" s="61"/>
      <c r="S1039" s="61"/>
      <c r="T1039" s="61"/>
      <c r="U1039" s="61"/>
      <c r="V1039" s="60"/>
      <c r="W1039" s="59"/>
      <c r="X1039" s="8"/>
    </row>
    <row r="1040" spans="1:31" ht="15.75">
      <c r="A1040" s="195">
        <v>43677</v>
      </c>
      <c r="B1040" s="57" t="s">
        <v>157</v>
      </c>
      <c r="C1040" s="51" t="s">
        <v>156</v>
      </c>
      <c r="D1040">
        <v>5216.1499999999996</v>
      </c>
      <c r="E1040">
        <v>5215.04</v>
      </c>
      <c r="F1040">
        <v>5234.46</v>
      </c>
      <c r="G1040">
        <v>5212.51</v>
      </c>
      <c r="H1040">
        <v>5165.25</v>
      </c>
      <c r="I1040">
        <v>5219.5</v>
      </c>
      <c r="J1040">
        <v>5198.18</v>
      </c>
      <c r="K1040">
        <v>5252.47</v>
      </c>
      <c r="L1040">
        <v>5262.27</v>
      </c>
      <c r="M1040" s="50"/>
      <c r="N1040" s="50"/>
      <c r="O1040" s="50"/>
      <c r="P1040" s="50"/>
      <c r="Q1040" s="57">
        <f>IF((L1041=""),"",MAX(D1042:L1042))</f>
        <v>3565.88</v>
      </c>
      <c r="R1040" s="57">
        <f>IF(L1041="","",MIN(D1042:L1042))</f>
        <v>3405.3599999999997</v>
      </c>
      <c r="S1040" s="58">
        <f>IF((L1042=""),"",AVERAGE(D1042:L1042))</f>
        <v>3456.6222222222227</v>
      </c>
      <c r="T1040" s="57">
        <f>IF((L1041=""),"",((Q1040-R1040)/(Q1040+R1040))*100)</f>
        <v>2.30260326713756</v>
      </c>
      <c r="U1040" s="56">
        <f>STDEV(D1040:L1040)</f>
        <v>28.761220419249099</v>
      </c>
      <c r="V1040" s="55" t="str">
        <f>IF(L1041="","",(IF(T1040&lt;7,IF(S1040&gt;2800,IF(S1040&lt;3800,"Pass","Fail"),"Fail"),"Fail")))</f>
        <v>Pass</v>
      </c>
      <c r="W1040" s="54"/>
      <c r="X1040" s="26" t="s">
        <v>343</v>
      </c>
      <c r="Z1040" s="53">
        <v>2800</v>
      </c>
      <c r="AA1040" s="53">
        <v>3800</v>
      </c>
      <c r="AB1040" s="53">
        <v>3100</v>
      </c>
      <c r="AC1040" s="53">
        <v>3760</v>
      </c>
      <c r="AD1040" s="52">
        <v>6</v>
      </c>
      <c r="AE1040" s="52">
        <v>6</v>
      </c>
    </row>
    <row r="1041" spans="1:31" ht="15.75" customHeight="1">
      <c r="A1041" s="199"/>
      <c r="B1041" s="48"/>
      <c r="C1041" s="51" t="s">
        <v>155</v>
      </c>
      <c r="D1041">
        <v>3476.12</v>
      </c>
      <c r="E1041">
        <v>3492.94</v>
      </c>
      <c r="F1041">
        <v>3516.47</v>
      </c>
      <c r="G1041">
        <v>3501.88</v>
      </c>
      <c r="H1041">
        <v>3462.57</v>
      </c>
      <c r="I1041">
        <v>3436.56</v>
      </c>
      <c r="J1041">
        <v>3479.65</v>
      </c>
      <c r="K1041">
        <v>3528.47</v>
      </c>
      <c r="L1041">
        <v>3526.37</v>
      </c>
      <c r="M1041" s="50"/>
      <c r="N1041" s="50"/>
      <c r="O1041" s="50"/>
      <c r="P1041" s="50"/>
      <c r="Q1041" s="48"/>
      <c r="R1041" s="48"/>
      <c r="S1041" s="49"/>
      <c r="T1041" s="48"/>
      <c r="U1041" s="48"/>
      <c r="V1041" s="47"/>
      <c r="W1041" s="46"/>
      <c r="X1041" s="8"/>
    </row>
    <row r="1042" spans="1:31" ht="24.75" customHeight="1" thickBot="1">
      <c r="A1042" s="199"/>
      <c r="B1042" s="42"/>
      <c r="C1042" s="45" t="s">
        <v>154</v>
      </c>
      <c r="D1042" s="44">
        <f t="shared" ref="D1042:L1042" si="342">IF(((D1040="")*AND(D1041="")),"",(D1040-D1041)*2)</f>
        <v>3480.0599999999995</v>
      </c>
      <c r="E1042" s="44">
        <f t="shared" si="342"/>
        <v>3444.2</v>
      </c>
      <c r="F1042" s="44">
        <f t="shared" si="342"/>
        <v>3435.9800000000005</v>
      </c>
      <c r="G1042" s="44">
        <f t="shared" si="342"/>
        <v>3421.26</v>
      </c>
      <c r="H1042" s="44">
        <f t="shared" si="342"/>
        <v>3405.3599999999997</v>
      </c>
      <c r="I1042" s="44">
        <f t="shared" si="342"/>
        <v>3565.88</v>
      </c>
      <c r="J1042" s="44">
        <f t="shared" si="342"/>
        <v>3437.0600000000004</v>
      </c>
      <c r="K1042" s="44">
        <f t="shared" si="342"/>
        <v>3448.0000000000009</v>
      </c>
      <c r="L1042" s="44">
        <f t="shared" si="342"/>
        <v>3471.8000000000011</v>
      </c>
      <c r="M1042" s="44"/>
      <c r="N1042" s="44"/>
      <c r="O1042" s="44"/>
      <c r="P1042" s="44"/>
      <c r="Q1042" s="42"/>
      <c r="R1042" s="42"/>
      <c r="S1042" s="43"/>
      <c r="T1042" s="42"/>
      <c r="U1042" s="42"/>
      <c r="V1042" s="41"/>
      <c r="W1042" s="40"/>
      <c r="X1042" s="8"/>
    </row>
    <row r="1043" spans="1:31" ht="15.75">
      <c r="A1043" s="195">
        <v>43682</v>
      </c>
      <c r="B1043" s="63" t="s">
        <v>158</v>
      </c>
      <c r="C1043" s="56" t="s">
        <v>156</v>
      </c>
      <c r="D1043">
        <v>1947.5</v>
      </c>
      <c r="E1043">
        <v>1943.95</v>
      </c>
      <c r="F1043">
        <v>1935.89</v>
      </c>
      <c r="G1043">
        <v>1937.09</v>
      </c>
      <c r="H1043">
        <v>1944.46</v>
      </c>
      <c r="I1043">
        <v>1949.43</v>
      </c>
      <c r="J1043">
        <v>1939.77</v>
      </c>
      <c r="K1043">
        <v>1940.41</v>
      </c>
      <c r="L1043">
        <v>1943.83</v>
      </c>
      <c r="M1043" s="62"/>
      <c r="N1043" s="62"/>
      <c r="O1043" s="62"/>
      <c r="P1043" s="62"/>
      <c r="Q1043" s="57">
        <f>IF((L1044=""),"",MAX(D1045:L1045))</f>
        <v>3172.76</v>
      </c>
      <c r="R1043" s="57">
        <f>IF(L1044="","",MIN(D1045:L1045))</f>
        <v>2794.84</v>
      </c>
      <c r="S1043" s="58">
        <f>IF((L1045=""),"",AVERAGE(D1045:L1045))</f>
        <v>2974.4444444444443</v>
      </c>
      <c r="T1043" s="57">
        <f>IF((L1044=""),"",((Q1043-R1043)/(Q1043+R1043))*100)</f>
        <v>6.3328641329847848</v>
      </c>
      <c r="U1043" s="56">
        <f>STDEV(D1043:L1043)</f>
        <v>4.5485696773438162</v>
      </c>
      <c r="V1043" s="55" t="str">
        <f>IF(L1044="","",(IF(T1043&lt;12,IF(S1043&gt;2200,IF(S1043&lt;3280,"Pass","Fail"),"Fail"),"Fail")))</f>
        <v>Pass</v>
      </c>
      <c r="W1043" s="54">
        <v>1340</v>
      </c>
      <c r="Z1043" s="37">
        <v>2000</v>
      </c>
      <c r="AA1043" s="37">
        <v>3000</v>
      </c>
      <c r="AB1043" s="37">
        <v>2200</v>
      </c>
      <c r="AC1043" s="37">
        <v>3280</v>
      </c>
      <c r="AD1043" s="39">
        <v>12</v>
      </c>
      <c r="AE1043" s="39">
        <v>12</v>
      </c>
    </row>
    <row r="1044" spans="1:31" ht="16.5" customHeight="1">
      <c r="A1044" s="199"/>
      <c r="B1044" s="48"/>
      <c r="C1044" s="51" t="s">
        <v>155</v>
      </c>
      <c r="D1044">
        <v>1202.33</v>
      </c>
      <c r="E1044">
        <v>1227.4000000000001</v>
      </c>
      <c r="F1044">
        <v>1237.18</v>
      </c>
      <c r="G1044">
        <v>1207.8</v>
      </c>
      <c r="H1044">
        <v>1151.27</v>
      </c>
      <c r="I1044">
        <v>1182.2</v>
      </c>
      <c r="J1044">
        <v>1221.48</v>
      </c>
      <c r="K1044">
        <v>1206.27</v>
      </c>
      <c r="L1044">
        <v>1153.9000000000001</v>
      </c>
      <c r="M1044" s="50"/>
      <c r="N1044" s="50"/>
      <c r="O1044" s="50"/>
      <c r="P1044" s="50"/>
      <c r="Q1044" s="48"/>
      <c r="R1044" s="48"/>
      <c r="S1044" s="48"/>
      <c r="T1044" s="48"/>
      <c r="U1044" s="48"/>
      <c r="V1044" s="47"/>
      <c r="W1044" s="46"/>
      <c r="X1044" s="8"/>
    </row>
    <row r="1045" spans="1:31" ht="24.75" customHeight="1" thickBot="1">
      <c r="A1045" s="199"/>
      <c r="B1045" s="61"/>
      <c r="C1045" s="51" t="s">
        <v>154</v>
      </c>
      <c r="D1045" s="24">
        <f t="shared" ref="D1045:L1045" si="343">IF(((D1043="")*AND(D1044="")),"",(D1043-D1044)*4)</f>
        <v>2980.6800000000003</v>
      </c>
      <c r="E1045" s="24">
        <f t="shared" si="343"/>
        <v>2866.2</v>
      </c>
      <c r="F1045" s="24">
        <f t="shared" si="343"/>
        <v>2794.84</v>
      </c>
      <c r="G1045" s="24">
        <f t="shared" si="343"/>
        <v>2917.16</v>
      </c>
      <c r="H1045" s="24">
        <f t="shared" si="343"/>
        <v>3172.76</v>
      </c>
      <c r="I1045" s="24">
        <f t="shared" si="343"/>
        <v>3068.92</v>
      </c>
      <c r="J1045" s="24">
        <f t="shared" si="343"/>
        <v>2873.16</v>
      </c>
      <c r="K1045" s="24">
        <f t="shared" si="343"/>
        <v>2936.5600000000004</v>
      </c>
      <c r="L1045" s="24">
        <f t="shared" si="343"/>
        <v>3159.7199999999993</v>
      </c>
      <c r="M1045" s="24"/>
      <c r="N1045" s="24"/>
      <c r="O1045" s="24"/>
      <c r="P1045" s="24" t="str">
        <f>IF(((P1043="")*AND(P1044="")),"",(P1043-P1044)*4)</f>
        <v/>
      </c>
      <c r="Q1045" s="61"/>
      <c r="R1045" s="61"/>
      <c r="S1045" s="61"/>
      <c r="T1045" s="61"/>
      <c r="U1045" s="61"/>
      <c r="V1045" s="60"/>
      <c r="W1045" s="59"/>
      <c r="X1045" s="8"/>
    </row>
    <row r="1046" spans="1:31" ht="15.75">
      <c r="A1046" s="195">
        <v>43682</v>
      </c>
      <c r="B1046" s="57" t="s">
        <v>157</v>
      </c>
      <c r="C1046" s="51" t="s">
        <v>156</v>
      </c>
      <c r="D1046">
        <v>6962.76</v>
      </c>
      <c r="E1046">
        <v>6960.44</v>
      </c>
      <c r="F1046">
        <v>6974.45</v>
      </c>
      <c r="G1046">
        <v>6945.26</v>
      </c>
      <c r="H1046">
        <v>6863.57</v>
      </c>
      <c r="I1046">
        <v>6915.34</v>
      </c>
      <c r="J1046">
        <v>6931.7</v>
      </c>
      <c r="K1046">
        <v>7000.49</v>
      </c>
      <c r="L1046">
        <v>7000.93</v>
      </c>
      <c r="M1046" s="50"/>
      <c r="N1046" s="50"/>
      <c r="O1046" s="50"/>
      <c r="P1046" s="50"/>
      <c r="Q1046" s="57">
        <f>IF((L1047=""),"",MAX(D1048:L1048))</f>
        <v>3434.1000000000004</v>
      </c>
      <c r="R1046" s="57">
        <f>IF(L1047="","",MIN(D1048:L1048))</f>
        <v>3378.6999999999989</v>
      </c>
      <c r="S1046" s="58">
        <f>IF((L1048=""),"",AVERAGE(D1048:L1048))</f>
        <v>3416.1244444444437</v>
      </c>
      <c r="T1046" s="57">
        <f>IF((L1047=""),"",((Q1046-R1046)/(Q1046+R1046))*100)</f>
        <v>0.8131751996242581</v>
      </c>
      <c r="U1046" s="56">
        <f>STDEV(D1046:L1046)</f>
        <v>43.357273450905247</v>
      </c>
      <c r="V1046" s="55" t="str">
        <f>IF(L1047="","",(IF(T1046&lt;7,IF(S1046&gt;2800,IF(S1046&lt;3800,"Pass","Fail"),"Fail"),"Fail")))</f>
        <v>Pass</v>
      </c>
      <c r="W1046" s="54">
        <v>1340</v>
      </c>
      <c r="Z1046" s="53">
        <v>2800</v>
      </c>
      <c r="AA1046" s="53">
        <v>3800</v>
      </c>
      <c r="AB1046" s="53">
        <v>3100</v>
      </c>
      <c r="AC1046" s="53">
        <v>3760</v>
      </c>
      <c r="AD1046" s="52">
        <v>6</v>
      </c>
      <c r="AE1046" s="52">
        <v>6</v>
      </c>
    </row>
    <row r="1047" spans="1:31" ht="15.75" customHeight="1">
      <c r="A1047" s="199"/>
      <c r="B1047" s="48"/>
      <c r="C1047" s="51" t="s">
        <v>155</v>
      </c>
      <c r="D1047">
        <v>5249.08</v>
      </c>
      <c r="E1047">
        <v>5247.65</v>
      </c>
      <c r="F1047">
        <v>5267.68</v>
      </c>
      <c r="G1047">
        <v>5241.9799999999996</v>
      </c>
      <c r="H1047">
        <v>5174.22</v>
      </c>
      <c r="I1047">
        <v>5202.45</v>
      </c>
      <c r="J1047">
        <v>5227</v>
      </c>
      <c r="K1047">
        <v>5288.44</v>
      </c>
      <c r="L1047">
        <v>5283.88</v>
      </c>
      <c r="M1047" s="50"/>
      <c r="N1047" s="50"/>
      <c r="O1047" s="50"/>
      <c r="P1047" s="50"/>
      <c r="Q1047" s="48"/>
      <c r="R1047" s="48"/>
      <c r="S1047" s="49"/>
      <c r="T1047" s="48"/>
      <c r="U1047" s="48"/>
      <c r="V1047" s="47"/>
      <c r="W1047" s="46"/>
      <c r="X1047" s="8"/>
    </row>
    <row r="1048" spans="1:31" ht="24.75" customHeight="1" thickBot="1">
      <c r="A1048" s="199"/>
      <c r="B1048" s="42"/>
      <c r="C1048" s="45" t="s">
        <v>154</v>
      </c>
      <c r="D1048" s="44">
        <f t="shared" ref="D1048:L1048" si="344">IF(((D1046="")*AND(D1047="")),"",(D1046-D1047)*2)</f>
        <v>3427.3600000000006</v>
      </c>
      <c r="E1048" s="44">
        <f t="shared" si="344"/>
        <v>3425.58</v>
      </c>
      <c r="F1048" s="44">
        <f t="shared" si="344"/>
        <v>3413.5399999999991</v>
      </c>
      <c r="G1048" s="44">
        <f t="shared" si="344"/>
        <v>3406.5600000000013</v>
      </c>
      <c r="H1048" s="44">
        <f t="shared" si="344"/>
        <v>3378.6999999999989</v>
      </c>
      <c r="I1048" s="44">
        <f t="shared" si="344"/>
        <v>3425.7800000000007</v>
      </c>
      <c r="J1048" s="44">
        <f t="shared" si="344"/>
        <v>3409.3999999999996</v>
      </c>
      <c r="K1048" s="44">
        <f t="shared" si="344"/>
        <v>3424.1000000000004</v>
      </c>
      <c r="L1048" s="44">
        <f t="shared" si="344"/>
        <v>3434.1000000000004</v>
      </c>
      <c r="M1048" s="44"/>
      <c r="N1048" s="44"/>
      <c r="O1048" s="44"/>
      <c r="P1048" s="44"/>
      <c r="Q1048" s="42"/>
      <c r="R1048" s="42"/>
      <c r="S1048" s="43"/>
      <c r="T1048" s="42"/>
      <c r="U1048" s="42"/>
      <c r="V1048" s="41"/>
      <c r="W1048" s="40"/>
      <c r="X1048" s="8"/>
    </row>
    <row r="1049" spans="1:31" ht="15.75">
      <c r="A1049" s="195">
        <v>43691</v>
      </c>
      <c r="B1049" s="63" t="s">
        <v>158</v>
      </c>
      <c r="C1049" s="56" t="s">
        <v>156</v>
      </c>
      <c r="D1049">
        <v>1204.72</v>
      </c>
      <c r="E1049">
        <v>1228.6400000000001</v>
      </c>
      <c r="F1049">
        <v>1235.22</v>
      </c>
      <c r="G1049">
        <v>1208.68</v>
      </c>
      <c r="H1049">
        <v>1155.3699999999999</v>
      </c>
      <c r="I1049">
        <v>1187.8900000000001</v>
      </c>
      <c r="J1049">
        <v>1222.97</v>
      </c>
      <c r="K1049">
        <v>1208.68</v>
      </c>
      <c r="L1049">
        <v>1156.04</v>
      </c>
      <c r="M1049" s="62"/>
      <c r="N1049" s="62"/>
      <c r="O1049" s="62"/>
      <c r="P1049" s="62"/>
      <c r="Q1049" s="57">
        <f>IF((L1050=""),"",MAX(D1051:L1051))</f>
        <v>3071.2799999999997</v>
      </c>
      <c r="R1049" s="57">
        <f>IF(L1050="","",MIN(D1051:L1051))</f>
        <v>2722.2000000000003</v>
      </c>
      <c r="S1049" s="58">
        <f>IF((L1051=""),"",AVERAGE(D1051:L1051))</f>
        <v>2882.2088888888889</v>
      </c>
      <c r="T1049" s="57">
        <f>IF((L1050=""),"",((Q1049-R1049)/(Q1049+R1049))*100)</f>
        <v>6.025394063671567</v>
      </c>
      <c r="U1049" s="56">
        <f>STDEV(D1049:L1049)</f>
        <v>29.207797237118196</v>
      </c>
      <c r="V1049" s="55" t="str">
        <f>IF(L1050="","",(IF(T1049&lt;12,IF(S1049&gt;2200,IF(S1049&lt;3280,"Pass","Fail"),"Fail"),"Fail")))</f>
        <v>Pass</v>
      </c>
      <c r="W1049" s="54">
        <v>1159</v>
      </c>
      <c r="X1049" s="26" t="s">
        <v>345</v>
      </c>
      <c r="Z1049" s="37">
        <v>2000</v>
      </c>
      <c r="AA1049" s="37">
        <v>3000</v>
      </c>
      <c r="AB1049" s="37">
        <v>2200</v>
      </c>
      <c r="AC1049" s="37">
        <v>3280</v>
      </c>
      <c r="AD1049" s="39">
        <v>12</v>
      </c>
      <c r="AE1049" s="39">
        <v>12</v>
      </c>
    </row>
    <row r="1050" spans="1:31" ht="16.5" customHeight="1">
      <c r="A1050" s="199"/>
      <c r="B1050" s="48"/>
      <c r="C1050" s="51" t="s">
        <v>155</v>
      </c>
      <c r="D1050">
        <v>477.85</v>
      </c>
      <c r="E1050">
        <v>536.94000000000005</v>
      </c>
      <c r="F1050">
        <v>554.66999999999996</v>
      </c>
      <c r="G1050">
        <v>504.54</v>
      </c>
      <c r="H1050">
        <v>387.55</v>
      </c>
      <c r="I1050">
        <v>434.43</v>
      </c>
      <c r="J1050">
        <v>527.29999999999995</v>
      </c>
      <c r="K1050">
        <v>504.17</v>
      </c>
      <c r="L1050">
        <v>395.79</v>
      </c>
      <c r="M1050" s="50"/>
      <c r="N1050" s="50"/>
      <c r="O1050" s="50"/>
      <c r="P1050" s="50"/>
      <c r="Q1050" s="48"/>
      <c r="R1050" s="48"/>
      <c r="S1050" s="48"/>
      <c r="T1050" s="48"/>
      <c r="U1050" s="48"/>
      <c r="V1050" s="47"/>
      <c r="W1050" s="46"/>
      <c r="X1050" s="8"/>
    </row>
    <row r="1051" spans="1:31" ht="24.75" customHeight="1" thickBot="1">
      <c r="A1051" s="199"/>
      <c r="B1051" s="61"/>
      <c r="C1051" s="51" t="s">
        <v>154</v>
      </c>
      <c r="D1051" s="24">
        <f t="shared" ref="D1051:L1051" si="345">IF(((D1049="")*AND(D1050="")),"",(D1049-D1050)*4)</f>
        <v>2907.48</v>
      </c>
      <c r="E1051" s="24">
        <f t="shared" si="345"/>
        <v>2766.8</v>
      </c>
      <c r="F1051" s="24">
        <f t="shared" si="345"/>
        <v>2722.2000000000003</v>
      </c>
      <c r="G1051" s="24">
        <f t="shared" si="345"/>
        <v>2816.5600000000004</v>
      </c>
      <c r="H1051" s="24">
        <f t="shared" si="345"/>
        <v>3071.2799999999997</v>
      </c>
      <c r="I1051" s="24">
        <f t="shared" si="345"/>
        <v>3013.84</v>
      </c>
      <c r="J1051" s="24">
        <f t="shared" si="345"/>
        <v>2782.6800000000003</v>
      </c>
      <c r="K1051" s="24">
        <f t="shared" si="345"/>
        <v>2818.04</v>
      </c>
      <c r="L1051" s="24">
        <f t="shared" si="345"/>
        <v>3041</v>
      </c>
      <c r="M1051" s="24"/>
      <c r="N1051" s="24"/>
      <c r="O1051" s="24"/>
      <c r="P1051" s="24" t="str">
        <f>IF(((P1049="")*AND(P1050="")),"",(P1049-P1050)*4)</f>
        <v/>
      </c>
      <c r="Q1051" s="61"/>
      <c r="R1051" s="61"/>
      <c r="S1051" s="61"/>
      <c r="T1051" s="61"/>
      <c r="U1051" s="61"/>
      <c r="V1051" s="60"/>
      <c r="W1051" s="59"/>
      <c r="X1051" s="8"/>
    </row>
    <row r="1052" spans="1:31" ht="15.75">
      <c r="A1052" s="195">
        <v>43691</v>
      </c>
      <c r="B1052" s="57" t="s">
        <v>157</v>
      </c>
      <c r="C1052" s="51" t="s">
        <v>156</v>
      </c>
      <c r="D1052">
        <v>5254.55</v>
      </c>
      <c r="E1052">
        <v>5252.07</v>
      </c>
      <c r="F1052">
        <v>5272.22</v>
      </c>
      <c r="G1052">
        <v>5246.44</v>
      </c>
      <c r="H1052">
        <v>5179.3900000000003</v>
      </c>
      <c r="I1052">
        <v>5206.74</v>
      </c>
      <c r="J1052">
        <v>5231.3</v>
      </c>
      <c r="K1052">
        <v>5293.13</v>
      </c>
      <c r="L1052">
        <v>5288.64</v>
      </c>
      <c r="M1052" s="50"/>
      <c r="N1052" s="50"/>
      <c r="O1052" s="50"/>
      <c r="P1052" s="50"/>
      <c r="Q1052" s="57">
        <f>IF((L1053=""),"",MAX(D1054:L1054))</f>
        <v>3459.2000000000007</v>
      </c>
      <c r="R1052" s="57">
        <f>IF(L1053="","",MIN(D1054:L1054))</f>
        <v>3383.4800000000005</v>
      </c>
      <c r="S1052" s="58">
        <f>IF((L1054=""),"",AVERAGE(D1054:L1054))</f>
        <v>3435.117777777778</v>
      </c>
      <c r="T1052" s="57">
        <f>IF((L1053=""),"",((Q1052-R1052)/(Q1052+R1052))*100)</f>
        <v>1.1065839700234446</v>
      </c>
      <c r="U1052" s="56">
        <f>STDEV(D1052:L1052)</f>
        <v>37.113276300900729</v>
      </c>
      <c r="V1052" s="55" t="str">
        <f>IF(L1053="","",(IF(T1052&lt;7,IF(S1052&gt;2800,IF(S1052&lt;3800,"Pass","Fail"),"Fail"),"Fail")))</f>
        <v>Pass</v>
      </c>
      <c r="W1052" s="54">
        <v>1159</v>
      </c>
      <c r="X1052" s="26" t="s">
        <v>345</v>
      </c>
      <c r="Z1052" s="53">
        <v>2800</v>
      </c>
      <c r="AA1052" s="53">
        <v>3800</v>
      </c>
      <c r="AB1052" s="53">
        <v>3100</v>
      </c>
      <c r="AC1052" s="53">
        <v>3760</v>
      </c>
      <c r="AD1052" s="52">
        <v>6</v>
      </c>
      <c r="AE1052" s="52">
        <v>6</v>
      </c>
    </row>
    <row r="1053" spans="1:31" ht="15.75" customHeight="1">
      <c r="A1053" s="199"/>
      <c r="B1053" s="48"/>
      <c r="C1053" s="51" t="s">
        <v>155</v>
      </c>
      <c r="D1053">
        <v>3529.22</v>
      </c>
      <c r="E1053">
        <v>3529.83</v>
      </c>
      <c r="F1053">
        <v>3554.02</v>
      </c>
      <c r="G1053">
        <v>3535.61</v>
      </c>
      <c r="H1053">
        <v>3487.65</v>
      </c>
      <c r="I1053">
        <v>3484.65</v>
      </c>
      <c r="J1053">
        <v>3519.13</v>
      </c>
      <c r="K1053">
        <v>3567.3</v>
      </c>
      <c r="L1053">
        <v>3559.04</v>
      </c>
      <c r="M1053" s="50"/>
      <c r="N1053" s="50"/>
      <c r="O1053" s="50"/>
      <c r="P1053" s="50"/>
      <c r="Q1053" s="48"/>
      <c r="R1053" s="48"/>
      <c r="S1053" s="49"/>
      <c r="T1053" s="48"/>
      <c r="U1053" s="48"/>
      <c r="V1053" s="47"/>
      <c r="W1053" s="46"/>
      <c r="X1053" s="8"/>
    </row>
    <row r="1054" spans="1:31" ht="24.75" customHeight="1" thickBot="1">
      <c r="A1054" s="199"/>
      <c r="B1054" s="42"/>
      <c r="C1054" s="45" t="s">
        <v>154</v>
      </c>
      <c r="D1054" s="44">
        <f t="shared" ref="D1054:L1054" si="346">IF(((D1052="")*AND(D1053="")),"",(D1052-D1053)*2)</f>
        <v>3450.6600000000008</v>
      </c>
      <c r="E1054" s="44">
        <f t="shared" si="346"/>
        <v>3444.4799999999996</v>
      </c>
      <c r="F1054" s="44">
        <f t="shared" si="346"/>
        <v>3436.4000000000005</v>
      </c>
      <c r="G1054" s="44">
        <f t="shared" si="346"/>
        <v>3421.6599999999989</v>
      </c>
      <c r="H1054" s="44">
        <f t="shared" si="346"/>
        <v>3383.4800000000005</v>
      </c>
      <c r="I1054" s="44">
        <f t="shared" si="346"/>
        <v>3444.1799999999994</v>
      </c>
      <c r="J1054" s="44">
        <f t="shared" si="346"/>
        <v>3424.34</v>
      </c>
      <c r="K1054" s="44">
        <f t="shared" si="346"/>
        <v>3451.66</v>
      </c>
      <c r="L1054" s="44">
        <f t="shared" si="346"/>
        <v>3459.2000000000007</v>
      </c>
      <c r="M1054" s="44"/>
      <c r="N1054" s="44"/>
      <c r="O1054" s="44"/>
      <c r="P1054" s="44"/>
      <c r="Q1054" s="42"/>
      <c r="R1054" s="42"/>
      <c r="S1054" s="43"/>
      <c r="T1054" s="42"/>
      <c r="U1054" s="42"/>
      <c r="V1054" s="41"/>
      <c r="W1054" s="40"/>
      <c r="X1054" s="8"/>
    </row>
    <row r="1055" spans="1:31" ht="15.75">
      <c r="A1055" s="195">
        <v>43698</v>
      </c>
      <c r="B1055" s="63" t="s">
        <v>158</v>
      </c>
      <c r="C1055" s="56" t="s">
        <v>156</v>
      </c>
      <c r="D1055">
        <v>2011.75</v>
      </c>
      <c r="E1055">
        <v>1989.81</v>
      </c>
      <c r="F1055">
        <v>1980.44</v>
      </c>
      <c r="G1055">
        <v>1988.68</v>
      </c>
      <c r="H1055">
        <v>2003.67</v>
      </c>
      <c r="I1055">
        <v>2011.53</v>
      </c>
      <c r="J1055">
        <v>1992.34</v>
      </c>
      <c r="K1055">
        <v>1992.44</v>
      </c>
      <c r="L1055">
        <v>2003.65</v>
      </c>
      <c r="M1055" s="62"/>
      <c r="N1055" s="62"/>
      <c r="O1055" s="62"/>
      <c r="P1055" s="62"/>
      <c r="Q1055" s="57">
        <f>IF((L1056=""),"",MAX(D1057:L1057))</f>
        <v>3407.84</v>
      </c>
      <c r="R1055" s="57">
        <f>IF(L1056="","",MIN(D1057:L1057))</f>
        <v>2982.5600000000004</v>
      </c>
      <c r="S1055" s="58">
        <f>IF((L1057=""),"",AVERAGE(D1057:L1057))</f>
        <v>3197.008888888889</v>
      </c>
      <c r="T1055" s="57">
        <f>IF((L1056=""),"",((Q1055-R1055)/(Q1055+R1055))*100)</f>
        <v>6.654982473710561</v>
      </c>
      <c r="U1055" s="56">
        <f>STDEV(D1055:L1055)</f>
        <v>10.925116831292</v>
      </c>
      <c r="V1055" s="55" t="str">
        <f>IF(L1056="","",(IF(T1055&lt;12,IF(S1055&gt;2200,IF(S1055&lt;3280,"Pass","Fail"),"Fail"),"Fail")))</f>
        <v>Pass</v>
      </c>
      <c r="W1055" s="54">
        <v>1340</v>
      </c>
      <c r="X1055" s="26" t="s">
        <v>347</v>
      </c>
      <c r="Z1055" s="37">
        <v>2000</v>
      </c>
      <c r="AA1055" s="37">
        <v>3000</v>
      </c>
      <c r="AB1055" s="37">
        <v>2200</v>
      </c>
      <c r="AC1055" s="37">
        <v>3280</v>
      </c>
      <c r="AD1055" s="39">
        <v>12</v>
      </c>
      <c r="AE1055" s="39">
        <v>12</v>
      </c>
    </row>
    <row r="1056" spans="1:31" ht="16.5" customHeight="1">
      <c r="A1056" s="199"/>
      <c r="B1056" s="48"/>
      <c r="C1056" s="51" t="s">
        <v>155</v>
      </c>
      <c r="D1056">
        <v>1196.67</v>
      </c>
      <c r="E1056">
        <v>1224.3699999999999</v>
      </c>
      <c r="F1056">
        <v>1234.8</v>
      </c>
      <c r="G1056">
        <v>1210.8399999999999</v>
      </c>
      <c r="H1056">
        <v>1152.45</v>
      </c>
      <c r="I1056">
        <v>1179.96</v>
      </c>
      <c r="J1056">
        <v>1223.8599999999999</v>
      </c>
      <c r="K1056">
        <v>1206.4000000000001</v>
      </c>
      <c r="L1056">
        <v>1151.69</v>
      </c>
      <c r="M1056" s="50"/>
      <c r="N1056" s="50"/>
      <c r="O1056" s="50"/>
      <c r="P1056" s="50"/>
      <c r="Q1056" s="48"/>
      <c r="R1056" s="48"/>
      <c r="S1056" s="48"/>
      <c r="T1056" s="48"/>
      <c r="U1056" s="48"/>
      <c r="V1056" s="47"/>
      <c r="W1056" s="46"/>
      <c r="X1056" s="8"/>
    </row>
    <row r="1057" spans="1:31" ht="24.75" customHeight="1" thickBot="1">
      <c r="A1057" s="199"/>
      <c r="B1057" s="61"/>
      <c r="C1057" s="51" t="s">
        <v>154</v>
      </c>
      <c r="D1057" s="24">
        <f t="shared" ref="D1057:L1057" si="347">IF(((D1055="")*AND(D1056="")),"",(D1055-D1056)*4)</f>
        <v>3260.3199999999997</v>
      </c>
      <c r="E1057" s="24">
        <f t="shared" si="347"/>
        <v>3061.76</v>
      </c>
      <c r="F1057" s="24">
        <f t="shared" si="347"/>
        <v>2982.5600000000004</v>
      </c>
      <c r="G1057" s="24">
        <f t="shared" si="347"/>
        <v>3111.3600000000006</v>
      </c>
      <c r="H1057" s="24">
        <f t="shared" si="347"/>
        <v>3404.88</v>
      </c>
      <c r="I1057" s="24">
        <f t="shared" si="347"/>
        <v>3326.2799999999997</v>
      </c>
      <c r="J1057" s="24">
        <f t="shared" si="347"/>
        <v>3073.92</v>
      </c>
      <c r="K1057" s="24">
        <f t="shared" si="347"/>
        <v>3144.16</v>
      </c>
      <c r="L1057" s="24">
        <f t="shared" si="347"/>
        <v>3407.84</v>
      </c>
      <c r="M1057" s="24"/>
      <c r="N1057" s="24"/>
      <c r="O1057" s="24"/>
      <c r="P1057" s="24" t="str">
        <f>IF(((P1055="")*AND(P1056="")),"",(P1055-P1056)*4)</f>
        <v/>
      </c>
      <c r="Q1057" s="61"/>
      <c r="R1057" s="61"/>
      <c r="S1057" s="61"/>
      <c r="T1057" s="61"/>
      <c r="U1057" s="61"/>
      <c r="V1057" s="60"/>
      <c r="W1057" s="59"/>
      <c r="X1057" s="8"/>
    </row>
    <row r="1058" spans="1:31" ht="15.75">
      <c r="A1058" s="195">
        <v>43698</v>
      </c>
      <c r="B1058" s="57" t="s">
        <v>157</v>
      </c>
      <c r="C1058" s="51" t="s">
        <v>156</v>
      </c>
      <c r="D1058">
        <v>7011.18</v>
      </c>
      <c r="E1058">
        <v>7030.11</v>
      </c>
      <c r="F1058">
        <v>7039.32</v>
      </c>
      <c r="G1058">
        <v>7017.39</v>
      </c>
      <c r="H1058">
        <v>6936.28</v>
      </c>
      <c r="I1058">
        <v>6990.27</v>
      </c>
      <c r="J1058">
        <v>7014.73</v>
      </c>
      <c r="K1058">
        <v>7051.69</v>
      </c>
      <c r="L1058">
        <v>7052.32</v>
      </c>
      <c r="M1058" s="50"/>
      <c r="N1058" s="50"/>
      <c r="O1058" s="50"/>
      <c r="P1058" s="50"/>
      <c r="Q1058" s="57">
        <f>IF((L1059=""),"",MAX(D1060:L1060))</f>
        <v>3362.9599999999991</v>
      </c>
      <c r="R1058" s="57">
        <f>IF(L1059="","",MIN(D1060:L1060))</f>
        <v>3288.8199999999997</v>
      </c>
      <c r="S1058" s="58">
        <f>IF((L1060=""),"",AVERAGE(D1060:L1060))</f>
        <v>3339.7688888888888</v>
      </c>
      <c r="T1058" s="57">
        <f>IF((L1059=""),"",((Q1058-R1058)/(Q1058+R1058))*100)</f>
        <v>1.1145888769622481</v>
      </c>
      <c r="U1058" s="56">
        <f>STDEV(D1058:L1058)</f>
        <v>36.020594263457824</v>
      </c>
      <c r="V1058" s="55" t="str">
        <f>IF(L1059="","",(IF(T1058&lt;7,IF(S1058&gt;2800,IF(S1058&lt;3800,"Pass","Fail"),"Fail"),"Fail")))</f>
        <v>Pass</v>
      </c>
      <c r="W1058" s="54">
        <v>1340</v>
      </c>
      <c r="X1058" s="26" t="s">
        <v>347</v>
      </c>
      <c r="Z1058" s="53">
        <v>2800</v>
      </c>
      <c r="AA1058" s="53">
        <v>3800</v>
      </c>
      <c r="AB1058" s="53">
        <v>3100</v>
      </c>
      <c r="AC1058" s="53">
        <v>3760</v>
      </c>
      <c r="AD1058" s="52">
        <v>6</v>
      </c>
      <c r="AE1058" s="52">
        <v>6</v>
      </c>
    </row>
    <row r="1059" spans="1:31" ht="15.75" customHeight="1">
      <c r="A1059" s="199"/>
      <c r="B1059" s="48"/>
      <c r="C1059" s="51" t="s">
        <v>155</v>
      </c>
      <c r="D1059">
        <v>5338.47</v>
      </c>
      <c r="E1059">
        <v>5348.63</v>
      </c>
      <c r="F1059">
        <v>5364.8</v>
      </c>
      <c r="G1059">
        <v>5348.34</v>
      </c>
      <c r="H1059">
        <v>5291.87</v>
      </c>
      <c r="I1059">
        <v>5334.53</v>
      </c>
      <c r="J1059">
        <v>5344.53</v>
      </c>
      <c r="K1059">
        <v>5371.45</v>
      </c>
      <c r="L1059">
        <v>5371.71</v>
      </c>
      <c r="M1059" s="50"/>
      <c r="N1059" s="50"/>
      <c r="O1059" s="50"/>
      <c r="P1059" s="50"/>
      <c r="Q1059" s="48"/>
      <c r="R1059" s="48"/>
      <c r="S1059" s="49"/>
      <c r="T1059" s="48"/>
      <c r="U1059" s="48"/>
      <c r="V1059" s="47"/>
      <c r="W1059" s="46"/>
      <c r="X1059" s="8"/>
    </row>
    <row r="1060" spans="1:31" ht="24.75" customHeight="1" thickBot="1">
      <c r="A1060" s="199"/>
      <c r="B1060" s="42"/>
      <c r="C1060" s="45" t="s">
        <v>154</v>
      </c>
      <c r="D1060" s="44">
        <f t="shared" ref="D1060:L1060" si="348">IF(((D1058="")*AND(D1059="")),"",(D1058-D1059)*2)</f>
        <v>3345.42</v>
      </c>
      <c r="E1060" s="44">
        <f t="shared" si="348"/>
        <v>3362.9599999999991</v>
      </c>
      <c r="F1060" s="44">
        <f t="shared" si="348"/>
        <v>3349.0399999999991</v>
      </c>
      <c r="G1060" s="44">
        <f t="shared" si="348"/>
        <v>3338.1000000000004</v>
      </c>
      <c r="H1060" s="44">
        <f t="shared" si="348"/>
        <v>3288.8199999999997</v>
      </c>
      <c r="I1060" s="44">
        <f t="shared" si="348"/>
        <v>3311.4800000000014</v>
      </c>
      <c r="J1060" s="44">
        <f t="shared" si="348"/>
        <v>3340.3999999999996</v>
      </c>
      <c r="K1060" s="44">
        <f t="shared" si="348"/>
        <v>3360.4799999999996</v>
      </c>
      <c r="L1060" s="44">
        <f t="shared" si="348"/>
        <v>3361.2199999999993</v>
      </c>
      <c r="M1060" s="44"/>
      <c r="N1060" s="44"/>
      <c r="O1060" s="44"/>
      <c r="P1060" s="44"/>
      <c r="Q1060" s="42"/>
      <c r="R1060" s="42"/>
      <c r="S1060" s="43"/>
      <c r="T1060" s="42"/>
      <c r="U1060" s="42"/>
      <c r="V1060" s="41"/>
      <c r="W1060" s="40"/>
      <c r="X1060" s="8"/>
    </row>
    <row r="1061" spans="1:31" ht="15.75">
      <c r="A1061" s="195">
        <v>43703</v>
      </c>
      <c r="B1061" s="63" t="s">
        <v>158</v>
      </c>
      <c r="C1061" s="56" t="s">
        <v>156</v>
      </c>
      <c r="D1061">
        <v>1201.3</v>
      </c>
      <c r="E1061">
        <v>1228.82</v>
      </c>
      <c r="F1061">
        <v>1235.68</v>
      </c>
      <c r="G1061">
        <v>1213.01</v>
      </c>
      <c r="H1061">
        <v>1152.1199999999999</v>
      </c>
      <c r="I1061">
        <v>1176.8900000000001</v>
      </c>
      <c r="J1061">
        <v>1224.95</v>
      </c>
      <c r="K1061">
        <v>1209.57</v>
      </c>
      <c r="L1061">
        <v>1154.31</v>
      </c>
      <c r="M1061" s="62"/>
      <c r="N1061" s="62"/>
      <c r="O1061" s="62"/>
      <c r="P1061" s="62"/>
      <c r="Q1061" s="57">
        <f>IF((L1062=""),"",MAX(D1063:L1063))</f>
        <v>2996.7599999999998</v>
      </c>
      <c r="R1061" s="57">
        <f>IF(L1062="","",MIN(D1063:L1063))</f>
        <v>2671.6800000000003</v>
      </c>
      <c r="S1061" s="58">
        <f>IF((L1063=""),"",AVERAGE(D1063:L1063))</f>
        <v>2832.0266666666662</v>
      </c>
      <c r="T1061" s="57">
        <f>IF((L1062=""),"",((Q1061-R1061)/(Q1061+R1061))*100)</f>
        <v>5.734911192497397</v>
      </c>
      <c r="U1061" s="56">
        <f>STDEV(D1061:L1061)</f>
        <v>31.427670840270178</v>
      </c>
      <c r="V1061" s="55" t="str">
        <f>IF(L1062="","",(IF(T1061&lt;12,IF(S1061&gt;2200,IF(S1061&lt;3280,"Pass","Fail"),"Fail"),"Fail")))</f>
        <v>Pass</v>
      </c>
      <c r="W1061" s="54">
        <v>1159</v>
      </c>
      <c r="X1061" s="26" t="s">
        <v>349</v>
      </c>
      <c r="Z1061" s="37">
        <v>2000</v>
      </c>
      <c r="AA1061" s="37">
        <v>3000</v>
      </c>
      <c r="AB1061" s="37">
        <v>2200</v>
      </c>
      <c r="AC1061" s="37">
        <v>3280</v>
      </c>
      <c r="AD1061" s="39">
        <v>12</v>
      </c>
      <c r="AE1061" s="39">
        <v>12</v>
      </c>
    </row>
    <row r="1062" spans="1:31" ht="16.5" customHeight="1">
      <c r="A1062" s="199"/>
      <c r="B1062" s="48"/>
      <c r="C1062" s="51" t="s">
        <v>155</v>
      </c>
      <c r="D1062">
        <v>481.61</v>
      </c>
      <c r="E1062">
        <v>543.96</v>
      </c>
      <c r="F1062">
        <v>567.76</v>
      </c>
      <c r="G1062">
        <v>520.69000000000005</v>
      </c>
      <c r="H1062">
        <v>403.68</v>
      </c>
      <c r="I1062">
        <v>448.61</v>
      </c>
      <c r="J1062">
        <v>539.62</v>
      </c>
      <c r="K1062">
        <v>513.54</v>
      </c>
      <c r="L1062">
        <v>405.12</v>
      </c>
      <c r="M1062" s="50"/>
      <c r="N1062" s="50"/>
      <c r="O1062" s="50"/>
      <c r="P1062" s="50"/>
      <c r="Q1062" s="48"/>
      <c r="R1062" s="48"/>
      <c r="S1062" s="48"/>
      <c r="T1062" s="48"/>
      <c r="U1062" s="48"/>
      <c r="V1062" s="47"/>
      <c r="W1062" s="46"/>
      <c r="X1062" s="8"/>
    </row>
    <row r="1063" spans="1:31" ht="24.75" customHeight="1" thickBot="1">
      <c r="A1063" s="199"/>
      <c r="B1063" s="61"/>
      <c r="C1063" s="51" t="s">
        <v>154</v>
      </c>
      <c r="D1063" s="24">
        <f t="shared" ref="D1063:L1063" si="349">IF(((D1061="")*AND(D1062="")),"",(D1061-D1062)*4)</f>
        <v>2878.7599999999998</v>
      </c>
      <c r="E1063" s="24">
        <f t="shared" si="349"/>
        <v>2739.4399999999996</v>
      </c>
      <c r="F1063" s="24">
        <f t="shared" si="349"/>
        <v>2671.6800000000003</v>
      </c>
      <c r="G1063" s="24">
        <f t="shared" si="349"/>
        <v>2769.2799999999997</v>
      </c>
      <c r="H1063" s="24">
        <f t="shared" si="349"/>
        <v>2993.7599999999993</v>
      </c>
      <c r="I1063" s="24">
        <f t="shared" si="349"/>
        <v>2913.1200000000003</v>
      </c>
      <c r="J1063" s="24">
        <f t="shared" si="349"/>
        <v>2741.32</v>
      </c>
      <c r="K1063" s="24">
        <f t="shared" si="349"/>
        <v>2784.12</v>
      </c>
      <c r="L1063" s="24">
        <f t="shared" si="349"/>
        <v>2996.7599999999998</v>
      </c>
      <c r="M1063" s="24"/>
      <c r="N1063" s="24"/>
      <c r="O1063" s="24"/>
      <c r="P1063" s="24" t="str">
        <f>IF(((P1061="")*AND(P1062="")),"",(P1061-P1062)*4)</f>
        <v/>
      </c>
      <c r="Q1063" s="61"/>
      <c r="R1063" s="61"/>
      <c r="S1063" s="61"/>
      <c r="T1063" s="61"/>
      <c r="U1063" s="61"/>
      <c r="V1063" s="60"/>
      <c r="W1063" s="59"/>
      <c r="X1063" s="8"/>
    </row>
    <row r="1064" spans="1:31" ht="15.75">
      <c r="A1064" s="195">
        <v>43703</v>
      </c>
      <c r="B1064" s="57" t="s">
        <v>157</v>
      </c>
      <c r="C1064" s="51" t="s">
        <v>156</v>
      </c>
      <c r="D1064">
        <v>5345.08</v>
      </c>
      <c r="E1064">
        <v>5354.7</v>
      </c>
      <c r="F1064">
        <v>5370.54</v>
      </c>
      <c r="G1064">
        <v>5354.27</v>
      </c>
      <c r="H1064">
        <v>5298.31</v>
      </c>
      <c r="I1064">
        <v>5340.56</v>
      </c>
      <c r="J1064">
        <v>5350.2</v>
      </c>
      <c r="K1064">
        <v>5377.27</v>
      </c>
      <c r="L1064">
        <v>5377.71</v>
      </c>
      <c r="M1064" s="50"/>
      <c r="N1064" s="50"/>
      <c r="O1064" s="50"/>
      <c r="P1064" s="50"/>
      <c r="Q1064" s="57">
        <f>IF((L1065=""),"",MAX(D1066:L1066))</f>
        <v>3407.3600000000006</v>
      </c>
      <c r="R1064" s="57">
        <f>IF(L1065="","",MIN(D1066:L1066))</f>
        <v>3319.0200000000004</v>
      </c>
      <c r="S1064" s="58">
        <f>IF((L1066=""),"",AVERAGE(D1066:L1066))</f>
        <v>3380.7488888888893</v>
      </c>
      <c r="T1064" s="57">
        <f>IF((L1065=""),"",((Q1064-R1064)/(Q1064+R1064))*100)</f>
        <v>1.3133364454580343</v>
      </c>
      <c r="U1064" s="56">
        <f>STDEV(D1064:L1064)</f>
        <v>24.290744350569064</v>
      </c>
      <c r="V1064" s="55" t="str">
        <f>IF(L1065="","",(IF(T1064&lt;7,IF(S1064&gt;2800,IF(S1064&lt;3800,"Pass","Fail"),"Fail"),"Fail")))</f>
        <v>Pass</v>
      </c>
      <c r="W1064" s="54">
        <v>1159</v>
      </c>
      <c r="X1064" s="26" t="s">
        <v>349</v>
      </c>
      <c r="Z1064" s="53">
        <v>2800</v>
      </c>
      <c r="AA1064" s="53">
        <v>3800</v>
      </c>
      <c r="AB1064" s="53">
        <v>3100</v>
      </c>
      <c r="AC1064" s="53">
        <v>3760</v>
      </c>
      <c r="AD1064" s="52">
        <v>6</v>
      </c>
      <c r="AE1064" s="52">
        <v>6</v>
      </c>
    </row>
    <row r="1065" spans="1:31" ht="15.75" customHeight="1">
      <c r="A1065" s="199"/>
      <c r="B1065" s="48"/>
      <c r="C1065" s="51" t="s">
        <v>155</v>
      </c>
      <c r="D1065">
        <v>3652.45</v>
      </c>
      <c r="E1065">
        <v>3652.59</v>
      </c>
      <c r="F1065">
        <v>3673.34</v>
      </c>
      <c r="G1065">
        <v>3664.41</v>
      </c>
      <c r="H1065">
        <v>3638.8</v>
      </c>
      <c r="I1065">
        <v>3664.48</v>
      </c>
      <c r="J1065">
        <v>3660.36</v>
      </c>
      <c r="K1065">
        <v>3673.59</v>
      </c>
      <c r="L1065">
        <v>3675.25</v>
      </c>
      <c r="M1065" s="50"/>
      <c r="N1065" s="50"/>
      <c r="O1065" s="50"/>
      <c r="P1065" s="50"/>
      <c r="Q1065" s="48"/>
      <c r="R1065" s="48"/>
      <c r="S1065" s="49"/>
      <c r="T1065" s="48"/>
      <c r="U1065" s="48"/>
      <c r="V1065" s="47"/>
      <c r="W1065" s="46"/>
      <c r="X1065" s="8"/>
    </row>
    <row r="1066" spans="1:31" ht="24.75" customHeight="1" thickBot="1">
      <c r="A1066" s="199"/>
      <c r="B1066" s="42"/>
      <c r="C1066" s="45" t="s">
        <v>154</v>
      </c>
      <c r="D1066" s="44">
        <f t="shared" ref="D1066:L1066" si="350">IF(((D1064="")*AND(D1065="")),"",(D1064-D1065)*2)</f>
        <v>3385.26</v>
      </c>
      <c r="E1066" s="44">
        <f t="shared" si="350"/>
        <v>3404.2199999999993</v>
      </c>
      <c r="F1066" s="44">
        <f t="shared" si="350"/>
        <v>3394.3999999999996</v>
      </c>
      <c r="G1066" s="44">
        <f t="shared" si="350"/>
        <v>3379.7200000000012</v>
      </c>
      <c r="H1066" s="44">
        <f t="shared" si="350"/>
        <v>3319.0200000000004</v>
      </c>
      <c r="I1066" s="44">
        <f t="shared" si="350"/>
        <v>3352.1600000000008</v>
      </c>
      <c r="J1066" s="44">
        <f t="shared" si="350"/>
        <v>3379.6799999999994</v>
      </c>
      <c r="K1066" s="44">
        <f t="shared" si="350"/>
        <v>3407.3600000000006</v>
      </c>
      <c r="L1066" s="44">
        <f t="shared" si="350"/>
        <v>3404.92</v>
      </c>
      <c r="M1066" s="44"/>
      <c r="N1066" s="44"/>
      <c r="O1066" s="44"/>
      <c r="P1066" s="44"/>
      <c r="Q1066" s="42"/>
      <c r="R1066" s="42"/>
      <c r="S1066" s="43"/>
      <c r="T1066" s="42"/>
      <c r="U1066" s="42"/>
      <c r="V1066" s="41"/>
      <c r="W1066" s="40"/>
      <c r="X1066" s="8"/>
    </row>
    <row r="1067" spans="1:31" ht="15.75">
      <c r="A1067" s="195">
        <v>43706</v>
      </c>
      <c r="B1067" s="63" t="s">
        <v>158</v>
      </c>
      <c r="C1067" s="56" t="s">
        <v>156</v>
      </c>
      <c r="D1067">
        <v>1935.2</v>
      </c>
      <c r="E1067">
        <v>1928.12</v>
      </c>
      <c r="F1067">
        <v>1926.92</v>
      </c>
      <c r="G1067">
        <v>1932.51</v>
      </c>
      <c r="H1067">
        <v>1936.19</v>
      </c>
      <c r="I1067">
        <v>1939.16</v>
      </c>
      <c r="J1067">
        <v>1933.61</v>
      </c>
      <c r="K1067">
        <v>1932.08</v>
      </c>
      <c r="L1067">
        <v>1933.01</v>
      </c>
      <c r="M1067" s="62"/>
      <c r="N1067" s="62"/>
      <c r="O1067" s="62"/>
      <c r="P1067" s="62"/>
      <c r="Q1067" s="57">
        <f>IF((L1068=""),"",MAX(D1069:L1069))</f>
        <v>3165.4000000000005</v>
      </c>
      <c r="R1067" s="57">
        <f>IF(L1068="","",MIN(D1069:L1069))</f>
        <v>2769.96</v>
      </c>
      <c r="S1067" s="58">
        <f>IF((L1069=""),"",AVERAGE(D1069:L1069))</f>
        <v>2966.7155555555555</v>
      </c>
      <c r="T1067" s="57">
        <f>IF((L1068=""),"",((Q1067-R1067)/(Q1067+R1067))*100)</f>
        <v>6.6624433901229327</v>
      </c>
      <c r="U1067" s="56">
        <f>STDEV(D1067:L1067)</f>
        <v>3.7946797553565523</v>
      </c>
      <c r="V1067" s="55" t="str">
        <f>IF(L1068="","",(IF(T1067&lt;12,IF(S1067&gt;2200,IF(S1067&lt;3280,"Pass","Fail"),"Fail"),"Fail")))</f>
        <v>Pass</v>
      </c>
      <c r="W1067" s="54">
        <v>1159</v>
      </c>
      <c r="X1067" s="26" t="s">
        <v>351</v>
      </c>
      <c r="Z1067" s="37">
        <v>2000</v>
      </c>
      <c r="AA1067" s="37">
        <v>3000</v>
      </c>
      <c r="AB1067" s="37">
        <v>2200</v>
      </c>
      <c r="AC1067" s="37">
        <v>3280</v>
      </c>
      <c r="AD1067" s="39">
        <v>12</v>
      </c>
      <c r="AE1067" s="39">
        <v>12</v>
      </c>
    </row>
    <row r="1068" spans="1:31" ht="16.5" customHeight="1">
      <c r="A1068" s="199"/>
      <c r="B1068" s="48"/>
      <c r="C1068" s="51" t="s">
        <v>155</v>
      </c>
      <c r="D1068">
        <v>1186.18</v>
      </c>
      <c r="E1068">
        <v>1220.19</v>
      </c>
      <c r="F1068">
        <v>1234.43</v>
      </c>
      <c r="G1068">
        <v>1206.5</v>
      </c>
      <c r="H1068">
        <v>1144.8399999999999</v>
      </c>
      <c r="I1068">
        <v>1166.1199999999999</v>
      </c>
      <c r="J1068">
        <v>1217.05</v>
      </c>
      <c r="K1068">
        <v>1204.3399999999999</v>
      </c>
      <c r="L1068">
        <v>1142.04</v>
      </c>
      <c r="M1068" s="50"/>
      <c r="N1068" s="50"/>
      <c r="O1068" s="50"/>
      <c r="P1068" s="50"/>
      <c r="Q1068" s="48"/>
      <c r="R1068" s="48"/>
      <c r="S1068" s="48"/>
      <c r="T1068" s="48"/>
      <c r="U1068" s="48"/>
      <c r="V1068" s="47"/>
      <c r="W1068" s="46"/>
      <c r="X1068" s="8"/>
    </row>
    <row r="1069" spans="1:31" ht="24.75" customHeight="1" thickBot="1">
      <c r="A1069" s="199"/>
      <c r="B1069" s="61"/>
      <c r="C1069" s="51" t="s">
        <v>154</v>
      </c>
      <c r="D1069" s="24">
        <f t="shared" ref="D1069:L1069" si="351">IF(((D1067="")*AND(D1068="")),"",(D1067-D1068)*4)</f>
        <v>2996.08</v>
      </c>
      <c r="E1069" s="24">
        <f t="shared" si="351"/>
        <v>2831.7199999999993</v>
      </c>
      <c r="F1069" s="24">
        <f t="shared" si="351"/>
        <v>2769.96</v>
      </c>
      <c r="G1069" s="24">
        <f t="shared" si="351"/>
        <v>2904.04</v>
      </c>
      <c r="H1069" s="24">
        <f t="shared" si="351"/>
        <v>3165.4000000000005</v>
      </c>
      <c r="I1069" s="24">
        <f t="shared" si="351"/>
        <v>3092.1600000000008</v>
      </c>
      <c r="J1069" s="24">
        <f t="shared" si="351"/>
        <v>2866.24</v>
      </c>
      <c r="K1069" s="24">
        <f t="shared" si="351"/>
        <v>2910.96</v>
      </c>
      <c r="L1069" s="24">
        <f t="shared" si="351"/>
        <v>3163.88</v>
      </c>
      <c r="M1069" s="24"/>
      <c r="N1069" s="24"/>
      <c r="O1069" s="24"/>
      <c r="P1069" s="24" t="str">
        <f>IF(((P1067="")*AND(P1068="")),"",(P1067-P1068)*4)</f>
        <v/>
      </c>
      <c r="Q1069" s="61"/>
      <c r="R1069" s="61"/>
      <c r="S1069" s="61"/>
      <c r="T1069" s="61"/>
      <c r="U1069" s="61"/>
      <c r="V1069" s="60"/>
      <c r="W1069" s="59"/>
      <c r="X1069" s="8"/>
    </row>
    <row r="1070" spans="1:31" ht="15.75">
      <c r="A1070" s="195">
        <v>43706</v>
      </c>
      <c r="B1070" s="57" t="s">
        <v>157</v>
      </c>
      <c r="C1070" s="51" t="s">
        <v>156</v>
      </c>
      <c r="D1070">
        <v>3664.21</v>
      </c>
      <c r="E1070">
        <v>3649.89</v>
      </c>
      <c r="F1070">
        <v>3679.25</v>
      </c>
      <c r="G1070">
        <v>3655.67</v>
      </c>
      <c r="H1070">
        <v>3646.11</v>
      </c>
      <c r="I1070">
        <v>3669.86</v>
      </c>
      <c r="J1070">
        <v>3668.18</v>
      </c>
      <c r="K1070">
        <v>3679.01</v>
      </c>
      <c r="L1070">
        <v>3689.13</v>
      </c>
      <c r="M1070" s="50"/>
      <c r="N1070" s="50"/>
      <c r="O1070" s="50"/>
      <c r="P1070" s="50"/>
      <c r="Q1070" s="57">
        <f>IF((L1071=""),"",MAX(D1072:L1072))</f>
        <v>3391.9000000000005</v>
      </c>
      <c r="R1070" s="57">
        <f>IF(L1071="","",MIN(D1072:L1072))</f>
        <v>3309.1000000000004</v>
      </c>
      <c r="S1070" s="58">
        <f>IF((L1072=""),"",AVERAGE(D1072:L1072))</f>
        <v>3365.8333333333339</v>
      </c>
      <c r="T1070" s="57">
        <f>IF((L1071=""),"",((Q1070-R1070)/(Q1070+R1070))*100)</f>
        <v>1.2356364721683357</v>
      </c>
      <c r="U1070" s="56">
        <f>STDEV(D1070:L1070)</f>
        <v>14.398747148589059</v>
      </c>
      <c r="V1070" s="55" t="str">
        <f>IF(L1071="","",(IF(T1070&lt;7,IF(S1070&gt;2800,IF(S1070&lt;3800,"Pass","Fail"),"Fail"),"Fail")))</f>
        <v>Pass</v>
      </c>
      <c r="W1070" s="54">
        <v>1159</v>
      </c>
      <c r="X1070" s="26" t="s">
        <v>351</v>
      </c>
      <c r="Z1070" s="53">
        <v>2800</v>
      </c>
      <c r="AA1070" s="53">
        <v>3800</v>
      </c>
      <c r="AB1070" s="53">
        <v>3100</v>
      </c>
      <c r="AC1070" s="53">
        <v>3760</v>
      </c>
      <c r="AD1070" s="52">
        <v>6</v>
      </c>
      <c r="AE1070" s="52">
        <v>6</v>
      </c>
    </row>
    <row r="1071" spans="1:31" ht="15.75" customHeight="1">
      <c r="A1071" s="199"/>
      <c r="B1071" s="48"/>
      <c r="C1071" s="51" t="s">
        <v>155</v>
      </c>
      <c r="D1071">
        <v>1978.88</v>
      </c>
      <c r="E1071">
        <v>1954.02</v>
      </c>
      <c r="F1071">
        <v>1990.81</v>
      </c>
      <c r="G1071">
        <v>1973.11</v>
      </c>
      <c r="H1071">
        <v>1991.56</v>
      </c>
      <c r="I1071">
        <v>2001.42</v>
      </c>
      <c r="J1071">
        <v>1987.17</v>
      </c>
      <c r="K1071">
        <v>1983.06</v>
      </c>
      <c r="L1071">
        <v>1995.03</v>
      </c>
      <c r="M1071" s="50"/>
      <c r="N1071" s="50"/>
      <c r="O1071" s="50"/>
      <c r="P1071" s="50"/>
      <c r="Q1071" s="48"/>
      <c r="R1071" s="48"/>
      <c r="S1071" s="49"/>
      <c r="T1071" s="48"/>
      <c r="U1071" s="48"/>
      <c r="V1071" s="47"/>
      <c r="W1071" s="46"/>
      <c r="X1071" s="8"/>
    </row>
    <row r="1072" spans="1:31" ht="24.75" customHeight="1" thickBot="1">
      <c r="A1072" s="199"/>
      <c r="B1072" s="42"/>
      <c r="C1072" s="45" t="s">
        <v>154</v>
      </c>
      <c r="D1072" s="44">
        <f t="shared" ref="D1072:L1072" si="352">IF(((D1070="")*AND(D1071="")),"",(D1070-D1071)*2)</f>
        <v>3370.66</v>
      </c>
      <c r="E1072" s="44">
        <f t="shared" si="352"/>
        <v>3391.74</v>
      </c>
      <c r="F1072" s="44">
        <f t="shared" si="352"/>
        <v>3376.88</v>
      </c>
      <c r="G1072" s="44">
        <f t="shared" si="352"/>
        <v>3365.1200000000003</v>
      </c>
      <c r="H1072" s="44">
        <f t="shared" si="352"/>
        <v>3309.1000000000004</v>
      </c>
      <c r="I1072" s="44">
        <f t="shared" si="352"/>
        <v>3336.88</v>
      </c>
      <c r="J1072" s="44">
        <f t="shared" si="352"/>
        <v>3362.0199999999995</v>
      </c>
      <c r="K1072" s="44">
        <f t="shared" si="352"/>
        <v>3391.9000000000005</v>
      </c>
      <c r="L1072" s="44">
        <f t="shared" si="352"/>
        <v>3388.2000000000003</v>
      </c>
      <c r="M1072" s="44"/>
      <c r="N1072" s="44"/>
      <c r="O1072" s="44"/>
      <c r="P1072" s="44"/>
      <c r="Q1072" s="42"/>
      <c r="R1072" s="42"/>
      <c r="S1072" s="43"/>
      <c r="T1072" s="42"/>
      <c r="U1072" s="42"/>
      <c r="V1072" s="41"/>
      <c r="W1072" s="40"/>
      <c r="X1072" s="8"/>
    </row>
    <row r="1073" spans="1:31" ht="15.75">
      <c r="A1073" s="195">
        <v>43709</v>
      </c>
      <c r="B1073" s="63" t="s">
        <v>158</v>
      </c>
      <c r="C1073" s="56" t="s">
        <v>156</v>
      </c>
      <c r="D1073" s="266">
        <v>1931.45</v>
      </c>
      <c r="E1073" s="266">
        <v>1926.81</v>
      </c>
      <c r="F1073" s="266">
        <v>1919.5</v>
      </c>
      <c r="G1073" s="266">
        <v>1927.49</v>
      </c>
      <c r="H1073" s="266">
        <v>1934.29</v>
      </c>
      <c r="I1073" s="266">
        <v>1936.15</v>
      </c>
      <c r="J1073" s="266">
        <v>1928.63</v>
      </c>
      <c r="K1073" s="266">
        <v>1923.67</v>
      </c>
      <c r="L1073" s="266">
        <v>1931.51</v>
      </c>
      <c r="M1073" s="62"/>
      <c r="N1073" s="62"/>
      <c r="O1073" s="62"/>
      <c r="P1073" s="62"/>
      <c r="Q1073" s="57">
        <f>IF((L1074=""),"",MAX(D1075:L1075))</f>
        <v>3135.7200000000003</v>
      </c>
      <c r="R1073" s="57">
        <f>IF(L1074="","",MIN(D1075:L1075))</f>
        <v>2781.3999999999996</v>
      </c>
      <c r="S1073" s="58">
        <f>IF((L1075=""),"",AVERAGE(D1075:L1075))</f>
        <v>2946.155555555556</v>
      </c>
      <c r="T1073" s="57">
        <f>IF((L1074=""),"",((Q1073-R1073)/(Q1073+R1073))*100)</f>
        <v>5.9880482396841819</v>
      </c>
      <c r="U1073" s="56">
        <f>STDEV(D1073:L1073)</f>
        <v>5.2085410625139748</v>
      </c>
      <c r="V1073" s="55" t="str">
        <f>IF(L1074="","",(IF(T1073&lt;12,IF(S1073&gt;2200,IF(S1073&lt;3280,"Pass","Fail"),"Fail"),"Fail")))</f>
        <v>Pass</v>
      </c>
      <c r="W1073" s="54">
        <v>1428</v>
      </c>
      <c r="X1073" s="26" t="s">
        <v>352</v>
      </c>
      <c r="Z1073" s="37">
        <v>2000</v>
      </c>
      <c r="AA1073" s="37">
        <v>3000</v>
      </c>
      <c r="AB1073" s="37">
        <v>2200</v>
      </c>
      <c r="AC1073" s="37">
        <v>3280</v>
      </c>
      <c r="AD1073" s="39">
        <v>12</v>
      </c>
      <c r="AE1073" s="39">
        <v>12</v>
      </c>
    </row>
    <row r="1074" spans="1:31" ht="16.5" customHeight="1">
      <c r="A1074" s="199"/>
      <c r="B1074" s="48"/>
      <c r="C1074" s="51" t="s">
        <v>155</v>
      </c>
      <c r="D1074" s="266">
        <v>1194.19</v>
      </c>
      <c r="E1074" s="266">
        <v>1216.3499999999999</v>
      </c>
      <c r="F1074" s="266">
        <v>1224.1500000000001</v>
      </c>
      <c r="G1074" s="266">
        <v>1202.75</v>
      </c>
      <c r="H1074" s="266">
        <v>1152.8599999999999</v>
      </c>
      <c r="I1074" s="266">
        <v>1181.1199999999999</v>
      </c>
      <c r="J1074" s="266">
        <v>1213.74</v>
      </c>
      <c r="K1074" s="266">
        <v>1197.9100000000001</v>
      </c>
      <c r="L1074" s="266">
        <v>1147.58</v>
      </c>
      <c r="M1074" s="50"/>
      <c r="N1074" s="50"/>
      <c r="O1074" s="50"/>
      <c r="P1074" s="50"/>
      <c r="Q1074" s="48"/>
      <c r="R1074" s="48"/>
      <c r="S1074" s="48"/>
      <c r="T1074" s="48"/>
      <c r="U1074" s="48"/>
      <c r="V1074" s="47"/>
      <c r="W1074" s="46"/>
      <c r="X1074" s="8"/>
    </row>
    <row r="1075" spans="1:31" ht="24.75" customHeight="1" thickBot="1">
      <c r="A1075" s="199"/>
      <c r="B1075" s="61"/>
      <c r="C1075" s="51" t="s">
        <v>154</v>
      </c>
      <c r="D1075" s="24">
        <f t="shared" ref="D1075:L1075" si="353">IF(((D1073="")*AND(D1074="")),"",(D1073-D1074)*4)</f>
        <v>2949.04</v>
      </c>
      <c r="E1075" s="24">
        <f t="shared" si="353"/>
        <v>2841.84</v>
      </c>
      <c r="F1075" s="24">
        <f t="shared" si="353"/>
        <v>2781.3999999999996</v>
      </c>
      <c r="G1075" s="24">
        <f t="shared" si="353"/>
        <v>2898.96</v>
      </c>
      <c r="H1075" s="24">
        <f t="shared" si="353"/>
        <v>3125.7200000000003</v>
      </c>
      <c r="I1075" s="24">
        <f t="shared" si="353"/>
        <v>3020.1200000000008</v>
      </c>
      <c r="J1075" s="24">
        <f t="shared" si="353"/>
        <v>2859.5600000000004</v>
      </c>
      <c r="K1075" s="24">
        <f t="shared" si="353"/>
        <v>2903.04</v>
      </c>
      <c r="L1075" s="24">
        <f t="shared" si="353"/>
        <v>3135.7200000000003</v>
      </c>
      <c r="M1075" s="24"/>
      <c r="N1075" s="24"/>
      <c r="O1075" s="24"/>
      <c r="P1075" s="24" t="str">
        <f>IF(((P1073="")*AND(P1074="")),"",(P1073-P1074)*4)</f>
        <v/>
      </c>
      <c r="Q1075" s="61"/>
      <c r="R1075" s="61"/>
      <c r="S1075" s="61"/>
      <c r="T1075" s="61"/>
      <c r="U1075" s="61"/>
      <c r="V1075" s="60"/>
      <c r="W1075" s="59"/>
      <c r="X1075" s="8"/>
    </row>
    <row r="1076" spans="1:31" ht="15.75">
      <c r="A1076" s="195">
        <v>43709</v>
      </c>
      <c r="B1076" s="57" t="s">
        <v>157</v>
      </c>
      <c r="C1076" s="51" t="s">
        <v>156</v>
      </c>
      <c r="D1076" s="266">
        <v>7011.3</v>
      </c>
      <c r="E1076" s="266">
        <v>7008.7</v>
      </c>
      <c r="F1076" s="266">
        <v>7011.54</v>
      </c>
      <c r="G1076" s="266">
        <v>6990.77</v>
      </c>
      <c r="H1076" s="266">
        <v>6932.74</v>
      </c>
      <c r="I1076" s="266">
        <v>6970.69</v>
      </c>
      <c r="J1076" s="266">
        <v>6981.34</v>
      </c>
      <c r="K1076" s="266">
        <v>7038.81</v>
      </c>
      <c r="L1076" s="266">
        <v>7071</v>
      </c>
      <c r="M1076" s="50"/>
      <c r="N1076" s="50"/>
      <c r="O1076" s="50"/>
      <c r="P1076" s="50"/>
      <c r="Q1076" s="57">
        <f>IF((L1077=""),"",MAX(D1078:L1078))</f>
        <v>3372.4799999999996</v>
      </c>
      <c r="R1076" s="57">
        <f>IF(L1077="","",MIN(D1078:L1078))</f>
        <v>3294.5599999999995</v>
      </c>
      <c r="S1076" s="58">
        <f>IF((L1078=""),"",AVERAGE(D1078:L1078))</f>
        <v>3349.195555555556</v>
      </c>
      <c r="T1076" s="57">
        <f>IF((L1077=""),"",((Q1076-R1076)/(Q1076+R1076))*100)</f>
        <v>1.168734550865153</v>
      </c>
      <c r="U1076" s="56">
        <f>STDEV(D1076:L1076)</f>
        <v>39.793911280431757</v>
      </c>
      <c r="V1076" s="55" t="str">
        <f>IF(L1077="","",(IF(T1076&lt;7,IF(S1076&gt;2800,IF(S1076&lt;3800,"Pass","Fail"),"Fail"),"Fail")))</f>
        <v>Pass</v>
      </c>
      <c r="W1076" s="54">
        <v>1428</v>
      </c>
      <c r="X1076" s="26" t="s">
        <v>352</v>
      </c>
      <c r="Z1076" s="53">
        <v>2800</v>
      </c>
      <c r="AA1076" s="53">
        <v>3800</v>
      </c>
      <c r="AB1076" s="53">
        <v>3100</v>
      </c>
      <c r="AC1076" s="53">
        <v>3760</v>
      </c>
      <c r="AD1076" s="52">
        <v>6</v>
      </c>
      <c r="AE1076" s="52">
        <v>6</v>
      </c>
    </row>
    <row r="1077" spans="1:31" ht="15.75" customHeight="1">
      <c r="A1077" s="199"/>
      <c r="B1077" s="48"/>
      <c r="C1077" s="51" t="s">
        <v>155</v>
      </c>
      <c r="D1077" s="266">
        <v>5335.23</v>
      </c>
      <c r="E1077" s="266">
        <v>5322.46</v>
      </c>
      <c r="F1077" s="266">
        <v>5330.94</v>
      </c>
      <c r="G1077" s="266">
        <v>5316.06</v>
      </c>
      <c r="H1077" s="266">
        <v>5285.46</v>
      </c>
      <c r="I1077" s="266">
        <v>5310.77</v>
      </c>
      <c r="J1077" s="266">
        <v>5304.66</v>
      </c>
      <c r="K1077" s="266">
        <v>5352.98</v>
      </c>
      <c r="L1077" s="266">
        <v>5386.95</v>
      </c>
      <c r="M1077" s="50"/>
      <c r="N1077" s="50"/>
      <c r="O1077" s="50"/>
      <c r="P1077" s="50"/>
      <c r="Q1077" s="48"/>
      <c r="R1077" s="48"/>
      <c r="S1077" s="49"/>
      <c r="T1077" s="48"/>
      <c r="U1077" s="48"/>
      <c r="V1077" s="47"/>
      <c r="W1077" s="46"/>
      <c r="X1077" s="8"/>
    </row>
    <row r="1078" spans="1:31" ht="24.75" customHeight="1" thickBot="1">
      <c r="A1078" s="199"/>
      <c r="B1078" s="42"/>
      <c r="C1078" s="45" t="s">
        <v>154</v>
      </c>
      <c r="D1078" s="44">
        <f t="shared" ref="D1078:L1078" si="354">IF(((D1076="")*AND(D1077="")),"",(D1076-D1077)*2)</f>
        <v>3352.1400000000012</v>
      </c>
      <c r="E1078" s="44">
        <f t="shared" si="354"/>
        <v>3372.4799999999996</v>
      </c>
      <c r="F1078" s="44">
        <f t="shared" si="354"/>
        <v>3361.2000000000007</v>
      </c>
      <c r="G1078" s="44">
        <f t="shared" si="354"/>
        <v>3349.42</v>
      </c>
      <c r="H1078" s="44">
        <f t="shared" si="354"/>
        <v>3294.5599999999995</v>
      </c>
      <c r="I1078" s="44">
        <f t="shared" si="354"/>
        <v>3319.8399999999983</v>
      </c>
      <c r="J1078" s="44">
        <f t="shared" si="354"/>
        <v>3353.3600000000006</v>
      </c>
      <c r="K1078" s="44">
        <f t="shared" si="354"/>
        <v>3371.6600000000017</v>
      </c>
      <c r="L1078" s="44">
        <f t="shared" si="354"/>
        <v>3368.1000000000004</v>
      </c>
      <c r="M1078" s="44"/>
      <c r="N1078" s="44"/>
      <c r="O1078" s="44"/>
      <c r="P1078" s="44"/>
      <c r="Q1078" s="42"/>
      <c r="R1078" s="42"/>
      <c r="S1078" s="43"/>
      <c r="T1078" s="42"/>
      <c r="U1078" s="42"/>
      <c r="V1078" s="41"/>
      <c r="W1078" s="40"/>
      <c r="X1078" s="8"/>
    </row>
    <row r="1079" spans="1:31" ht="15.75">
      <c r="A1079" s="195">
        <v>43717</v>
      </c>
      <c r="B1079" s="63" t="s">
        <v>158</v>
      </c>
      <c r="C1079" s="56" t="s">
        <v>156</v>
      </c>
      <c r="D1079">
        <v>1943.16</v>
      </c>
      <c r="E1079">
        <v>1936.15</v>
      </c>
      <c r="F1079">
        <v>1932.16</v>
      </c>
      <c r="G1079">
        <v>1940.57</v>
      </c>
      <c r="H1079">
        <v>1947.82</v>
      </c>
      <c r="I1079">
        <v>1945.86</v>
      </c>
      <c r="J1079">
        <v>1942.84</v>
      </c>
      <c r="K1079">
        <v>1941.2</v>
      </c>
      <c r="L1079">
        <v>1942.78</v>
      </c>
      <c r="M1079" s="62"/>
      <c r="N1079" s="62"/>
      <c r="O1079" s="62"/>
      <c r="P1079" s="62"/>
      <c r="Q1079" s="57">
        <f>IF((L1080=""),"",MAX(D1081:L1081))</f>
        <v>3155.6400000000003</v>
      </c>
      <c r="R1079" s="57">
        <f>IF(L1080="","",MIN(D1081:L1081))</f>
        <v>2787.96</v>
      </c>
      <c r="S1079" s="58">
        <f>IF((L1081=""),"",AVERAGE(D1081:L1081))</f>
        <v>2965.4266666666667</v>
      </c>
      <c r="T1079" s="57">
        <f>IF((L1080=""),"",((Q1079-R1079)/(Q1079+R1079))*100)</f>
        <v>6.1861498081970572</v>
      </c>
      <c r="U1079" s="56">
        <f>STDEV(D1079:L1079)</f>
        <v>4.7677589074169271</v>
      </c>
      <c r="V1079" s="55" t="str">
        <f>IF(L1080="","",(IF(T1079&lt;12,IF(S1079&gt;2200,IF(S1079&lt;3280,"Pass","Fail"),"Fail"),"Fail")))</f>
        <v>Pass</v>
      </c>
      <c r="W1079" s="54">
        <v>74</v>
      </c>
      <c r="X1079" s="26" t="s">
        <v>356</v>
      </c>
      <c r="Z1079" s="37">
        <v>2000</v>
      </c>
      <c r="AA1079" s="37">
        <v>3000</v>
      </c>
      <c r="AB1079" s="37">
        <v>2200</v>
      </c>
      <c r="AC1079" s="37">
        <v>3280</v>
      </c>
      <c r="AD1079" s="39">
        <v>12</v>
      </c>
      <c r="AE1079" s="39">
        <v>12</v>
      </c>
    </row>
    <row r="1080" spans="1:31" ht="16.5" customHeight="1">
      <c r="A1080" s="199"/>
      <c r="B1080" s="48"/>
      <c r="C1080" s="51" t="s">
        <v>155</v>
      </c>
      <c r="D1080">
        <v>1197.81</v>
      </c>
      <c r="E1080">
        <v>1223.56</v>
      </c>
      <c r="F1080">
        <v>1235.17</v>
      </c>
      <c r="G1080">
        <v>1213.04</v>
      </c>
      <c r="H1080">
        <v>1158.9100000000001</v>
      </c>
      <c r="I1080">
        <v>1183.3900000000001</v>
      </c>
      <c r="J1080">
        <v>1225.43</v>
      </c>
      <c r="K1080">
        <v>1209.1500000000001</v>
      </c>
      <c r="L1080">
        <v>1153.8699999999999</v>
      </c>
      <c r="M1080" s="50"/>
      <c r="N1080" s="50"/>
      <c r="O1080" s="50"/>
      <c r="P1080" s="50"/>
      <c r="Q1080" s="48"/>
      <c r="R1080" s="48"/>
      <c r="S1080" s="48"/>
      <c r="T1080" s="48"/>
      <c r="U1080" s="48"/>
      <c r="V1080" s="47"/>
      <c r="W1080" s="46"/>
      <c r="X1080" s="8"/>
    </row>
    <row r="1081" spans="1:31" ht="24.75" customHeight="1" thickBot="1">
      <c r="A1081" s="199"/>
      <c r="B1081" s="61"/>
      <c r="C1081" s="51" t="s">
        <v>154</v>
      </c>
      <c r="D1081" s="24">
        <f t="shared" ref="D1081:L1081" si="355">IF(((D1079="")*AND(D1080="")),"",(D1079-D1080)*4)</f>
        <v>2981.4000000000005</v>
      </c>
      <c r="E1081" s="24">
        <f t="shared" si="355"/>
        <v>2850.3600000000006</v>
      </c>
      <c r="F1081" s="24">
        <f t="shared" si="355"/>
        <v>2787.96</v>
      </c>
      <c r="G1081" s="24">
        <f t="shared" si="355"/>
        <v>2910.12</v>
      </c>
      <c r="H1081" s="24">
        <f t="shared" si="355"/>
        <v>3155.6399999999994</v>
      </c>
      <c r="I1081" s="24">
        <f t="shared" si="355"/>
        <v>3049.8799999999992</v>
      </c>
      <c r="J1081" s="24">
        <f t="shared" si="355"/>
        <v>2869.6399999999994</v>
      </c>
      <c r="K1081" s="24">
        <f t="shared" si="355"/>
        <v>2928.2</v>
      </c>
      <c r="L1081" s="24">
        <f t="shared" si="355"/>
        <v>3155.6400000000003</v>
      </c>
      <c r="M1081" s="24"/>
      <c r="N1081" s="24"/>
      <c r="O1081" s="24"/>
      <c r="P1081" s="24" t="str">
        <f>IF(((P1079="")*AND(P1080="")),"",(P1079-P1080)*4)</f>
        <v/>
      </c>
      <c r="Q1081" s="61"/>
      <c r="R1081" s="61"/>
      <c r="S1081" s="61"/>
      <c r="T1081" s="61"/>
      <c r="U1081" s="61"/>
      <c r="V1081" s="60"/>
      <c r="W1081" s="59"/>
      <c r="X1081" s="8"/>
    </row>
    <row r="1082" spans="1:31" ht="15.75">
      <c r="A1082" s="195">
        <v>43717</v>
      </c>
      <c r="B1082" s="57" t="s">
        <v>157</v>
      </c>
      <c r="C1082" s="51" t="s">
        <v>156</v>
      </c>
      <c r="D1082">
        <v>7392.67</v>
      </c>
      <c r="E1082">
        <v>7416.58</v>
      </c>
      <c r="F1082">
        <v>7422.69</v>
      </c>
      <c r="G1082">
        <v>7397.57</v>
      </c>
      <c r="H1082">
        <v>7316.04</v>
      </c>
      <c r="I1082">
        <v>7355.24</v>
      </c>
      <c r="J1082">
        <v>7392.28</v>
      </c>
      <c r="K1082">
        <v>7443.81</v>
      </c>
      <c r="L1082">
        <v>7460.01</v>
      </c>
      <c r="M1082" s="50"/>
      <c r="N1082" s="50"/>
      <c r="O1082" s="50"/>
      <c r="P1082" s="50"/>
      <c r="Q1082" s="57">
        <f>IF((L1083=""),"",MAX(D1084:L1084))</f>
        <v>3374.1200000000008</v>
      </c>
      <c r="R1082" s="57">
        <f>IF(L1083="","",MIN(D1084:L1084))</f>
        <v>3302</v>
      </c>
      <c r="S1082" s="58">
        <f>IF((L1084=""),"",AVERAGE(D1084:L1084))</f>
        <v>3354.5511111111109</v>
      </c>
      <c r="T1082" s="57">
        <f>IF((L1083=""),"",((Q1082-R1082)/(Q1082+R1082))*100)</f>
        <v>1.0802681797211673</v>
      </c>
      <c r="U1082" s="56">
        <f>STDEV(D1082:L1082)</f>
        <v>43.990262306559167</v>
      </c>
      <c r="V1082" s="55" t="str">
        <f>IF(L1083="","",(IF(T1082&lt;7,IF(S1082&gt;2800,IF(S1082&lt;3800,"Pass","Fail"),"Fail"),"Fail")))</f>
        <v>Pass</v>
      </c>
      <c r="W1082" s="54">
        <v>74</v>
      </c>
      <c r="X1082" s="26" t="s">
        <v>356</v>
      </c>
      <c r="Z1082" s="53">
        <v>2800</v>
      </c>
      <c r="AA1082" s="53">
        <v>3800</v>
      </c>
      <c r="AB1082" s="53">
        <v>3100</v>
      </c>
      <c r="AC1082" s="53">
        <v>3760</v>
      </c>
      <c r="AD1082" s="52">
        <v>6</v>
      </c>
      <c r="AE1082" s="52">
        <v>6</v>
      </c>
    </row>
    <row r="1083" spans="1:31" ht="15.75" customHeight="1">
      <c r="A1083" s="199"/>
      <c r="B1083" s="48"/>
      <c r="C1083" s="51" t="s">
        <v>155</v>
      </c>
      <c r="D1083">
        <v>5713.64</v>
      </c>
      <c r="E1083">
        <v>5729.79</v>
      </c>
      <c r="F1083">
        <v>5741.1</v>
      </c>
      <c r="G1083">
        <v>5721.37</v>
      </c>
      <c r="H1083">
        <v>5665.04</v>
      </c>
      <c r="I1083">
        <v>5685.58</v>
      </c>
      <c r="J1083">
        <v>5714.56</v>
      </c>
      <c r="K1083">
        <v>5757.38</v>
      </c>
      <c r="L1083">
        <v>5772.95</v>
      </c>
      <c r="M1083" s="50"/>
      <c r="N1083" s="50"/>
      <c r="O1083" s="50"/>
      <c r="P1083" s="50"/>
      <c r="Q1083" s="48"/>
      <c r="R1083" s="48"/>
      <c r="S1083" s="49"/>
      <c r="T1083" s="48"/>
      <c r="U1083" s="48"/>
      <c r="V1083" s="47"/>
      <c r="W1083" s="46"/>
      <c r="X1083" s="8"/>
    </row>
    <row r="1084" spans="1:31" ht="24.75" customHeight="1" thickBot="1">
      <c r="A1084" s="199"/>
      <c r="B1084" s="42"/>
      <c r="C1084" s="45" t="s">
        <v>154</v>
      </c>
      <c r="D1084" s="44">
        <f t="shared" ref="D1084:L1084" si="356">IF(((D1082="")*AND(D1083="")),"",(D1082-D1083)*2)</f>
        <v>3358.0599999999995</v>
      </c>
      <c r="E1084" s="44">
        <f t="shared" si="356"/>
        <v>3373.58</v>
      </c>
      <c r="F1084" s="44">
        <f t="shared" si="356"/>
        <v>3363.1799999999985</v>
      </c>
      <c r="G1084" s="44">
        <f t="shared" si="356"/>
        <v>3352.3999999999996</v>
      </c>
      <c r="H1084" s="44">
        <f t="shared" si="356"/>
        <v>3302</v>
      </c>
      <c r="I1084" s="44">
        <f t="shared" si="356"/>
        <v>3339.3199999999997</v>
      </c>
      <c r="J1084" s="44">
        <f t="shared" si="356"/>
        <v>3355.4399999999987</v>
      </c>
      <c r="K1084" s="44">
        <f t="shared" si="356"/>
        <v>3372.8600000000006</v>
      </c>
      <c r="L1084" s="44">
        <f t="shared" si="356"/>
        <v>3374.1200000000008</v>
      </c>
      <c r="M1084" s="44"/>
      <c r="N1084" s="44"/>
      <c r="O1084" s="44"/>
      <c r="P1084" s="44"/>
      <c r="Q1084" s="42"/>
      <c r="R1084" s="42"/>
      <c r="S1084" s="43"/>
      <c r="T1084" s="42"/>
      <c r="U1084" s="42"/>
      <c r="V1084" s="41"/>
      <c r="W1084" s="40"/>
      <c r="X1084" s="8"/>
    </row>
    <row r="1085" spans="1:31" ht="15.75">
      <c r="A1085" s="195">
        <v>43720</v>
      </c>
      <c r="B1085" s="63" t="s">
        <v>158</v>
      </c>
      <c r="C1085" s="56" t="s">
        <v>156</v>
      </c>
      <c r="D1085">
        <v>1200.1600000000001</v>
      </c>
      <c r="E1085">
        <v>1224.83</v>
      </c>
      <c r="F1085">
        <v>1233.52</v>
      </c>
      <c r="G1085">
        <v>1213.03</v>
      </c>
      <c r="H1085">
        <v>1163.1099999999999</v>
      </c>
      <c r="I1085">
        <v>1188.5999999999999</v>
      </c>
      <c r="J1085">
        <v>1226.8800000000001</v>
      </c>
      <c r="K1085">
        <v>1211.4100000000001</v>
      </c>
      <c r="L1085">
        <v>1158.03</v>
      </c>
      <c r="M1085" s="62"/>
      <c r="N1085" s="62"/>
      <c r="O1085" s="62"/>
      <c r="P1085" s="62"/>
      <c r="Q1085" s="57">
        <f>IF((L1086=""),"",MAX(D1087:L1087))</f>
        <v>3052.8799999999997</v>
      </c>
      <c r="R1085" s="57">
        <f>IF(L1086="","",MIN(D1087:L1087))</f>
        <v>2686.64</v>
      </c>
      <c r="S1085" s="58">
        <f>IF((L1087=""),"",AVERAGE(D1087:L1087))</f>
        <v>2863.1022222222223</v>
      </c>
      <c r="T1085" s="57">
        <f>IF((L1086=""),"",((Q1085-R1085)/(Q1085+R1085))*100)</f>
        <v>6.3810214094558395</v>
      </c>
      <c r="U1085" s="56">
        <f>STDEV(D1085:L1085)</f>
        <v>27.323084155656296</v>
      </c>
      <c r="V1085" s="55" t="str">
        <f>IF(L1086="","",(IF(T1085&lt;12,IF(S1085&gt;2200,IF(S1085&lt;3280,"Pass","Fail"),"Fail"),"Fail")))</f>
        <v>Pass</v>
      </c>
      <c r="W1085" s="54">
        <v>1159</v>
      </c>
      <c r="X1085" s="26" t="s">
        <v>358</v>
      </c>
      <c r="Z1085" s="37">
        <v>2000</v>
      </c>
      <c r="AA1085" s="37">
        <v>3000</v>
      </c>
      <c r="AB1085" s="37">
        <v>2200</v>
      </c>
      <c r="AC1085" s="37">
        <v>3280</v>
      </c>
      <c r="AD1085" s="39">
        <v>12</v>
      </c>
      <c r="AE1085" s="39">
        <v>12</v>
      </c>
    </row>
    <row r="1086" spans="1:31" ht="16.5" customHeight="1">
      <c r="A1086" s="199"/>
      <c r="B1086" s="48"/>
      <c r="C1086" s="51" t="s">
        <v>155</v>
      </c>
      <c r="D1086">
        <v>472.81</v>
      </c>
      <c r="E1086">
        <v>538.66999999999996</v>
      </c>
      <c r="F1086">
        <v>561.86</v>
      </c>
      <c r="G1086">
        <v>516.45000000000005</v>
      </c>
      <c r="H1086">
        <v>399.89</v>
      </c>
      <c r="I1086">
        <v>443.15</v>
      </c>
      <c r="J1086">
        <v>534.14</v>
      </c>
      <c r="K1086">
        <v>511.52</v>
      </c>
      <c r="L1086">
        <v>399.1</v>
      </c>
      <c r="M1086" s="50"/>
      <c r="N1086" s="50"/>
      <c r="O1086" s="50"/>
      <c r="P1086" s="50"/>
      <c r="Q1086" s="48"/>
      <c r="R1086" s="48"/>
      <c r="S1086" s="48"/>
      <c r="T1086" s="48"/>
      <c r="U1086" s="48"/>
      <c r="V1086" s="47"/>
      <c r="W1086" s="46"/>
      <c r="X1086" s="8"/>
    </row>
    <row r="1087" spans="1:31" ht="24.75" customHeight="1" thickBot="1">
      <c r="A1087" s="199"/>
      <c r="B1087" s="61"/>
      <c r="C1087" s="51" t="s">
        <v>154</v>
      </c>
      <c r="D1087" s="24">
        <f t="shared" ref="D1087:L1087" si="357">IF(((D1085="")*AND(D1086="")),"",(D1085-D1086)*4)</f>
        <v>2909.4000000000005</v>
      </c>
      <c r="E1087" s="24">
        <f t="shared" si="357"/>
        <v>2744.64</v>
      </c>
      <c r="F1087" s="24">
        <f t="shared" si="357"/>
        <v>2686.64</v>
      </c>
      <c r="G1087" s="24">
        <f t="shared" si="357"/>
        <v>2786.3199999999997</v>
      </c>
      <c r="H1087" s="24">
        <f t="shared" si="357"/>
        <v>3052.8799999999997</v>
      </c>
      <c r="I1087" s="24">
        <f t="shared" si="357"/>
        <v>2981.7999999999997</v>
      </c>
      <c r="J1087" s="24">
        <f t="shared" si="357"/>
        <v>2770.9600000000005</v>
      </c>
      <c r="K1087" s="24">
        <f t="shared" si="357"/>
        <v>2799.5600000000004</v>
      </c>
      <c r="L1087" s="24">
        <f t="shared" si="357"/>
        <v>3035.72</v>
      </c>
      <c r="M1087" s="24"/>
      <c r="N1087" s="24"/>
      <c r="O1087" s="24"/>
      <c r="P1087" s="24" t="str">
        <f>IF(((P1085="")*AND(P1086="")),"",(P1085-P1086)*4)</f>
        <v/>
      </c>
      <c r="Q1087" s="61"/>
      <c r="R1087" s="61"/>
      <c r="S1087" s="61"/>
      <c r="T1087" s="61"/>
      <c r="U1087" s="61"/>
      <c r="V1087" s="60"/>
      <c r="W1087" s="59"/>
      <c r="X1087" s="8"/>
    </row>
    <row r="1088" spans="1:31" ht="15.75">
      <c r="A1088" s="195">
        <v>43720</v>
      </c>
      <c r="B1088" s="57" t="s">
        <v>157</v>
      </c>
      <c r="C1088" s="51" t="s">
        <v>156</v>
      </c>
      <c r="D1088">
        <v>5718.9</v>
      </c>
      <c r="E1088">
        <v>5735.05</v>
      </c>
      <c r="F1088">
        <v>5746.39</v>
      </c>
      <c r="G1088">
        <v>5726.58</v>
      </c>
      <c r="H1088">
        <v>5670.19</v>
      </c>
      <c r="I1088">
        <v>5690.54</v>
      </c>
      <c r="J1088">
        <v>5719.57</v>
      </c>
      <c r="K1088">
        <v>5762.63</v>
      </c>
      <c r="L1088">
        <v>5778.15</v>
      </c>
      <c r="M1088" s="50"/>
      <c r="N1088" s="50"/>
      <c r="O1088" s="50"/>
      <c r="P1088" s="50"/>
      <c r="Q1088" s="57">
        <f>IF((L1089=""),"",MAX(D1090:L1090))</f>
        <v>3405.8200000000006</v>
      </c>
      <c r="R1088" s="57">
        <f>IF(L1089="","",MIN(D1090:L1090))</f>
        <v>3310.7999999999993</v>
      </c>
      <c r="S1088" s="58">
        <f>IF((L1090=""),"",AVERAGE(D1090:L1090))</f>
        <v>3374.5799999999995</v>
      </c>
      <c r="T1088" s="57">
        <f>IF((L1089=""),"",((Q1088-R1088)/(Q1088+R1088))*100)</f>
        <v>1.4146996554814975</v>
      </c>
      <c r="U1088" s="56">
        <f>STDEV(D1088:L1088)</f>
        <v>33.543842993742942</v>
      </c>
      <c r="V1088" s="55" t="str">
        <f>IF(L1089="","",(IF(T1088&lt;7,IF(S1088&gt;2800,IF(S1088&lt;3800,"Pass","Fail"),"Fail"),"Fail")))</f>
        <v>Pass</v>
      </c>
      <c r="W1088" s="54">
        <v>1159</v>
      </c>
      <c r="X1088" s="26" t="s">
        <v>358</v>
      </c>
      <c r="Z1088" s="53">
        <v>2800</v>
      </c>
      <c r="AA1088" s="53">
        <v>3800</v>
      </c>
      <c r="AB1088" s="53">
        <v>3100</v>
      </c>
      <c r="AC1088" s="53">
        <v>3760</v>
      </c>
      <c r="AD1088" s="52">
        <v>6</v>
      </c>
      <c r="AE1088" s="52">
        <v>6</v>
      </c>
    </row>
    <row r="1089" spans="1:31" ht="15.75" customHeight="1">
      <c r="A1089" s="199"/>
      <c r="B1089" s="48"/>
      <c r="C1089" s="51" t="s">
        <v>155</v>
      </c>
      <c r="D1089">
        <v>4030.83</v>
      </c>
      <c r="E1089">
        <v>4035.24</v>
      </c>
      <c r="F1089">
        <v>4051.11</v>
      </c>
      <c r="G1089">
        <v>4037.63</v>
      </c>
      <c r="H1089">
        <v>4014.79</v>
      </c>
      <c r="I1089">
        <v>4021.87</v>
      </c>
      <c r="J1089">
        <v>4031.32</v>
      </c>
      <c r="K1089">
        <v>4059.72</v>
      </c>
      <c r="L1089">
        <v>4079.88</v>
      </c>
      <c r="M1089" s="50"/>
      <c r="N1089" s="50"/>
      <c r="O1089" s="50"/>
      <c r="P1089" s="50"/>
      <c r="Q1089" s="48"/>
      <c r="R1089" s="48"/>
      <c r="S1089" s="49"/>
      <c r="T1089" s="48"/>
      <c r="U1089" s="48"/>
      <c r="V1089" s="47"/>
      <c r="W1089" s="46"/>
      <c r="X1089" s="8"/>
    </row>
    <row r="1090" spans="1:31" ht="24.75" customHeight="1" thickBot="1">
      <c r="A1090" s="199"/>
      <c r="B1090" s="42"/>
      <c r="C1090" s="45" t="s">
        <v>154</v>
      </c>
      <c r="D1090" s="44">
        <f t="shared" ref="D1090:L1090" si="358">IF(((D1088="")*AND(D1089="")),"",(D1088-D1089)*2)</f>
        <v>3376.1399999999994</v>
      </c>
      <c r="E1090" s="44">
        <f t="shared" si="358"/>
        <v>3399.6200000000008</v>
      </c>
      <c r="F1090" s="44">
        <f t="shared" si="358"/>
        <v>3390.5600000000004</v>
      </c>
      <c r="G1090" s="44">
        <f t="shared" si="358"/>
        <v>3377.8999999999996</v>
      </c>
      <c r="H1090" s="44">
        <f t="shared" si="358"/>
        <v>3310.7999999999993</v>
      </c>
      <c r="I1090" s="44">
        <f t="shared" si="358"/>
        <v>3337.34</v>
      </c>
      <c r="J1090" s="44">
        <f t="shared" si="358"/>
        <v>3376.4999999999991</v>
      </c>
      <c r="K1090" s="44">
        <f t="shared" si="358"/>
        <v>3405.8200000000006</v>
      </c>
      <c r="L1090" s="44">
        <f t="shared" si="358"/>
        <v>3396.5399999999991</v>
      </c>
      <c r="M1090" s="44"/>
      <c r="N1090" s="44"/>
      <c r="O1090" s="44"/>
      <c r="P1090" s="44"/>
      <c r="Q1090" s="42"/>
      <c r="R1090" s="42"/>
      <c r="S1090" s="43"/>
      <c r="T1090" s="42"/>
      <c r="U1090" s="42"/>
      <c r="V1090" s="41"/>
      <c r="W1090" s="40"/>
      <c r="X1090" s="8"/>
    </row>
    <row r="1091" spans="1:31" ht="15.75">
      <c r="A1091" s="195">
        <v>43725</v>
      </c>
      <c r="B1091" s="63" t="s">
        <v>158</v>
      </c>
      <c r="C1091" s="56" t="s">
        <v>156</v>
      </c>
      <c r="D1091">
        <v>2005.16</v>
      </c>
      <c r="E1091">
        <v>1991.63</v>
      </c>
      <c r="F1091">
        <v>1987.18</v>
      </c>
      <c r="G1091">
        <v>1986.62</v>
      </c>
      <c r="H1091">
        <v>1999.35</v>
      </c>
      <c r="I1091">
        <v>2004.84</v>
      </c>
      <c r="J1091">
        <v>1987.32</v>
      </c>
      <c r="K1091">
        <v>1992.26</v>
      </c>
      <c r="L1091">
        <v>2002.66</v>
      </c>
      <c r="M1091" s="62"/>
      <c r="N1091" s="62"/>
      <c r="O1091" s="62"/>
      <c r="P1091" s="62"/>
      <c r="Q1091" s="57">
        <f>IF((L1092=""),"",MAX(D1093:L1093))</f>
        <v>3325.96</v>
      </c>
      <c r="R1091" s="57">
        <f>IF(L1092="","",MIN(D1093:L1093))</f>
        <v>2931.12</v>
      </c>
      <c r="S1091" s="58">
        <f>IF((L1093=""),"",AVERAGE(D1093:L1093))</f>
        <v>3120.5111111111109</v>
      </c>
      <c r="T1091" s="57">
        <f>IF((L1092=""),"",((Q1091-R1091)/(Q1091+R1091))*100)</f>
        <v>6.3102917015604749</v>
      </c>
      <c r="U1091" s="56">
        <f>STDEV(D1091:L1091)</f>
        <v>7.7975927553003412</v>
      </c>
      <c r="V1091" s="55" t="str">
        <f>IF(L1092="","",(IF(T1091&lt;12,IF(S1091&gt;2200,IF(S1091&lt;3280,"Pass","Fail"),"Fail"),"Fail")))</f>
        <v>Pass</v>
      </c>
      <c r="W1091" s="54">
        <v>1340</v>
      </c>
      <c r="X1091" s="26" t="s">
        <v>359</v>
      </c>
      <c r="Z1091" s="37">
        <v>2000</v>
      </c>
      <c r="AA1091" s="37">
        <v>3000</v>
      </c>
      <c r="AB1091" s="37">
        <v>2200</v>
      </c>
      <c r="AC1091" s="37">
        <v>3280</v>
      </c>
      <c r="AD1091" s="39">
        <v>12</v>
      </c>
      <c r="AE1091" s="39">
        <v>12</v>
      </c>
    </row>
    <row r="1092" spans="1:31" ht="16.5" customHeight="1">
      <c r="A1092" s="199"/>
      <c r="B1092" s="48"/>
      <c r="C1092" s="51" t="s">
        <v>155</v>
      </c>
      <c r="D1092">
        <v>1220.49</v>
      </c>
      <c r="E1092">
        <v>1242.04</v>
      </c>
      <c r="F1092">
        <v>1254.4000000000001</v>
      </c>
      <c r="G1092">
        <v>1223.22</v>
      </c>
      <c r="H1092">
        <v>1167.8599999999999</v>
      </c>
      <c r="I1092">
        <v>1194.58</v>
      </c>
      <c r="J1092">
        <v>1233</v>
      </c>
      <c r="K1092">
        <v>1224.67</v>
      </c>
      <c r="L1092">
        <v>1175.6099999999999</v>
      </c>
      <c r="M1092" s="50"/>
      <c r="N1092" s="50"/>
      <c r="O1092" s="50"/>
      <c r="P1092" s="50"/>
      <c r="Q1092" s="48"/>
      <c r="R1092" s="48"/>
      <c r="S1092" s="48"/>
      <c r="T1092" s="48"/>
      <c r="U1092" s="48"/>
      <c r="V1092" s="47"/>
      <c r="W1092" s="46"/>
      <c r="X1092" s="8"/>
    </row>
    <row r="1093" spans="1:31" ht="24.75" customHeight="1" thickBot="1">
      <c r="A1093" s="199"/>
      <c r="B1093" s="61"/>
      <c r="C1093" s="51" t="s">
        <v>154</v>
      </c>
      <c r="D1093" s="24">
        <f t="shared" ref="D1093:L1093" si="359">IF(((D1091="")*AND(D1092="")),"",(D1091-D1092)*4)</f>
        <v>3138.6800000000003</v>
      </c>
      <c r="E1093" s="24">
        <f t="shared" si="359"/>
        <v>2998.3600000000006</v>
      </c>
      <c r="F1093" s="24">
        <f t="shared" si="359"/>
        <v>2931.12</v>
      </c>
      <c r="G1093" s="24">
        <f t="shared" si="359"/>
        <v>3053.5999999999995</v>
      </c>
      <c r="H1093" s="24">
        <f t="shared" si="359"/>
        <v>3325.96</v>
      </c>
      <c r="I1093" s="24">
        <f t="shared" si="359"/>
        <v>3241.04</v>
      </c>
      <c r="J1093" s="24">
        <f t="shared" si="359"/>
        <v>3017.2799999999997</v>
      </c>
      <c r="K1093" s="24">
        <f t="shared" si="359"/>
        <v>3070.3599999999997</v>
      </c>
      <c r="L1093" s="24">
        <f t="shared" si="359"/>
        <v>3308.2000000000007</v>
      </c>
      <c r="M1093" s="24"/>
      <c r="N1093" s="24"/>
      <c r="O1093" s="24"/>
      <c r="P1093" s="24" t="str">
        <f>IF(((P1091="")*AND(P1092="")),"",(P1091-P1092)*4)</f>
        <v/>
      </c>
      <c r="Q1093" s="61"/>
      <c r="R1093" s="61"/>
      <c r="S1093" s="61"/>
      <c r="T1093" s="61"/>
      <c r="U1093" s="61"/>
      <c r="V1093" s="60"/>
      <c r="W1093" s="59"/>
      <c r="X1093" s="8"/>
    </row>
    <row r="1094" spans="1:31" ht="15.75">
      <c r="A1094" s="195">
        <v>43725</v>
      </c>
      <c r="B1094" s="57" t="s">
        <v>157</v>
      </c>
      <c r="C1094" s="51" t="s">
        <v>156</v>
      </c>
      <c r="D1094">
        <v>4038.72</v>
      </c>
      <c r="E1094">
        <v>4042.21</v>
      </c>
      <c r="F1094">
        <v>4057.94</v>
      </c>
      <c r="G1094">
        <v>4044.45</v>
      </c>
      <c r="H1094">
        <v>4022.71</v>
      </c>
      <c r="I1094">
        <v>4028.64</v>
      </c>
      <c r="J1094">
        <v>4038.03</v>
      </c>
      <c r="K1094">
        <v>4066.72</v>
      </c>
      <c r="L1094">
        <v>4086.93</v>
      </c>
      <c r="M1094" s="50"/>
      <c r="N1094" s="50"/>
      <c r="O1094" s="50"/>
      <c r="P1094" s="50"/>
      <c r="Q1094" s="57">
        <f>IF((L1095=""),"",MAX(D1096:L1096))</f>
        <v>3476.8199999999997</v>
      </c>
      <c r="R1094" s="57">
        <f>IF(L1095="","",MIN(D1096:L1096))</f>
        <v>3427.6000000000004</v>
      </c>
      <c r="S1094" s="58">
        <f>IF((L1096=""),"",AVERAGE(D1096:L1096))</f>
        <v>3458.2044444444441</v>
      </c>
      <c r="T1094" s="57">
        <f>IF((L1095=""),"",((Q1094-R1094)/(Q1094+R1094))*100)</f>
        <v>0.71287667899692286</v>
      </c>
      <c r="U1094" s="56">
        <f>STDEV(D1094:L1094)</f>
        <v>20.022735688334269</v>
      </c>
      <c r="V1094" s="55" t="str">
        <f>IF(L1095="","",(IF(T1094&lt;7,IF(S1094&gt;2800,IF(S1094&lt;3800,"Pass","Fail"),"Fail"),"Fail")))</f>
        <v>Pass</v>
      </c>
      <c r="W1094" s="54">
        <v>1340</v>
      </c>
      <c r="X1094" s="26" t="s">
        <v>359</v>
      </c>
      <c r="Z1094" s="53">
        <v>2800</v>
      </c>
      <c r="AA1094" s="53">
        <v>3800</v>
      </c>
      <c r="AB1094" s="53">
        <v>3100</v>
      </c>
      <c r="AC1094" s="53">
        <v>3760</v>
      </c>
      <c r="AD1094" s="52">
        <v>6</v>
      </c>
      <c r="AE1094" s="52">
        <v>6</v>
      </c>
    </row>
    <row r="1095" spans="1:31" ht="15.75" customHeight="1">
      <c r="A1095" s="199"/>
      <c r="B1095" s="48"/>
      <c r="C1095" s="51" t="s">
        <v>155</v>
      </c>
      <c r="D1095">
        <v>2311.0100000000002</v>
      </c>
      <c r="E1095">
        <v>2309.0500000000002</v>
      </c>
      <c r="F1095">
        <v>2327.62</v>
      </c>
      <c r="G1095">
        <v>2316.29</v>
      </c>
      <c r="H1095">
        <v>2308.91</v>
      </c>
      <c r="I1095">
        <v>2303.2399999999998</v>
      </c>
      <c r="J1095">
        <v>2309.02</v>
      </c>
      <c r="K1095">
        <v>2330.77</v>
      </c>
      <c r="L1095">
        <v>2348.52</v>
      </c>
      <c r="M1095" s="50"/>
      <c r="N1095" s="50"/>
      <c r="O1095" s="50"/>
      <c r="P1095" s="50"/>
      <c r="Q1095" s="48"/>
      <c r="R1095" s="48"/>
      <c r="S1095" s="49"/>
      <c r="T1095" s="48"/>
      <c r="U1095" s="48"/>
      <c r="V1095" s="47"/>
      <c r="W1095" s="46"/>
      <c r="X1095" s="8"/>
    </row>
    <row r="1096" spans="1:31" ht="24.75" customHeight="1" thickBot="1">
      <c r="A1096" s="199"/>
      <c r="B1096" s="42"/>
      <c r="C1096" s="45" t="s">
        <v>154</v>
      </c>
      <c r="D1096" s="44">
        <f t="shared" ref="D1096:L1096" si="360">IF(((D1094="")*AND(D1095="")),"",(D1094-D1095)*2)</f>
        <v>3455.4199999999992</v>
      </c>
      <c r="E1096" s="44">
        <f t="shared" si="360"/>
        <v>3466.3199999999997</v>
      </c>
      <c r="F1096" s="44">
        <f t="shared" si="360"/>
        <v>3460.6400000000003</v>
      </c>
      <c r="G1096" s="44">
        <f t="shared" si="360"/>
        <v>3456.3199999999997</v>
      </c>
      <c r="H1096" s="44">
        <f t="shared" si="360"/>
        <v>3427.6000000000004</v>
      </c>
      <c r="I1096" s="44">
        <f t="shared" si="360"/>
        <v>3450.8</v>
      </c>
      <c r="J1096" s="44">
        <f t="shared" si="360"/>
        <v>3458.0200000000004</v>
      </c>
      <c r="K1096" s="44">
        <f t="shared" si="360"/>
        <v>3471.8999999999996</v>
      </c>
      <c r="L1096" s="44">
        <f t="shared" si="360"/>
        <v>3476.8199999999997</v>
      </c>
      <c r="M1096" s="44"/>
      <c r="N1096" s="44"/>
      <c r="O1096" s="44"/>
      <c r="P1096" s="44"/>
      <c r="Q1096" s="42"/>
      <c r="R1096" s="42"/>
      <c r="S1096" s="43"/>
      <c r="T1096" s="42"/>
      <c r="U1096" s="42"/>
      <c r="V1096" s="41"/>
      <c r="W1096" s="40"/>
      <c r="X1096" s="8"/>
    </row>
    <row r="1097" spans="1:31" ht="15.75">
      <c r="A1097" s="195">
        <v>43729</v>
      </c>
      <c r="B1097" s="63" t="s">
        <v>158</v>
      </c>
      <c r="C1097" s="56" t="s">
        <v>156</v>
      </c>
      <c r="D1097" s="266">
        <v>1219.73</v>
      </c>
      <c r="E1097" s="266">
        <v>1241.8499999999999</v>
      </c>
      <c r="F1097" s="266">
        <v>1253.57</v>
      </c>
      <c r="G1097" s="266">
        <v>1222.42</v>
      </c>
      <c r="H1097" s="266">
        <v>1171.26</v>
      </c>
      <c r="I1097" s="266">
        <v>1194.23</v>
      </c>
      <c r="J1097" s="266">
        <v>1233.44</v>
      </c>
      <c r="K1097" s="266">
        <v>1225.97</v>
      </c>
      <c r="L1097" s="266">
        <v>1178.95</v>
      </c>
      <c r="M1097" s="62"/>
      <c r="N1097" s="62"/>
      <c r="O1097" s="62"/>
      <c r="P1097" s="62"/>
      <c r="Q1097" s="57">
        <f>IF((L1098=""),"",MAX(D1099:L1099))</f>
        <v>3028.52</v>
      </c>
      <c r="R1097" s="57">
        <f>IF(L1098="","",MIN(D1099:L1099))</f>
        <v>2682.9199999999996</v>
      </c>
      <c r="S1097" s="58">
        <f>IF((L1099=""),"",AVERAGE(D1099:L1099))</f>
        <v>2830.5422222222228</v>
      </c>
      <c r="T1097" s="57">
        <f>IF((L1098=""),"",((Q1097-R1097)/(Q1097+R1097))*100)</f>
        <v>6.0510134046755351</v>
      </c>
      <c r="U1097" s="56">
        <f>STDEV(D1097:L1097)</f>
        <v>28.253262201023894</v>
      </c>
      <c r="V1097" s="55" t="str">
        <f>IF(L1098="","",(IF(T1097&lt;12,IF(S1097&gt;2200,IF(S1097&lt;3280,"Pass","Fail"),"Fail"),"Fail")))</f>
        <v>Pass</v>
      </c>
      <c r="W1097" s="54">
        <v>64</v>
      </c>
      <c r="X1097" s="26" t="s">
        <v>360</v>
      </c>
      <c r="Z1097" s="37">
        <v>2000</v>
      </c>
      <c r="AA1097" s="37">
        <v>3000</v>
      </c>
      <c r="AB1097" s="37">
        <v>2200</v>
      </c>
      <c r="AC1097" s="37">
        <v>3280</v>
      </c>
      <c r="AD1097" s="39">
        <v>12</v>
      </c>
      <c r="AE1097" s="39">
        <v>12</v>
      </c>
    </row>
    <row r="1098" spans="1:31" ht="16.5" customHeight="1">
      <c r="A1098" s="199"/>
      <c r="B1098" s="48"/>
      <c r="C1098" s="51" t="s">
        <v>155</v>
      </c>
      <c r="D1098" s="266">
        <v>511.31</v>
      </c>
      <c r="E1098" s="266">
        <v>564</v>
      </c>
      <c r="F1098" s="266">
        <v>582.84</v>
      </c>
      <c r="G1098" s="266">
        <v>526.17999999999995</v>
      </c>
      <c r="H1098" s="266">
        <v>414.13</v>
      </c>
      <c r="I1098" s="266">
        <v>461.71</v>
      </c>
      <c r="J1098" s="266">
        <v>545.72</v>
      </c>
      <c r="K1098" s="266">
        <v>532.45000000000005</v>
      </c>
      <c r="L1098" s="266">
        <v>434.36</v>
      </c>
      <c r="M1098" s="50"/>
      <c r="N1098" s="50"/>
      <c r="O1098" s="50"/>
      <c r="P1098" s="50"/>
      <c r="Q1098" s="48"/>
      <c r="R1098" s="48"/>
      <c r="S1098" s="48"/>
      <c r="T1098" s="48"/>
      <c r="U1098" s="48"/>
      <c r="V1098" s="47"/>
      <c r="W1098" s="46"/>
      <c r="X1098" s="8"/>
    </row>
    <row r="1099" spans="1:31" ht="24.75" customHeight="1" thickBot="1">
      <c r="A1099" s="199"/>
      <c r="B1099" s="61"/>
      <c r="C1099" s="51" t="s">
        <v>154</v>
      </c>
      <c r="D1099" s="24">
        <f t="shared" ref="D1099:L1099" si="361">IF(((D1097="")*AND(D1098="")),"",(D1097-D1098)*4)</f>
        <v>2833.6800000000003</v>
      </c>
      <c r="E1099" s="24">
        <f t="shared" si="361"/>
        <v>2711.3999999999996</v>
      </c>
      <c r="F1099" s="24">
        <f t="shared" si="361"/>
        <v>2682.9199999999996</v>
      </c>
      <c r="G1099" s="24">
        <f t="shared" si="361"/>
        <v>2784.9600000000005</v>
      </c>
      <c r="H1099" s="24">
        <f t="shared" si="361"/>
        <v>3028.52</v>
      </c>
      <c r="I1099" s="24">
        <f t="shared" si="361"/>
        <v>2930.08</v>
      </c>
      <c r="J1099" s="24">
        <f t="shared" si="361"/>
        <v>2750.88</v>
      </c>
      <c r="K1099" s="24">
        <f t="shared" si="361"/>
        <v>2774.08</v>
      </c>
      <c r="L1099" s="24">
        <f t="shared" si="361"/>
        <v>2978.36</v>
      </c>
      <c r="M1099" s="24"/>
      <c r="N1099" s="24"/>
      <c r="O1099" s="24"/>
      <c r="P1099" s="24" t="str">
        <f>IF(((P1097="")*AND(P1098="")),"",(P1097-P1098)*4)</f>
        <v/>
      </c>
      <c r="Q1099" s="61"/>
      <c r="R1099" s="61"/>
      <c r="S1099" s="61"/>
      <c r="T1099" s="61"/>
      <c r="U1099" s="61"/>
      <c r="V1099" s="60"/>
      <c r="W1099" s="59"/>
      <c r="X1099" s="8"/>
    </row>
    <row r="1100" spans="1:31" ht="15.75">
      <c r="A1100" s="195">
        <v>43729</v>
      </c>
      <c r="B1100" s="57" t="s">
        <v>157</v>
      </c>
      <c r="C1100" s="51" t="s">
        <v>156</v>
      </c>
      <c r="D1100" s="266">
        <v>2322.86</v>
      </c>
      <c r="E1100" s="266">
        <v>2319.34</v>
      </c>
      <c r="F1100" s="266">
        <v>2338.27</v>
      </c>
      <c r="G1100" s="266">
        <v>2327.3200000000002</v>
      </c>
      <c r="H1100" s="266">
        <v>2322.39</v>
      </c>
      <c r="I1100" s="266">
        <v>2309.4499999999998</v>
      </c>
      <c r="J1100" s="266">
        <v>2319.4699999999998</v>
      </c>
      <c r="K1100" s="266">
        <v>2341.37</v>
      </c>
      <c r="L1100" s="266">
        <v>2358.98</v>
      </c>
      <c r="M1100" s="50"/>
      <c r="N1100" s="50"/>
      <c r="O1100" s="50"/>
      <c r="P1100" s="50"/>
      <c r="Q1100" s="57">
        <f>IF((L1101=""),"",MAX(D1102:L1102))</f>
        <v>3385.42</v>
      </c>
      <c r="R1100" s="57">
        <f>IF(L1101="","",MIN(D1102:L1102))</f>
        <v>3297.62</v>
      </c>
      <c r="S1100" s="58">
        <f>IF((L1102=""),"",AVERAGE(D1102:L1102))</f>
        <v>3354.833333333333</v>
      </c>
      <c r="T1100" s="57">
        <f>IF((L1101=""),"",((Q1100-R1100)/(Q1100+R1100))*100)</f>
        <v>1.3137733725969047</v>
      </c>
      <c r="U1100" s="56">
        <f>STDEV(D1100:L1100)</f>
        <v>14.950068375909931</v>
      </c>
      <c r="V1100" s="55" t="str">
        <f>IF(L1101="","",(IF(T1100&lt;7,IF(S1100&gt;2800,IF(S1100&lt;3800,"Pass","Fail"),"Fail"),"Fail")))</f>
        <v>Pass</v>
      </c>
      <c r="W1100" s="54">
        <v>64</v>
      </c>
      <c r="X1100" s="26" t="s">
        <v>360</v>
      </c>
      <c r="Z1100" s="53">
        <v>2800</v>
      </c>
      <c r="AA1100" s="53">
        <v>3800</v>
      </c>
      <c r="AB1100" s="53">
        <v>3100</v>
      </c>
      <c r="AC1100" s="53">
        <v>3760</v>
      </c>
      <c r="AD1100" s="52">
        <v>6</v>
      </c>
      <c r="AE1100" s="52">
        <v>6</v>
      </c>
    </row>
    <row r="1101" spans="1:31" ht="15.75" customHeight="1">
      <c r="A1101" s="199"/>
      <c r="B1101" s="48"/>
      <c r="C1101" s="51" t="s">
        <v>155</v>
      </c>
      <c r="D1101" s="266">
        <v>650.14</v>
      </c>
      <c r="E1101" s="266">
        <v>630.38</v>
      </c>
      <c r="F1101" s="266">
        <v>651.44000000000005</v>
      </c>
      <c r="G1101" s="266">
        <v>646</v>
      </c>
      <c r="H1101" s="266">
        <v>673.58</v>
      </c>
      <c r="I1101" s="266">
        <v>647.34</v>
      </c>
      <c r="J1101" s="266">
        <v>639.01</v>
      </c>
      <c r="K1101" s="266">
        <v>648.66</v>
      </c>
      <c r="L1101" s="266">
        <v>676.15</v>
      </c>
      <c r="M1101" s="50"/>
      <c r="N1101" s="50"/>
      <c r="O1101" s="50"/>
      <c r="P1101" s="50"/>
      <c r="Q1101" s="48"/>
      <c r="R1101" s="48"/>
      <c r="S1101" s="49"/>
      <c r="T1101" s="48"/>
      <c r="U1101" s="48"/>
      <c r="V1101" s="47"/>
      <c r="W1101" s="46"/>
      <c r="X1101" s="8"/>
    </row>
    <row r="1102" spans="1:31" ht="24.75" customHeight="1" thickBot="1">
      <c r="A1102" s="199"/>
      <c r="B1102" s="42"/>
      <c r="C1102" s="45" t="s">
        <v>154</v>
      </c>
      <c r="D1102" s="44">
        <f t="shared" ref="D1102:L1102" si="362">IF(((D1100="")*AND(D1101="")),"",(D1100-D1101)*2)</f>
        <v>3345.4400000000005</v>
      </c>
      <c r="E1102" s="44">
        <f t="shared" si="362"/>
        <v>3377.92</v>
      </c>
      <c r="F1102" s="44">
        <f t="shared" si="362"/>
        <v>3373.66</v>
      </c>
      <c r="G1102" s="44">
        <f t="shared" si="362"/>
        <v>3362.6400000000003</v>
      </c>
      <c r="H1102" s="44">
        <f t="shared" si="362"/>
        <v>3297.62</v>
      </c>
      <c r="I1102" s="44">
        <f t="shared" si="362"/>
        <v>3324.2199999999993</v>
      </c>
      <c r="J1102" s="44">
        <f t="shared" si="362"/>
        <v>3360.9199999999996</v>
      </c>
      <c r="K1102" s="44">
        <f t="shared" si="362"/>
        <v>3385.42</v>
      </c>
      <c r="L1102" s="44">
        <f t="shared" si="362"/>
        <v>3365.66</v>
      </c>
      <c r="M1102" s="44"/>
      <c r="N1102" s="44"/>
      <c r="O1102" s="44"/>
      <c r="P1102" s="44"/>
      <c r="Q1102" s="42"/>
      <c r="R1102" s="42"/>
      <c r="S1102" s="43"/>
      <c r="T1102" s="42"/>
      <c r="U1102" s="42"/>
      <c r="V1102" s="41"/>
      <c r="W1102" s="40"/>
      <c r="X1102" s="8"/>
    </row>
    <row r="1103" spans="1:31" ht="15.75">
      <c r="A1103" s="195">
        <v>43734</v>
      </c>
      <c r="B1103" s="63" t="s">
        <v>158</v>
      </c>
      <c r="C1103" s="56" t="s">
        <v>156</v>
      </c>
      <c r="D1103">
        <v>1938.91</v>
      </c>
      <c r="E1103">
        <v>1931.89</v>
      </c>
      <c r="F1103">
        <v>1923.33</v>
      </c>
      <c r="G1103">
        <v>1933.61</v>
      </c>
      <c r="H1103">
        <v>1938.49</v>
      </c>
      <c r="I1103">
        <v>1943.16</v>
      </c>
      <c r="J1103">
        <v>1931.43</v>
      </c>
      <c r="K1103">
        <v>1933.6</v>
      </c>
      <c r="L1103">
        <v>1936.59</v>
      </c>
      <c r="M1103" s="62"/>
      <c r="N1103" s="62"/>
      <c r="O1103" s="62"/>
      <c r="P1103" s="62"/>
      <c r="Q1103" s="57">
        <f>IF((L1104=""),"",MAX(D1105:L1105))</f>
        <v>3083.3599999999997</v>
      </c>
      <c r="R1103" s="57">
        <f>IF(L1104="","",MIN(D1105:L1105))</f>
        <v>2750.04</v>
      </c>
      <c r="S1103" s="58">
        <f>IF((L1105=""),"",AVERAGE(D1105:L1105))</f>
        <v>2912.0355555555557</v>
      </c>
      <c r="T1103" s="57">
        <f>IF((L1104=""),"",((Q1103-R1103)/(Q1103+R1103))*100)</f>
        <v>5.713991840093251</v>
      </c>
      <c r="U1103" s="56">
        <f>STDEV(D1103:L1103)</f>
        <v>5.6713203930435236</v>
      </c>
      <c r="V1103" s="55" t="str">
        <f>IF(L1104="","",(IF(T1103&lt;12,IF(S1103&gt;2200,IF(S1103&lt;3280,"Pass","Fail"),"Fail"),"Fail")))</f>
        <v>Pass</v>
      </c>
      <c r="W1103" s="54">
        <v>102</v>
      </c>
      <c r="X1103" s="26" t="s">
        <v>362</v>
      </c>
      <c r="Z1103" s="37">
        <v>2000</v>
      </c>
      <c r="AA1103" s="37">
        <v>3000</v>
      </c>
      <c r="AB1103" s="37">
        <v>2200</v>
      </c>
      <c r="AC1103" s="37">
        <v>3280</v>
      </c>
      <c r="AD1103" s="39">
        <v>12</v>
      </c>
      <c r="AE1103" s="39">
        <v>12</v>
      </c>
    </row>
    <row r="1104" spans="1:31" ht="16.5" customHeight="1">
      <c r="A1104" s="199"/>
      <c r="B1104" s="48"/>
      <c r="C1104" s="51" t="s">
        <v>155</v>
      </c>
      <c r="D1104">
        <v>1204.08</v>
      </c>
      <c r="E1104">
        <v>1231.1300000000001</v>
      </c>
      <c r="F1104">
        <v>1235.82</v>
      </c>
      <c r="G1104">
        <v>1219.74</v>
      </c>
      <c r="H1104">
        <v>1167.8800000000001</v>
      </c>
      <c r="I1104">
        <v>1191.3399999999999</v>
      </c>
      <c r="J1104">
        <v>1228.98</v>
      </c>
      <c r="K1104">
        <v>1214.21</v>
      </c>
      <c r="L1104">
        <v>1165.75</v>
      </c>
      <c r="M1104" s="50"/>
      <c r="N1104" s="50"/>
      <c r="O1104" s="50"/>
      <c r="P1104" s="50"/>
      <c r="Q1104" s="48"/>
      <c r="R1104" s="48"/>
      <c r="S1104" s="48"/>
      <c r="T1104" s="48"/>
      <c r="U1104" s="48"/>
      <c r="V1104" s="47"/>
      <c r="W1104" s="46"/>
      <c r="X1104" s="8"/>
    </row>
    <row r="1105" spans="1:31" ht="24.75" customHeight="1" thickBot="1">
      <c r="A1105" s="199"/>
      <c r="B1105" s="61"/>
      <c r="C1105" s="51" t="s">
        <v>154</v>
      </c>
      <c r="D1105" s="24">
        <f t="shared" ref="D1105:L1105" si="363">IF(((D1103="")*AND(D1104="")),"",(D1103-D1104)*4)</f>
        <v>2939.3200000000006</v>
      </c>
      <c r="E1105" s="24">
        <f t="shared" si="363"/>
        <v>2803.04</v>
      </c>
      <c r="F1105" s="24">
        <f t="shared" si="363"/>
        <v>2750.04</v>
      </c>
      <c r="G1105" s="24">
        <f t="shared" si="363"/>
        <v>2855.4799999999996</v>
      </c>
      <c r="H1105" s="24">
        <f t="shared" si="363"/>
        <v>3082.4399999999996</v>
      </c>
      <c r="I1105" s="24">
        <f t="shared" si="363"/>
        <v>3007.2800000000007</v>
      </c>
      <c r="J1105" s="24">
        <f t="shared" si="363"/>
        <v>2809.8</v>
      </c>
      <c r="K1105" s="24">
        <f t="shared" si="363"/>
        <v>2877.5599999999995</v>
      </c>
      <c r="L1105" s="24">
        <f t="shared" si="363"/>
        <v>3083.3599999999997</v>
      </c>
      <c r="M1105" s="24"/>
      <c r="N1105" s="24"/>
      <c r="O1105" s="24"/>
      <c r="P1105" s="24" t="str">
        <f>IF(((P1103="")*AND(P1104="")),"",(P1103-P1104)*4)</f>
        <v/>
      </c>
      <c r="Q1105" s="61"/>
      <c r="R1105" s="61"/>
      <c r="S1105" s="61"/>
      <c r="T1105" s="61"/>
      <c r="U1105" s="61"/>
      <c r="V1105" s="60"/>
      <c r="W1105" s="59"/>
      <c r="X1105" s="8"/>
    </row>
    <row r="1106" spans="1:31" ht="15.75">
      <c r="A1106" s="195">
        <v>43734</v>
      </c>
      <c r="B1106" s="57" t="s">
        <v>157</v>
      </c>
      <c r="C1106" s="51" t="s">
        <v>156</v>
      </c>
      <c r="D1106">
        <v>7116.72</v>
      </c>
      <c r="E1106">
        <v>7118.81</v>
      </c>
      <c r="F1106">
        <v>7132.53</v>
      </c>
      <c r="G1106">
        <v>7108.28</v>
      </c>
      <c r="H1106">
        <v>7033.13</v>
      </c>
      <c r="I1106">
        <v>7077.29</v>
      </c>
      <c r="J1106">
        <v>7098.29</v>
      </c>
      <c r="K1106">
        <v>7151.92</v>
      </c>
      <c r="L1106">
        <v>7154.86</v>
      </c>
      <c r="M1106" s="50"/>
      <c r="N1106" s="50"/>
      <c r="O1106" s="50"/>
      <c r="P1106" s="50"/>
      <c r="Q1106" s="57">
        <f>IF((L1107=""),"",MAX(D1108:L1108))</f>
        <v>3376.2000000000007</v>
      </c>
      <c r="R1106" s="57">
        <f>IF(L1107="","",MIN(D1108:L1108))</f>
        <v>3281.84</v>
      </c>
      <c r="S1106" s="58">
        <f>IF((L1108=""),"",AVERAGE(D1108:L1108))</f>
        <v>3344.5155555555557</v>
      </c>
      <c r="T1106" s="57">
        <f>IF((L1107=""),"",((Q1106-R1106)/(Q1106+R1106))*100)</f>
        <v>1.4172339006674721</v>
      </c>
      <c r="U1106" s="56">
        <f>STDEV(D1106:L1106)</f>
        <v>37.945244761279476</v>
      </c>
      <c r="V1106" s="55" t="str">
        <f>IF(L1107="","",(IF(T1106&lt;7,IF(S1106&gt;2800,IF(S1106&lt;3800,"Pass","Fail"),"Fail"),"Fail")))</f>
        <v>Pass</v>
      </c>
      <c r="W1106" s="54">
        <v>102</v>
      </c>
      <c r="X1106" s="26" t="s">
        <v>362</v>
      </c>
      <c r="Z1106" s="53">
        <v>2800</v>
      </c>
      <c r="AA1106" s="53">
        <v>3800</v>
      </c>
      <c r="AB1106" s="53">
        <v>3100</v>
      </c>
      <c r="AC1106" s="53">
        <v>3760</v>
      </c>
      <c r="AD1106" s="52">
        <v>6</v>
      </c>
      <c r="AE1106" s="52">
        <v>6</v>
      </c>
    </row>
    <row r="1107" spans="1:31" ht="15.75" customHeight="1">
      <c r="A1107" s="199"/>
      <c r="B1107" s="48"/>
      <c r="C1107" s="51" t="s">
        <v>155</v>
      </c>
      <c r="D1107">
        <v>5448.72</v>
      </c>
      <c r="E1107">
        <v>5431.66</v>
      </c>
      <c r="F1107">
        <v>5448.76</v>
      </c>
      <c r="G1107">
        <v>5431.13</v>
      </c>
      <c r="H1107">
        <v>5387.91</v>
      </c>
      <c r="I1107">
        <v>5436.37</v>
      </c>
      <c r="J1107">
        <v>5421.35</v>
      </c>
      <c r="K1107">
        <v>5463.82</v>
      </c>
      <c r="L1107">
        <v>5471.79</v>
      </c>
      <c r="M1107" s="50"/>
      <c r="N1107" s="50"/>
      <c r="O1107" s="50"/>
      <c r="P1107" s="50"/>
      <c r="Q1107" s="48"/>
      <c r="R1107" s="48"/>
      <c r="S1107" s="49"/>
      <c r="T1107" s="48"/>
      <c r="U1107" s="48"/>
      <c r="V1107" s="47"/>
      <c r="W1107" s="46"/>
      <c r="X1107" s="8"/>
    </row>
    <row r="1108" spans="1:31" ht="24.75" customHeight="1" thickBot="1">
      <c r="A1108" s="199"/>
      <c r="B1108" s="42"/>
      <c r="C1108" s="45" t="s">
        <v>154</v>
      </c>
      <c r="D1108" s="44">
        <f t="shared" ref="D1108:L1108" si="364">IF(((D1106="")*AND(D1107="")),"",(D1106-D1107)*2)</f>
        <v>3336</v>
      </c>
      <c r="E1108" s="44">
        <f t="shared" si="364"/>
        <v>3374.3000000000011</v>
      </c>
      <c r="F1108" s="44">
        <f t="shared" si="364"/>
        <v>3367.5399999999991</v>
      </c>
      <c r="G1108" s="44">
        <f t="shared" si="364"/>
        <v>3354.2999999999993</v>
      </c>
      <c r="H1108" s="44">
        <f t="shared" si="364"/>
        <v>3290.4400000000005</v>
      </c>
      <c r="I1108" s="44">
        <f t="shared" si="364"/>
        <v>3281.84</v>
      </c>
      <c r="J1108" s="44">
        <f t="shared" si="364"/>
        <v>3353.8799999999992</v>
      </c>
      <c r="K1108" s="44">
        <f t="shared" si="364"/>
        <v>3376.2000000000007</v>
      </c>
      <c r="L1108" s="44">
        <f t="shared" si="364"/>
        <v>3366.1399999999994</v>
      </c>
      <c r="M1108" s="44"/>
      <c r="N1108" s="44"/>
      <c r="O1108" s="44"/>
      <c r="P1108" s="44"/>
      <c r="Q1108" s="42"/>
      <c r="R1108" s="42"/>
      <c r="S1108" s="43"/>
      <c r="T1108" s="42"/>
      <c r="U1108" s="42"/>
      <c r="V1108" s="41"/>
      <c r="W1108" s="40"/>
      <c r="X1108" s="8"/>
    </row>
    <row r="1109" spans="1:31" ht="15.75">
      <c r="A1109" s="195">
        <v>43738</v>
      </c>
      <c r="B1109" s="63" t="s">
        <v>158</v>
      </c>
      <c r="C1109" s="56" t="s">
        <v>156</v>
      </c>
      <c r="D1109">
        <v>1202.6099999999999</v>
      </c>
      <c r="E1109">
        <v>1230.47</v>
      </c>
      <c r="F1109">
        <v>1233.8</v>
      </c>
      <c r="G1109">
        <v>1216.43</v>
      </c>
      <c r="H1109">
        <v>1168.8800000000001</v>
      </c>
      <c r="I1109">
        <v>1190.03</v>
      </c>
      <c r="J1109">
        <v>1227.28</v>
      </c>
      <c r="K1109">
        <v>1212.55</v>
      </c>
      <c r="L1109">
        <v>1164.94</v>
      </c>
      <c r="M1109" s="62"/>
      <c r="N1109" s="62"/>
      <c r="O1109" s="62"/>
      <c r="P1109" s="62"/>
      <c r="Q1109" s="57">
        <f>IF((L1110=""),"",MAX(D1111:L1111))</f>
        <v>3093.1200000000003</v>
      </c>
      <c r="R1109" s="57">
        <f>IF(L1110="","",MIN(D1111:L1111))</f>
        <v>2715.8399999999997</v>
      </c>
      <c r="S1109" s="58">
        <f>IF((L1111=""),"",AVERAGE(D1111:L1111))</f>
        <v>2894.3288888888892</v>
      </c>
      <c r="T1109" s="57">
        <f>IF((L1110=""),"",((Q1109-R1109)/(Q1109+R1109))*100)</f>
        <v>6.4947942488844932</v>
      </c>
      <c r="U1109" s="56">
        <f>STDEV(D1109:L1109)</f>
        <v>25.741594960516899</v>
      </c>
      <c r="V1109" s="55" t="str">
        <f>IF(L1110="","",(IF(T1109&lt;12,IF(S1109&gt;2200,IF(S1109&lt;3280,"Pass","Fail"),"Fail"),"Fail")))</f>
        <v>Pass</v>
      </c>
      <c r="W1109" s="54">
        <v>121</v>
      </c>
      <c r="X1109" s="26" t="s">
        <v>363</v>
      </c>
      <c r="Z1109" s="37">
        <v>2000</v>
      </c>
      <c r="AA1109" s="37">
        <v>3000</v>
      </c>
      <c r="AB1109" s="37">
        <v>2200</v>
      </c>
      <c r="AC1109" s="37">
        <v>3280</v>
      </c>
      <c r="AD1109" s="39">
        <v>12</v>
      </c>
      <c r="AE1109" s="39">
        <v>12</v>
      </c>
    </row>
    <row r="1110" spans="1:31" ht="16.5" customHeight="1">
      <c r="A1110" s="199"/>
      <c r="B1110" s="48"/>
      <c r="C1110" s="51" t="s">
        <v>155</v>
      </c>
      <c r="D1110">
        <v>465.24</v>
      </c>
      <c r="E1110">
        <v>536.07000000000005</v>
      </c>
      <c r="F1110">
        <v>554.84</v>
      </c>
      <c r="G1110">
        <v>513.04</v>
      </c>
      <c r="H1110">
        <v>395.6</v>
      </c>
      <c r="I1110">
        <v>435.54</v>
      </c>
      <c r="J1110">
        <v>529.64</v>
      </c>
      <c r="K1110">
        <v>507.18</v>
      </c>
      <c r="L1110">
        <v>397.6</v>
      </c>
      <c r="M1110" s="50"/>
      <c r="N1110" s="50"/>
      <c r="O1110" s="50"/>
      <c r="P1110" s="50"/>
      <c r="Q1110" s="48"/>
      <c r="R1110" s="48"/>
      <c r="S1110" s="48"/>
      <c r="T1110" s="48"/>
      <c r="U1110" s="48"/>
      <c r="V1110" s="47"/>
      <c r="W1110" s="46"/>
      <c r="X1110" s="8"/>
    </row>
    <row r="1111" spans="1:31" ht="24.75" customHeight="1" thickBot="1">
      <c r="A1111" s="199"/>
      <c r="B1111" s="61"/>
      <c r="C1111" s="51" t="s">
        <v>154</v>
      </c>
      <c r="D1111" s="24">
        <f t="shared" ref="D1111:L1111" si="365">IF(((D1109="")*AND(D1110="")),"",(D1109-D1110)*4)</f>
        <v>2949.4799999999996</v>
      </c>
      <c r="E1111" s="24">
        <f t="shared" si="365"/>
        <v>2777.6</v>
      </c>
      <c r="F1111" s="24">
        <f t="shared" si="365"/>
        <v>2715.8399999999997</v>
      </c>
      <c r="G1111" s="24">
        <f t="shared" si="365"/>
        <v>2813.5600000000004</v>
      </c>
      <c r="H1111" s="24">
        <f t="shared" si="365"/>
        <v>3093.1200000000003</v>
      </c>
      <c r="I1111" s="24">
        <f t="shared" si="365"/>
        <v>3017.96</v>
      </c>
      <c r="J1111" s="24">
        <f t="shared" si="365"/>
        <v>2790.56</v>
      </c>
      <c r="K1111" s="24">
        <f t="shared" si="365"/>
        <v>2821.4799999999996</v>
      </c>
      <c r="L1111" s="24">
        <f t="shared" si="365"/>
        <v>3069.36</v>
      </c>
      <c r="M1111" s="24"/>
      <c r="N1111" s="24"/>
      <c r="O1111" s="24"/>
      <c r="P1111" s="24" t="str">
        <f>IF(((P1109="")*AND(P1110="")),"",(P1109-P1110)*4)</f>
        <v/>
      </c>
      <c r="Q1111" s="61"/>
      <c r="R1111" s="61"/>
      <c r="S1111" s="61"/>
      <c r="T1111" s="61"/>
      <c r="U1111" s="61"/>
      <c r="V1111" s="60"/>
      <c r="W1111" s="59"/>
      <c r="X1111" s="8"/>
    </row>
    <row r="1112" spans="1:31" ht="15.75">
      <c r="A1112" s="195">
        <v>43738</v>
      </c>
      <c r="B1112" s="57" t="s">
        <v>157</v>
      </c>
      <c r="C1112" s="51" t="s">
        <v>156</v>
      </c>
      <c r="D1112">
        <v>5459.34</v>
      </c>
      <c r="E1112">
        <v>5441.05</v>
      </c>
      <c r="F1112">
        <v>5458.05</v>
      </c>
      <c r="G1112">
        <v>5440.52</v>
      </c>
      <c r="H1112">
        <v>5398.27</v>
      </c>
      <c r="I1112">
        <v>5445.77</v>
      </c>
      <c r="J1112">
        <v>5430.33</v>
      </c>
      <c r="K1112">
        <v>5473.2</v>
      </c>
      <c r="L1112">
        <v>5481.27</v>
      </c>
      <c r="M1112" s="50"/>
      <c r="N1112" s="50"/>
      <c r="O1112" s="50"/>
      <c r="P1112" s="50"/>
      <c r="Q1112" s="57">
        <f>IF((L1113=""),"",MAX(D1114:L1114))</f>
        <v>3359.7199999999993</v>
      </c>
      <c r="R1112" s="57">
        <f>IF(L1113="","",MIN(D1114:L1114))</f>
        <v>3255.0000000000009</v>
      </c>
      <c r="S1112" s="58">
        <f>IF((L1114=""),"",AVERAGE(D1114:L1114))</f>
        <v>3319.5244444444452</v>
      </c>
      <c r="T1112" s="57">
        <f>IF((L1113=""),"",((Q1112-R1112)/(Q1112+R1112))*100)</f>
        <v>1.5831357941076634</v>
      </c>
      <c r="U1112" s="56">
        <f>STDEV(D1112:L1112)</f>
        <v>24.657905933062182</v>
      </c>
      <c r="V1112" s="55" t="str">
        <f>IF(L1113="","",(IF(T1112&lt;7,IF(S1112&gt;2800,IF(S1112&lt;3800,"Pass","Fail"),"Fail"),"Fail")))</f>
        <v>Pass</v>
      </c>
      <c r="W1112" s="54">
        <v>121</v>
      </c>
      <c r="X1112" s="26" t="s">
        <v>363</v>
      </c>
      <c r="Z1112" s="53">
        <v>2800</v>
      </c>
      <c r="AA1112" s="53">
        <v>3800</v>
      </c>
      <c r="AB1112" s="53">
        <v>3100</v>
      </c>
      <c r="AC1112" s="53">
        <v>3760</v>
      </c>
      <c r="AD1112" s="52">
        <v>6</v>
      </c>
      <c r="AE1112" s="52">
        <v>6</v>
      </c>
    </row>
    <row r="1113" spans="1:31" ht="15.75" customHeight="1">
      <c r="A1113" s="199"/>
      <c r="B1113" s="48"/>
      <c r="C1113" s="51" t="s">
        <v>155</v>
      </c>
      <c r="D1113">
        <v>3805.93</v>
      </c>
      <c r="E1113">
        <v>3767.76</v>
      </c>
      <c r="F1113">
        <v>3784.67</v>
      </c>
      <c r="G1113">
        <v>3775.25</v>
      </c>
      <c r="H1113">
        <v>3770.77</v>
      </c>
      <c r="I1113">
        <v>3811.7</v>
      </c>
      <c r="J1113">
        <v>3768.15</v>
      </c>
      <c r="K1113">
        <v>3793.34</v>
      </c>
      <c r="L1113">
        <v>3812.37</v>
      </c>
      <c r="M1113" s="50"/>
      <c r="N1113" s="50"/>
      <c r="O1113" s="50"/>
      <c r="P1113" s="50"/>
      <c r="Q1113" s="48"/>
      <c r="R1113" s="48"/>
      <c r="S1113" s="49"/>
      <c r="T1113" s="48"/>
      <c r="U1113" s="48"/>
      <c r="V1113" s="47"/>
      <c r="W1113" s="46"/>
      <c r="X1113" s="8"/>
    </row>
    <row r="1114" spans="1:31" ht="24.75" customHeight="1" thickBot="1">
      <c r="A1114" s="199"/>
      <c r="B1114" s="42"/>
      <c r="C1114" s="45" t="s">
        <v>154</v>
      </c>
      <c r="D1114" s="44">
        <f t="shared" ref="D1114:L1114" si="366">IF(((D1112="")*AND(D1113="")),"",(D1112-D1113)*2)</f>
        <v>3306.8200000000006</v>
      </c>
      <c r="E1114" s="44">
        <f t="shared" si="366"/>
        <v>3346.58</v>
      </c>
      <c r="F1114" s="44">
        <f t="shared" si="366"/>
        <v>3346.76</v>
      </c>
      <c r="G1114" s="44">
        <f t="shared" si="366"/>
        <v>3330.5400000000009</v>
      </c>
      <c r="H1114" s="44">
        <f t="shared" si="366"/>
        <v>3255.0000000000009</v>
      </c>
      <c r="I1114" s="44">
        <f t="shared" si="366"/>
        <v>3268.1400000000012</v>
      </c>
      <c r="J1114" s="44">
        <f t="shared" si="366"/>
        <v>3324.3599999999997</v>
      </c>
      <c r="K1114" s="44">
        <f t="shared" si="366"/>
        <v>3359.7199999999993</v>
      </c>
      <c r="L1114" s="44">
        <f t="shared" si="366"/>
        <v>3337.8000000000011</v>
      </c>
      <c r="M1114" s="44"/>
      <c r="N1114" s="44"/>
      <c r="O1114" s="44"/>
      <c r="P1114" s="44"/>
      <c r="Q1114" s="42"/>
      <c r="R1114" s="42"/>
      <c r="S1114" s="43"/>
      <c r="T1114" s="42"/>
      <c r="U1114" s="42"/>
      <c r="V1114" s="41"/>
      <c r="W1114" s="40"/>
      <c r="X1114" s="8"/>
    </row>
    <row r="1115" spans="1:31" ht="15.75">
      <c r="A1115" s="195">
        <v>43754</v>
      </c>
      <c r="B1115" s="63" t="s">
        <v>158</v>
      </c>
      <c r="C1115" s="56" t="s">
        <v>156</v>
      </c>
      <c r="D1115">
        <v>1936.43</v>
      </c>
      <c r="E1115">
        <v>1928.29</v>
      </c>
      <c r="F1115">
        <v>1929.04</v>
      </c>
      <c r="G1115">
        <v>1928.24</v>
      </c>
      <c r="H1115">
        <v>1935.77</v>
      </c>
      <c r="I1115">
        <v>1933.22</v>
      </c>
      <c r="J1115">
        <v>1929.67</v>
      </c>
      <c r="K1115">
        <v>1929.54</v>
      </c>
      <c r="L1115">
        <v>1933.45</v>
      </c>
      <c r="M1115" s="62"/>
      <c r="N1115" s="62"/>
      <c r="O1115" s="62"/>
      <c r="P1115" s="62"/>
      <c r="Q1115" s="57">
        <f>IF((L1116=""),"",MAX(D1117:L1117))</f>
        <v>3115.16</v>
      </c>
      <c r="R1115" s="57">
        <f>IF(L1116="","",MIN(D1117:L1117))</f>
        <v>2675.84</v>
      </c>
      <c r="S1115" s="58">
        <f>IF((L1117=""),"",AVERAGE(D1117:L1117))</f>
        <v>2923.6044444444447</v>
      </c>
      <c r="T1115" s="57">
        <f>IF((L1116=""),"",((Q1115-R1115)/(Q1115+R1115))*100)</f>
        <v>7.5862545328958682</v>
      </c>
      <c r="U1115" s="56">
        <f>STDEV(D1115:L1115)</f>
        <v>3.2301315761002161</v>
      </c>
      <c r="V1115" s="55" t="str">
        <f>IF(L1116="","",(IF(T1115&lt;12,IF(S1115&gt;2200,IF(S1115&lt;3280,"Pass","Fail"),"Fail"),"Fail")))</f>
        <v>Pass</v>
      </c>
      <c r="W1115" s="54">
        <v>1340</v>
      </c>
      <c r="X1115" s="26" t="s">
        <v>366</v>
      </c>
      <c r="Z1115" s="37">
        <v>2000</v>
      </c>
      <c r="AA1115" s="37">
        <v>3000</v>
      </c>
      <c r="AB1115" s="37">
        <v>2200</v>
      </c>
      <c r="AC1115" s="37">
        <v>3280</v>
      </c>
      <c r="AD1115" s="39">
        <v>12</v>
      </c>
      <c r="AE1115" s="39">
        <v>12</v>
      </c>
    </row>
    <row r="1116" spans="1:31" ht="16.5" customHeight="1">
      <c r="A1116" s="199"/>
      <c r="B1116" s="48"/>
      <c r="C1116" s="51" t="s">
        <v>155</v>
      </c>
      <c r="D1116">
        <v>1197.25</v>
      </c>
      <c r="E1116">
        <v>1220.43</v>
      </c>
      <c r="F1116">
        <v>1260.08</v>
      </c>
      <c r="G1116">
        <v>1209.48</v>
      </c>
      <c r="H1116">
        <v>1157.48</v>
      </c>
      <c r="I1116">
        <v>1182.42</v>
      </c>
      <c r="J1116">
        <v>1219.28</v>
      </c>
      <c r="K1116">
        <v>1204.46</v>
      </c>
      <c r="L1116">
        <v>1154.6600000000001</v>
      </c>
      <c r="M1116" s="50"/>
      <c r="N1116" s="50"/>
      <c r="O1116" s="50"/>
      <c r="P1116" s="50"/>
      <c r="Q1116" s="48"/>
      <c r="R1116" s="48"/>
      <c r="S1116" s="48"/>
      <c r="T1116" s="48"/>
      <c r="U1116" s="48"/>
      <c r="V1116" s="47"/>
      <c r="W1116" s="46"/>
      <c r="X1116" s="8"/>
    </row>
    <row r="1117" spans="1:31" ht="24.75" customHeight="1" thickBot="1">
      <c r="A1117" s="199"/>
      <c r="B1117" s="61"/>
      <c r="C1117" s="51" t="s">
        <v>154</v>
      </c>
      <c r="D1117" s="24">
        <f t="shared" ref="D1117:L1117" si="367">IF(((D1115="")*AND(D1116="")),"",(D1115-D1116)*4)</f>
        <v>2956.7200000000003</v>
      </c>
      <c r="E1117" s="24">
        <f t="shared" si="367"/>
        <v>2831.4399999999996</v>
      </c>
      <c r="F1117" s="24">
        <f t="shared" si="367"/>
        <v>2675.84</v>
      </c>
      <c r="G1117" s="24">
        <f t="shared" si="367"/>
        <v>2875.04</v>
      </c>
      <c r="H1117" s="24">
        <f t="shared" si="367"/>
        <v>3113.16</v>
      </c>
      <c r="I1117" s="24">
        <f t="shared" si="367"/>
        <v>3003.2</v>
      </c>
      <c r="J1117" s="24">
        <f t="shared" si="367"/>
        <v>2841.5600000000004</v>
      </c>
      <c r="K1117" s="24">
        <f t="shared" si="367"/>
        <v>2900.3199999999997</v>
      </c>
      <c r="L1117" s="24">
        <f t="shared" si="367"/>
        <v>3115.16</v>
      </c>
      <c r="M1117" s="24"/>
      <c r="N1117" s="24"/>
      <c r="O1117" s="24"/>
      <c r="P1117" s="24" t="str">
        <f>IF(((P1115="")*AND(P1116="")),"",(P1115-P1116)*4)</f>
        <v/>
      </c>
      <c r="Q1117" s="61"/>
      <c r="R1117" s="61"/>
      <c r="S1117" s="61"/>
      <c r="T1117" s="61"/>
      <c r="U1117" s="61"/>
      <c r="V1117" s="60"/>
      <c r="W1117" s="59"/>
      <c r="X1117" s="8"/>
    </row>
    <row r="1118" spans="1:31" ht="15.75">
      <c r="A1118" s="195">
        <v>43754</v>
      </c>
      <c r="B1118" s="57" t="s">
        <v>157</v>
      </c>
      <c r="C1118" s="51" t="s">
        <v>156</v>
      </c>
      <c r="D1118">
        <v>3815.4</v>
      </c>
      <c r="E1118">
        <v>3776.2</v>
      </c>
      <c r="F1118">
        <v>3793.2</v>
      </c>
      <c r="G1118">
        <v>3784.2</v>
      </c>
      <c r="H1118">
        <v>3781.02</v>
      </c>
      <c r="I1118">
        <v>3820.47</v>
      </c>
      <c r="J1118">
        <v>3776.66</v>
      </c>
      <c r="K1118">
        <v>3801.93</v>
      </c>
      <c r="L1118">
        <v>3820.86</v>
      </c>
      <c r="M1118" s="50"/>
      <c r="N1118" s="50"/>
      <c r="O1118" s="50"/>
      <c r="P1118" s="50"/>
      <c r="Q1118" s="57">
        <f>IF((L1119=""),"",MAX(D1120:L1120))</f>
        <v>3320.0599999999995</v>
      </c>
      <c r="R1118" s="57">
        <f>IF(L1119="","",MIN(D1120:L1120))</f>
        <v>3210.9399999999996</v>
      </c>
      <c r="S1118" s="58">
        <f>IF((L1120=""),"",AVERAGE(D1120:L1120))</f>
        <v>3274.8644444444444</v>
      </c>
      <c r="T1118" s="57">
        <f>IF((L1119=""),"",((Q1118-R1118)/(Q1118+R1118))*100)</f>
        <v>1.670800796202724</v>
      </c>
      <c r="U1118" s="56">
        <f>STDEV(D1118:L1118)</f>
        <v>18.580772992466464</v>
      </c>
      <c r="V1118" s="55" t="str">
        <f>IF(L1119="","",(IF(T1118&lt;7,IF(S1118&gt;2800,IF(S1118&lt;3800,"Pass","Fail"),"Fail"),"Fail")))</f>
        <v>Pass</v>
      </c>
      <c r="W1118" s="54">
        <v>1340</v>
      </c>
      <c r="X1118" s="26" t="s">
        <v>366</v>
      </c>
      <c r="Z1118" s="53">
        <v>2800</v>
      </c>
      <c r="AA1118" s="53">
        <v>3800</v>
      </c>
      <c r="AB1118" s="53">
        <v>3100</v>
      </c>
      <c r="AC1118" s="53">
        <v>3760</v>
      </c>
      <c r="AD1118" s="52">
        <v>6</v>
      </c>
      <c r="AE1118" s="52">
        <v>6</v>
      </c>
    </row>
    <row r="1119" spans="1:31" ht="15.75" customHeight="1">
      <c r="A1119" s="199"/>
      <c r="B1119" s="48"/>
      <c r="C1119" s="51" t="s">
        <v>155</v>
      </c>
      <c r="D1119">
        <v>2188.64</v>
      </c>
      <c r="E1119">
        <v>2123.4699999999998</v>
      </c>
      <c r="F1119">
        <v>2140.69</v>
      </c>
      <c r="G1119">
        <v>2139.36</v>
      </c>
      <c r="H1119">
        <v>2174.7199999999998</v>
      </c>
      <c r="I1119">
        <v>2215</v>
      </c>
      <c r="J1119">
        <v>2135.02</v>
      </c>
      <c r="K1119">
        <v>2141.9</v>
      </c>
      <c r="L1119">
        <v>2174.25</v>
      </c>
      <c r="M1119" s="50"/>
      <c r="N1119" s="50"/>
      <c r="O1119" s="50"/>
      <c r="P1119" s="50"/>
      <c r="Q1119" s="48"/>
      <c r="R1119" s="48"/>
      <c r="S1119" s="49"/>
      <c r="T1119" s="48"/>
      <c r="U1119" s="48"/>
      <c r="V1119" s="47"/>
      <c r="W1119" s="46"/>
      <c r="X1119" s="8"/>
    </row>
    <row r="1120" spans="1:31" ht="24.75" customHeight="1" thickBot="1">
      <c r="A1120" s="199"/>
      <c r="B1120" s="42"/>
      <c r="C1120" s="45" t="s">
        <v>154</v>
      </c>
      <c r="D1120" s="44">
        <f t="shared" ref="D1120:L1120" si="368">IF(((D1118="")*AND(D1119="")),"",(D1118-D1119)*2)</f>
        <v>3253.5200000000004</v>
      </c>
      <c r="E1120" s="44">
        <f t="shared" si="368"/>
        <v>3305.46</v>
      </c>
      <c r="F1120" s="44">
        <f t="shared" si="368"/>
        <v>3305.0199999999995</v>
      </c>
      <c r="G1120" s="44">
        <f t="shared" si="368"/>
        <v>3289.6799999999994</v>
      </c>
      <c r="H1120" s="44">
        <f t="shared" si="368"/>
        <v>3212.6000000000004</v>
      </c>
      <c r="I1120" s="44">
        <f t="shared" si="368"/>
        <v>3210.9399999999996</v>
      </c>
      <c r="J1120" s="44">
        <f t="shared" si="368"/>
        <v>3283.2799999999997</v>
      </c>
      <c r="K1120" s="44">
        <f t="shared" si="368"/>
        <v>3320.0599999999995</v>
      </c>
      <c r="L1120" s="44">
        <f t="shared" si="368"/>
        <v>3293.2200000000003</v>
      </c>
      <c r="M1120" s="44"/>
      <c r="N1120" s="44"/>
      <c r="O1120" s="44"/>
      <c r="P1120" s="44"/>
      <c r="Q1120" s="42"/>
      <c r="R1120" s="42"/>
      <c r="S1120" s="43"/>
      <c r="T1120" s="42"/>
      <c r="U1120" s="42"/>
      <c r="V1120" s="41"/>
      <c r="W1120" s="40"/>
      <c r="X1120" s="8"/>
    </row>
    <row r="1121" spans="1:31" ht="15.75">
      <c r="A1121" s="195">
        <v>43762</v>
      </c>
      <c r="B1121" s="63" t="s">
        <v>158</v>
      </c>
      <c r="C1121" s="56" t="s">
        <v>156</v>
      </c>
      <c r="D1121">
        <v>2001.75</v>
      </c>
      <c r="E1121">
        <v>1986.02</v>
      </c>
      <c r="F1121">
        <v>1967.13</v>
      </c>
      <c r="G1121">
        <v>1978.84</v>
      </c>
      <c r="H1121">
        <v>1998.61</v>
      </c>
      <c r="I1121">
        <v>2002.66</v>
      </c>
      <c r="J1121">
        <v>1979.41</v>
      </c>
      <c r="K1121">
        <v>1980.68</v>
      </c>
      <c r="L1121">
        <v>1995.16</v>
      </c>
      <c r="M1121" s="62"/>
      <c r="N1121" s="62"/>
      <c r="O1121" s="62"/>
      <c r="P1121" s="62"/>
      <c r="Q1121" s="57">
        <f>IF((L1122=""),"",MAX(D1123:L1123))</f>
        <v>3306</v>
      </c>
      <c r="R1121" s="57">
        <f>IF(L1122="","",MIN(D1123:L1123))</f>
        <v>2887.4400000000005</v>
      </c>
      <c r="S1121" s="58">
        <f>IF((L1123=""),"",AVERAGE(D1123:L1123))</f>
        <v>3100.6711111111113</v>
      </c>
      <c r="T1121" s="57">
        <f>IF((L1122=""),"",((Q1121-R1121)/(Q1121+R1121))*100)</f>
        <v>6.7581182670696656</v>
      </c>
      <c r="U1121" s="56">
        <f>STDEV(D1121:L1121)</f>
        <v>12.340141814379431</v>
      </c>
      <c r="V1121" s="55" t="str">
        <f>IF(L1122="","",(IF(T1121&lt;12,IF(S1121&gt;2200,IF(S1121&lt;3280,"Pass","Fail"),"Fail"),"Fail")))</f>
        <v>Pass</v>
      </c>
      <c r="W1121" s="54">
        <v>1340</v>
      </c>
      <c r="X1121" s="26" t="s">
        <v>368</v>
      </c>
      <c r="Z1121" s="37">
        <v>2000</v>
      </c>
      <c r="AA1121" s="37">
        <v>3000</v>
      </c>
      <c r="AB1121" s="37">
        <v>2200</v>
      </c>
      <c r="AC1121" s="37">
        <v>3280</v>
      </c>
      <c r="AD1121" s="39">
        <v>12</v>
      </c>
      <c r="AE1121" s="39">
        <v>12</v>
      </c>
    </row>
    <row r="1122" spans="1:31" ht="16.5" customHeight="1">
      <c r="A1122" s="199"/>
      <c r="B1122" s="48"/>
      <c r="C1122" s="51" t="s">
        <v>155</v>
      </c>
      <c r="D1122">
        <v>1211.52</v>
      </c>
      <c r="E1122">
        <v>1240.25</v>
      </c>
      <c r="F1122">
        <v>1245.27</v>
      </c>
      <c r="G1122">
        <v>1222.9100000000001</v>
      </c>
      <c r="H1122">
        <v>1172.1099999999999</v>
      </c>
      <c r="I1122">
        <v>1196.68</v>
      </c>
      <c r="J1122">
        <v>1233.49</v>
      </c>
      <c r="K1122">
        <v>1221.3599999999999</v>
      </c>
      <c r="L1122">
        <v>1170.1600000000001</v>
      </c>
      <c r="M1122" s="50"/>
      <c r="N1122" s="50"/>
      <c r="O1122" s="50"/>
      <c r="P1122" s="50"/>
      <c r="Q1122" s="48"/>
      <c r="R1122" s="48"/>
      <c r="S1122" s="48"/>
      <c r="T1122" s="48"/>
      <c r="U1122" s="48"/>
      <c r="V1122" s="47"/>
      <c r="W1122" s="46"/>
      <c r="X1122" s="8"/>
    </row>
    <row r="1123" spans="1:31" ht="24.75" customHeight="1" thickBot="1">
      <c r="A1123" s="199"/>
      <c r="B1123" s="61"/>
      <c r="C1123" s="51" t="s">
        <v>154</v>
      </c>
      <c r="D1123" s="24">
        <f t="shared" ref="D1123:L1123" si="369">IF(((D1121="")*AND(D1122="")),"",(D1121-D1122)*4)</f>
        <v>3160.92</v>
      </c>
      <c r="E1123" s="24">
        <f t="shared" si="369"/>
        <v>2983.08</v>
      </c>
      <c r="F1123" s="24">
        <f t="shared" si="369"/>
        <v>2887.4400000000005</v>
      </c>
      <c r="G1123" s="24">
        <f t="shared" si="369"/>
        <v>3023.7199999999993</v>
      </c>
      <c r="H1123" s="24">
        <f t="shared" si="369"/>
        <v>3306</v>
      </c>
      <c r="I1123" s="24">
        <f t="shared" si="369"/>
        <v>3223.92</v>
      </c>
      <c r="J1123" s="24">
        <f t="shared" si="369"/>
        <v>2983.6800000000003</v>
      </c>
      <c r="K1123" s="24">
        <f t="shared" si="369"/>
        <v>3037.2800000000007</v>
      </c>
      <c r="L1123" s="24">
        <f t="shared" si="369"/>
        <v>3300</v>
      </c>
      <c r="M1123" s="24"/>
      <c r="N1123" s="24"/>
      <c r="O1123" s="24"/>
      <c r="P1123" s="24" t="str">
        <f>IF(((P1121="")*AND(P1122="")),"",(P1121-P1122)*4)</f>
        <v/>
      </c>
      <c r="Q1123" s="61"/>
      <c r="R1123" s="61"/>
      <c r="S1123" s="61"/>
      <c r="T1123" s="61"/>
      <c r="U1123" s="61"/>
      <c r="V1123" s="60"/>
      <c r="W1123" s="59"/>
      <c r="X1123" s="8"/>
    </row>
    <row r="1124" spans="1:31" ht="15.75">
      <c r="A1124" s="195">
        <v>43762</v>
      </c>
      <c r="B1124" s="57" t="s">
        <v>157</v>
      </c>
      <c r="C1124" s="51" t="s">
        <v>156</v>
      </c>
      <c r="D1124">
        <v>7615</v>
      </c>
      <c r="E1124">
        <v>7658.66</v>
      </c>
      <c r="F1124">
        <v>7870.46</v>
      </c>
      <c r="G1124">
        <v>7876.78</v>
      </c>
      <c r="H1124">
        <v>7957.22</v>
      </c>
      <c r="I1124">
        <v>7865.84</v>
      </c>
      <c r="J1124">
        <v>7853.8</v>
      </c>
      <c r="K1124">
        <v>7756.08</v>
      </c>
      <c r="L1124">
        <v>7619.37</v>
      </c>
      <c r="M1124" s="50"/>
      <c r="N1124" s="50"/>
      <c r="O1124" s="50"/>
      <c r="P1124" s="50"/>
      <c r="Q1124" s="57">
        <f>IF((L1125=""),"",MAX(D1126:L1126))</f>
        <v>1333.5599999999995</v>
      </c>
      <c r="R1124" s="57">
        <f>IF(L1125="","",MIN(D1126:L1126))</f>
        <v>769.05999999999949</v>
      </c>
      <c r="S1124" s="58">
        <f>IF((L1126=""),"",AVERAGE(D1126:L1126))</f>
        <v>950.113333333333</v>
      </c>
      <c r="T1124" s="57">
        <f>IF((L1125=""),"",((Q1124-R1124)/(Q1124+R1124))*100)</f>
        <v>26.847456982241219</v>
      </c>
      <c r="U1124" s="56">
        <f>STDEV(D1124:L1124)</f>
        <v>127.36719728588092</v>
      </c>
      <c r="V1124" s="55" t="str">
        <f>IF(L1125="","",(IF(T1124&lt;7,IF(S1124&gt;2800,IF(S1124&lt;3800,"Pass","Fail"),"Fail"),"Fail")))</f>
        <v>Fail</v>
      </c>
      <c r="W1124" s="54">
        <v>1340</v>
      </c>
      <c r="Z1124" s="53">
        <v>2800</v>
      </c>
      <c r="AA1124" s="53">
        <v>3800</v>
      </c>
      <c r="AB1124" s="53">
        <v>3100</v>
      </c>
      <c r="AC1124" s="53">
        <v>3760</v>
      </c>
      <c r="AD1124" s="52">
        <v>6</v>
      </c>
      <c r="AE1124" s="52">
        <v>6</v>
      </c>
    </row>
    <row r="1125" spans="1:31" ht="15.75" customHeight="1">
      <c r="A1125" s="199"/>
      <c r="B1125" s="48"/>
      <c r="C1125" s="51" t="s">
        <v>155</v>
      </c>
      <c r="D1125">
        <v>7060.51</v>
      </c>
      <c r="E1125">
        <v>7265.12</v>
      </c>
      <c r="F1125">
        <v>7461.47</v>
      </c>
      <c r="G1125">
        <v>7450.26</v>
      </c>
      <c r="H1125">
        <v>7399.22</v>
      </c>
      <c r="I1125">
        <v>7199.06</v>
      </c>
      <c r="J1125">
        <v>7406.89</v>
      </c>
      <c r="K1125">
        <v>7371.55</v>
      </c>
      <c r="L1125">
        <v>7183.62</v>
      </c>
      <c r="M1125" s="50"/>
      <c r="N1125" s="50"/>
      <c r="O1125" s="50"/>
      <c r="P1125" s="50"/>
      <c r="Q1125" s="48"/>
      <c r="R1125" s="48"/>
      <c r="S1125" s="49"/>
      <c r="T1125" s="48"/>
      <c r="U1125" s="48"/>
      <c r="V1125" s="47"/>
      <c r="W1125" s="46"/>
      <c r="X1125" s="8"/>
    </row>
    <row r="1126" spans="1:31" ht="24.75" customHeight="1" thickBot="1">
      <c r="A1126" s="199"/>
      <c r="B1126" s="42"/>
      <c r="C1126" s="45" t="s">
        <v>154</v>
      </c>
      <c r="D1126" s="44">
        <f t="shared" ref="D1126:L1126" si="370">IF(((D1124="")*AND(D1125="")),"",(D1124-D1125)*2)</f>
        <v>1108.9799999999996</v>
      </c>
      <c r="E1126" s="44">
        <f t="shared" si="370"/>
        <v>787.07999999999993</v>
      </c>
      <c r="F1126" s="44">
        <f t="shared" si="370"/>
        <v>817.97999999999956</v>
      </c>
      <c r="G1126" s="44">
        <f t="shared" si="370"/>
        <v>853.03999999999905</v>
      </c>
      <c r="H1126" s="44">
        <f t="shared" si="370"/>
        <v>1116</v>
      </c>
      <c r="I1126" s="44">
        <f t="shared" si="370"/>
        <v>1333.5599999999995</v>
      </c>
      <c r="J1126" s="44">
        <f t="shared" si="370"/>
        <v>893.81999999999971</v>
      </c>
      <c r="K1126" s="44">
        <f t="shared" si="370"/>
        <v>769.05999999999949</v>
      </c>
      <c r="L1126" s="44">
        <f t="shared" si="370"/>
        <v>871.5</v>
      </c>
      <c r="M1126" s="44"/>
      <c r="N1126" s="44"/>
      <c r="O1126" s="44"/>
      <c r="P1126" s="44"/>
      <c r="Q1126" s="42"/>
      <c r="R1126" s="42"/>
      <c r="S1126" s="43"/>
      <c r="T1126" s="42"/>
      <c r="U1126" s="42"/>
      <c r="V1126" s="41"/>
      <c r="W1126" s="40"/>
      <c r="X1126" s="8"/>
    </row>
    <row r="1127" spans="1:31" ht="15.75">
      <c r="A1127" s="195">
        <v>43763</v>
      </c>
      <c r="B1127" s="57" t="s">
        <v>157</v>
      </c>
      <c r="C1127" s="51" t="s">
        <v>156</v>
      </c>
      <c r="D1127">
        <v>7069.69</v>
      </c>
      <c r="E1127">
        <v>7268.3</v>
      </c>
      <c r="F1127">
        <v>7463.51</v>
      </c>
      <c r="G1127">
        <v>7454.22</v>
      </c>
      <c r="H1127">
        <v>7405.54</v>
      </c>
      <c r="I1127">
        <v>7204.13</v>
      </c>
      <c r="J1127">
        <v>7409.99</v>
      </c>
      <c r="K1127">
        <v>7374.65</v>
      </c>
      <c r="L1127">
        <v>7188.95</v>
      </c>
      <c r="M1127" s="50"/>
      <c r="N1127" s="50"/>
      <c r="O1127" s="50"/>
      <c r="P1127" s="50"/>
      <c r="Q1127" s="57">
        <f>IF((L1128=""),"",MAX(D1129:L1129))</f>
        <v>3886.26</v>
      </c>
      <c r="R1127" s="57">
        <f>IF(L1128="","",MIN(D1129:L1129))</f>
        <v>1816.7999999999993</v>
      </c>
      <c r="S1127" s="58">
        <f>IF((L1129=""),"",AVERAGE(D1129:L1129))</f>
        <v>2639.8777777777777</v>
      </c>
      <c r="T1127" s="57">
        <f>IF((L1128=""),"",((Q1127-R1127)/(Q1127+R1127))*100)</f>
        <v>36.286835488316818</v>
      </c>
      <c r="U1127" s="56">
        <f>STDEV(D1127:L1127)</f>
        <v>138.18150570705188</v>
      </c>
      <c r="V1127" s="55" t="str">
        <f>IF(L1128="","",(IF(T1127&lt;7,IF(S1127&gt;2800,IF(S1127&lt;3800,"Pass","Fail"),"Fail"),"Fail")))</f>
        <v>Fail</v>
      </c>
      <c r="W1127" s="54">
        <v>1159</v>
      </c>
      <c r="Z1127" s="53">
        <v>2800</v>
      </c>
      <c r="AA1127" s="53">
        <v>3800</v>
      </c>
      <c r="AB1127" s="53">
        <v>3100</v>
      </c>
      <c r="AC1127" s="53">
        <v>3760</v>
      </c>
      <c r="AD1127" s="52">
        <v>6</v>
      </c>
      <c r="AE1127" s="52">
        <v>6</v>
      </c>
    </row>
    <row r="1128" spans="1:31" ht="16.5" customHeight="1">
      <c r="A1128" s="199"/>
      <c r="B1128" s="48"/>
      <c r="C1128" s="51" t="s">
        <v>155</v>
      </c>
      <c r="D1128">
        <v>5505.78</v>
      </c>
      <c r="E1128">
        <v>6200.69</v>
      </c>
      <c r="F1128">
        <v>6458.32</v>
      </c>
      <c r="G1128">
        <v>6297.41</v>
      </c>
      <c r="H1128">
        <v>5750.68</v>
      </c>
      <c r="I1128">
        <v>5261</v>
      </c>
      <c r="J1128">
        <v>6158.66</v>
      </c>
      <c r="K1128">
        <v>6466.25</v>
      </c>
      <c r="L1128">
        <v>5860.74</v>
      </c>
      <c r="M1128" s="50"/>
      <c r="N1128" s="50"/>
      <c r="O1128" s="50"/>
      <c r="P1128" s="50"/>
      <c r="Q1128" s="48"/>
      <c r="R1128" s="48"/>
      <c r="S1128" s="49"/>
      <c r="T1128" s="48"/>
      <c r="U1128" s="48"/>
      <c r="V1128" s="47"/>
      <c r="W1128" s="46"/>
      <c r="X1128" s="8"/>
    </row>
    <row r="1129" spans="1:31" ht="24.75" customHeight="1" thickBot="1">
      <c r="A1129" s="199"/>
      <c r="B1129" s="42"/>
      <c r="C1129" s="45" t="s">
        <v>154</v>
      </c>
      <c r="D1129" s="44">
        <f t="shared" ref="D1129:L1129" si="371">IF(((D1127="")*AND(D1128="")),"",(D1127-D1128)*2)</f>
        <v>3127.8199999999997</v>
      </c>
      <c r="E1129" s="44">
        <f t="shared" si="371"/>
        <v>2135.2200000000012</v>
      </c>
      <c r="F1129" s="44">
        <f t="shared" si="371"/>
        <v>2010.380000000001</v>
      </c>
      <c r="G1129" s="44">
        <f t="shared" si="371"/>
        <v>2313.6200000000008</v>
      </c>
      <c r="H1129" s="44">
        <f t="shared" si="371"/>
        <v>3309.7199999999993</v>
      </c>
      <c r="I1129" s="44">
        <f t="shared" si="371"/>
        <v>3886.26</v>
      </c>
      <c r="J1129" s="44">
        <f t="shared" si="371"/>
        <v>2502.66</v>
      </c>
      <c r="K1129" s="44">
        <f t="shared" si="371"/>
        <v>1816.7999999999993</v>
      </c>
      <c r="L1129" s="44">
        <f t="shared" si="371"/>
        <v>2656.42</v>
      </c>
      <c r="M1129" s="44"/>
      <c r="N1129" s="44"/>
      <c r="O1129" s="44"/>
      <c r="P1129" s="44"/>
      <c r="Q1129" s="42"/>
      <c r="R1129" s="42"/>
      <c r="S1129" s="43"/>
      <c r="T1129" s="42"/>
      <c r="U1129" s="42"/>
      <c r="V1129" s="41"/>
      <c r="W1129" s="40"/>
      <c r="X1129" s="8"/>
    </row>
    <row r="1130" spans="1:31" ht="15.75">
      <c r="A1130" s="195">
        <v>43763</v>
      </c>
      <c r="B1130" s="57" t="s">
        <v>157</v>
      </c>
      <c r="C1130" s="51" t="s">
        <v>156</v>
      </c>
      <c r="D1130">
        <v>5309.25</v>
      </c>
      <c r="E1130">
        <v>5309.27</v>
      </c>
      <c r="F1130">
        <v>5331.5</v>
      </c>
      <c r="G1130">
        <v>5308.47</v>
      </c>
      <c r="H1130">
        <v>5251.39</v>
      </c>
      <c r="I1130">
        <v>5284.84</v>
      </c>
      <c r="J1130">
        <v>5297.13</v>
      </c>
      <c r="K1130">
        <v>5340.57</v>
      </c>
      <c r="L1130">
        <v>5334.49</v>
      </c>
      <c r="M1130" s="50"/>
      <c r="N1130" s="50"/>
      <c r="O1130" s="50"/>
      <c r="P1130" s="50"/>
      <c r="Q1130" s="57">
        <f>IF((L1131=""),"",MAX(D1132:L1132))</f>
        <v>3409.8599999999997</v>
      </c>
      <c r="R1130" s="57">
        <f>IF(L1131="","",MIN(D1132:L1132))</f>
        <v>3334.6000000000004</v>
      </c>
      <c r="S1130" s="58">
        <f>IF((L1132=""),"",AVERAGE(D1132:L1132))</f>
        <v>3376.3266666666673</v>
      </c>
      <c r="T1130" s="57">
        <f>IF((L1131=""),"",((Q1130-R1130)/(Q1130+R1130))*100)</f>
        <v>1.1158788101641839</v>
      </c>
      <c r="U1130" s="56">
        <f>STDEV(D1130:L1130)</f>
        <v>27.781574879485625</v>
      </c>
      <c r="V1130" s="55" t="str">
        <f>IF(L1131="","",(IF(T1130&lt;7,IF(S1130&gt;2800,IF(S1130&lt;3800,"Pass","Fail"),"Fail"),"Fail")))</f>
        <v>Pass</v>
      </c>
      <c r="W1130" s="54">
        <v>1159</v>
      </c>
      <c r="X1130" s="26" t="s">
        <v>368</v>
      </c>
      <c r="Z1130" s="53">
        <v>2800</v>
      </c>
      <c r="AA1130" s="53">
        <v>3800</v>
      </c>
      <c r="AB1130" s="53">
        <v>3100</v>
      </c>
      <c r="AC1130" s="53">
        <v>3760</v>
      </c>
      <c r="AD1130" s="52">
        <v>6</v>
      </c>
      <c r="AE1130" s="52">
        <v>6</v>
      </c>
    </row>
    <row r="1131" spans="1:31" ht="15.75" customHeight="1">
      <c r="A1131" s="199"/>
      <c r="B1131" s="48"/>
      <c r="C1131" s="51" t="s">
        <v>155</v>
      </c>
      <c r="D1131">
        <v>3621.81</v>
      </c>
      <c r="E1131">
        <v>3617.33</v>
      </c>
      <c r="F1131">
        <v>3638.76</v>
      </c>
      <c r="G1131">
        <v>3622.2</v>
      </c>
      <c r="H1131">
        <v>3584.09</v>
      </c>
      <c r="I1131">
        <v>3608.06</v>
      </c>
      <c r="J1131">
        <v>3613.6</v>
      </c>
      <c r="K1131">
        <v>3638.03</v>
      </c>
      <c r="L1131">
        <v>3629.56</v>
      </c>
      <c r="M1131" s="50"/>
      <c r="N1131" s="50"/>
      <c r="O1131" s="50"/>
      <c r="P1131" s="50"/>
      <c r="Q1131" s="48"/>
      <c r="R1131" s="48"/>
      <c r="S1131" s="49"/>
      <c r="T1131" s="48"/>
      <c r="U1131" s="48"/>
      <c r="V1131" s="47"/>
      <c r="W1131" s="46"/>
      <c r="X1131" s="8"/>
    </row>
    <row r="1132" spans="1:31" ht="24.75" customHeight="1" thickBot="1">
      <c r="A1132" s="199"/>
      <c r="B1132" s="42"/>
      <c r="C1132" s="45" t="s">
        <v>154</v>
      </c>
      <c r="D1132" s="44">
        <f t="shared" ref="D1132:L1132" si="372">IF(((D1130="")*AND(D1131="")),"",(D1130-D1131)*2)</f>
        <v>3374.88</v>
      </c>
      <c r="E1132" s="44">
        <f t="shared" si="372"/>
        <v>3383.880000000001</v>
      </c>
      <c r="F1132" s="44">
        <f t="shared" si="372"/>
        <v>3385.4799999999996</v>
      </c>
      <c r="G1132" s="44">
        <f t="shared" si="372"/>
        <v>3372.5400000000009</v>
      </c>
      <c r="H1132" s="44">
        <f t="shared" si="372"/>
        <v>3334.6000000000004</v>
      </c>
      <c r="I1132" s="44">
        <f t="shared" si="372"/>
        <v>3353.5600000000004</v>
      </c>
      <c r="J1132" s="44">
        <f t="shared" si="372"/>
        <v>3367.0600000000004</v>
      </c>
      <c r="K1132" s="44">
        <f t="shared" si="372"/>
        <v>3405.079999999999</v>
      </c>
      <c r="L1132" s="44">
        <f t="shared" si="372"/>
        <v>3409.8599999999997</v>
      </c>
      <c r="M1132" s="44"/>
      <c r="N1132" s="44"/>
      <c r="O1132" s="44"/>
      <c r="P1132" s="44"/>
      <c r="Q1132" s="42"/>
      <c r="R1132" s="42"/>
      <c r="S1132" s="43"/>
      <c r="T1132" s="42"/>
      <c r="U1132" s="42"/>
      <c r="V1132" s="41"/>
      <c r="W1132" s="40"/>
      <c r="X1132" s="8"/>
    </row>
    <row r="1133" spans="1:31" ht="15.75">
      <c r="A1133" s="195">
        <v>43763</v>
      </c>
      <c r="B1133" s="57" t="s">
        <v>157</v>
      </c>
      <c r="C1133" s="51" t="s">
        <v>156</v>
      </c>
      <c r="D1133">
        <v>3544.33</v>
      </c>
      <c r="E1133">
        <v>3544.2</v>
      </c>
      <c r="F1133">
        <v>3568.54</v>
      </c>
      <c r="G1133">
        <v>3551.17</v>
      </c>
      <c r="H1133">
        <v>3505.46</v>
      </c>
      <c r="I1133">
        <v>3503.16</v>
      </c>
      <c r="J1133">
        <v>3534.62</v>
      </c>
      <c r="K1133">
        <v>3581.89</v>
      </c>
      <c r="L1133">
        <v>3573.56</v>
      </c>
      <c r="M1133" s="50"/>
      <c r="N1133" s="50"/>
      <c r="O1133" s="50"/>
      <c r="P1133" s="50"/>
      <c r="Q1133" s="57">
        <f>IF((L1134=""),"",MAX(D1135:L1135))</f>
        <v>3379.4199999999996</v>
      </c>
      <c r="R1133" s="57">
        <f>IF(L1134="","",MIN(D1135:L1135))</f>
        <v>3307.56</v>
      </c>
      <c r="S1133" s="58">
        <f>IF((L1135=""),"",AVERAGE(D1135:L1135))</f>
        <v>3350.6022222222218</v>
      </c>
      <c r="T1133" s="57">
        <f>IF((L1134=""),"",((Q1133-R1133)/(Q1133+R1133))*100)</f>
        <v>1.0746256157488085</v>
      </c>
      <c r="U1133" s="56">
        <f>STDEV(D1133:L1133)</f>
        <v>27.818974689570361</v>
      </c>
      <c r="V1133" s="55" t="str">
        <f>IF(L1134="","",(IF(T1133&lt;7,IF(S1133&gt;2800,IF(S1133&lt;3800,"Pass","Fail"),"Fail"),"Fail")))</f>
        <v>Pass</v>
      </c>
      <c r="W1133" s="54">
        <v>1159</v>
      </c>
      <c r="Z1133" s="53">
        <v>2800</v>
      </c>
      <c r="AA1133" s="53">
        <v>3800</v>
      </c>
      <c r="AB1133" s="53">
        <v>3100</v>
      </c>
      <c r="AC1133" s="53">
        <v>3760</v>
      </c>
      <c r="AD1133" s="52">
        <v>6</v>
      </c>
      <c r="AE1133" s="52">
        <v>6</v>
      </c>
    </row>
    <row r="1134" spans="1:31" ht="15.75">
      <c r="A1134" s="199"/>
      <c r="B1134" s="48"/>
      <c r="C1134" s="51" t="s">
        <v>155</v>
      </c>
      <c r="D1134">
        <v>1870.85</v>
      </c>
      <c r="E1134">
        <v>1861.38</v>
      </c>
      <c r="F1134">
        <v>1888.37</v>
      </c>
      <c r="G1134">
        <v>1877.08</v>
      </c>
      <c r="H1134">
        <v>1851.68</v>
      </c>
      <c r="I1134">
        <v>1838.28</v>
      </c>
      <c r="J1134">
        <v>1860.3</v>
      </c>
      <c r="K1134">
        <v>1892.18</v>
      </c>
      <c r="L1134">
        <v>1889.1</v>
      </c>
      <c r="M1134" s="50"/>
      <c r="N1134" s="50"/>
      <c r="O1134" s="50"/>
      <c r="P1134" s="50"/>
      <c r="Q1134" s="48"/>
      <c r="R1134" s="48"/>
      <c r="S1134" s="49"/>
      <c r="T1134" s="48"/>
      <c r="U1134" s="48"/>
      <c r="V1134" s="47"/>
      <c r="W1134" s="46"/>
      <c r="X1134" s="8"/>
    </row>
    <row r="1135" spans="1:31" ht="24.75" thickBot="1">
      <c r="A1135" s="199"/>
      <c r="B1135" s="42"/>
      <c r="C1135" s="45" t="s">
        <v>154</v>
      </c>
      <c r="D1135" s="44">
        <f t="shared" ref="D1135:L1135" si="373">IF(((D1133="")*AND(D1134="")),"",(D1133-D1134)*2)</f>
        <v>3346.96</v>
      </c>
      <c r="E1135" s="44">
        <f t="shared" si="373"/>
        <v>3365.6399999999994</v>
      </c>
      <c r="F1135" s="44">
        <f t="shared" si="373"/>
        <v>3360.34</v>
      </c>
      <c r="G1135" s="44">
        <f t="shared" si="373"/>
        <v>3348.1800000000003</v>
      </c>
      <c r="H1135" s="44">
        <f t="shared" si="373"/>
        <v>3307.56</v>
      </c>
      <c r="I1135" s="44">
        <f t="shared" si="373"/>
        <v>3329.7599999999998</v>
      </c>
      <c r="J1135" s="44">
        <f t="shared" si="373"/>
        <v>3348.64</v>
      </c>
      <c r="K1135" s="44">
        <f t="shared" si="373"/>
        <v>3379.4199999999996</v>
      </c>
      <c r="L1135" s="44">
        <f t="shared" si="373"/>
        <v>3368.92</v>
      </c>
      <c r="M1135" s="44"/>
      <c r="N1135" s="44"/>
      <c r="O1135" s="44"/>
      <c r="P1135" s="44"/>
      <c r="Q1135" s="42"/>
      <c r="R1135" s="42"/>
      <c r="S1135" s="43"/>
      <c r="T1135" s="42"/>
      <c r="U1135" s="42"/>
      <c r="V1135" s="41"/>
      <c r="W1135" s="40"/>
      <c r="X1135" s="8"/>
    </row>
    <row r="1136" spans="1:31" ht="16.5" thickBot="1">
      <c r="D1136">
        <v>2001.75</v>
      </c>
      <c r="E1136">
        <v>1986.02</v>
      </c>
      <c r="F1136">
        <v>1967.13</v>
      </c>
      <c r="G1136">
        <v>1978.84</v>
      </c>
      <c r="H1136">
        <v>1998.61</v>
      </c>
      <c r="I1136">
        <v>2002.66</v>
      </c>
      <c r="J1136">
        <v>1979.41</v>
      </c>
      <c r="K1136">
        <v>1980.68</v>
      </c>
      <c r="L1136">
        <v>1995.16</v>
      </c>
    </row>
    <row r="1137" spans="1:31" ht="15.75">
      <c r="A1137" s="195">
        <v>43766</v>
      </c>
      <c r="B1137" s="63" t="s">
        <v>158</v>
      </c>
      <c r="C1137" s="56" t="s">
        <v>156</v>
      </c>
      <c r="D1137">
        <v>2190.69</v>
      </c>
      <c r="E1137">
        <v>2162.4499999999998</v>
      </c>
      <c r="F1137">
        <v>2155.19</v>
      </c>
      <c r="G1137">
        <v>2172.73</v>
      </c>
      <c r="H1137">
        <v>2192.38</v>
      </c>
      <c r="I1137">
        <v>2188.2399999999998</v>
      </c>
      <c r="J1137">
        <v>2160.71</v>
      </c>
      <c r="K1137">
        <v>2168.13</v>
      </c>
      <c r="L1137">
        <v>2196.52</v>
      </c>
      <c r="M1137" s="62"/>
      <c r="N1137" s="62"/>
      <c r="O1137" s="62"/>
      <c r="P1137" s="62"/>
      <c r="Q1137" s="57">
        <f>IF((L1138=""),"",MAX(D1139:L1139))</f>
        <v>3409.2800000000007</v>
      </c>
      <c r="R1137" s="57">
        <f>IF(L1138="","",MIN(D1139:L1139))</f>
        <v>2966.04</v>
      </c>
      <c r="S1137" s="58">
        <f>IF((L1139=""),"",AVERAGE(D1139:L1139))</f>
        <v>3181.6311111111108</v>
      </c>
      <c r="T1137" s="57">
        <f>IF((L1138=""),"",((Q1137-R1137)/(Q1137+R1137))*100)</f>
        <v>6.9524353287364509</v>
      </c>
      <c r="U1137" s="56">
        <f>STDEV(D1137:L1137)</f>
        <v>15.72034571643969</v>
      </c>
      <c r="V1137" s="55" t="str">
        <f>IF(L1138="","",(IF(T1137&lt;12,IF(S1137&gt;2200,IF(S1137&lt;3280,"Pass","Fail"),"Fail"),"Fail")))</f>
        <v>Pass</v>
      </c>
      <c r="W1137" s="54">
        <v>1335</v>
      </c>
      <c r="X1137" s="26" t="s">
        <v>370</v>
      </c>
      <c r="Z1137" s="37">
        <v>2000</v>
      </c>
      <c r="AA1137" s="37">
        <v>3000</v>
      </c>
      <c r="AB1137" s="37">
        <v>2200</v>
      </c>
      <c r="AC1137" s="37">
        <v>3280</v>
      </c>
      <c r="AD1137" s="39">
        <v>12</v>
      </c>
      <c r="AE1137" s="39">
        <v>12</v>
      </c>
    </row>
    <row r="1138" spans="1:31" ht="15.75">
      <c r="A1138" s="199"/>
      <c r="B1138" s="48"/>
      <c r="C1138" s="51" t="s">
        <v>155</v>
      </c>
      <c r="D1138">
        <v>1384.14</v>
      </c>
      <c r="E1138">
        <v>1401.13</v>
      </c>
      <c r="F1138">
        <v>1413.68</v>
      </c>
      <c r="G1138">
        <v>1393.5</v>
      </c>
      <c r="H1138">
        <v>1340.06</v>
      </c>
      <c r="I1138">
        <v>1363.71</v>
      </c>
      <c r="J1138">
        <v>1397.71</v>
      </c>
      <c r="K1138">
        <v>1387.14</v>
      </c>
      <c r="L1138">
        <v>1347.3</v>
      </c>
      <c r="M1138" s="50"/>
      <c r="N1138" s="50"/>
      <c r="O1138" s="50"/>
      <c r="P1138" s="50"/>
      <c r="Q1138" s="48"/>
      <c r="R1138" s="48"/>
      <c r="S1138" s="48"/>
      <c r="T1138" s="48"/>
      <c r="U1138" s="48"/>
      <c r="V1138" s="47"/>
      <c r="W1138" s="46"/>
    </row>
    <row r="1139" spans="1:31" ht="24.75" thickBot="1">
      <c r="A1139" s="199"/>
      <c r="B1139" s="61"/>
      <c r="C1139" s="51" t="s">
        <v>154</v>
      </c>
      <c r="D1139" s="24">
        <f t="shared" ref="D1139:L1139" si="374">IF(((D1137="")*AND(D1138="")),"",(D1137-D1138)*4)</f>
        <v>3226.2</v>
      </c>
      <c r="E1139" s="24">
        <f t="shared" si="374"/>
        <v>3045.2799999999988</v>
      </c>
      <c r="F1139" s="24">
        <f t="shared" si="374"/>
        <v>2966.04</v>
      </c>
      <c r="G1139" s="24">
        <f t="shared" si="374"/>
        <v>3116.92</v>
      </c>
      <c r="H1139" s="24">
        <f t="shared" si="374"/>
        <v>3409.2800000000007</v>
      </c>
      <c r="I1139" s="24">
        <f t="shared" si="374"/>
        <v>3298.119999999999</v>
      </c>
      <c r="J1139" s="24">
        <f t="shared" si="374"/>
        <v>3052</v>
      </c>
      <c r="K1139" s="24">
        <f t="shared" si="374"/>
        <v>3123.96</v>
      </c>
      <c r="L1139" s="24">
        <f t="shared" si="374"/>
        <v>3396.88</v>
      </c>
      <c r="M1139" s="24"/>
      <c r="N1139" s="24"/>
      <c r="O1139" s="24"/>
      <c r="P1139" s="24" t="str">
        <f>IF(((P1137="")*AND(P1138="")),"",(P1137-P1138)*4)</f>
        <v/>
      </c>
      <c r="Q1139" s="61"/>
      <c r="R1139" s="61"/>
      <c r="S1139" s="61"/>
      <c r="T1139" s="61"/>
      <c r="U1139" s="61"/>
      <c r="V1139" s="60"/>
      <c r="W1139" s="59"/>
    </row>
    <row r="1140" spans="1:31" ht="15.75">
      <c r="A1140" s="195">
        <v>43766</v>
      </c>
      <c r="B1140" s="57" t="s">
        <v>157</v>
      </c>
      <c r="C1140" s="51" t="s">
        <v>156</v>
      </c>
      <c r="D1140">
        <v>7029.87</v>
      </c>
      <c r="E1140">
        <v>7240.31</v>
      </c>
      <c r="F1140">
        <v>7451.76</v>
      </c>
      <c r="G1140">
        <v>7442.53</v>
      </c>
      <c r="H1140">
        <v>7392.59</v>
      </c>
      <c r="I1140">
        <v>7139.06</v>
      </c>
      <c r="J1140">
        <v>7377.6</v>
      </c>
      <c r="K1140">
        <v>7368.91</v>
      </c>
      <c r="L1140">
        <v>7169.64</v>
      </c>
      <c r="M1140" s="50"/>
      <c r="N1140" s="50"/>
      <c r="O1140" s="50"/>
      <c r="P1140" s="50"/>
      <c r="Q1140" s="57">
        <f>IF((L1141=""),"",MAX(D1142:L1142))</f>
        <v>3790.2000000000007</v>
      </c>
      <c r="R1140" s="57">
        <f>IF(L1141="","",MIN(D1142:L1142))</f>
        <v>1919.6999999999989</v>
      </c>
      <c r="S1140" s="58">
        <f>IF((L1142=""),"",AVERAGE(D1142:L1142))</f>
        <v>2667.9266666666672</v>
      </c>
      <c r="T1140" s="57">
        <f>IF((L1141=""),"",((Q1140-R1140)/(Q1140+R1140))*100)</f>
        <v>32.758892449955376</v>
      </c>
      <c r="U1140" s="56">
        <f>STDEV(D1140:L1140)</f>
        <v>150.52512595734487</v>
      </c>
      <c r="V1140" s="55" t="str">
        <f>IF(L1141="","",(IF(T1140&lt;7,IF(S1140&gt;2800,IF(S1140&lt;3800,"Pass","Fail"),"Fail"),"Fail")))</f>
        <v>Fail</v>
      </c>
      <c r="W1140" s="54">
        <v>1335</v>
      </c>
      <c r="Z1140" s="53">
        <v>2800</v>
      </c>
      <c r="AA1140" s="53">
        <v>3800</v>
      </c>
      <c r="AB1140" s="53">
        <v>3100</v>
      </c>
      <c r="AC1140" s="53">
        <v>3760</v>
      </c>
      <c r="AD1140" s="52">
        <v>6</v>
      </c>
      <c r="AE1140" s="52">
        <v>6</v>
      </c>
    </row>
    <row r="1141" spans="1:31" ht="15.75">
      <c r="A1141" s="199"/>
      <c r="B1141" s="48"/>
      <c r="C1141" s="51" t="s">
        <v>155</v>
      </c>
      <c r="D1141">
        <v>5403.51</v>
      </c>
      <c r="E1141">
        <v>6094.41</v>
      </c>
      <c r="F1141">
        <v>6412.71</v>
      </c>
      <c r="G1141">
        <v>6310.74</v>
      </c>
      <c r="H1141">
        <v>5802.67</v>
      </c>
      <c r="I1141">
        <v>5243.96</v>
      </c>
      <c r="J1141">
        <v>6133.1</v>
      </c>
      <c r="K1141">
        <v>6409.06</v>
      </c>
      <c r="L1141">
        <v>5796.44</v>
      </c>
      <c r="M1141" s="50"/>
      <c r="N1141" s="50"/>
      <c r="O1141" s="50"/>
      <c r="P1141" s="50"/>
      <c r="Q1141" s="48"/>
      <c r="R1141" s="48"/>
      <c r="S1141" s="49"/>
      <c r="T1141" s="48"/>
      <c r="U1141" s="48"/>
      <c r="V1141" s="47"/>
      <c r="W1141" s="46"/>
    </row>
    <row r="1142" spans="1:31" ht="24.75" thickBot="1">
      <c r="A1142" s="199"/>
      <c r="B1142" s="42"/>
      <c r="C1142" s="45" t="s">
        <v>154</v>
      </c>
      <c r="D1142" s="44">
        <f t="shared" ref="D1142:L1142" si="375">IF(((D1140="")*AND(D1141="")),"",(D1140-D1141)*2)</f>
        <v>3252.7199999999993</v>
      </c>
      <c r="E1142" s="44">
        <f t="shared" si="375"/>
        <v>2291.8000000000011</v>
      </c>
      <c r="F1142" s="44">
        <f t="shared" si="375"/>
        <v>2078.1000000000004</v>
      </c>
      <c r="G1142" s="44">
        <f t="shared" si="375"/>
        <v>2263.58</v>
      </c>
      <c r="H1142" s="44">
        <f t="shared" si="375"/>
        <v>3179.84</v>
      </c>
      <c r="I1142" s="44">
        <f t="shared" si="375"/>
        <v>3790.2000000000007</v>
      </c>
      <c r="J1142" s="44">
        <f t="shared" si="375"/>
        <v>2489</v>
      </c>
      <c r="K1142" s="44">
        <f t="shared" si="375"/>
        <v>1919.6999999999989</v>
      </c>
      <c r="L1142" s="44">
        <f t="shared" si="375"/>
        <v>2746.4000000000015</v>
      </c>
      <c r="M1142" s="44"/>
      <c r="N1142" s="44"/>
      <c r="O1142" s="44"/>
      <c r="P1142" s="44"/>
      <c r="Q1142" s="42"/>
      <c r="R1142" s="42"/>
      <c r="S1142" s="43"/>
      <c r="T1142" s="42"/>
      <c r="U1142" s="42"/>
      <c r="V1142" s="41"/>
      <c r="W1142" s="40"/>
    </row>
    <row r="1143" spans="1:31" ht="15.75">
      <c r="A1143" s="195">
        <v>43766</v>
      </c>
      <c r="B1143" s="57" t="s">
        <v>157</v>
      </c>
      <c r="C1143" s="51" t="s">
        <v>156</v>
      </c>
      <c r="D1143">
        <v>5403.51</v>
      </c>
      <c r="E1143">
        <v>6094.41</v>
      </c>
      <c r="F1143">
        <v>6412.71</v>
      </c>
      <c r="G1143">
        <v>6310.74</v>
      </c>
      <c r="H1143">
        <v>5802.67</v>
      </c>
      <c r="I1143">
        <v>5243.96</v>
      </c>
      <c r="J1143">
        <v>6133.1</v>
      </c>
      <c r="K1143">
        <v>6409.06</v>
      </c>
      <c r="L1143">
        <v>5796.44</v>
      </c>
      <c r="M1143" s="50"/>
      <c r="N1143" s="50"/>
      <c r="O1143" s="50"/>
      <c r="P1143" s="50"/>
      <c r="Q1143" s="57">
        <f>IF((L1144=""),"",MAX(D1145:L1145))</f>
        <v>3512.9400000000005</v>
      </c>
      <c r="R1143" s="57">
        <f>IF(L1144="","",MIN(D1145:L1145))</f>
        <v>3438.92</v>
      </c>
      <c r="S1143" s="58">
        <f>IF((L1145=""),"",AVERAGE(D1145:L1145))</f>
        <v>3486.7355555555555</v>
      </c>
      <c r="T1143" s="57">
        <f>IF((L1144=""),"",((Q1143-R1143)/(Q1143+R1143))*100)</f>
        <v>1.0647510162747873</v>
      </c>
      <c r="U1143" s="56">
        <f>STDEV(D1143:L1143)</f>
        <v>425.94372963000325</v>
      </c>
      <c r="V1143" s="55" t="str">
        <f>IF(L1144="","",(IF(T1143&lt;7,IF(S1143&gt;2800,IF(S1143&lt;3800,"Pass","Fail"),"Fail"),"Fail")))</f>
        <v>Pass</v>
      </c>
      <c r="W1143" s="54">
        <v>1340</v>
      </c>
      <c r="X1143" s="26" t="s">
        <v>370</v>
      </c>
      <c r="Z1143" s="53">
        <v>2800</v>
      </c>
      <c r="AA1143" s="53">
        <v>3800</v>
      </c>
      <c r="AB1143" s="53">
        <v>3100</v>
      </c>
      <c r="AC1143" s="53">
        <v>3760</v>
      </c>
      <c r="AD1143" s="52">
        <v>6</v>
      </c>
      <c r="AE1143" s="52">
        <v>6</v>
      </c>
    </row>
    <row r="1144" spans="1:31" ht="15.75">
      <c r="A1144" s="199"/>
      <c r="B1144" s="48"/>
      <c r="C1144" s="51" t="s">
        <v>155</v>
      </c>
      <c r="D1144">
        <v>3647.04</v>
      </c>
      <c r="E1144">
        <v>4350.2700000000004</v>
      </c>
      <c r="F1144">
        <v>4659.91</v>
      </c>
      <c r="G1144">
        <v>4565.99</v>
      </c>
      <c r="H1144">
        <v>4083.21</v>
      </c>
      <c r="I1144">
        <v>3510.46</v>
      </c>
      <c r="J1144">
        <v>4393.55</v>
      </c>
      <c r="K1144">
        <v>4654.43</v>
      </c>
      <c r="L1144">
        <v>4051.43</v>
      </c>
      <c r="M1144" s="50"/>
      <c r="N1144" s="50"/>
      <c r="O1144" s="50"/>
      <c r="P1144" s="50"/>
      <c r="Q1144" s="48"/>
      <c r="R1144" s="48"/>
      <c r="S1144" s="49"/>
      <c r="T1144" s="48"/>
      <c r="U1144" s="48"/>
      <c r="V1144" s="47"/>
      <c r="W1144" s="46"/>
    </row>
    <row r="1145" spans="1:31" ht="24.75" thickBot="1">
      <c r="A1145" s="199"/>
      <c r="B1145" s="42"/>
      <c r="C1145" s="45" t="s">
        <v>154</v>
      </c>
      <c r="D1145" s="44">
        <f t="shared" ref="D1145:L1145" si="376">IF(((D1143="")*AND(D1144="")),"",(D1143-D1144)*2)</f>
        <v>3512.9400000000005</v>
      </c>
      <c r="E1145" s="44">
        <f t="shared" si="376"/>
        <v>3488.2799999999988</v>
      </c>
      <c r="F1145" s="44">
        <f t="shared" si="376"/>
        <v>3505.6000000000004</v>
      </c>
      <c r="G1145" s="44">
        <f t="shared" si="376"/>
        <v>3489.5</v>
      </c>
      <c r="H1145" s="44">
        <f t="shared" si="376"/>
        <v>3438.92</v>
      </c>
      <c r="I1145" s="44">
        <f t="shared" si="376"/>
        <v>3467</v>
      </c>
      <c r="J1145" s="44">
        <f t="shared" si="376"/>
        <v>3479.1000000000004</v>
      </c>
      <c r="K1145" s="44">
        <f t="shared" si="376"/>
        <v>3509.26</v>
      </c>
      <c r="L1145" s="44">
        <f t="shared" si="376"/>
        <v>3490.0199999999995</v>
      </c>
      <c r="M1145" s="44"/>
      <c r="N1145" s="44"/>
      <c r="O1145" s="44"/>
      <c r="P1145" s="44"/>
      <c r="Q1145" s="42"/>
      <c r="R1145" s="42"/>
      <c r="S1145" s="43"/>
      <c r="T1145" s="42"/>
      <c r="U1145" s="42"/>
      <c r="V1145" s="41"/>
      <c r="W1145" s="40"/>
    </row>
    <row r="1146" spans="1:31" ht="15.75">
      <c r="A1146" s="195">
        <v>43773</v>
      </c>
      <c r="B1146" s="63" t="s">
        <v>158</v>
      </c>
      <c r="C1146" s="56" t="s">
        <v>156</v>
      </c>
      <c r="D1146">
        <v>1384.14</v>
      </c>
      <c r="E1146">
        <v>1401.13</v>
      </c>
      <c r="F1146">
        <v>1413.68</v>
      </c>
      <c r="G1146">
        <v>1393.5</v>
      </c>
      <c r="H1146">
        <v>1340.06</v>
      </c>
      <c r="I1146">
        <v>1363.71</v>
      </c>
      <c r="J1146">
        <v>1397.71</v>
      </c>
      <c r="K1146">
        <v>1387.14</v>
      </c>
      <c r="L1146">
        <v>1347.3</v>
      </c>
      <c r="M1146" s="62"/>
      <c r="N1146" s="62"/>
      <c r="O1146" s="62"/>
      <c r="P1146" s="62"/>
      <c r="Q1146" s="57">
        <f>IF((L1147=""),"",MAX(D1148:L1148))</f>
        <v>3060.52</v>
      </c>
      <c r="R1146" s="57">
        <f>IF(L1147="","",MIN(D1148:L1148))</f>
        <v>2716.92</v>
      </c>
      <c r="S1146" s="58">
        <f>IF((L1148=""),"",AVERAGE(D1148:L1148))</f>
        <v>2895.6400000000003</v>
      </c>
      <c r="T1146" s="57">
        <f>IF((L1147=""),"",((Q1146-R1146)/(Q1146+R1146))*100)</f>
        <v>5.9472707635215576</v>
      </c>
      <c r="U1146" s="56">
        <f>STDEV(D1146:L1146)</f>
        <v>25.166709657807075</v>
      </c>
      <c r="V1146" s="55" t="str">
        <f>IF(L1147="","",(IF(T1146&lt;12,IF(S1146&gt;2200,IF(S1146&lt;3280,"Pass","Fail"),"Fail"),"Fail")))</f>
        <v>Pass</v>
      </c>
      <c r="W1146" s="54">
        <v>121</v>
      </c>
      <c r="X1146" s="26" t="s">
        <v>372</v>
      </c>
      <c r="Z1146" s="37">
        <v>2000</v>
      </c>
      <c r="AA1146" s="37">
        <v>3000</v>
      </c>
      <c r="AB1146" s="37">
        <v>2200</v>
      </c>
      <c r="AC1146" s="37">
        <v>3280</v>
      </c>
      <c r="AD1146" s="39">
        <v>12</v>
      </c>
      <c r="AE1146" s="39">
        <v>12</v>
      </c>
    </row>
    <row r="1147" spans="1:31" ht="15.75">
      <c r="A1147" s="199"/>
      <c r="B1147" s="48"/>
      <c r="C1147" s="51" t="s">
        <v>155</v>
      </c>
      <c r="D1147">
        <v>640.03</v>
      </c>
      <c r="E1147">
        <v>704.81</v>
      </c>
      <c r="F1147">
        <v>734.45</v>
      </c>
      <c r="G1147">
        <v>687.83</v>
      </c>
      <c r="H1147">
        <v>574.92999999999995</v>
      </c>
      <c r="I1147">
        <v>606.38</v>
      </c>
      <c r="J1147">
        <v>699.85</v>
      </c>
      <c r="K1147">
        <v>682.45</v>
      </c>
      <c r="L1147">
        <v>582.45000000000005</v>
      </c>
      <c r="M1147" s="50"/>
      <c r="N1147" s="50"/>
      <c r="O1147" s="50"/>
      <c r="P1147" s="50"/>
      <c r="Q1147" s="48"/>
      <c r="R1147" s="48"/>
      <c r="S1147" s="48"/>
      <c r="T1147" s="48"/>
      <c r="U1147" s="48"/>
      <c r="V1147" s="47"/>
      <c r="W1147" s="46"/>
      <c r="X1147" s="8"/>
    </row>
    <row r="1148" spans="1:31" ht="24.75" thickBot="1">
      <c r="A1148" s="199"/>
      <c r="B1148" s="61"/>
      <c r="C1148" s="51" t="s">
        <v>154</v>
      </c>
      <c r="D1148" s="24">
        <f t="shared" ref="D1148:L1148" si="377">IF(((D1146="")*AND(D1147="")),"",(D1146-D1147)*4)</f>
        <v>2976.4400000000005</v>
      </c>
      <c r="E1148" s="24">
        <f t="shared" si="377"/>
        <v>2785.2800000000007</v>
      </c>
      <c r="F1148" s="24">
        <f t="shared" si="377"/>
        <v>2716.92</v>
      </c>
      <c r="G1148" s="24">
        <f t="shared" si="377"/>
        <v>2822.68</v>
      </c>
      <c r="H1148" s="24">
        <f t="shared" si="377"/>
        <v>3060.52</v>
      </c>
      <c r="I1148" s="24">
        <f t="shared" si="377"/>
        <v>3029.32</v>
      </c>
      <c r="J1148" s="24">
        <f t="shared" si="377"/>
        <v>2791.44</v>
      </c>
      <c r="K1148" s="24">
        <f t="shared" si="377"/>
        <v>2818.76</v>
      </c>
      <c r="L1148" s="24">
        <f t="shared" si="377"/>
        <v>3059.3999999999996</v>
      </c>
      <c r="M1148" s="24"/>
      <c r="N1148" s="24"/>
      <c r="O1148" s="24"/>
      <c r="P1148" s="24" t="str">
        <f>IF(((P1146="")*AND(P1147="")),"",(P1146-P1147)*4)</f>
        <v/>
      </c>
      <c r="Q1148" s="61"/>
      <c r="R1148" s="61"/>
      <c r="S1148" s="61"/>
      <c r="T1148" s="61"/>
      <c r="U1148" s="61"/>
      <c r="V1148" s="60"/>
      <c r="W1148" s="59"/>
      <c r="X1148" s="8"/>
    </row>
    <row r="1149" spans="1:31" ht="15.75">
      <c r="A1149" s="195">
        <v>43773</v>
      </c>
      <c r="B1149" s="57" t="s">
        <v>157</v>
      </c>
      <c r="C1149" s="51" t="s">
        <v>156</v>
      </c>
      <c r="D1149">
        <v>3647.04</v>
      </c>
      <c r="E1149">
        <v>4350.2700000000004</v>
      </c>
      <c r="F1149">
        <v>4659.91</v>
      </c>
      <c r="G1149">
        <v>4565.99</v>
      </c>
      <c r="H1149">
        <v>4083.21</v>
      </c>
      <c r="I1149">
        <v>3510.46</v>
      </c>
      <c r="J1149">
        <v>4393.55</v>
      </c>
      <c r="K1149">
        <v>4654.43</v>
      </c>
      <c r="L1149">
        <v>4051.43</v>
      </c>
      <c r="M1149" s="50"/>
      <c r="N1149" s="50"/>
      <c r="O1149" s="50"/>
      <c r="P1149" s="50"/>
      <c r="Q1149" s="57">
        <f>IF((L1150=""),"",MAX(D1151:L1151))</f>
        <v>3487.6000000000004</v>
      </c>
      <c r="R1149" s="57">
        <f>IF(L1150="","",MIN(D1151:L1151))</f>
        <v>3416.88</v>
      </c>
      <c r="S1149" s="58">
        <f>IF((L1151=""),"",AVERAGE(D1151:L1151))</f>
        <v>3466.2377777777783</v>
      </c>
      <c r="T1149" s="57">
        <f>IF((L1150=""),"",((Q1149-R1149)/(Q1149+R1149))*100)</f>
        <v>1.0242625078210126</v>
      </c>
      <c r="U1149" s="56">
        <f>STDEV(D1149:L1149)</f>
        <v>422.41207882364364</v>
      </c>
      <c r="V1149" s="55" t="str">
        <f>IF(L1150="","",(IF(T1149&lt;7,IF(S1149&gt;2800,IF(S1149&lt;3800,"Pass","Fail"),"Fail"),"Fail")))</f>
        <v>Pass</v>
      </c>
      <c r="W1149" s="54">
        <v>121</v>
      </c>
      <c r="X1149" s="26" t="s">
        <v>372</v>
      </c>
      <c r="Z1149" s="53">
        <v>2800</v>
      </c>
      <c r="AA1149" s="53">
        <v>3800</v>
      </c>
      <c r="AB1149" s="53">
        <v>3100</v>
      </c>
      <c r="AC1149" s="53">
        <v>3760</v>
      </c>
      <c r="AD1149" s="52">
        <v>6</v>
      </c>
      <c r="AE1149" s="52">
        <v>6</v>
      </c>
    </row>
    <row r="1150" spans="1:31" ht="15.75">
      <c r="A1150" s="199"/>
      <c r="B1150" s="48"/>
      <c r="C1150" s="51" t="s">
        <v>155</v>
      </c>
      <c r="D1150">
        <v>1921.21</v>
      </c>
      <c r="E1150">
        <v>2609.37</v>
      </c>
      <c r="F1150">
        <v>2920.89</v>
      </c>
      <c r="G1150">
        <v>2830.5</v>
      </c>
      <c r="H1150">
        <v>2374.77</v>
      </c>
      <c r="I1150">
        <v>1781.46</v>
      </c>
      <c r="J1150">
        <v>2651.36</v>
      </c>
      <c r="K1150">
        <v>2910.63</v>
      </c>
      <c r="L1150">
        <v>2318.0300000000002</v>
      </c>
      <c r="M1150" s="50"/>
      <c r="N1150" s="50"/>
      <c r="O1150" s="50"/>
      <c r="P1150" s="50"/>
      <c r="Q1150" s="48"/>
      <c r="R1150" s="48"/>
      <c r="S1150" s="49"/>
      <c r="T1150" s="48"/>
      <c r="U1150" s="48"/>
      <c r="V1150" s="47"/>
      <c r="W1150" s="46"/>
      <c r="X1150" s="8"/>
    </row>
    <row r="1151" spans="1:31" ht="24.75" thickBot="1">
      <c r="A1151" s="199"/>
      <c r="B1151" s="42"/>
      <c r="C1151" s="45" t="s">
        <v>154</v>
      </c>
      <c r="D1151" s="44">
        <f t="shared" ref="D1151:L1151" si="378">IF(((D1149="")*AND(D1150="")),"",(D1149-D1150)*2)</f>
        <v>3451.66</v>
      </c>
      <c r="E1151" s="44">
        <f t="shared" si="378"/>
        <v>3481.8000000000011</v>
      </c>
      <c r="F1151" s="44">
        <f t="shared" si="378"/>
        <v>3478.04</v>
      </c>
      <c r="G1151" s="44">
        <f t="shared" si="378"/>
        <v>3470.9799999999996</v>
      </c>
      <c r="H1151" s="44">
        <f t="shared" si="378"/>
        <v>3416.88</v>
      </c>
      <c r="I1151" s="44">
        <f t="shared" si="378"/>
        <v>3458</v>
      </c>
      <c r="J1151" s="44">
        <f t="shared" si="378"/>
        <v>3484.38</v>
      </c>
      <c r="K1151" s="44">
        <f t="shared" si="378"/>
        <v>3487.6000000000004</v>
      </c>
      <c r="L1151" s="44">
        <f t="shared" si="378"/>
        <v>3466.7999999999993</v>
      </c>
      <c r="M1151" s="44"/>
      <c r="N1151" s="44"/>
      <c r="O1151" s="44"/>
      <c r="P1151" s="44"/>
      <c r="Q1151" s="42"/>
      <c r="R1151" s="42"/>
      <c r="S1151" s="43"/>
      <c r="T1151" s="42"/>
      <c r="U1151" s="42"/>
      <c r="V1151" s="41"/>
      <c r="W1151" s="40"/>
      <c r="X1151" s="8"/>
    </row>
    <row r="1152" spans="1:31" ht="15.75">
      <c r="A1152" s="195">
        <v>43788</v>
      </c>
      <c r="B1152" s="63" t="s">
        <v>158</v>
      </c>
      <c r="C1152" s="56" t="s">
        <v>156</v>
      </c>
      <c r="D1152">
        <v>1948.46</v>
      </c>
      <c r="E1152">
        <v>1949.23</v>
      </c>
      <c r="F1152">
        <v>1945.59</v>
      </c>
      <c r="G1152">
        <v>1943.73</v>
      </c>
      <c r="H1152">
        <v>1946.86</v>
      </c>
      <c r="I1152">
        <v>1951.17</v>
      </c>
      <c r="J1152">
        <v>1944.66</v>
      </c>
      <c r="K1152">
        <v>1946.73</v>
      </c>
      <c r="L1152">
        <v>1951.13</v>
      </c>
      <c r="M1152" s="62"/>
      <c r="N1152" s="62"/>
      <c r="O1152" s="62"/>
      <c r="P1152" s="62"/>
      <c r="Q1152" s="57">
        <f>IF((L1153=""),"",MAX(D1154:L1154))</f>
        <v>3109.3200000000006</v>
      </c>
      <c r="R1152" s="57">
        <f>IF(L1153="","",MIN(D1154:L1154))</f>
        <v>2773</v>
      </c>
      <c r="S1152" s="58">
        <f>IF((L1154=""),"",AVERAGE(D1154:L1154))</f>
        <v>2950.568888888889</v>
      </c>
      <c r="T1152" s="57">
        <f>IF((L1153=""),"",((Q1152-R1152)/(Q1152+R1152))*100)</f>
        <v>5.7174720178433098</v>
      </c>
      <c r="U1152" s="56">
        <f>STDEV(D1152:L1152)</f>
        <v>2.6806948724306778</v>
      </c>
      <c r="V1152" s="55" t="str">
        <f>IF(L1153="","",(IF(T1152&lt;12,IF(S1152&gt;2200,IF(S1152&lt;3280,"Pass","Fail"),"Fail"),"Fail")))</f>
        <v>Pass</v>
      </c>
      <c r="W1152" s="54">
        <v>74</v>
      </c>
      <c r="Z1152" s="37">
        <v>2000</v>
      </c>
      <c r="AA1152" s="37">
        <v>3000</v>
      </c>
      <c r="AB1152" s="37">
        <v>2200</v>
      </c>
      <c r="AC1152" s="37">
        <v>3280</v>
      </c>
      <c r="AD1152" s="39">
        <v>12</v>
      </c>
      <c r="AE1152" s="39">
        <v>12</v>
      </c>
    </row>
    <row r="1153" spans="1:31" ht="15.75">
      <c r="A1153" s="199"/>
      <c r="B1153" s="48"/>
      <c r="C1153" s="51" t="s">
        <v>155</v>
      </c>
      <c r="D1153">
        <v>1203.82</v>
      </c>
      <c r="E1153">
        <v>1233.19</v>
      </c>
      <c r="F1153">
        <v>1252.3399999999999</v>
      </c>
      <c r="G1153">
        <v>1217.92</v>
      </c>
      <c r="H1153">
        <v>1169.6300000000001</v>
      </c>
      <c r="I1153">
        <v>1192.28</v>
      </c>
      <c r="J1153">
        <v>1227.96</v>
      </c>
      <c r="K1153">
        <v>1217.8399999999999</v>
      </c>
      <c r="L1153">
        <v>1173.8</v>
      </c>
      <c r="M1153" s="50"/>
      <c r="N1153" s="50"/>
      <c r="O1153" s="50"/>
      <c r="P1153" s="50"/>
      <c r="Q1153" s="48"/>
      <c r="R1153" s="48"/>
      <c r="S1153" s="48"/>
      <c r="T1153" s="48"/>
      <c r="U1153" s="48"/>
      <c r="V1153" s="47"/>
      <c r="W1153" s="46"/>
    </row>
    <row r="1154" spans="1:31" ht="24.75" thickBot="1">
      <c r="A1154" s="199"/>
      <c r="B1154" s="61"/>
      <c r="C1154" s="51" t="s">
        <v>154</v>
      </c>
      <c r="D1154" s="24">
        <f t="shared" ref="D1154:L1154" si="379">IF(((D1152="")*AND(D1153="")),"",(D1152-D1153)*4)</f>
        <v>2978.5600000000004</v>
      </c>
      <c r="E1154" s="24">
        <f t="shared" si="379"/>
        <v>2864.16</v>
      </c>
      <c r="F1154" s="24">
        <f t="shared" si="379"/>
        <v>2773</v>
      </c>
      <c r="G1154" s="24">
        <f t="shared" si="379"/>
        <v>2903.24</v>
      </c>
      <c r="H1154" s="24">
        <f t="shared" si="379"/>
        <v>3108.9199999999992</v>
      </c>
      <c r="I1154" s="24">
        <f t="shared" si="379"/>
        <v>3035.5600000000004</v>
      </c>
      <c r="J1154" s="24">
        <f t="shared" si="379"/>
        <v>2866.8</v>
      </c>
      <c r="K1154" s="24">
        <f t="shared" si="379"/>
        <v>2915.5600000000004</v>
      </c>
      <c r="L1154" s="24">
        <f t="shared" si="379"/>
        <v>3109.3200000000006</v>
      </c>
      <c r="M1154" s="24"/>
      <c r="N1154" s="24"/>
      <c r="O1154" s="24"/>
      <c r="P1154" s="24" t="str">
        <f>IF(((P1152="")*AND(P1153="")),"",(P1152-P1153)*4)</f>
        <v/>
      </c>
      <c r="Q1154" s="61"/>
      <c r="R1154" s="61"/>
      <c r="S1154" s="61"/>
      <c r="T1154" s="61"/>
      <c r="U1154" s="61"/>
      <c r="V1154" s="60"/>
      <c r="W1154" s="59"/>
    </row>
    <row r="1155" spans="1:31" ht="15.75">
      <c r="A1155" s="195">
        <v>43788</v>
      </c>
      <c r="B1155" s="57" t="s">
        <v>157</v>
      </c>
      <c r="C1155" s="51" t="s">
        <v>156</v>
      </c>
      <c r="D1155">
        <v>6741.29</v>
      </c>
      <c r="E1155">
        <v>6763.15</v>
      </c>
      <c r="F1155">
        <v>6889</v>
      </c>
      <c r="G1155">
        <v>6855.41</v>
      </c>
      <c r="H1155">
        <v>6840.1</v>
      </c>
      <c r="I1155">
        <v>6734.34</v>
      </c>
      <c r="J1155">
        <v>6823.47</v>
      </c>
      <c r="K1155">
        <v>6866.43</v>
      </c>
      <c r="L1155">
        <v>6820.96</v>
      </c>
      <c r="M1155" s="50"/>
      <c r="N1155" s="50"/>
      <c r="O1155" s="50"/>
      <c r="P1155" s="50"/>
      <c r="Q1155" s="57">
        <f>IF((L1156=""),"",MAX(D1157:L1157))</f>
        <v>3428.2800000000007</v>
      </c>
      <c r="R1155" s="57">
        <f>IF(L1156="","",MIN(D1157:L1157))</f>
        <v>3372.42</v>
      </c>
      <c r="S1155" s="58">
        <f>IF((L1157=""),"",AVERAGE(D1157:L1157))</f>
        <v>3406.0555555555557</v>
      </c>
      <c r="T1155" s="57">
        <f>IF((L1156=""),"",((Q1155-R1155)/(Q1155+R1155))*100)</f>
        <v>0.82138603379064767</v>
      </c>
      <c r="U1155" s="56">
        <f>STDEV(D1155:L1155)</f>
        <v>56.034395042599556</v>
      </c>
      <c r="V1155" s="55" t="str">
        <f>IF(L1156="","",(IF(T1155&lt;7,IF(S1155&gt;2800,IF(S1155&lt;3800,"Pass","Fail"),"Fail"),"Fail")))</f>
        <v>Pass</v>
      </c>
      <c r="W1155" s="54">
        <v>74</v>
      </c>
      <c r="Z1155" s="53">
        <v>2800</v>
      </c>
      <c r="AA1155" s="53">
        <v>3800</v>
      </c>
      <c r="AB1155" s="53">
        <v>3100</v>
      </c>
      <c r="AC1155" s="53">
        <v>3760</v>
      </c>
      <c r="AD1155" s="52">
        <v>6</v>
      </c>
      <c r="AE1155" s="52">
        <v>6</v>
      </c>
    </row>
    <row r="1156" spans="1:31" ht="15.75">
      <c r="A1156" s="199"/>
      <c r="B1156" s="48"/>
      <c r="C1156" s="51" t="s">
        <v>155</v>
      </c>
      <c r="D1156">
        <v>5038.82</v>
      </c>
      <c r="E1156">
        <v>5055.13</v>
      </c>
      <c r="F1156">
        <v>5183.43</v>
      </c>
      <c r="G1156">
        <v>5153.04</v>
      </c>
      <c r="H1156">
        <v>5153.8900000000003</v>
      </c>
      <c r="I1156">
        <v>5041.18</v>
      </c>
      <c r="J1156">
        <v>5121.74</v>
      </c>
      <c r="K1156">
        <v>5152.8500000000004</v>
      </c>
      <c r="L1156">
        <v>5106.82</v>
      </c>
      <c r="M1156" s="50"/>
      <c r="N1156" s="50"/>
      <c r="O1156" s="50"/>
      <c r="P1156" s="50"/>
      <c r="Q1156" s="48"/>
      <c r="R1156" s="48"/>
      <c r="S1156" s="49"/>
      <c r="T1156" s="48"/>
      <c r="U1156" s="48"/>
      <c r="V1156" s="47"/>
      <c r="W1156" s="46"/>
    </row>
    <row r="1157" spans="1:31" ht="24.75" thickBot="1">
      <c r="A1157" s="199"/>
      <c r="B1157" s="42"/>
      <c r="C1157" s="45" t="s">
        <v>154</v>
      </c>
      <c r="D1157" s="44">
        <f t="shared" ref="D1157:L1157" si="380">IF(((D1155="")*AND(D1156="")),"",(D1155-D1156)*2)</f>
        <v>3404.9400000000005</v>
      </c>
      <c r="E1157" s="44">
        <f t="shared" si="380"/>
        <v>3416.0399999999991</v>
      </c>
      <c r="F1157" s="44">
        <f t="shared" si="380"/>
        <v>3411.1399999999994</v>
      </c>
      <c r="G1157" s="44">
        <f t="shared" si="380"/>
        <v>3404.74</v>
      </c>
      <c r="H1157" s="44">
        <f t="shared" si="380"/>
        <v>3372.42</v>
      </c>
      <c r="I1157" s="44">
        <f t="shared" si="380"/>
        <v>3386.3199999999997</v>
      </c>
      <c r="J1157" s="44">
        <f t="shared" si="380"/>
        <v>3403.4600000000009</v>
      </c>
      <c r="K1157" s="44">
        <f t="shared" si="380"/>
        <v>3427.16</v>
      </c>
      <c r="L1157" s="44">
        <f t="shared" si="380"/>
        <v>3428.2800000000007</v>
      </c>
      <c r="M1157" s="44"/>
      <c r="N1157" s="44"/>
      <c r="O1157" s="44"/>
      <c r="P1157" s="44"/>
      <c r="Q1157" s="42"/>
      <c r="R1157" s="42"/>
      <c r="S1157" s="43"/>
      <c r="T1157" s="42"/>
      <c r="U1157" s="42"/>
      <c r="V1157" s="41"/>
      <c r="W1157" s="40"/>
    </row>
    <row r="1158" spans="1:31" ht="15.75">
      <c r="A1158" s="195">
        <v>43791</v>
      </c>
      <c r="B1158" s="63" t="s">
        <v>158</v>
      </c>
      <c r="C1158" s="56" t="s">
        <v>156</v>
      </c>
      <c r="D1158">
        <v>1208.44</v>
      </c>
      <c r="E1158">
        <v>1236.05</v>
      </c>
      <c r="F1158">
        <v>1253.2</v>
      </c>
      <c r="G1158">
        <v>1222.69</v>
      </c>
      <c r="H1158">
        <v>1172.56</v>
      </c>
      <c r="I1158">
        <v>1196.3399999999999</v>
      </c>
      <c r="J1158">
        <v>1231.22</v>
      </c>
      <c r="K1158">
        <v>1221.54</v>
      </c>
      <c r="L1158">
        <v>1177.3699999999999</v>
      </c>
      <c r="M1158" s="62"/>
      <c r="N1158" s="62"/>
      <c r="O1158" s="62"/>
      <c r="P1158" s="62"/>
      <c r="Q1158" s="57">
        <f>IF((L1159=""),"",MAX(D1160:L1160))</f>
        <v>3019.7999999999993</v>
      </c>
      <c r="R1158" s="57">
        <f>IF(L1159="","",MIN(D1160:L1160))</f>
        <v>2707.6800000000003</v>
      </c>
      <c r="S1158" s="58">
        <f>IF((L1160=""),"",AVERAGE(D1160:L1160))</f>
        <v>2855.6933333333336</v>
      </c>
      <c r="T1158" s="57">
        <f>IF((L1159=""),"",((Q1158-R1158)/(Q1158+R1158))*100)</f>
        <v>5.449517065096674</v>
      </c>
      <c r="U1158" s="56">
        <f>STDEV(D1158:L1158)</f>
        <v>27.0387059499059</v>
      </c>
      <c r="V1158" s="55" t="str">
        <f>IF(L1159="","",(IF(T1158&lt;12,IF(S1158&gt;2200,IF(S1158&lt;3280,"Pass","Fail"),"Fail"),"Fail")))</f>
        <v>Pass</v>
      </c>
      <c r="W1158" s="54">
        <v>64</v>
      </c>
      <c r="X1158" s="26" t="s">
        <v>375</v>
      </c>
      <c r="Z1158" s="37">
        <v>2000</v>
      </c>
      <c r="AA1158" s="37">
        <v>3000</v>
      </c>
      <c r="AB1158" s="37">
        <v>2200</v>
      </c>
      <c r="AC1158" s="37">
        <v>3280</v>
      </c>
      <c r="AD1158" s="39">
        <v>12</v>
      </c>
      <c r="AE1158" s="39">
        <v>12</v>
      </c>
    </row>
    <row r="1159" spans="1:31" ht="15.75">
      <c r="A1159" s="199"/>
      <c r="B1159" s="48"/>
      <c r="C1159" s="51" t="s">
        <v>155</v>
      </c>
      <c r="D1159">
        <v>479.19</v>
      </c>
      <c r="E1159">
        <v>544.53</v>
      </c>
      <c r="F1159">
        <v>576.28</v>
      </c>
      <c r="G1159">
        <v>526.84</v>
      </c>
      <c r="H1159">
        <v>423.77</v>
      </c>
      <c r="I1159">
        <v>458.32</v>
      </c>
      <c r="J1159">
        <v>541.19000000000005</v>
      </c>
      <c r="K1159">
        <v>521.55999999999995</v>
      </c>
      <c r="L1159">
        <v>422.42</v>
      </c>
      <c r="M1159" s="50"/>
      <c r="N1159" s="50"/>
      <c r="O1159" s="50"/>
      <c r="P1159" s="50"/>
      <c r="Q1159" s="48"/>
      <c r="R1159" s="48"/>
      <c r="S1159" s="48"/>
      <c r="T1159" s="48"/>
      <c r="U1159" s="48"/>
      <c r="V1159" s="47"/>
      <c r="W1159" s="46"/>
    </row>
    <row r="1160" spans="1:31" ht="24.75" thickBot="1">
      <c r="A1160" s="199"/>
      <c r="B1160" s="61"/>
      <c r="C1160" s="51" t="s">
        <v>154</v>
      </c>
      <c r="D1160" s="24">
        <f t="shared" ref="D1160:L1160" si="381">IF(((D1158="")*AND(D1159="")),"",(D1158-D1159)*4)</f>
        <v>2917</v>
      </c>
      <c r="E1160" s="24">
        <f t="shared" si="381"/>
        <v>2766.08</v>
      </c>
      <c r="F1160" s="24">
        <f t="shared" si="381"/>
        <v>2707.6800000000003</v>
      </c>
      <c r="G1160" s="24">
        <f t="shared" si="381"/>
        <v>2783.4</v>
      </c>
      <c r="H1160" s="24">
        <f t="shared" si="381"/>
        <v>2995.16</v>
      </c>
      <c r="I1160" s="24">
        <f t="shared" si="381"/>
        <v>2952.08</v>
      </c>
      <c r="J1160" s="24">
        <f t="shared" si="381"/>
        <v>2760.12</v>
      </c>
      <c r="K1160" s="24">
        <f t="shared" si="381"/>
        <v>2799.92</v>
      </c>
      <c r="L1160" s="24">
        <f t="shared" si="381"/>
        <v>3019.7999999999993</v>
      </c>
      <c r="M1160" s="24"/>
      <c r="N1160" s="24"/>
      <c r="O1160" s="24"/>
      <c r="P1160" s="24" t="str">
        <f>IF(((P1158="")*AND(P1159="")),"",(P1158-P1159)*4)</f>
        <v/>
      </c>
      <c r="Q1160" s="61"/>
      <c r="R1160" s="61"/>
      <c r="S1160" s="61"/>
      <c r="T1160" s="61"/>
      <c r="U1160" s="61"/>
      <c r="V1160" s="60"/>
      <c r="W1160" s="59"/>
    </row>
    <row r="1161" spans="1:31" ht="15.75">
      <c r="A1161" s="195">
        <v>43791</v>
      </c>
      <c r="B1161" s="57" t="s">
        <v>157</v>
      </c>
      <c r="C1161" s="51" t="s">
        <v>156</v>
      </c>
      <c r="D1161">
        <v>5045</v>
      </c>
      <c r="E1161">
        <v>5060.47</v>
      </c>
      <c r="F1161">
        <v>5188.87</v>
      </c>
      <c r="G1161">
        <v>5158.38</v>
      </c>
      <c r="H1161">
        <v>5159.4799999999996</v>
      </c>
      <c r="I1161">
        <v>5048.42</v>
      </c>
      <c r="J1161">
        <v>5126.95</v>
      </c>
      <c r="K1161">
        <v>5157.8900000000003</v>
      </c>
      <c r="L1161">
        <v>5112.45</v>
      </c>
      <c r="M1161" s="50"/>
      <c r="N1161" s="50"/>
      <c r="O1161" s="50"/>
      <c r="P1161" s="50"/>
      <c r="Q1161" s="57">
        <f>IF((L1162=""),"",MAX(D1163:L1163))</f>
        <v>3634.04</v>
      </c>
      <c r="R1161" s="57">
        <f>IF(L1162="","",MIN(D1163:L1163))</f>
        <v>3556.6800000000003</v>
      </c>
      <c r="S1161" s="58">
        <f>IF((L1163=""),"",AVERAGE(D1163:L1163))</f>
        <v>3578.8622222222225</v>
      </c>
      <c r="T1161" s="57">
        <f>IF((L1162=""),"",((Q1161-R1161)/(Q1161+R1161))*100)</f>
        <v>1.0758310711583774</v>
      </c>
      <c r="U1161" s="56">
        <f>STDEV(D1161:L1161)</f>
        <v>54.260975182767311</v>
      </c>
      <c r="V1161" s="55" t="str">
        <f>IF(L1162="","",(IF(T1161&lt;7,IF(S1161&gt;2800,IF(S1161&lt;3800,"Pass","Fail"),"Fail"),"Fail")))</f>
        <v>Pass</v>
      </c>
      <c r="W1161" s="54">
        <v>64</v>
      </c>
      <c r="X1161" s="26" t="s">
        <v>375</v>
      </c>
      <c r="Z1161" s="53">
        <v>2800</v>
      </c>
      <c r="AA1161" s="53">
        <v>3800</v>
      </c>
      <c r="AB1161" s="53">
        <v>3100</v>
      </c>
      <c r="AC1161" s="53">
        <v>3760</v>
      </c>
      <c r="AD1161" s="52">
        <v>6</v>
      </c>
      <c r="AE1161" s="52">
        <v>6</v>
      </c>
    </row>
    <row r="1162" spans="1:31" ht="15.75">
      <c r="A1162" s="199"/>
      <c r="B1162" s="48"/>
      <c r="C1162" s="51" t="s">
        <v>155</v>
      </c>
      <c r="D1162">
        <v>3244.8</v>
      </c>
      <c r="E1162">
        <v>3278.57</v>
      </c>
      <c r="F1162">
        <v>3408.9</v>
      </c>
      <c r="G1162">
        <v>3380.04</v>
      </c>
      <c r="H1162">
        <v>3377.49</v>
      </c>
      <c r="I1162">
        <v>3231.4</v>
      </c>
      <c r="J1162">
        <v>3347.7</v>
      </c>
      <c r="K1162">
        <v>3372.37</v>
      </c>
      <c r="L1162">
        <v>3311.76</v>
      </c>
      <c r="M1162" s="50"/>
      <c r="N1162" s="50"/>
      <c r="O1162" s="50"/>
      <c r="P1162" s="50"/>
      <c r="Q1162" s="48"/>
      <c r="R1162" s="48"/>
      <c r="S1162" s="49"/>
      <c r="T1162" s="48"/>
      <c r="U1162" s="48"/>
      <c r="V1162" s="47"/>
      <c r="W1162" s="46"/>
    </row>
    <row r="1163" spans="1:31" ht="24.75" thickBot="1">
      <c r="A1163" s="199"/>
      <c r="B1163" s="42"/>
      <c r="C1163" s="45" t="s">
        <v>154</v>
      </c>
      <c r="D1163" s="44">
        <f t="shared" ref="D1163:L1163" si="382">IF(((D1161="")*AND(D1162="")),"",(D1161-D1162)*2)</f>
        <v>3600.3999999999996</v>
      </c>
      <c r="E1163" s="44">
        <f t="shared" si="382"/>
        <v>3563.8</v>
      </c>
      <c r="F1163" s="44">
        <f t="shared" si="382"/>
        <v>3559.9399999999996</v>
      </c>
      <c r="G1163" s="44">
        <f t="shared" si="382"/>
        <v>3556.6800000000003</v>
      </c>
      <c r="H1163" s="44">
        <f t="shared" si="382"/>
        <v>3563.9799999999996</v>
      </c>
      <c r="I1163" s="44">
        <f t="shared" si="382"/>
        <v>3634.04</v>
      </c>
      <c r="J1163" s="44">
        <f t="shared" si="382"/>
        <v>3558.5</v>
      </c>
      <c r="K1163" s="44">
        <f t="shared" si="382"/>
        <v>3571.0400000000009</v>
      </c>
      <c r="L1163" s="44">
        <f t="shared" si="382"/>
        <v>3601.3799999999992</v>
      </c>
      <c r="M1163" s="44"/>
      <c r="N1163" s="44"/>
      <c r="O1163" s="44"/>
      <c r="P1163" s="44"/>
      <c r="Q1163" s="42"/>
      <c r="R1163" s="42"/>
      <c r="S1163" s="43"/>
      <c r="T1163" s="42"/>
      <c r="U1163" s="42"/>
      <c r="V1163" s="41"/>
      <c r="W1163" s="40"/>
    </row>
    <row r="1164" spans="1:31" ht="15.75">
      <c r="A1164" s="195">
        <v>43794</v>
      </c>
      <c r="B1164" s="63" t="s">
        <v>158</v>
      </c>
      <c r="C1164" s="56" t="s">
        <v>156</v>
      </c>
      <c r="D1164">
        <v>1947.86</v>
      </c>
      <c r="E1164">
        <v>1944.51</v>
      </c>
      <c r="F1164">
        <v>1935.06</v>
      </c>
      <c r="G1164">
        <v>1944.22</v>
      </c>
      <c r="H1164">
        <v>1951.73</v>
      </c>
      <c r="I1164">
        <v>1950.52</v>
      </c>
      <c r="J1164">
        <v>1943.97</v>
      </c>
      <c r="K1164">
        <v>1945.06</v>
      </c>
      <c r="L1164">
        <v>1951.09</v>
      </c>
      <c r="M1164" s="62"/>
      <c r="N1164" s="62"/>
      <c r="O1164" s="62"/>
      <c r="P1164" s="62"/>
      <c r="Q1164" s="57">
        <f>IF((L1165=""),"",MAX(D1166:L1166))</f>
        <v>3070.7199999999993</v>
      </c>
      <c r="R1164" s="57">
        <f>IF(L1165="","",MIN(D1166:L1166))</f>
        <v>2770.5199999999995</v>
      </c>
      <c r="S1164" s="58">
        <f>IF((L1166=""),"",AVERAGE(D1166:L1166))</f>
        <v>2896.3733333333325</v>
      </c>
      <c r="T1164" s="57">
        <f>IF((L1165=""),"",((Q1164-R1164)/(Q1164+R1164))*100)</f>
        <v>5.139319733481245</v>
      </c>
      <c r="U1164" s="56">
        <f>STDEV(D1164:L1164)</f>
        <v>5.1563983984385438</v>
      </c>
      <c r="V1164" s="55" t="str">
        <f>IF(L1165="","",(IF(T1164&lt;12,IF(S1164&gt;2200,IF(S1164&lt;3280,"Pass","Fail"),"Fail"),"Fail")))</f>
        <v>Pass</v>
      </c>
      <c r="W1164" s="54">
        <v>1340</v>
      </c>
      <c r="X1164" s="26" t="s">
        <v>378</v>
      </c>
      <c r="Z1164" s="37">
        <v>2000</v>
      </c>
      <c r="AA1164" s="37">
        <v>3000</v>
      </c>
      <c r="AB1164" s="37">
        <v>2200</v>
      </c>
      <c r="AC1164" s="37">
        <v>3280</v>
      </c>
      <c r="AD1164" s="39">
        <v>12</v>
      </c>
      <c r="AE1164" s="39">
        <v>12</v>
      </c>
    </row>
    <row r="1165" spans="1:31" ht="15.75">
      <c r="A1165" s="199"/>
      <c r="B1165" s="48"/>
      <c r="C1165" s="51" t="s">
        <v>155</v>
      </c>
      <c r="D1165">
        <v>1231.33</v>
      </c>
      <c r="E1165">
        <v>1237.07</v>
      </c>
      <c r="F1165">
        <v>1242.43</v>
      </c>
      <c r="G1165">
        <v>1226.96</v>
      </c>
      <c r="H1165">
        <v>1200.3599999999999</v>
      </c>
      <c r="I1165">
        <v>1215.4100000000001</v>
      </c>
      <c r="J1165">
        <v>1237.72</v>
      </c>
      <c r="K1165">
        <v>1222.49</v>
      </c>
      <c r="L1165">
        <v>1183.4100000000001</v>
      </c>
      <c r="M1165" s="50"/>
      <c r="N1165" s="50"/>
      <c r="O1165" s="50"/>
      <c r="P1165" s="50"/>
      <c r="Q1165" s="48"/>
      <c r="R1165" s="48"/>
      <c r="S1165" s="48"/>
      <c r="T1165" s="48"/>
      <c r="U1165" s="48"/>
      <c r="V1165" s="47"/>
      <c r="W1165" s="46"/>
    </row>
    <row r="1166" spans="1:31" ht="24.75" thickBot="1">
      <c r="A1166" s="199"/>
      <c r="B1166" s="61"/>
      <c r="C1166" s="51" t="s">
        <v>154</v>
      </c>
      <c r="D1166" s="24">
        <f t="shared" ref="D1166:L1166" si="383">IF(((D1164="")*AND(D1165="")),"",(D1164-D1165)*4)</f>
        <v>2866.12</v>
      </c>
      <c r="E1166" s="24">
        <f t="shared" si="383"/>
        <v>2829.76</v>
      </c>
      <c r="F1166" s="24">
        <f t="shared" si="383"/>
        <v>2770.5199999999995</v>
      </c>
      <c r="G1166" s="24">
        <f t="shared" si="383"/>
        <v>2869.04</v>
      </c>
      <c r="H1166" s="24">
        <f t="shared" si="383"/>
        <v>3005.4800000000005</v>
      </c>
      <c r="I1166" s="24">
        <f t="shared" si="383"/>
        <v>2940.4399999999996</v>
      </c>
      <c r="J1166" s="24">
        <f t="shared" si="383"/>
        <v>2825</v>
      </c>
      <c r="K1166" s="24">
        <f t="shared" si="383"/>
        <v>2890.2799999999997</v>
      </c>
      <c r="L1166" s="24">
        <f t="shared" si="383"/>
        <v>3070.7199999999993</v>
      </c>
      <c r="M1166" s="24"/>
      <c r="N1166" s="24"/>
      <c r="O1166" s="24"/>
      <c r="P1166" s="24" t="str">
        <f>IF(((P1164="")*AND(P1165="")),"",(P1164-P1165)*4)</f>
        <v/>
      </c>
      <c r="Q1166" s="61"/>
      <c r="R1166" s="61"/>
      <c r="S1166" s="61"/>
      <c r="T1166" s="61"/>
      <c r="U1166" s="61"/>
      <c r="V1166" s="60"/>
      <c r="W1166" s="59"/>
    </row>
    <row r="1167" spans="1:31" ht="15.75">
      <c r="A1167" s="195">
        <v>43794</v>
      </c>
      <c r="B1167" s="57" t="s">
        <v>157</v>
      </c>
      <c r="C1167" s="51" t="s">
        <v>156</v>
      </c>
      <c r="D1167">
        <v>6762.75</v>
      </c>
      <c r="E1167">
        <v>6800.07</v>
      </c>
      <c r="F1167">
        <v>6939.38</v>
      </c>
      <c r="G1167">
        <v>6903.8</v>
      </c>
      <c r="H1167">
        <v>6865.69</v>
      </c>
      <c r="I1167">
        <v>6746.01</v>
      </c>
      <c r="J1167">
        <v>6862.93</v>
      </c>
      <c r="K1167">
        <v>6918.36</v>
      </c>
      <c r="L1167">
        <v>6845.13</v>
      </c>
      <c r="M1167" s="50"/>
      <c r="N1167" s="50"/>
      <c r="O1167" s="50"/>
      <c r="P1167" s="50"/>
      <c r="Q1167" s="57">
        <f>IF((L1168=""),"",MAX(D1169:L1169))</f>
        <v>3588.42</v>
      </c>
      <c r="R1167" s="57">
        <f>IF(L1168="","",MIN(D1169:L1169))</f>
        <v>3546.2999999999993</v>
      </c>
      <c r="S1167" s="58">
        <f>IF((L1169=""),"",AVERAGE(D1169:L1169))</f>
        <v>3563.92</v>
      </c>
      <c r="T1167" s="57">
        <f>IF((L1168=""),"",((Q1167-R1167)/(Q1167+R1167))*100)</f>
        <v>0.59035252960173357</v>
      </c>
      <c r="U1167" s="56">
        <f>STDEV(D1167:L1167)</f>
        <v>67.923705177164052</v>
      </c>
      <c r="V1167" s="55" t="str">
        <f>IF(L1168="","",(IF(T1167&lt;7,IF(S1167&gt;2800,IF(S1167&lt;3800,"Pass","Fail"),"Fail"),"Fail")))</f>
        <v>Pass</v>
      </c>
      <c r="W1167" s="54">
        <v>1340</v>
      </c>
      <c r="X1167" s="26" t="s">
        <v>378</v>
      </c>
      <c r="Z1167" s="53">
        <v>2800</v>
      </c>
      <c r="AA1167" s="53">
        <v>3800</v>
      </c>
      <c r="AB1167" s="53">
        <v>3100</v>
      </c>
      <c r="AC1167" s="53">
        <v>3760</v>
      </c>
      <c r="AD1167" s="52">
        <v>6</v>
      </c>
      <c r="AE1167" s="52">
        <v>6</v>
      </c>
    </row>
    <row r="1168" spans="1:31" ht="15.75">
      <c r="A1168" s="199"/>
      <c r="B1168" s="48"/>
      <c r="C1168" s="51" t="s">
        <v>155</v>
      </c>
      <c r="D1168">
        <v>4972.28</v>
      </c>
      <c r="E1168">
        <v>5014.92</v>
      </c>
      <c r="F1168">
        <v>5161.66</v>
      </c>
      <c r="G1168">
        <v>5125.4799999999996</v>
      </c>
      <c r="H1168">
        <v>5092.54</v>
      </c>
      <c r="I1168">
        <v>4972.18</v>
      </c>
      <c r="J1168">
        <v>5082.1499999999996</v>
      </c>
      <c r="K1168">
        <v>5134.3500000000004</v>
      </c>
      <c r="L1168">
        <v>5050.92</v>
      </c>
      <c r="M1168" s="50"/>
      <c r="N1168" s="50"/>
      <c r="O1168" s="50"/>
      <c r="P1168" s="50"/>
      <c r="Q1168" s="48"/>
      <c r="R1168" s="48"/>
      <c r="S1168" s="49"/>
      <c r="T1168" s="48"/>
      <c r="U1168" s="48"/>
      <c r="V1168" s="47"/>
      <c r="W1168" s="46"/>
    </row>
    <row r="1169" spans="1:31" ht="24.75" thickBot="1">
      <c r="A1169" s="199"/>
      <c r="B1169" s="42"/>
      <c r="C1169" s="45" t="s">
        <v>154</v>
      </c>
      <c r="D1169" s="44">
        <f t="shared" ref="D1169:L1169" si="384">IF(((D1167="")*AND(D1168="")),"",(D1167-D1168)*2)</f>
        <v>3580.9400000000005</v>
      </c>
      <c r="E1169" s="44">
        <f t="shared" si="384"/>
        <v>3570.2999999999993</v>
      </c>
      <c r="F1169" s="44">
        <f t="shared" si="384"/>
        <v>3555.4400000000005</v>
      </c>
      <c r="G1169" s="44">
        <f t="shared" si="384"/>
        <v>3556.6400000000012</v>
      </c>
      <c r="H1169" s="44">
        <f t="shared" si="384"/>
        <v>3546.2999999999993</v>
      </c>
      <c r="I1169" s="44">
        <f t="shared" si="384"/>
        <v>3547.66</v>
      </c>
      <c r="J1169" s="44">
        <f t="shared" si="384"/>
        <v>3561.5600000000013</v>
      </c>
      <c r="K1169" s="44">
        <f t="shared" si="384"/>
        <v>3568.0199999999986</v>
      </c>
      <c r="L1169" s="44">
        <f t="shared" si="384"/>
        <v>3588.42</v>
      </c>
      <c r="M1169" s="44"/>
      <c r="N1169" s="44"/>
      <c r="O1169" s="44"/>
      <c r="P1169" s="44"/>
      <c r="Q1169" s="42"/>
      <c r="R1169" s="42"/>
      <c r="S1169" s="43"/>
      <c r="T1169" s="42"/>
      <c r="U1169" s="42"/>
      <c r="V1169" s="41"/>
      <c r="W1169" s="40"/>
    </row>
    <row r="1170" spans="1:31" ht="15.75">
      <c r="A1170" s="195">
        <v>43801</v>
      </c>
      <c r="B1170" s="63" t="s">
        <v>158</v>
      </c>
      <c r="C1170" s="56" t="s">
        <v>156</v>
      </c>
      <c r="D1170">
        <v>1232.94</v>
      </c>
      <c r="E1170">
        <v>1238.3900000000001</v>
      </c>
      <c r="F1170">
        <v>1245.6099999999999</v>
      </c>
      <c r="G1170">
        <v>1228.6099999999999</v>
      </c>
      <c r="H1170">
        <v>1206.31</v>
      </c>
      <c r="I1170">
        <v>1219.1500000000001</v>
      </c>
      <c r="J1170">
        <v>1240.92</v>
      </c>
      <c r="K1170">
        <v>1225.08</v>
      </c>
      <c r="L1170">
        <v>1185.81</v>
      </c>
      <c r="M1170" s="62"/>
      <c r="N1170" s="62"/>
      <c r="O1170" s="62"/>
      <c r="P1170" s="62"/>
      <c r="Q1170" s="57">
        <f>IF((L1171=""),"",MAX(D1172:L1172))</f>
        <v>3012.68</v>
      </c>
      <c r="R1170" s="57">
        <f>IF(L1171="","",MIN(D1172:L1172))</f>
        <v>2668.9599999999996</v>
      </c>
      <c r="S1170" s="58">
        <f>IF((L1172=""),"",AVERAGE(D1172:L1172))</f>
        <v>2833.8577777777773</v>
      </c>
      <c r="T1170" s="57">
        <f>IF((L1171=""),"",((Q1170-R1170)/(Q1170+R1170))*100)</f>
        <v>6.0496617173914631</v>
      </c>
      <c r="U1170" s="56">
        <f>STDEV(D1170:L1170)</f>
        <v>18.882728072106872</v>
      </c>
      <c r="V1170" s="55" t="str">
        <f>IF(L1171="","",(IF(T1170&lt;12,IF(S1170&gt;2200,IF(S1170&lt;3280,"Pass","Fail"),"Fail"),"Fail")))</f>
        <v>Pass</v>
      </c>
      <c r="W1170" s="54">
        <v>1159</v>
      </c>
      <c r="X1170" s="26" t="s">
        <v>380</v>
      </c>
      <c r="Z1170" s="37">
        <v>2000</v>
      </c>
      <c r="AA1170" s="37">
        <v>3000</v>
      </c>
      <c r="AB1170" s="37">
        <v>2200</v>
      </c>
      <c r="AC1170" s="37">
        <v>3280</v>
      </c>
      <c r="AD1170" s="39">
        <v>12</v>
      </c>
      <c r="AE1170" s="39">
        <v>12</v>
      </c>
    </row>
    <row r="1171" spans="1:31" ht="15.75">
      <c r="A1171" s="199"/>
      <c r="B1171" s="48"/>
      <c r="C1171" s="51" t="s">
        <v>155</v>
      </c>
      <c r="D1171">
        <v>519.6</v>
      </c>
      <c r="E1171">
        <v>547.54</v>
      </c>
      <c r="F1171">
        <v>578.37</v>
      </c>
      <c r="G1171">
        <v>532.26</v>
      </c>
      <c r="H1171">
        <v>473.61</v>
      </c>
      <c r="I1171">
        <v>486.03</v>
      </c>
      <c r="J1171">
        <v>547.16999999999996</v>
      </c>
      <c r="K1171">
        <v>529.41999999999996</v>
      </c>
      <c r="L1171">
        <v>432.64</v>
      </c>
      <c r="M1171" s="50"/>
      <c r="N1171" s="50"/>
      <c r="O1171" s="50"/>
      <c r="P1171" s="50"/>
      <c r="Q1171" s="48"/>
      <c r="R1171" s="48"/>
      <c r="S1171" s="48"/>
      <c r="T1171" s="48"/>
      <c r="U1171" s="48"/>
      <c r="V1171" s="47"/>
      <c r="W1171" s="46"/>
    </row>
    <row r="1172" spans="1:31" ht="24.75" thickBot="1">
      <c r="A1172" s="199"/>
      <c r="B1172" s="61"/>
      <c r="C1172" s="51" t="s">
        <v>154</v>
      </c>
      <c r="D1172" s="24">
        <f t="shared" ref="D1172:L1172" si="385">IF(((D1170="")*AND(D1171="")),"",(D1170-D1171)*4)</f>
        <v>2853.36</v>
      </c>
      <c r="E1172" s="24">
        <f t="shared" si="385"/>
        <v>2763.4000000000005</v>
      </c>
      <c r="F1172" s="24">
        <f t="shared" si="385"/>
        <v>2668.9599999999996</v>
      </c>
      <c r="G1172" s="24">
        <f t="shared" si="385"/>
        <v>2785.3999999999996</v>
      </c>
      <c r="H1172" s="24">
        <f t="shared" si="385"/>
        <v>2930.7999999999997</v>
      </c>
      <c r="I1172" s="24">
        <f t="shared" si="385"/>
        <v>2932.4800000000005</v>
      </c>
      <c r="J1172" s="24">
        <f t="shared" si="385"/>
        <v>2775.0000000000005</v>
      </c>
      <c r="K1172" s="24">
        <f t="shared" si="385"/>
        <v>2782.64</v>
      </c>
      <c r="L1172" s="24">
        <f t="shared" si="385"/>
        <v>3012.68</v>
      </c>
      <c r="M1172" s="24"/>
      <c r="N1172" s="24"/>
      <c r="O1172" s="24"/>
      <c r="P1172" s="24" t="str">
        <f>IF(((P1170="")*AND(P1171="")),"",(P1170-P1171)*4)</f>
        <v/>
      </c>
      <c r="Q1172" s="61"/>
      <c r="R1172" s="61"/>
      <c r="S1172" s="61"/>
      <c r="T1172" s="61"/>
      <c r="U1172" s="61"/>
      <c r="V1172" s="60"/>
      <c r="W1172" s="59"/>
    </row>
    <row r="1173" spans="1:31" ht="15.75">
      <c r="A1173" s="195">
        <v>43801</v>
      </c>
      <c r="B1173" s="57" t="s">
        <v>157</v>
      </c>
      <c r="C1173" s="51" t="s">
        <v>156</v>
      </c>
      <c r="D1173">
        <v>3263.72</v>
      </c>
      <c r="E1173">
        <v>3299.72</v>
      </c>
      <c r="F1173">
        <v>3431.53</v>
      </c>
      <c r="G1173">
        <v>3402.47</v>
      </c>
      <c r="H1173">
        <v>3396.9</v>
      </c>
      <c r="I1173">
        <v>3246.56</v>
      </c>
      <c r="J1173">
        <v>3368.95</v>
      </c>
      <c r="K1173">
        <v>3394.65</v>
      </c>
      <c r="L1173">
        <v>3330.6</v>
      </c>
      <c r="M1173" s="50"/>
      <c r="N1173" s="50"/>
      <c r="O1173" s="50"/>
      <c r="P1173" s="50"/>
      <c r="Q1173" s="57">
        <f>IF((L1174=""),"",MAX(D1175:L1175))</f>
        <v>3490.54</v>
      </c>
      <c r="R1173" s="57">
        <f>IF(L1174="","",MIN(D1175:L1175))</f>
        <v>3444.2200000000003</v>
      </c>
      <c r="S1173" s="58">
        <f>IF((L1175=""),"",AVERAGE(D1175:L1175))</f>
        <v>3468.7422222222222</v>
      </c>
      <c r="T1173" s="57">
        <f>IF((L1174=""),"",((Q1173-R1173)/(Q1173+R1173))*100)</f>
        <v>0.66793948168357242</v>
      </c>
      <c r="U1173" s="56">
        <f>STDEV(D1173:L1173)</f>
        <v>66.121497470763302</v>
      </c>
      <c r="V1173" s="55" t="str">
        <f>IF(L1174="","",(IF(T1173&lt;7,IF(S1173&gt;2800,IF(S1173&lt;3800,"Pass","Fail"),"Fail"),"Fail")))</f>
        <v>Pass</v>
      </c>
      <c r="W1173" s="54">
        <v>1159</v>
      </c>
      <c r="X1173" s="26" t="s">
        <v>380</v>
      </c>
      <c r="Z1173" s="53">
        <v>2800</v>
      </c>
      <c r="AA1173" s="53">
        <v>3800</v>
      </c>
      <c r="AB1173" s="53">
        <v>3100</v>
      </c>
      <c r="AC1173" s="53">
        <v>3760</v>
      </c>
      <c r="AD1173" s="52">
        <v>6</v>
      </c>
      <c r="AE1173" s="52">
        <v>6</v>
      </c>
    </row>
    <row r="1174" spans="1:31" ht="15.75">
      <c r="A1174" s="199"/>
      <c r="B1174" s="48"/>
      <c r="C1174" s="51" t="s">
        <v>155</v>
      </c>
      <c r="D1174">
        <v>1529.41</v>
      </c>
      <c r="E1174">
        <v>1567.08</v>
      </c>
      <c r="F1174">
        <v>1697.89</v>
      </c>
      <c r="G1174">
        <v>1670.4</v>
      </c>
      <c r="H1174">
        <v>1674.79</v>
      </c>
      <c r="I1174">
        <v>1508.53</v>
      </c>
      <c r="J1174">
        <v>1639.31</v>
      </c>
      <c r="K1174">
        <v>1653.02</v>
      </c>
      <c r="L1174">
        <v>1585.33</v>
      </c>
      <c r="M1174" s="50"/>
      <c r="N1174" s="50"/>
      <c r="O1174" s="50"/>
      <c r="P1174" s="50"/>
      <c r="Q1174" s="48"/>
      <c r="R1174" s="48"/>
      <c r="S1174" s="49"/>
      <c r="T1174" s="48"/>
      <c r="U1174" s="48"/>
      <c r="V1174" s="47"/>
      <c r="W1174" s="46"/>
    </row>
    <row r="1175" spans="1:31" ht="24.75" thickBot="1">
      <c r="A1175" s="199"/>
      <c r="B1175" s="42"/>
      <c r="C1175" s="45" t="s">
        <v>154</v>
      </c>
      <c r="D1175" s="44">
        <f t="shared" ref="D1175:L1175" si="386">IF(((D1173="")*AND(D1174="")),"",(D1173-D1174)*2)</f>
        <v>3468.6199999999994</v>
      </c>
      <c r="E1175" s="44">
        <f t="shared" si="386"/>
        <v>3465.2799999999997</v>
      </c>
      <c r="F1175" s="44">
        <f t="shared" si="386"/>
        <v>3467.28</v>
      </c>
      <c r="G1175" s="44">
        <f t="shared" si="386"/>
        <v>3464.1399999999994</v>
      </c>
      <c r="H1175" s="44">
        <f t="shared" si="386"/>
        <v>3444.2200000000003</v>
      </c>
      <c r="I1175" s="44">
        <f t="shared" si="386"/>
        <v>3476.06</v>
      </c>
      <c r="J1175" s="44">
        <f t="shared" si="386"/>
        <v>3459.2799999999997</v>
      </c>
      <c r="K1175" s="44">
        <f t="shared" si="386"/>
        <v>3483.26</v>
      </c>
      <c r="L1175" s="44">
        <f t="shared" si="386"/>
        <v>3490.54</v>
      </c>
      <c r="M1175" s="44"/>
      <c r="N1175" s="44"/>
      <c r="O1175" s="44"/>
      <c r="P1175" s="44"/>
      <c r="Q1175" s="42"/>
      <c r="R1175" s="42"/>
      <c r="S1175" s="43"/>
      <c r="T1175" s="42"/>
      <c r="U1175" s="42"/>
      <c r="V1175" s="41"/>
      <c r="W1175" s="40"/>
    </row>
    <row r="1176" spans="1:31" ht="15.75">
      <c r="A1176" s="195">
        <v>43805</v>
      </c>
      <c r="B1176" s="63" t="s">
        <v>158</v>
      </c>
      <c r="C1176" s="56" t="s">
        <v>156</v>
      </c>
      <c r="D1176">
        <v>1931.27</v>
      </c>
      <c r="E1176">
        <v>1929.78</v>
      </c>
      <c r="F1176">
        <v>1923.62</v>
      </c>
      <c r="G1176">
        <v>1929.12</v>
      </c>
      <c r="H1176">
        <v>1933.96</v>
      </c>
      <c r="I1176">
        <v>1935.34</v>
      </c>
      <c r="J1176">
        <v>1923.48</v>
      </c>
      <c r="K1176">
        <v>1927.47</v>
      </c>
      <c r="L1176">
        <v>1934.27</v>
      </c>
      <c r="M1176" s="62"/>
      <c r="N1176" s="62"/>
      <c r="O1176" s="62"/>
      <c r="P1176" s="62"/>
      <c r="Q1176" s="57">
        <f>IF((L1177=""),"",MAX(D1178:L1178))</f>
        <v>3098.4400000000005</v>
      </c>
      <c r="R1176" s="57">
        <f>IF(L1177="","",MIN(D1178:L1178))</f>
        <v>2759.8799999999992</v>
      </c>
      <c r="S1176" s="58">
        <f>IF((L1178=""),"",AVERAGE(D1178:L1178))</f>
        <v>2930.2622222222221</v>
      </c>
      <c r="T1176" s="57">
        <f>IF((L1177=""),"",((Q1176-R1176)/(Q1176+R1176))*100)</f>
        <v>5.7791312185063521</v>
      </c>
      <c r="U1176" s="56">
        <f>STDEV(D1176:L1176)</f>
        <v>4.3898199786761891</v>
      </c>
      <c r="V1176" s="55" t="str">
        <f>IF(L1177="","",(IF(T1176&lt;12,IF(S1176&gt;2200,IF(S1176&lt;3280,"Pass","Fail"),"Fail"),"Fail")))</f>
        <v>Pass</v>
      </c>
      <c r="W1176" s="54">
        <v>1159</v>
      </c>
      <c r="X1176" s="26" t="s">
        <v>384</v>
      </c>
      <c r="Z1176" s="37">
        <v>2000</v>
      </c>
      <c r="AA1176" s="37">
        <v>3000</v>
      </c>
      <c r="AB1176" s="37">
        <v>2200</v>
      </c>
      <c r="AC1176" s="37">
        <v>3280</v>
      </c>
      <c r="AD1176" s="39">
        <v>12</v>
      </c>
      <c r="AE1176" s="39">
        <v>12</v>
      </c>
    </row>
    <row r="1177" spans="1:31" ht="15.75">
      <c r="A1177" s="199"/>
      <c r="B1177" s="48"/>
      <c r="C1177" s="51" t="s">
        <v>155</v>
      </c>
      <c r="D1177">
        <v>1191.43</v>
      </c>
      <c r="E1177">
        <v>1219.2</v>
      </c>
      <c r="F1177">
        <v>1233.6500000000001</v>
      </c>
      <c r="G1177">
        <v>1209.06</v>
      </c>
      <c r="H1177">
        <v>1159.3499999999999</v>
      </c>
      <c r="I1177">
        <v>1181.33</v>
      </c>
      <c r="J1177">
        <v>1217.99</v>
      </c>
      <c r="K1177">
        <v>1203.2</v>
      </c>
      <c r="L1177">
        <v>1160.01</v>
      </c>
      <c r="M1177" s="50"/>
      <c r="N1177" s="50"/>
      <c r="O1177" s="50"/>
      <c r="P1177" s="50"/>
      <c r="Q1177" s="48"/>
      <c r="R1177" s="48"/>
      <c r="S1177" s="48"/>
      <c r="T1177" s="48"/>
      <c r="U1177" s="48"/>
      <c r="V1177" s="47"/>
      <c r="W1177" s="46"/>
    </row>
    <row r="1178" spans="1:31" ht="24.75" thickBot="1">
      <c r="A1178" s="199"/>
      <c r="B1178" s="61"/>
      <c r="C1178" s="51" t="s">
        <v>154</v>
      </c>
      <c r="D1178" s="24">
        <f t="shared" ref="D1178:L1178" si="387">IF(((D1176="")*AND(D1177="")),"",(D1176-D1177)*4)</f>
        <v>2959.3599999999997</v>
      </c>
      <c r="E1178" s="24">
        <f t="shared" si="387"/>
        <v>2842.3199999999997</v>
      </c>
      <c r="F1178" s="24">
        <f t="shared" si="387"/>
        <v>2759.8799999999992</v>
      </c>
      <c r="G1178" s="24">
        <f t="shared" si="387"/>
        <v>2880.24</v>
      </c>
      <c r="H1178" s="24">
        <f t="shared" si="387"/>
        <v>3098.4400000000005</v>
      </c>
      <c r="I1178" s="24">
        <f t="shared" si="387"/>
        <v>3016.04</v>
      </c>
      <c r="J1178" s="24">
        <f t="shared" si="387"/>
        <v>2821.96</v>
      </c>
      <c r="K1178" s="24">
        <f t="shared" si="387"/>
        <v>2897.08</v>
      </c>
      <c r="L1178" s="24">
        <f t="shared" si="387"/>
        <v>3097.04</v>
      </c>
      <c r="M1178" s="24"/>
      <c r="N1178" s="24"/>
      <c r="O1178" s="24"/>
      <c r="P1178" s="24" t="str">
        <f>IF(((P1176="")*AND(P1177="")),"",(P1176-P1177)*4)</f>
        <v/>
      </c>
      <c r="Q1178" s="61"/>
      <c r="R1178" s="61"/>
      <c r="S1178" s="61"/>
      <c r="T1178" s="61"/>
      <c r="U1178" s="61"/>
      <c r="V1178" s="60"/>
      <c r="W1178" s="59"/>
    </row>
    <row r="1179" spans="1:31" ht="15.75">
      <c r="A1179" s="195">
        <v>43805</v>
      </c>
      <c r="B1179" s="57" t="s">
        <v>157</v>
      </c>
      <c r="C1179" s="51" t="s">
        <v>156</v>
      </c>
      <c r="D1179">
        <v>6737.97</v>
      </c>
      <c r="E1179">
        <v>6771.24</v>
      </c>
      <c r="F1179">
        <v>6905.89</v>
      </c>
      <c r="G1179">
        <v>6869.65</v>
      </c>
      <c r="H1179">
        <v>6837.5</v>
      </c>
      <c r="I1179">
        <v>6725.12</v>
      </c>
      <c r="J1179">
        <v>6833.97</v>
      </c>
      <c r="K1179">
        <v>6881.41</v>
      </c>
      <c r="L1179">
        <v>6814.12</v>
      </c>
      <c r="M1179" s="50"/>
      <c r="N1179" s="50"/>
      <c r="O1179" s="50"/>
      <c r="P1179" s="50"/>
      <c r="Q1179" s="57">
        <f>IF((L1180=""),"",MAX(D1181:L1181))</f>
        <v>3448.1399999999994</v>
      </c>
      <c r="R1179" s="57">
        <f>IF(L1180="","",MIN(D1181:L1181))</f>
        <v>3397.8199999999997</v>
      </c>
      <c r="S1179" s="58">
        <f>IF((L1181=""),"",AVERAGE(D1181:L1181))</f>
        <v>3424.5955555555547</v>
      </c>
      <c r="T1179" s="57">
        <f>IF((L1180=""),"",((Q1179-R1179)/(Q1179+R1179))*100)</f>
        <v>0.73503204809843636</v>
      </c>
      <c r="U1179" s="56">
        <f>STDEV(D1179:L1179)</f>
        <v>63.49898853086615</v>
      </c>
      <c r="V1179" s="55" t="str">
        <f>IF(L1180="","",(IF(T1179&lt;7,IF(S1179&gt;2800,IF(S1179&lt;3800,"Pass","Fail"),"Fail"),"Fail")))</f>
        <v>Pass</v>
      </c>
      <c r="W1179" s="54">
        <v>1159</v>
      </c>
      <c r="X1179" s="26" t="s">
        <v>384</v>
      </c>
      <c r="Z1179" s="53">
        <v>2800</v>
      </c>
      <c r="AA1179" s="53">
        <v>3800</v>
      </c>
      <c r="AB1179" s="53">
        <v>3100</v>
      </c>
      <c r="AC1179" s="53">
        <v>3760</v>
      </c>
      <c r="AD1179" s="52">
        <v>6</v>
      </c>
      <c r="AE1179" s="52">
        <v>6</v>
      </c>
    </row>
    <row r="1180" spans="1:31" ht="15.75">
      <c r="A1180" s="199"/>
      <c r="B1180" s="48"/>
      <c r="C1180" s="51" t="s">
        <v>155</v>
      </c>
      <c r="D1180">
        <v>5022.8999999999996</v>
      </c>
      <c r="E1180">
        <v>5056.57</v>
      </c>
      <c r="F1180">
        <v>5195.34</v>
      </c>
      <c r="G1180">
        <v>5160.46</v>
      </c>
      <c r="H1180">
        <v>5138.59</v>
      </c>
      <c r="I1180">
        <v>5014.82</v>
      </c>
      <c r="J1180">
        <v>5124.3999999999996</v>
      </c>
      <c r="K1180">
        <v>5163.0600000000004</v>
      </c>
      <c r="L1180">
        <v>5090.05</v>
      </c>
      <c r="M1180" s="50"/>
      <c r="N1180" s="50"/>
      <c r="O1180" s="50"/>
      <c r="P1180" s="50"/>
      <c r="Q1180" s="48"/>
      <c r="R1180" s="48"/>
      <c r="S1180" s="49"/>
      <c r="T1180" s="48"/>
      <c r="U1180" s="48"/>
      <c r="V1180" s="47"/>
      <c r="W1180" s="46"/>
    </row>
    <row r="1181" spans="1:31" ht="24.75" thickBot="1">
      <c r="A1181" s="199"/>
      <c r="B1181" s="42"/>
      <c r="C1181" s="45" t="s">
        <v>154</v>
      </c>
      <c r="D1181" s="44">
        <f t="shared" ref="D1181:L1181" si="388">IF(((D1179="")*AND(D1180="")),"",(D1179-D1180)*2)</f>
        <v>3430.1400000000012</v>
      </c>
      <c r="E1181" s="44">
        <f t="shared" si="388"/>
        <v>3429.34</v>
      </c>
      <c r="F1181" s="44">
        <f t="shared" si="388"/>
        <v>3421.1000000000004</v>
      </c>
      <c r="G1181" s="44">
        <f t="shared" si="388"/>
        <v>3418.3799999999992</v>
      </c>
      <c r="H1181" s="44">
        <f t="shared" si="388"/>
        <v>3397.8199999999997</v>
      </c>
      <c r="I1181" s="44">
        <f t="shared" si="388"/>
        <v>3420.6000000000004</v>
      </c>
      <c r="J1181" s="44">
        <f t="shared" si="388"/>
        <v>3419.1400000000012</v>
      </c>
      <c r="K1181" s="44">
        <f t="shared" si="388"/>
        <v>3436.6999999999989</v>
      </c>
      <c r="L1181" s="44">
        <f t="shared" si="388"/>
        <v>3448.1399999999994</v>
      </c>
      <c r="M1181" s="44"/>
      <c r="N1181" s="44"/>
      <c r="O1181" s="44"/>
      <c r="P1181" s="44"/>
      <c r="Q1181" s="42"/>
      <c r="R1181" s="42"/>
      <c r="S1181" s="43"/>
      <c r="T1181" s="42"/>
      <c r="U1181" s="42"/>
      <c r="V1181" s="41"/>
      <c r="W1181" s="40"/>
    </row>
    <row r="1182" spans="1:31" ht="15.75">
      <c r="A1182" s="195">
        <v>43808</v>
      </c>
      <c r="B1182" s="63" t="s">
        <v>158</v>
      </c>
      <c r="C1182" s="56" t="s">
        <v>156</v>
      </c>
      <c r="D1182">
        <v>1197.8699999999999</v>
      </c>
      <c r="E1182">
        <v>1222.07</v>
      </c>
      <c r="F1182">
        <v>1234.03</v>
      </c>
      <c r="G1182">
        <v>1214.4100000000001</v>
      </c>
      <c r="H1182">
        <v>1163.3499999999999</v>
      </c>
      <c r="I1182">
        <v>1184.73</v>
      </c>
      <c r="J1182">
        <v>1221.93</v>
      </c>
      <c r="K1182">
        <v>1205.6300000000001</v>
      </c>
      <c r="L1182">
        <v>1165.27</v>
      </c>
      <c r="M1182" s="62"/>
      <c r="N1182" s="62"/>
      <c r="O1182" s="62"/>
      <c r="P1182" s="62"/>
      <c r="Q1182" s="57">
        <f>IF((L1183=""),"",MAX(D1184:L1184))</f>
        <v>3062.52</v>
      </c>
      <c r="R1182" s="57">
        <f>IF(L1183="","",MIN(D1184:L1184))</f>
        <v>2727.96</v>
      </c>
      <c r="S1182" s="58">
        <f>IF((L1184=""),"",AVERAGE(D1184:L1184))</f>
        <v>2900.2177777777779</v>
      </c>
      <c r="T1182" s="57">
        <f>IF((L1183=""),"",((Q1182-R1182)/(Q1182+R1182))*100)</f>
        <v>5.7777593567372652</v>
      </c>
      <c r="U1182" s="56">
        <f>STDEV(D1182:L1182)</f>
        <v>25.35476177060908</v>
      </c>
      <c r="V1182" s="55" t="str">
        <f>IF(L1183="","",(IF(T1182&lt;12,IF(S1182&gt;2200,IF(S1182&lt;3280,"Pass","Fail"),"Fail"),"Fail")))</f>
        <v>Pass</v>
      </c>
      <c r="W1182" s="54">
        <v>1159</v>
      </c>
      <c r="X1182" s="26" t="s">
        <v>386</v>
      </c>
      <c r="Z1182" s="37">
        <v>2000</v>
      </c>
      <c r="AA1182" s="37">
        <v>3000</v>
      </c>
      <c r="AB1182" s="37">
        <v>2200</v>
      </c>
      <c r="AC1182" s="37">
        <v>3280</v>
      </c>
      <c r="AD1182" s="39">
        <v>12</v>
      </c>
      <c r="AE1182" s="39">
        <v>12</v>
      </c>
    </row>
    <row r="1183" spans="1:31" ht="15.75">
      <c r="A1183" s="199"/>
      <c r="B1183" s="48"/>
      <c r="C1183" s="51" t="s">
        <v>155</v>
      </c>
      <c r="D1183">
        <v>457</v>
      </c>
      <c r="E1183">
        <v>520.12</v>
      </c>
      <c r="F1183">
        <v>552.04</v>
      </c>
      <c r="G1183">
        <v>504.56</v>
      </c>
      <c r="H1183">
        <v>400.1</v>
      </c>
      <c r="I1183">
        <v>431.9</v>
      </c>
      <c r="J1183">
        <v>518.95000000000005</v>
      </c>
      <c r="K1183">
        <v>499.49</v>
      </c>
      <c r="L1183">
        <v>399.64</v>
      </c>
      <c r="M1183" s="50"/>
      <c r="N1183" s="50"/>
      <c r="O1183" s="50"/>
      <c r="P1183" s="50"/>
      <c r="Q1183" s="48"/>
      <c r="R1183" s="48"/>
      <c r="S1183" s="48"/>
      <c r="T1183" s="48"/>
      <c r="U1183" s="48"/>
      <c r="V1183" s="47"/>
      <c r="W1183" s="46"/>
    </row>
    <row r="1184" spans="1:31" ht="24.75" thickBot="1">
      <c r="A1184" s="199"/>
      <c r="B1184" s="61"/>
      <c r="C1184" s="51" t="s">
        <v>154</v>
      </c>
      <c r="D1184" s="24">
        <f t="shared" ref="D1184:L1184" si="389">IF(((D1182="")*AND(D1183="")),"",(D1182-D1183)*4)</f>
        <v>2963.4799999999996</v>
      </c>
      <c r="E1184" s="24">
        <f t="shared" si="389"/>
        <v>2807.7999999999997</v>
      </c>
      <c r="F1184" s="24">
        <f t="shared" si="389"/>
        <v>2727.96</v>
      </c>
      <c r="G1184" s="24">
        <f t="shared" si="389"/>
        <v>2839.4000000000005</v>
      </c>
      <c r="H1184" s="24">
        <f t="shared" si="389"/>
        <v>3052.9999999999995</v>
      </c>
      <c r="I1184" s="24">
        <f t="shared" si="389"/>
        <v>3011.32</v>
      </c>
      <c r="J1184" s="24">
        <f t="shared" si="389"/>
        <v>2811.92</v>
      </c>
      <c r="K1184" s="24">
        <f t="shared" si="389"/>
        <v>2824.5600000000004</v>
      </c>
      <c r="L1184" s="24">
        <f t="shared" si="389"/>
        <v>3062.52</v>
      </c>
      <c r="M1184" s="24"/>
      <c r="N1184" s="24"/>
      <c r="O1184" s="24"/>
      <c r="P1184" s="24" t="str">
        <f>IF(((P1182="")*AND(P1183="")),"",(P1182-P1183)*4)</f>
        <v/>
      </c>
      <c r="Q1184" s="61"/>
      <c r="R1184" s="61"/>
      <c r="S1184" s="61"/>
      <c r="T1184" s="61"/>
      <c r="U1184" s="61"/>
      <c r="V1184" s="60"/>
      <c r="W1184" s="59"/>
    </row>
    <row r="1185" spans="1:31" ht="15.75">
      <c r="A1185" s="195">
        <v>43808</v>
      </c>
      <c r="B1185" s="57" t="s">
        <v>157</v>
      </c>
      <c r="C1185" s="51" t="s">
        <v>156</v>
      </c>
      <c r="D1185">
        <v>5024.7299999999996</v>
      </c>
      <c r="E1185">
        <v>5057.76</v>
      </c>
      <c r="F1185">
        <v>5196.3599999999997</v>
      </c>
      <c r="G1185">
        <v>5161.07</v>
      </c>
      <c r="H1185">
        <v>5139.67</v>
      </c>
      <c r="I1185">
        <v>5018.2299999999996</v>
      </c>
      <c r="J1185">
        <v>5125.3900000000003</v>
      </c>
      <c r="K1185">
        <v>5164.08</v>
      </c>
      <c r="L1185">
        <v>5091.08</v>
      </c>
      <c r="M1185" s="50"/>
      <c r="N1185" s="50"/>
      <c r="O1185" s="50"/>
      <c r="P1185" s="50"/>
      <c r="Q1185" s="57">
        <f>IF((L1186=""),"",MAX(D1187:L1187))</f>
        <v>3429.7</v>
      </c>
      <c r="R1185" s="57">
        <f>IF(L1186="","",MIN(D1187:L1187))</f>
        <v>3379.76</v>
      </c>
      <c r="S1185" s="58">
        <f>IF((L1187=""),"",AVERAGE(D1187:L1187))</f>
        <v>3409.4022222222225</v>
      </c>
      <c r="T1185" s="57">
        <f>IF((L1186=""),"",((Q1185-R1185)/(Q1185+R1185))*100)</f>
        <v>0.73339148772442453</v>
      </c>
      <c r="U1185" s="56">
        <f>STDEV(D1185:L1185)</f>
        <v>64.102128626440631</v>
      </c>
      <c r="V1185" s="55" t="str">
        <f>IF(L1186="","",(IF(T1185&lt;7,IF(S1185&gt;2800,IF(S1185&lt;3800,"Pass","Fail"),"Fail"),"Fail")))</f>
        <v>Pass</v>
      </c>
      <c r="W1185" s="54">
        <v>1159</v>
      </c>
      <c r="X1185" s="26" t="s">
        <v>386</v>
      </c>
      <c r="Z1185" s="53">
        <v>2800</v>
      </c>
      <c r="AA1185" s="53">
        <v>3800</v>
      </c>
      <c r="AB1185" s="53">
        <v>3100</v>
      </c>
      <c r="AC1185" s="53">
        <v>3760</v>
      </c>
      <c r="AD1185" s="52">
        <v>6</v>
      </c>
      <c r="AE1185" s="52">
        <v>6</v>
      </c>
    </row>
    <row r="1186" spans="1:31" ht="15.75">
      <c r="A1186" s="199"/>
      <c r="B1186" s="48"/>
      <c r="C1186" s="51" t="s">
        <v>155</v>
      </c>
      <c r="D1186">
        <v>3321.3</v>
      </c>
      <c r="E1186">
        <v>3353.6</v>
      </c>
      <c r="F1186">
        <v>3489.05</v>
      </c>
      <c r="G1186">
        <v>3457.26</v>
      </c>
      <c r="H1186">
        <v>3449.79</v>
      </c>
      <c r="I1186">
        <v>3313.15</v>
      </c>
      <c r="J1186">
        <v>3425.53</v>
      </c>
      <c r="K1186">
        <v>3450.15</v>
      </c>
      <c r="L1186">
        <v>3376.23</v>
      </c>
      <c r="M1186" s="50"/>
      <c r="N1186" s="50"/>
      <c r="O1186" s="50"/>
      <c r="P1186" s="50"/>
      <c r="Q1186" s="48"/>
      <c r="R1186" s="48"/>
      <c r="S1186" s="49"/>
      <c r="T1186" s="48"/>
      <c r="U1186" s="48"/>
      <c r="V1186" s="47"/>
      <c r="W1186" s="46"/>
    </row>
    <row r="1187" spans="1:31" ht="24.75" thickBot="1">
      <c r="A1187" s="199"/>
      <c r="B1187" s="42"/>
      <c r="C1187" s="45" t="s">
        <v>154</v>
      </c>
      <c r="D1187" s="44">
        <f t="shared" ref="D1187:L1187" si="390">IF(((D1185="")*AND(D1186="")),"",(D1185-D1186)*2)</f>
        <v>3406.8599999999988</v>
      </c>
      <c r="E1187" s="44">
        <f t="shared" si="390"/>
        <v>3408.3200000000006</v>
      </c>
      <c r="F1187" s="44">
        <f t="shared" si="390"/>
        <v>3414.619999999999</v>
      </c>
      <c r="G1187" s="44">
        <f t="shared" si="390"/>
        <v>3407.619999999999</v>
      </c>
      <c r="H1187" s="44">
        <f t="shared" si="390"/>
        <v>3379.76</v>
      </c>
      <c r="I1187" s="44">
        <f t="shared" si="390"/>
        <v>3410.1599999999989</v>
      </c>
      <c r="J1187" s="44">
        <f t="shared" si="390"/>
        <v>3399.7200000000003</v>
      </c>
      <c r="K1187" s="44">
        <f t="shared" si="390"/>
        <v>3427.8599999999997</v>
      </c>
      <c r="L1187" s="44">
        <f t="shared" si="390"/>
        <v>3429.7</v>
      </c>
      <c r="M1187" s="44"/>
      <c r="N1187" s="44"/>
      <c r="O1187" s="44"/>
      <c r="P1187" s="44"/>
      <c r="Q1187" s="42"/>
      <c r="R1187" s="42"/>
      <c r="S1187" s="43"/>
      <c r="T1187" s="42"/>
      <c r="U1187" s="42"/>
      <c r="V1187" s="41"/>
      <c r="W1187" s="40"/>
    </row>
    <row r="1188" spans="1:31" ht="15.75">
      <c r="A1188" s="195">
        <v>43816</v>
      </c>
      <c r="B1188" s="63" t="s">
        <v>158</v>
      </c>
      <c r="C1188" s="56" t="s">
        <v>156</v>
      </c>
      <c r="D1188">
        <v>1962.48</v>
      </c>
      <c r="E1188">
        <v>1957.99</v>
      </c>
      <c r="F1188">
        <v>1953.1</v>
      </c>
      <c r="G1188">
        <v>1962.41</v>
      </c>
      <c r="H1188">
        <v>1967.53</v>
      </c>
      <c r="I1188">
        <v>1966.2</v>
      </c>
      <c r="J1188">
        <v>1960.18</v>
      </c>
      <c r="K1188">
        <v>1958.27</v>
      </c>
      <c r="L1188">
        <v>1964.98</v>
      </c>
      <c r="M1188" s="62"/>
      <c r="N1188" s="62"/>
      <c r="O1188" s="62"/>
      <c r="P1188" s="62"/>
      <c r="Q1188" s="57">
        <f>IF((L1189=""),"",MAX(D1190:L1190))</f>
        <v>3112.3999999999996</v>
      </c>
      <c r="R1188" s="57">
        <f>IF(L1189="","",MIN(D1190:L1190))</f>
        <v>2777.8799999999992</v>
      </c>
      <c r="S1188" s="58">
        <f>IF((L1190=""),"",AVERAGE(D1190:L1190))</f>
        <v>2931.2088888888884</v>
      </c>
      <c r="T1188" s="57">
        <f>IF((L1189=""),"",((Q1188-R1188)/(Q1188+R1188))*100)</f>
        <v>5.6791867279654022</v>
      </c>
      <c r="U1188" s="56">
        <f>STDEV(D1188:L1188)</f>
        <v>4.5742595028018807</v>
      </c>
      <c r="V1188" s="55" t="str">
        <f>IF(L1189="","",(IF(T1188&lt;12,IF(S1188&gt;2200,IF(S1188&lt;3280,"Pass","Fail"),"Fail"),"Fail")))</f>
        <v>Pass</v>
      </c>
      <c r="W1188" s="54">
        <v>1159</v>
      </c>
      <c r="X1188" s="26" t="s">
        <v>391</v>
      </c>
      <c r="Z1188" s="37">
        <v>2000</v>
      </c>
      <c r="AA1188" s="37">
        <v>3000</v>
      </c>
      <c r="AB1188" s="37">
        <v>2200</v>
      </c>
      <c r="AC1188" s="37">
        <v>3280</v>
      </c>
      <c r="AD1188" s="39">
        <v>12</v>
      </c>
      <c r="AE1188" s="39">
        <v>12</v>
      </c>
    </row>
    <row r="1189" spans="1:31" ht="15.75">
      <c r="A1189" s="199"/>
      <c r="B1189" s="48"/>
      <c r="C1189" s="51" t="s">
        <v>155</v>
      </c>
      <c r="D1189">
        <v>1224.76</v>
      </c>
      <c r="E1189">
        <v>1255.33</v>
      </c>
      <c r="F1189">
        <v>1258.6300000000001</v>
      </c>
      <c r="G1189">
        <v>1240.3900000000001</v>
      </c>
      <c r="H1189">
        <v>1190.74</v>
      </c>
      <c r="I1189">
        <v>1213.07</v>
      </c>
      <c r="J1189">
        <v>1250.73</v>
      </c>
      <c r="K1189">
        <v>1237.3900000000001</v>
      </c>
      <c r="L1189">
        <v>1186.8800000000001</v>
      </c>
      <c r="M1189" s="50"/>
      <c r="N1189" s="50"/>
      <c r="O1189" s="50"/>
      <c r="P1189" s="50"/>
      <c r="Q1189" s="48"/>
      <c r="R1189" s="48"/>
      <c r="S1189" s="48"/>
      <c r="T1189" s="48"/>
      <c r="U1189" s="48"/>
      <c r="V1189" s="47"/>
      <c r="W1189" s="46"/>
    </row>
    <row r="1190" spans="1:31" ht="24.75" thickBot="1">
      <c r="A1190" s="199"/>
      <c r="B1190" s="61"/>
      <c r="C1190" s="51" t="s">
        <v>154</v>
      </c>
      <c r="D1190" s="24">
        <f t="shared" ref="D1190:L1190" si="391">IF(((D1188="")*AND(D1189="")),"",(D1188-D1189)*4)</f>
        <v>2950.88</v>
      </c>
      <c r="E1190" s="24">
        <f t="shared" si="391"/>
        <v>2810.6400000000003</v>
      </c>
      <c r="F1190" s="24">
        <f t="shared" si="391"/>
        <v>2777.8799999999992</v>
      </c>
      <c r="G1190" s="24">
        <f t="shared" si="391"/>
        <v>2888.08</v>
      </c>
      <c r="H1190" s="24">
        <f t="shared" si="391"/>
        <v>3107.16</v>
      </c>
      <c r="I1190" s="24">
        <f t="shared" si="391"/>
        <v>3012.5200000000004</v>
      </c>
      <c r="J1190" s="24">
        <f t="shared" si="391"/>
        <v>2837.8</v>
      </c>
      <c r="K1190" s="24">
        <f t="shared" si="391"/>
        <v>2883.5199999999995</v>
      </c>
      <c r="L1190" s="24">
        <f t="shared" si="391"/>
        <v>3112.3999999999996</v>
      </c>
      <c r="M1190" s="24"/>
      <c r="N1190" s="24"/>
      <c r="O1190" s="24"/>
      <c r="P1190" s="24" t="str">
        <f>IF(((P1188="")*AND(P1189="")),"",(P1188-P1189)*4)</f>
        <v/>
      </c>
      <c r="Q1190" s="61"/>
      <c r="R1190" s="61"/>
      <c r="S1190" s="61"/>
      <c r="T1190" s="61"/>
      <c r="U1190" s="61"/>
      <c r="V1190" s="60"/>
      <c r="W1190" s="59"/>
    </row>
    <row r="1191" spans="1:31" ht="15.75">
      <c r="A1191" s="195">
        <v>43816</v>
      </c>
      <c r="B1191" s="57" t="s">
        <v>157</v>
      </c>
      <c r="C1191" s="51" t="s">
        <v>156</v>
      </c>
      <c r="D1191">
        <v>3326.87</v>
      </c>
      <c r="E1191">
        <v>3367.56</v>
      </c>
      <c r="F1191">
        <v>3491.4</v>
      </c>
      <c r="G1191">
        <v>3450.25</v>
      </c>
      <c r="H1191">
        <v>3457.17</v>
      </c>
      <c r="I1191">
        <v>3309.75</v>
      </c>
      <c r="J1191">
        <v>3426</v>
      </c>
      <c r="K1191">
        <v>3462.53</v>
      </c>
      <c r="L1191">
        <v>3391.54</v>
      </c>
      <c r="M1191" s="50"/>
      <c r="N1191" s="50"/>
      <c r="O1191" s="50"/>
      <c r="P1191" s="50"/>
      <c r="Q1191" s="57">
        <f>IF((L1192=""),"",MAX(D1193:L1193))</f>
        <v>3390.9200000000005</v>
      </c>
      <c r="R1191" s="57">
        <f>IF(L1192="","",MIN(D1193:L1193))</f>
        <v>3335.4</v>
      </c>
      <c r="S1191" s="58">
        <f>IF((L1193=""),"",AVERAGE(D1193:L1193))</f>
        <v>3367.3555555555558</v>
      </c>
      <c r="T1191" s="57">
        <f>IF((L1192=""),"",((Q1191-R1191)/(Q1191+R1191))*100)</f>
        <v>0.82541419379393832</v>
      </c>
      <c r="U1191" s="56">
        <f>STDEV(D1191:L1191)</f>
        <v>63.819746944020871</v>
      </c>
      <c r="V1191" s="55" t="str">
        <f>IF(L1192="","",(IF(T1191&lt;7,IF(S1191&gt;2800,IF(S1191&lt;3800,"Pass","Fail"),"Fail"),"Fail")))</f>
        <v>Pass</v>
      </c>
      <c r="W1191" s="54">
        <v>1159</v>
      </c>
      <c r="X1191" s="26" t="s">
        <v>391</v>
      </c>
      <c r="Z1191" s="53">
        <v>2800</v>
      </c>
      <c r="AA1191" s="53">
        <v>3800</v>
      </c>
      <c r="AB1191" s="53">
        <v>3100</v>
      </c>
      <c r="AC1191" s="53">
        <v>3760</v>
      </c>
      <c r="AD1191" s="52">
        <v>6</v>
      </c>
      <c r="AE1191" s="52">
        <v>6</v>
      </c>
    </row>
    <row r="1192" spans="1:31" ht="15.75">
      <c r="A1192" s="199"/>
      <c r="B1192" s="48"/>
      <c r="C1192" s="51" t="s">
        <v>155</v>
      </c>
      <c r="D1192">
        <v>1646.32</v>
      </c>
      <c r="E1192">
        <v>1680.08</v>
      </c>
      <c r="F1192">
        <v>1804.81</v>
      </c>
      <c r="G1192">
        <v>1765.78</v>
      </c>
      <c r="H1192">
        <v>1789.47</v>
      </c>
      <c r="I1192">
        <v>1631.99</v>
      </c>
      <c r="J1192">
        <v>1746.66</v>
      </c>
      <c r="K1192">
        <v>1767.07</v>
      </c>
      <c r="L1192">
        <v>1697.79</v>
      </c>
      <c r="M1192" s="50"/>
      <c r="N1192" s="50"/>
      <c r="O1192" s="50"/>
      <c r="P1192" s="50"/>
      <c r="Q1192" s="48"/>
      <c r="R1192" s="48"/>
      <c r="S1192" s="49"/>
      <c r="T1192" s="48"/>
      <c r="U1192" s="48"/>
      <c r="V1192" s="47"/>
      <c r="W1192" s="46"/>
    </row>
    <row r="1193" spans="1:31" ht="24.75" thickBot="1">
      <c r="A1193" s="199"/>
      <c r="B1193" s="42"/>
      <c r="C1193" s="45" t="s">
        <v>154</v>
      </c>
      <c r="D1193" s="44">
        <f t="shared" ref="D1193:L1193" si="392">IF(((D1191="")*AND(D1192="")),"",(D1191-D1192)*2)</f>
        <v>3361.1</v>
      </c>
      <c r="E1193" s="44">
        <f t="shared" si="392"/>
        <v>3374.96</v>
      </c>
      <c r="F1193" s="44">
        <f t="shared" si="392"/>
        <v>3373.1800000000003</v>
      </c>
      <c r="G1193" s="44">
        <f t="shared" si="392"/>
        <v>3368.94</v>
      </c>
      <c r="H1193" s="44">
        <f t="shared" si="392"/>
        <v>3335.4</v>
      </c>
      <c r="I1193" s="44">
        <f t="shared" si="392"/>
        <v>3355.52</v>
      </c>
      <c r="J1193" s="44">
        <f t="shared" si="392"/>
        <v>3358.68</v>
      </c>
      <c r="K1193" s="44">
        <f t="shared" si="392"/>
        <v>3390.9200000000005</v>
      </c>
      <c r="L1193" s="44">
        <f t="shared" si="392"/>
        <v>3387.5</v>
      </c>
      <c r="M1193" s="44"/>
      <c r="N1193" s="44"/>
      <c r="O1193" s="44"/>
      <c r="P1193" s="44"/>
      <c r="Q1193" s="42"/>
      <c r="R1193" s="42"/>
      <c r="S1193" s="43"/>
      <c r="T1193" s="42"/>
      <c r="U1193" s="42"/>
      <c r="V1193" s="41"/>
      <c r="W1193" s="40"/>
    </row>
    <row r="1194" spans="1:31" ht="15.75">
      <c r="A1194" s="195">
        <v>43823</v>
      </c>
      <c r="B1194" s="63" t="s">
        <v>158</v>
      </c>
      <c r="C1194" s="56" t="s">
        <v>156</v>
      </c>
      <c r="D1194">
        <v>1223.29</v>
      </c>
      <c r="E1194">
        <v>1250.74</v>
      </c>
      <c r="F1194">
        <v>1257.49</v>
      </c>
      <c r="G1194">
        <v>1237.46</v>
      </c>
      <c r="H1194">
        <v>1189.3699999999999</v>
      </c>
      <c r="I1194">
        <v>1209.3599999999999</v>
      </c>
      <c r="J1194">
        <v>1246.68</v>
      </c>
      <c r="K1194">
        <v>1235.69</v>
      </c>
      <c r="L1194">
        <v>1187.92</v>
      </c>
      <c r="M1194" s="62"/>
      <c r="N1194" s="62"/>
      <c r="O1194" s="62"/>
      <c r="P1194" s="62"/>
      <c r="Q1194" s="57">
        <f>IF((L1195=""),"",MAX(D1196:L1196))</f>
        <v>3007.16</v>
      </c>
      <c r="R1194" s="57">
        <f>IF(L1195="","",MIN(D1196:L1196))</f>
        <v>2700</v>
      </c>
      <c r="S1194" s="58">
        <f>IF((L1196=""),"",AVERAGE(D1196:L1196))</f>
        <v>2846.7022222222222</v>
      </c>
      <c r="T1194" s="57">
        <f>IF((L1195=""),"",((Q1194-R1194)/(Q1194+R1194))*100)</f>
        <v>5.382011368176113</v>
      </c>
      <c r="U1194" s="56">
        <f>STDEV(D1194:L1194)</f>
        <v>25.813942507441162</v>
      </c>
      <c r="V1194" s="55" t="str">
        <f>IF(L1195="","",(IF(T1194&lt;12,IF(S1194&gt;2200,IF(S1194&lt;3280,"Pass","Fail"),"Fail"),"Fail")))</f>
        <v>Pass</v>
      </c>
      <c r="W1194" s="54">
        <v>1428</v>
      </c>
      <c r="X1194" s="26" t="s">
        <v>393</v>
      </c>
      <c r="Z1194" s="37">
        <v>2000</v>
      </c>
      <c r="AA1194" s="37">
        <v>3000</v>
      </c>
      <c r="AB1194" s="37">
        <v>2200</v>
      </c>
      <c r="AC1194" s="37">
        <v>3280</v>
      </c>
      <c r="AD1194" s="39">
        <v>12</v>
      </c>
      <c r="AE1194" s="39">
        <v>12</v>
      </c>
    </row>
    <row r="1195" spans="1:31" ht="15.75">
      <c r="A1195" s="199"/>
      <c r="B1195" s="48"/>
      <c r="C1195" s="51" t="s">
        <v>155</v>
      </c>
      <c r="D1195">
        <v>505.54</v>
      </c>
      <c r="E1195">
        <v>564.27</v>
      </c>
      <c r="F1195">
        <v>582.49</v>
      </c>
      <c r="G1195">
        <v>538.76</v>
      </c>
      <c r="H1195">
        <v>437.58</v>
      </c>
      <c r="I1195">
        <v>474.63</v>
      </c>
      <c r="J1195">
        <v>555.47</v>
      </c>
      <c r="K1195">
        <v>534.6</v>
      </c>
      <c r="L1195">
        <v>439.58</v>
      </c>
      <c r="M1195" s="50"/>
      <c r="N1195" s="50"/>
      <c r="O1195" s="50"/>
      <c r="P1195" s="50"/>
      <c r="Q1195" s="48"/>
      <c r="R1195" s="48"/>
      <c r="S1195" s="48"/>
      <c r="T1195" s="48"/>
      <c r="U1195" s="48"/>
      <c r="V1195" s="47"/>
      <c r="W1195" s="46"/>
    </row>
    <row r="1196" spans="1:31" ht="24.75" thickBot="1">
      <c r="A1196" s="199"/>
      <c r="B1196" s="61"/>
      <c r="C1196" s="51" t="s">
        <v>154</v>
      </c>
      <c r="D1196" s="24">
        <f t="shared" ref="D1196:L1196" si="393">IF(((D1194="")*AND(D1195="")),"",(D1194-D1195)*4)</f>
        <v>2871</v>
      </c>
      <c r="E1196" s="24">
        <f t="shared" si="393"/>
        <v>2745.88</v>
      </c>
      <c r="F1196" s="24">
        <f t="shared" si="393"/>
        <v>2700</v>
      </c>
      <c r="G1196" s="24">
        <f t="shared" si="393"/>
        <v>2794.8</v>
      </c>
      <c r="H1196" s="24">
        <f t="shared" si="393"/>
        <v>3007.16</v>
      </c>
      <c r="I1196" s="24">
        <f t="shared" si="393"/>
        <v>2938.9199999999996</v>
      </c>
      <c r="J1196" s="24">
        <f t="shared" si="393"/>
        <v>2764.84</v>
      </c>
      <c r="K1196" s="24">
        <f t="shared" si="393"/>
        <v>2804.36</v>
      </c>
      <c r="L1196" s="24">
        <f t="shared" si="393"/>
        <v>2993.3600000000006</v>
      </c>
      <c r="M1196" s="24"/>
      <c r="N1196" s="24"/>
      <c r="O1196" s="24"/>
      <c r="P1196" s="24" t="str">
        <f>IF(((P1194="")*AND(P1195="")),"",(P1194-P1195)*4)</f>
        <v/>
      </c>
      <c r="Q1196" s="61"/>
      <c r="R1196" s="61"/>
      <c r="S1196" s="61"/>
      <c r="T1196" s="61"/>
      <c r="U1196" s="61"/>
      <c r="V1196" s="60"/>
      <c r="W1196" s="59"/>
    </row>
    <row r="1197" spans="1:31" ht="15.75">
      <c r="A1197" s="195">
        <v>43823</v>
      </c>
      <c r="B1197" s="57" t="s">
        <v>157</v>
      </c>
      <c r="C1197" s="51" t="s">
        <v>156</v>
      </c>
      <c r="D1197">
        <v>6735.95</v>
      </c>
      <c r="E1197">
        <v>6770.18</v>
      </c>
      <c r="F1197">
        <v>6903.78</v>
      </c>
      <c r="G1197">
        <v>6868.69</v>
      </c>
      <c r="H1197">
        <v>6832.46</v>
      </c>
      <c r="I1197">
        <v>6719.41</v>
      </c>
      <c r="J1197">
        <v>6831.29</v>
      </c>
      <c r="K1197">
        <v>6881.17</v>
      </c>
      <c r="L1197">
        <v>6815.8</v>
      </c>
      <c r="M1197" s="50"/>
      <c r="N1197" s="50"/>
      <c r="O1197" s="50"/>
      <c r="P1197" s="50"/>
      <c r="Q1197" s="57">
        <f>IF((L1198=""),"",MAX(D1199:L1199))</f>
        <v>3621.6000000000004</v>
      </c>
      <c r="R1197" s="57">
        <f>IF(L1198="","",MIN(D1199:L1199))</f>
        <v>3569.6000000000004</v>
      </c>
      <c r="S1197" s="58">
        <f>IF((L1199=""),"",AVERAGE(D1199:L1199))</f>
        <v>3585.7733333333331</v>
      </c>
      <c r="T1197" s="57">
        <f>IF((L1198=""),"",((Q1197-R1197)/(Q1197+R1197))*100)</f>
        <v>0.72310601846701517</v>
      </c>
      <c r="U1197" s="56">
        <f>STDEV(D1197:L1197)</f>
        <v>64.271342758598607</v>
      </c>
      <c r="V1197" s="55" t="str">
        <f>IF(L1198="","",(IF(T1197&lt;7,IF(S1197&gt;2800,IF(S1197&lt;3800,"Pass","Fail"),"Fail"),"Fail")))</f>
        <v>Pass</v>
      </c>
      <c r="W1197" s="54">
        <v>1428</v>
      </c>
      <c r="X1197" s="26" t="s">
        <v>393</v>
      </c>
      <c r="Z1197" s="53">
        <v>2800</v>
      </c>
      <c r="AA1197" s="53">
        <v>3800</v>
      </c>
      <c r="AB1197" s="53">
        <v>3100</v>
      </c>
      <c r="AC1197" s="53">
        <v>3760</v>
      </c>
      <c r="AD1197" s="52">
        <v>6</v>
      </c>
      <c r="AE1197" s="52">
        <v>6</v>
      </c>
    </row>
    <row r="1198" spans="1:31" ht="15.75">
      <c r="A1198" s="199"/>
      <c r="B1198" s="48"/>
      <c r="C1198" s="51" t="s">
        <v>155</v>
      </c>
      <c r="D1198">
        <v>4939.09</v>
      </c>
      <c r="E1198">
        <v>4982.5600000000004</v>
      </c>
      <c r="F1198">
        <v>5118.9799999999996</v>
      </c>
      <c r="G1198">
        <v>5082.99</v>
      </c>
      <c r="H1198">
        <v>5041.6499999999996</v>
      </c>
      <c r="I1198">
        <v>4908.6099999999997</v>
      </c>
      <c r="J1198">
        <v>5041.3100000000004</v>
      </c>
      <c r="K1198">
        <v>5092.78</v>
      </c>
      <c r="L1198">
        <v>5014.78</v>
      </c>
      <c r="M1198" s="50"/>
      <c r="N1198" s="50"/>
      <c r="O1198" s="50"/>
      <c r="P1198" s="50"/>
      <c r="Q1198" s="48"/>
      <c r="R1198" s="48"/>
      <c r="S1198" s="49"/>
      <c r="T1198" s="48"/>
      <c r="U1198" s="48"/>
      <c r="V1198" s="47"/>
      <c r="W1198" s="46"/>
    </row>
    <row r="1199" spans="1:31" ht="24.75" thickBot="1">
      <c r="A1199" s="199"/>
      <c r="B1199" s="42"/>
      <c r="C1199" s="45" t="s">
        <v>154</v>
      </c>
      <c r="D1199" s="44">
        <f t="shared" ref="D1199:L1199" si="394">IF(((D1197="")*AND(D1198="")),"",(D1197-D1198)*2)</f>
        <v>3593.7199999999993</v>
      </c>
      <c r="E1199" s="44">
        <f t="shared" si="394"/>
        <v>3575.24</v>
      </c>
      <c r="F1199" s="44">
        <f t="shared" si="394"/>
        <v>3569.6000000000004</v>
      </c>
      <c r="G1199" s="44">
        <f t="shared" si="394"/>
        <v>3571.3999999999996</v>
      </c>
      <c r="H1199" s="44">
        <f t="shared" si="394"/>
        <v>3581.6200000000008</v>
      </c>
      <c r="I1199" s="44">
        <f t="shared" si="394"/>
        <v>3621.6000000000004</v>
      </c>
      <c r="J1199" s="44">
        <f t="shared" si="394"/>
        <v>3579.9599999999991</v>
      </c>
      <c r="K1199" s="44">
        <f t="shared" si="394"/>
        <v>3576.7800000000007</v>
      </c>
      <c r="L1199" s="44">
        <f t="shared" si="394"/>
        <v>3602.0400000000009</v>
      </c>
      <c r="M1199" s="44"/>
      <c r="N1199" s="44"/>
      <c r="O1199" s="44"/>
      <c r="P1199" s="44"/>
      <c r="Q1199" s="42"/>
      <c r="R1199" s="42"/>
      <c r="S1199" s="43"/>
      <c r="T1199" s="42"/>
      <c r="U1199" s="42"/>
      <c r="V1199" s="41"/>
      <c r="W1199" s="40"/>
    </row>
    <row r="1200" spans="1:31" ht="15.75">
      <c r="A1200" s="195">
        <v>43833</v>
      </c>
      <c r="B1200" s="63" t="s">
        <v>158</v>
      </c>
      <c r="C1200" s="56" t="s">
        <v>156</v>
      </c>
      <c r="D1200">
        <v>1938.18</v>
      </c>
      <c r="E1200">
        <v>1935</v>
      </c>
      <c r="F1200">
        <v>1927.05</v>
      </c>
      <c r="G1200">
        <v>1933.97</v>
      </c>
      <c r="H1200">
        <v>1937.9</v>
      </c>
      <c r="I1200">
        <v>1940.46</v>
      </c>
      <c r="J1200">
        <v>1936.62</v>
      </c>
      <c r="K1200">
        <v>1935.77</v>
      </c>
      <c r="L1200">
        <v>1940.74</v>
      </c>
      <c r="M1200" s="62"/>
      <c r="N1200" s="62"/>
      <c r="O1200" s="62"/>
      <c r="P1200" s="62"/>
      <c r="Q1200" s="57">
        <f>IF((L1201=""),"",MAX(D1202:L1202))</f>
        <v>3108.76</v>
      </c>
      <c r="R1200" s="57">
        <f>IF(L1201="","",MIN(D1202:L1202))</f>
        <v>2735.08</v>
      </c>
      <c r="S1200" s="58">
        <f>IF((L1202=""),"",AVERAGE(D1202:L1202))</f>
        <v>2922.4977777777781</v>
      </c>
      <c r="T1200" s="57">
        <f>IF((L1201=""),"",((Q1200-R1200)/(Q1200+R1200))*100)</f>
        <v>6.3944255831781884</v>
      </c>
      <c r="U1200" s="56">
        <f>STDEV(D1200:L1200)</f>
        <v>4.1240901351086121</v>
      </c>
      <c r="V1200" s="55" t="str">
        <f>IF(L1201="","",(IF(T1200&lt;12,IF(S1200&gt;2200,IF(S1200&lt;3280,"Pass","Fail"),"Fail"),"Fail")))</f>
        <v>Pass</v>
      </c>
      <c r="W1200" s="54">
        <v>1428</v>
      </c>
      <c r="X1200" s="26" t="s">
        <v>394</v>
      </c>
      <c r="Z1200" s="37">
        <v>2000</v>
      </c>
      <c r="AA1200" s="37">
        <v>3000</v>
      </c>
      <c r="AB1200" s="37">
        <v>2200</v>
      </c>
      <c r="AC1200" s="37">
        <v>3280</v>
      </c>
      <c r="AD1200" s="39">
        <v>12</v>
      </c>
      <c r="AE1200" s="39">
        <v>12</v>
      </c>
    </row>
    <row r="1201" spans="1:31" ht="15.75">
      <c r="A1201" s="199"/>
      <c r="B1201" s="48"/>
      <c r="C1201" s="51" t="s">
        <v>155</v>
      </c>
      <c r="D1201">
        <v>1201.02</v>
      </c>
      <c r="E1201">
        <v>1230.4100000000001</v>
      </c>
      <c r="F1201">
        <v>1243.28</v>
      </c>
      <c r="G1201">
        <v>1216.3800000000001</v>
      </c>
      <c r="H1201">
        <v>1163.8800000000001</v>
      </c>
      <c r="I1201">
        <v>1188</v>
      </c>
      <c r="J1201">
        <v>1224.6300000000001</v>
      </c>
      <c r="K1201">
        <v>1218.92</v>
      </c>
      <c r="L1201">
        <v>1163.55</v>
      </c>
      <c r="M1201" s="50"/>
      <c r="N1201" s="50"/>
      <c r="O1201" s="50"/>
      <c r="P1201" s="50"/>
      <c r="Q1201" s="48"/>
      <c r="R1201" s="48"/>
      <c r="S1201" s="48"/>
      <c r="T1201" s="48"/>
      <c r="U1201" s="48"/>
      <c r="V1201" s="47"/>
      <c r="W1201" s="46"/>
    </row>
    <row r="1202" spans="1:31" ht="24.75" thickBot="1">
      <c r="A1202" s="199"/>
      <c r="B1202" s="61"/>
      <c r="C1202" s="51" t="s">
        <v>154</v>
      </c>
      <c r="D1202" s="24">
        <f t="shared" ref="D1202:L1202" si="395">IF(((D1200="")*AND(D1201="")),"",(D1200-D1201)*4)</f>
        <v>2948.6400000000003</v>
      </c>
      <c r="E1202" s="24">
        <f t="shared" si="395"/>
        <v>2818.3599999999997</v>
      </c>
      <c r="F1202" s="24">
        <f t="shared" si="395"/>
        <v>2735.08</v>
      </c>
      <c r="G1202" s="24">
        <f t="shared" si="395"/>
        <v>2870.3599999999997</v>
      </c>
      <c r="H1202" s="24">
        <f t="shared" si="395"/>
        <v>3096.08</v>
      </c>
      <c r="I1202" s="24">
        <f t="shared" si="395"/>
        <v>3009.84</v>
      </c>
      <c r="J1202" s="24">
        <f t="shared" si="395"/>
        <v>2847.9599999999991</v>
      </c>
      <c r="K1202" s="24">
        <f t="shared" si="395"/>
        <v>2867.3999999999996</v>
      </c>
      <c r="L1202" s="24">
        <f t="shared" si="395"/>
        <v>3108.76</v>
      </c>
      <c r="M1202" s="24"/>
      <c r="N1202" s="24"/>
      <c r="O1202" s="24"/>
      <c r="P1202" s="24" t="str">
        <f>IF(((P1200="")*AND(P1201="")),"",(P1200-P1201)*4)</f>
        <v/>
      </c>
      <c r="Q1202" s="61"/>
      <c r="R1202" s="61"/>
      <c r="S1202" s="61"/>
      <c r="T1202" s="61"/>
      <c r="U1202" s="61"/>
      <c r="V1202" s="60"/>
      <c r="W1202" s="59"/>
    </row>
    <row r="1203" spans="1:31" ht="15.75">
      <c r="A1203" s="195">
        <v>43833</v>
      </c>
      <c r="B1203" s="57" t="s">
        <v>157</v>
      </c>
      <c r="C1203" s="51" t="s">
        <v>156</v>
      </c>
      <c r="D1203">
        <v>4948.5600000000004</v>
      </c>
      <c r="E1203">
        <v>4990.32</v>
      </c>
      <c r="F1203">
        <v>5126.75</v>
      </c>
      <c r="G1203">
        <v>5090.25</v>
      </c>
      <c r="H1203">
        <v>5050.05</v>
      </c>
      <c r="I1203">
        <v>4914.0600000000004</v>
      </c>
      <c r="J1203">
        <v>5047.95</v>
      </c>
      <c r="K1203">
        <v>5100.9399999999996</v>
      </c>
      <c r="L1203">
        <v>5022.04</v>
      </c>
      <c r="M1203" s="50"/>
      <c r="N1203" s="50"/>
      <c r="O1203" s="50"/>
      <c r="P1203" s="50"/>
      <c r="Q1203" s="57">
        <f>IF((L1204=""),"",MAX(D1205:L1205))</f>
        <v>3555.2000000000007</v>
      </c>
      <c r="R1203" s="57">
        <f>IF(L1204="","",MIN(D1205:L1205))</f>
        <v>3494.1000000000004</v>
      </c>
      <c r="S1203" s="58">
        <f>IF((L1205=""),"",AVERAGE(D1205:L1205))</f>
        <v>3519.9644444444443</v>
      </c>
      <c r="T1203" s="57">
        <f>IF((L1204=""),"",((Q1203-R1203)/(Q1203+R1203))*100)</f>
        <v>0.86675272722114749</v>
      </c>
      <c r="U1203" s="56">
        <f>STDEV(D1203:L1203)</f>
        <v>71.073120290078037</v>
      </c>
      <c r="V1203" s="55" t="str">
        <f>IF(L1204="","",(IF(T1203&lt;7,IF(S1203&gt;2800,IF(S1203&lt;3800,"Pass","Fail"),"Fail"),"Fail")))</f>
        <v>Pass</v>
      </c>
      <c r="W1203" s="54">
        <v>1428</v>
      </c>
      <c r="X1203" s="26" t="s">
        <v>394</v>
      </c>
      <c r="Z1203" s="53">
        <v>2800</v>
      </c>
      <c r="AA1203" s="53">
        <v>3800</v>
      </c>
      <c r="AB1203" s="53">
        <v>3100</v>
      </c>
      <c r="AC1203" s="53">
        <v>3760</v>
      </c>
      <c r="AD1203" s="52">
        <v>6</v>
      </c>
      <c r="AE1203" s="52">
        <v>6</v>
      </c>
    </row>
    <row r="1204" spans="1:31" ht="15.75">
      <c r="A1204" s="199"/>
      <c r="B1204" s="48"/>
      <c r="C1204" s="51" t="s">
        <v>155</v>
      </c>
      <c r="D1204">
        <v>3179.61</v>
      </c>
      <c r="E1204">
        <v>3232.47</v>
      </c>
      <c r="F1204">
        <v>3372.25</v>
      </c>
      <c r="G1204">
        <v>3337.41</v>
      </c>
      <c r="H1204">
        <v>3303</v>
      </c>
      <c r="I1204">
        <v>3136.46</v>
      </c>
      <c r="J1204">
        <v>3294.92</v>
      </c>
      <c r="K1204">
        <v>3341.2</v>
      </c>
      <c r="L1204">
        <v>3253.76</v>
      </c>
      <c r="M1204" s="50"/>
      <c r="N1204" s="50"/>
      <c r="O1204" s="50"/>
      <c r="P1204" s="50"/>
      <c r="Q1204" s="48"/>
      <c r="R1204" s="48"/>
      <c r="S1204" s="49"/>
      <c r="T1204" s="48"/>
      <c r="U1204" s="48"/>
      <c r="V1204" s="47"/>
      <c r="W1204" s="46"/>
    </row>
    <row r="1205" spans="1:31" ht="24.75" thickBot="1">
      <c r="A1205" s="199"/>
      <c r="B1205" s="42"/>
      <c r="C1205" s="45" t="s">
        <v>154</v>
      </c>
      <c r="D1205" s="44">
        <f t="shared" ref="D1205:L1205" si="396">IF(((D1203="")*AND(D1204="")),"",(D1203-D1204)*2)</f>
        <v>3537.9000000000005</v>
      </c>
      <c r="E1205" s="44">
        <f t="shared" si="396"/>
        <v>3515.7</v>
      </c>
      <c r="F1205" s="44">
        <f t="shared" si="396"/>
        <v>3509</v>
      </c>
      <c r="G1205" s="44">
        <f t="shared" si="396"/>
        <v>3505.6800000000003</v>
      </c>
      <c r="H1205" s="44">
        <f t="shared" si="396"/>
        <v>3494.1000000000004</v>
      </c>
      <c r="I1205" s="44">
        <f t="shared" si="396"/>
        <v>3555.2000000000007</v>
      </c>
      <c r="J1205" s="44">
        <f t="shared" si="396"/>
        <v>3506.0599999999995</v>
      </c>
      <c r="K1205" s="44">
        <f t="shared" si="396"/>
        <v>3519.4799999999996</v>
      </c>
      <c r="L1205" s="44">
        <f t="shared" si="396"/>
        <v>3536.5599999999995</v>
      </c>
      <c r="M1205" s="44"/>
      <c r="N1205" s="44"/>
      <c r="O1205" s="44"/>
      <c r="P1205" s="44"/>
      <c r="Q1205" s="42"/>
      <c r="R1205" s="42"/>
      <c r="S1205" s="43"/>
      <c r="T1205" s="42"/>
      <c r="U1205" s="42"/>
      <c r="V1205" s="41"/>
      <c r="W1205" s="40"/>
    </row>
    <row r="1206" spans="1:31" ht="15.75">
      <c r="A1206" s="195">
        <v>43836</v>
      </c>
      <c r="B1206" s="63" t="s">
        <v>158</v>
      </c>
      <c r="C1206" s="56" t="s">
        <v>156</v>
      </c>
      <c r="D1206">
        <v>1206.43</v>
      </c>
      <c r="E1206">
        <v>1233.3800000000001</v>
      </c>
      <c r="F1206">
        <v>1245.48</v>
      </c>
      <c r="G1206">
        <v>1225.94</v>
      </c>
      <c r="H1206">
        <v>1165.8</v>
      </c>
      <c r="I1206">
        <v>1189.26</v>
      </c>
      <c r="J1206">
        <v>1232.77</v>
      </c>
      <c r="K1206">
        <v>1223.4000000000001</v>
      </c>
      <c r="L1206">
        <v>1168.19</v>
      </c>
      <c r="M1206" s="62"/>
      <c r="N1206" s="62"/>
      <c r="O1206" s="62"/>
      <c r="P1206" s="62"/>
      <c r="Q1206" s="57">
        <f>IF((L1207=""),"",MAX(D1208:L1208))</f>
        <v>3097</v>
      </c>
      <c r="R1206" s="57">
        <f>IF(L1207="","",MIN(D1208:L1208))</f>
        <v>2732.52</v>
      </c>
      <c r="S1206" s="58">
        <f>IF((L1208=""),"",AVERAGE(D1208:L1208))</f>
        <v>2906.3022222222221</v>
      </c>
      <c r="T1206" s="57">
        <f>IF((L1207=""),"",((Q1206-R1206)/(Q1206+R1206))*100)</f>
        <v>6.2523157995855572</v>
      </c>
      <c r="U1206" s="56">
        <f>STDEV(D1206:L1206)</f>
        <v>29.372889191299503</v>
      </c>
      <c r="V1206" s="55" t="str">
        <f>IF(L1207="","",(IF(T1206&lt;12,IF(S1206&gt;2200,IF(S1206&lt;3280,"Pass","Fail"),"Fail"),"Fail")))</f>
        <v>Pass</v>
      </c>
      <c r="W1206" s="54">
        <v>1159</v>
      </c>
      <c r="X1206" s="26" t="s">
        <v>395</v>
      </c>
      <c r="Z1206" s="37">
        <v>2000</v>
      </c>
      <c r="AA1206" s="37">
        <v>3000</v>
      </c>
      <c r="AB1206" s="37">
        <v>2200</v>
      </c>
      <c r="AC1206" s="37">
        <v>3280</v>
      </c>
      <c r="AD1206" s="39">
        <v>12</v>
      </c>
      <c r="AE1206" s="39">
        <v>12</v>
      </c>
    </row>
    <row r="1207" spans="1:31" ht="15.75">
      <c r="A1207" s="199"/>
      <c r="B1207" s="48"/>
      <c r="C1207" s="51" t="s">
        <v>155</v>
      </c>
      <c r="D1207">
        <v>465.68</v>
      </c>
      <c r="E1207">
        <v>536.94000000000005</v>
      </c>
      <c r="F1207">
        <v>562.35</v>
      </c>
      <c r="G1207">
        <v>515.16999999999996</v>
      </c>
      <c r="H1207">
        <v>391.55</v>
      </c>
      <c r="I1207">
        <v>438.28</v>
      </c>
      <c r="J1207">
        <v>533.62</v>
      </c>
      <c r="K1207">
        <v>513.70000000000005</v>
      </c>
      <c r="L1207">
        <v>394.18</v>
      </c>
      <c r="M1207" s="50"/>
      <c r="N1207" s="50"/>
      <c r="O1207" s="50"/>
      <c r="P1207" s="50"/>
      <c r="Q1207" s="48"/>
      <c r="R1207" s="48"/>
      <c r="S1207" s="48"/>
      <c r="T1207" s="48"/>
      <c r="U1207" s="48"/>
      <c r="V1207" s="47"/>
      <c r="W1207" s="46"/>
    </row>
    <row r="1208" spans="1:31" ht="24.75" thickBot="1">
      <c r="A1208" s="199"/>
      <c r="B1208" s="61"/>
      <c r="C1208" s="51" t="s">
        <v>154</v>
      </c>
      <c r="D1208" s="24">
        <f t="shared" ref="D1208:L1208" si="397">IF(((D1206="")*AND(D1207="")),"",(D1206-D1207)*4)</f>
        <v>2963</v>
      </c>
      <c r="E1208" s="24">
        <f t="shared" si="397"/>
        <v>2785.76</v>
      </c>
      <c r="F1208" s="24">
        <f t="shared" si="397"/>
        <v>2732.52</v>
      </c>
      <c r="G1208" s="24">
        <f t="shared" si="397"/>
        <v>2843.0800000000004</v>
      </c>
      <c r="H1208" s="24">
        <f t="shared" si="397"/>
        <v>3097</v>
      </c>
      <c r="I1208" s="24">
        <f t="shared" si="397"/>
        <v>3003.92</v>
      </c>
      <c r="J1208" s="24">
        <f t="shared" si="397"/>
        <v>2796.6</v>
      </c>
      <c r="K1208" s="24">
        <f t="shared" si="397"/>
        <v>2838.8</v>
      </c>
      <c r="L1208" s="24">
        <f t="shared" si="397"/>
        <v>3096.04</v>
      </c>
      <c r="M1208" s="24"/>
      <c r="N1208" s="24"/>
      <c r="O1208" s="24"/>
      <c r="P1208" s="24" t="str">
        <f>IF(((P1206="")*AND(P1207="")),"",(P1206-P1207)*4)</f>
        <v/>
      </c>
      <c r="Q1208" s="61"/>
      <c r="R1208" s="61"/>
      <c r="S1208" s="61"/>
      <c r="T1208" s="61"/>
      <c r="U1208" s="61"/>
      <c r="V1208" s="60"/>
      <c r="W1208" s="59"/>
    </row>
    <row r="1209" spans="1:31" ht="15.75">
      <c r="A1209" s="195">
        <v>43836</v>
      </c>
      <c r="B1209" s="57" t="s">
        <v>157</v>
      </c>
      <c r="C1209" s="51" t="s">
        <v>156</v>
      </c>
      <c r="D1209">
        <v>3187.08</v>
      </c>
      <c r="E1209">
        <v>3239.34</v>
      </c>
      <c r="F1209">
        <v>3379.02</v>
      </c>
      <c r="G1209">
        <v>3344.42</v>
      </c>
      <c r="H1209">
        <v>3310.55</v>
      </c>
      <c r="I1209">
        <v>3141.94</v>
      </c>
      <c r="J1209">
        <v>3301.66</v>
      </c>
      <c r="K1209">
        <v>3348.17</v>
      </c>
      <c r="L1209">
        <v>3260.41</v>
      </c>
      <c r="M1209" s="50"/>
      <c r="N1209" s="50"/>
      <c r="O1209" s="50"/>
      <c r="P1209" s="50"/>
      <c r="Q1209" s="57">
        <f>IF((L1210=""),"",MAX(D1211:L1211))</f>
        <v>3411.46</v>
      </c>
      <c r="R1209" s="57">
        <f>IF(L1210="","",MIN(D1211:L1211))</f>
        <v>3355.4000000000005</v>
      </c>
      <c r="S1209" s="58">
        <f>IF((L1211=""),"",AVERAGE(D1211:L1211))</f>
        <v>3388.9177777777777</v>
      </c>
      <c r="T1209" s="57">
        <f>IF((L1210=""),"",((Q1209-R1209)/(Q1209+R1209))*100)</f>
        <v>0.82844923642574964</v>
      </c>
      <c r="U1209" s="56">
        <f>STDEV(D1209:L1209)</f>
        <v>78.843275394933798</v>
      </c>
      <c r="V1209" s="55" t="str">
        <f>IF(L1210="","",(IF(T1209&lt;7,IF(S1209&gt;2800,IF(S1209&lt;3800,"Pass","Fail"),"Fail"),"Fail")))</f>
        <v>Pass</v>
      </c>
      <c r="W1209" s="54">
        <v>1159</v>
      </c>
      <c r="X1209" s="26" t="s">
        <v>395</v>
      </c>
      <c r="Z1209" s="53">
        <v>2800</v>
      </c>
      <c r="AA1209" s="53">
        <v>3800</v>
      </c>
      <c r="AB1209" s="53">
        <v>3100</v>
      </c>
      <c r="AC1209" s="53">
        <v>3760</v>
      </c>
      <c r="AD1209" s="52">
        <v>6</v>
      </c>
      <c r="AE1209" s="52">
        <v>6</v>
      </c>
    </row>
    <row r="1210" spans="1:31" ht="15.75">
      <c r="A1210" s="199"/>
      <c r="B1210" s="48"/>
      <c r="C1210" s="51" t="s">
        <v>155</v>
      </c>
      <c r="D1210">
        <v>1492.87</v>
      </c>
      <c r="E1210">
        <v>1543.28</v>
      </c>
      <c r="F1210">
        <v>1681.94</v>
      </c>
      <c r="G1210">
        <v>1648.89</v>
      </c>
      <c r="H1210">
        <v>1632.85</v>
      </c>
      <c r="I1210">
        <v>1453.42</v>
      </c>
      <c r="J1210">
        <v>1610.43</v>
      </c>
      <c r="K1210">
        <v>1642.44</v>
      </c>
      <c r="L1210">
        <v>1556.34</v>
      </c>
      <c r="M1210" s="50"/>
      <c r="N1210" s="50"/>
      <c r="O1210" s="50"/>
      <c r="P1210" s="50"/>
      <c r="Q1210" s="48"/>
      <c r="R1210" s="48"/>
      <c r="S1210" s="49"/>
      <c r="T1210" s="48"/>
      <c r="U1210" s="48"/>
      <c r="V1210" s="47"/>
      <c r="W1210" s="46"/>
    </row>
    <row r="1211" spans="1:31" ht="24.75" thickBot="1">
      <c r="A1211" s="199"/>
      <c r="B1211" s="42"/>
      <c r="C1211" s="45" t="s">
        <v>154</v>
      </c>
      <c r="D1211" s="44">
        <f t="shared" ref="D1211:L1211" si="398">IF(((D1209="")*AND(D1210="")),"",(D1209-D1210)*2)</f>
        <v>3388.42</v>
      </c>
      <c r="E1211" s="44">
        <f t="shared" si="398"/>
        <v>3392.1200000000003</v>
      </c>
      <c r="F1211" s="44">
        <f t="shared" si="398"/>
        <v>3394.16</v>
      </c>
      <c r="G1211" s="44">
        <f t="shared" si="398"/>
        <v>3391.06</v>
      </c>
      <c r="H1211" s="44">
        <f t="shared" si="398"/>
        <v>3355.4000000000005</v>
      </c>
      <c r="I1211" s="44">
        <f t="shared" si="398"/>
        <v>3377.04</v>
      </c>
      <c r="J1211" s="44">
        <f t="shared" si="398"/>
        <v>3382.4599999999996</v>
      </c>
      <c r="K1211" s="44">
        <f t="shared" si="398"/>
        <v>3411.46</v>
      </c>
      <c r="L1211" s="44">
        <f t="shared" si="398"/>
        <v>3408.14</v>
      </c>
      <c r="M1211" s="44"/>
      <c r="N1211" s="44"/>
      <c r="O1211" s="44"/>
      <c r="P1211" s="44"/>
      <c r="Q1211" s="42"/>
      <c r="R1211" s="42"/>
      <c r="S1211" s="43"/>
      <c r="T1211" s="42"/>
      <c r="U1211" s="42"/>
      <c r="V1211" s="41"/>
      <c r="W1211" s="40"/>
    </row>
    <row r="1212" spans="1:31" ht="15.75">
      <c r="A1212" s="195">
        <v>43838</v>
      </c>
      <c r="B1212" s="63" t="s">
        <v>158</v>
      </c>
      <c r="C1212" s="56" t="s">
        <v>156</v>
      </c>
      <c r="D1212">
        <v>1937.67</v>
      </c>
      <c r="E1212">
        <v>1934.08</v>
      </c>
      <c r="F1212">
        <v>1920.13</v>
      </c>
      <c r="G1212">
        <v>1937.55</v>
      </c>
      <c r="H1212">
        <v>1938.68</v>
      </c>
      <c r="I1212">
        <v>1942.51</v>
      </c>
      <c r="J1212">
        <v>1929.54</v>
      </c>
      <c r="K1212">
        <v>1935.93</v>
      </c>
      <c r="L1212">
        <v>1940.15</v>
      </c>
      <c r="M1212" s="62"/>
      <c r="N1212" s="62"/>
      <c r="O1212" s="62"/>
      <c r="P1212" s="62"/>
      <c r="Q1212" s="57">
        <f>IF((L1213=""),"",MAX(D1214:L1214))</f>
        <v>3158.76</v>
      </c>
      <c r="R1212" s="57">
        <f>IF(L1213="","",MIN(D1214:L1214))</f>
        <v>2815.6000000000004</v>
      </c>
      <c r="S1212" s="58">
        <f>IF((L1214=""),"",AVERAGE(D1214:L1214))</f>
        <v>2965.3911111111106</v>
      </c>
      <c r="T1212" s="57">
        <f>IF((L1213=""),"",((Q1212-R1212)/(Q1212+R1212))*100)</f>
        <v>5.7438788422525562</v>
      </c>
      <c r="U1212" s="56">
        <f>STDEV(D1212:L1212)</f>
        <v>6.7320627926570831</v>
      </c>
      <c r="V1212" s="55" t="str">
        <f>IF(L1213="","",(IF(T1212&lt;12,IF(S1212&gt;2200,IF(S1212&lt;3280,"Pass","Fail"),"Fail"),"Fail")))</f>
        <v>Pass</v>
      </c>
      <c r="W1212" s="54">
        <v>1159</v>
      </c>
      <c r="Y1212" s="37" t="s">
        <v>396</v>
      </c>
      <c r="Z1212" s="37">
        <v>2000</v>
      </c>
      <c r="AA1212" s="37">
        <v>3000</v>
      </c>
      <c r="AB1212" s="37">
        <v>2200</v>
      </c>
      <c r="AC1212" s="37">
        <v>3280</v>
      </c>
      <c r="AD1212" s="39">
        <v>12</v>
      </c>
      <c r="AE1212" s="39">
        <v>12</v>
      </c>
    </row>
    <row r="1213" spans="1:31" ht="15.75">
      <c r="A1213" s="199"/>
      <c r="B1213" s="48"/>
      <c r="C1213" s="51" t="s">
        <v>155</v>
      </c>
      <c r="D1213">
        <v>1188.22</v>
      </c>
      <c r="E1213">
        <v>1209.0999999999999</v>
      </c>
      <c r="F1213">
        <v>1216.23</v>
      </c>
      <c r="G1213">
        <v>1205.94</v>
      </c>
      <c r="H1213">
        <v>1167.6600000000001</v>
      </c>
      <c r="I1213">
        <v>1198.05</v>
      </c>
      <c r="J1213">
        <v>1214.23</v>
      </c>
      <c r="K1213">
        <v>1194.22</v>
      </c>
      <c r="L1213">
        <v>1150.46</v>
      </c>
      <c r="M1213" s="50"/>
      <c r="N1213" s="50"/>
      <c r="O1213" s="50"/>
      <c r="P1213" s="50"/>
      <c r="Q1213" s="48"/>
      <c r="R1213" s="48"/>
      <c r="S1213" s="48"/>
      <c r="T1213" s="48"/>
      <c r="U1213" s="48"/>
      <c r="V1213" s="47"/>
      <c r="W1213" s="46"/>
    </row>
    <row r="1214" spans="1:31" ht="24.75" thickBot="1">
      <c r="A1214" s="199"/>
      <c r="B1214" s="61"/>
      <c r="C1214" s="51" t="s">
        <v>154</v>
      </c>
      <c r="D1214" s="24">
        <f t="shared" ref="D1214:L1214" si="399">IF(((D1212="")*AND(D1213="")),"",(D1212-D1213)*4)</f>
        <v>2997.8</v>
      </c>
      <c r="E1214" s="24">
        <f t="shared" si="399"/>
        <v>2899.92</v>
      </c>
      <c r="F1214" s="24">
        <f t="shared" si="399"/>
        <v>2815.6000000000004</v>
      </c>
      <c r="G1214" s="24">
        <f t="shared" si="399"/>
        <v>2926.4399999999996</v>
      </c>
      <c r="H1214" s="24">
        <f t="shared" si="399"/>
        <v>3084.08</v>
      </c>
      <c r="I1214" s="24">
        <f t="shared" si="399"/>
        <v>2977.84</v>
      </c>
      <c r="J1214" s="24">
        <f t="shared" si="399"/>
        <v>2861.24</v>
      </c>
      <c r="K1214" s="24">
        <f t="shared" si="399"/>
        <v>2966.84</v>
      </c>
      <c r="L1214" s="24">
        <f t="shared" si="399"/>
        <v>3158.76</v>
      </c>
      <c r="M1214" s="24"/>
      <c r="N1214" s="24"/>
      <c r="O1214" s="24"/>
      <c r="P1214" s="24" t="str">
        <f>IF(((P1212="")*AND(P1213="")),"",(P1212-P1213)*4)</f>
        <v/>
      </c>
      <c r="Q1214" s="61"/>
      <c r="R1214" s="61"/>
      <c r="S1214" s="61"/>
      <c r="T1214" s="61"/>
      <c r="U1214" s="61"/>
      <c r="V1214" s="60"/>
      <c r="W1214" s="59"/>
    </row>
    <row r="1215" spans="1:31" ht="15.75">
      <c r="A1215" s="195">
        <v>43838</v>
      </c>
      <c r="B1215" s="57" t="s">
        <v>157</v>
      </c>
      <c r="C1215" s="51" t="s">
        <v>156</v>
      </c>
      <c r="D1215">
        <v>6862.53</v>
      </c>
      <c r="E1215">
        <v>6895.84</v>
      </c>
      <c r="F1215">
        <v>7025.19</v>
      </c>
      <c r="G1215">
        <v>6988.23</v>
      </c>
      <c r="H1215">
        <v>6953.69</v>
      </c>
      <c r="I1215">
        <v>6845.27</v>
      </c>
      <c r="J1215">
        <v>6954.93</v>
      </c>
      <c r="K1215">
        <v>7001.22</v>
      </c>
      <c r="L1215">
        <v>6936.99</v>
      </c>
      <c r="M1215" s="50"/>
      <c r="N1215" s="50"/>
      <c r="O1215" s="50"/>
      <c r="P1215" s="50"/>
      <c r="Q1215" s="57">
        <f>IF((L1216=""),"",MAX(D1217:L1217))</f>
        <v>3422.0600000000013</v>
      </c>
      <c r="R1215" s="57">
        <f>IF(L1216="","",MIN(D1217:L1217))</f>
        <v>3356.619999999999</v>
      </c>
      <c r="S1215" s="58">
        <f>IF((L1217=""),"",AVERAGE(D1217:L1217))</f>
        <v>3401.2933333333331</v>
      </c>
      <c r="T1215" s="57">
        <f>IF((L1216=""),"",((Q1215-R1215)/(Q1215+R1215))*100)</f>
        <v>0.96537969044124128</v>
      </c>
      <c r="U1215" s="56">
        <f>STDEV(D1215:L1215)</f>
        <v>61.921862612760847</v>
      </c>
      <c r="V1215" s="55" t="str">
        <f>IF(L1216="","",(IF(T1215&lt;7,IF(S1215&gt;2800,IF(S1215&lt;3800,"Pass","Fail"),"Fail"),"Fail")))</f>
        <v>Pass</v>
      </c>
      <c r="W1215" s="54">
        <v>1159</v>
      </c>
      <c r="Z1215" s="53">
        <v>2800</v>
      </c>
      <c r="AA1215" s="53">
        <v>3800</v>
      </c>
      <c r="AB1215" s="53">
        <v>3100</v>
      </c>
      <c r="AC1215" s="53">
        <v>3760</v>
      </c>
      <c r="AD1215" s="52">
        <v>6</v>
      </c>
      <c r="AE1215" s="52">
        <v>6</v>
      </c>
    </row>
    <row r="1216" spans="1:31" ht="15.75">
      <c r="A1216" s="199"/>
      <c r="B1216" s="48"/>
      <c r="C1216" s="51" t="s">
        <v>155</v>
      </c>
      <c r="D1216">
        <v>5160.3100000000004</v>
      </c>
      <c r="E1216">
        <v>5185.16</v>
      </c>
      <c r="F1216">
        <v>5320.59</v>
      </c>
      <c r="G1216">
        <v>5288.07</v>
      </c>
      <c r="H1216">
        <v>5275.38</v>
      </c>
      <c r="I1216">
        <v>5150.38</v>
      </c>
      <c r="J1216">
        <v>5254</v>
      </c>
      <c r="K1216">
        <v>5290.19</v>
      </c>
      <c r="L1216">
        <v>5233.99</v>
      </c>
      <c r="M1216" s="50"/>
      <c r="N1216" s="50"/>
      <c r="O1216" s="50"/>
      <c r="P1216" s="50"/>
      <c r="Q1216" s="48"/>
      <c r="R1216" s="48"/>
      <c r="S1216" s="49"/>
      <c r="T1216" s="48"/>
      <c r="U1216" s="48"/>
      <c r="V1216" s="47"/>
      <c r="W1216" s="46"/>
    </row>
    <row r="1217" spans="1:31" ht="24.75" thickBot="1">
      <c r="A1217" s="199"/>
      <c r="B1217" s="42"/>
      <c r="C1217" s="45" t="s">
        <v>154</v>
      </c>
      <c r="D1217" s="44">
        <f t="shared" ref="D1217:L1217" si="400">IF(((D1215="")*AND(D1216="")),"",(D1215-D1216)*2)</f>
        <v>3404.4399999999987</v>
      </c>
      <c r="E1217" s="44">
        <f t="shared" si="400"/>
        <v>3421.3600000000006</v>
      </c>
      <c r="F1217" s="44">
        <f t="shared" si="400"/>
        <v>3409.1999999999989</v>
      </c>
      <c r="G1217" s="44">
        <f t="shared" si="400"/>
        <v>3400.3199999999997</v>
      </c>
      <c r="H1217" s="44">
        <f t="shared" si="400"/>
        <v>3356.619999999999</v>
      </c>
      <c r="I1217" s="44">
        <f t="shared" si="400"/>
        <v>3389.7800000000007</v>
      </c>
      <c r="J1217" s="44">
        <f t="shared" si="400"/>
        <v>3401.8600000000006</v>
      </c>
      <c r="K1217" s="44">
        <f t="shared" si="400"/>
        <v>3422.0600000000013</v>
      </c>
      <c r="L1217" s="44">
        <f t="shared" si="400"/>
        <v>3406</v>
      </c>
      <c r="M1217" s="44"/>
      <c r="N1217" s="44"/>
      <c r="O1217" s="44"/>
      <c r="P1217" s="44"/>
      <c r="Q1217" s="42"/>
      <c r="R1217" s="42"/>
      <c r="S1217" s="43"/>
      <c r="T1217" s="42"/>
      <c r="U1217" s="42"/>
      <c r="V1217" s="41"/>
      <c r="W1217" s="40"/>
    </row>
    <row r="1218" spans="1:31" ht="15.75">
      <c r="A1218" s="195">
        <v>43841</v>
      </c>
      <c r="B1218" s="63" t="s">
        <v>158</v>
      </c>
      <c r="C1218" s="56" t="s">
        <v>156</v>
      </c>
      <c r="D1218">
        <v>1193.7</v>
      </c>
      <c r="E1218">
        <v>1213.32</v>
      </c>
      <c r="F1218">
        <v>1221.1300000000001</v>
      </c>
      <c r="G1218">
        <v>1209.03</v>
      </c>
      <c r="H1218">
        <v>1174.33</v>
      </c>
      <c r="I1218">
        <v>1203.51</v>
      </c>
      <c r="J1218">
        <v>1222.04</v>
      </c>
      <c r="K1218">
        <v>1196.7</v>
      </c>
      <c r="L1218">
        <v>1149.98</v>
      </c>
      <c r="M1218" s="62"/>
      <c r="N1218" s="62"/>
      <c r="O1218" s="62"/>
      <c r="P1218" s="62"/>
      <c r="Q1218" s="57">
        <f>IF((L1219=""),"",MAX(D1220:L1220))</f>
        <v>3104.48</v>
      </c>
      <c r="R1218" s="57">
        <f>IF(L1219="","",MIN(D1220:L1220))</f>
        <v>2741.6800000000003</v>
      </c>
      <c r="S1218" s="58">
        <f>IF((L1220=""),"",AVERAGE(D1220:L1220))</f>
        <v>2905.5955555555561</v>
      </c>
      <c r="T1218" s="57">
        <f>IF((L1219=""),"",((Q1218-R1218)/(Q1218+R1218))*100)</f>
        <v>6.2057829412811101</v>
      </c>
      <c r="U1218" s="56">
        <f>STDEV(D1218:L1218)</f>
        <v>23.413870888843586</v>
      </c>
      <c r="V1218" s="55" t="str">
        <f>IF(L1219="","",(IF(T1218&lt;12,IF(S1218&gt;2200,IF(S1218&lt;3280,"Pass","Fail"),"Fail"),"Fail")))</f>
        <v>Pass</v>
      </c>
      <c r="W1218" s="54">
        <v>102</v>
      </c>
      <c r="X1218" s="26" t="s">
        <v>399</v>
      </c>
      <c r="Z1218" s="37">
        <v>2000</v>
      </c>
      <c r="AA1218" s="37">
        <v>3000</v>
      </c>
      <c r="AB1218" s="37">
        <v>2200</v>
      </c>
      <c r="AC1218" s="37">
        <v>3280</v>
      </c>
      <c r="AD1218" s="39">
        <v>12</v>
      </c>
      <c r="AE1218" s="39">
        <v>12</v>
      </c>
    </row>
    <row r="1219" spans="1:31" ht="15.75">
      <c r="A1219" s="199"/>
      <c r="B1219" s="48"/>
      <c r="C1219" s="51" t="s">
        <v>155</v>
      </c>
      <c r="D1219">
        <v>447.76</v>
      </c>
      <c r="E1219">
        <v>506.38</v>
      </c>
      <c r="F1219">
        <v>535.71</v>
      </c>
      <c r="G1219">
        <v>501.57</v>
      </c>
      <c r="H1219">
        <v>413.54</v>
      </c>
      <c r="I1219">
        <v>466.04</v>
      </c>
      <c r="J1219">
        <v>523.02</v>
      </c>
      <c r="K1219">
        <v>478.27</v>
      </c>
      <c r="L1219">
        <v>373.86</v>
      </c>
      <c r="M1219" s="50"/>
      <c r="N1219" s="50"/>
      <c r="O1219" s="50"/>
      <c r="P1219" s="50"/>
      <c r="Q1219" s="48"/>
      <c r="R1219" s="48"/>
      <c r="S1219" s="48"/>
      <c r="T1219" s="48"/>
      <c r="U1219" s="48"/>
      <c r="V1219" s="47"/>
      <c r="W1219" s="46"/>
    </row>
    <row r="1220" spans="1:31" ht="24.75" thickBot="1">
      <c r="A1220" s="199"/>
      <c r="B1220" s="61"/>
      <c r="C1220" s="51" t="s">
        <v>154</v>
      </c>
      <c r="D1220" s="24">
        <f t="shared" ref="D1220:L1220" si="401">IF(((D1218="")*AND(D1219="")),"",(D1218-D1219)*4)</f>
        <v>2983.76</v>
      </c>
      <c r="E1220" s="24">
        <f t="shared" si="401"/>
        <v>2827.7599999999998</v>
      </c>
      <c r="F1220" s="24">
        <f t="shared" si="401"/>
        <v>2741.6800000000003</v>
      </c>
      <c r="G1220" s="24">
        <f t="shared" si="401"/>
        <v>2829.84</v>
      </c>
      <c r="H1220" s="24">
        <f t="shared" si="401"/>
        <v>3043.16</v>
      </c>
      <c r="I1220" s="24">
        <f t="shared" si="401"/>
        <v>2949.88</v>
      </c>
      <c r="J1220" s="24">
        <f t="shared" si="401"/>
        <v>2796.08</v>
      </c>
      <c r="K1220" s="24">
        <f t="shared" si="401"/>
        <v>2873.7200000000003</v>
      </c>
      <c r="L1220" s="24">
        <f t="shared" si="401"/>
        <v>3104.48</v>
      </c>
      <c r="M1220" s="24"/>
      <c r="N1220" s="24"/>
      <c r="O1220" s="24"/>
      <c r="P1220" s="24" t="str">
        <f>IF(((P1218="")*AND(P1219="")),"",(P1218-P1219)*4)</f>
        <v/>
      </c>
      <c r="Q1220" s="61"/>
      <c r="R1220" s="61"/>
      <c r="S1220" s="61"/>
      <c r="T1220" s="61"/>
      <c r="U1220" s="61"/>
      <c r="V1220" s="60"/>
      <c r="W1220" s="59"/>
    </row>
    <row r="1221" spans="1:31" ht="15.75">
      <c r="A1221" s="195">
        <v>43841</v>
      </c>
      <c r="B1221" s="57" t="s">
        <v>157</v>
      </c>
      <c r="C1221" s="51" t="s">
        <v>156</v>
      </c>
      <c r="D1221">
        <v>5163.8999999999996</v>
      </c>
      <c r="E1221">
        <v>5187.83</v>
      </c>
      <c r="F1221">
        <v>5323.21</v>
      </c>
      <c r="G1221">
        <v>5290.85</v>
      </c>
      <c r="H1221">
        <v>5278.91</v>
      </c>
      <c r="I1221">
        <v>5152.71</v>
      </c>
      <c r="J1221">
        <v>5256.22</v>
      </c>
      <c r="K1221">
        <v>5292.63</v>
      </c>
      <c r="L1221">
        <v>5236.3</v>
      </c>
      <c r="M1221" s="50"/>
      <c r="N1221" s="50"/>
      <c r="O1221" s="50"/>
      <c r="P1221" s="50"/>
      <c r="Q1221" s="57">
        <f>IF((L1222=""),"",MAX(D1223:L1223))</f>
        <v>3447.04</v>
      </c>
      <c r="R1221" s="57">
        <f>IF(L1222="","",MIN(D1223:L1223))</f>
        <v>3367.54</v>
      </c>
      <c r="S1221" s="58">
        <f>IF((L1223=""),"",AVERAGE(D1223:L1223))</f>
        <v>3417.5266666666666</v>
      </c>
      <c r="T1221" s="57">
        <f>IF((L1222=""),"",((Q1221-R1221)/(Q1221+R1221))*100)</f>
        <v>1.1666162844958896</v>
      </c>
      <c r="U1221" s="56">
        <f>STDEV(D1221:L1221)</f>
        <v>61.386299978133174</v>
      </c>
      <c r="V1221" s="55" t="str">
        <f>IF(L1222="","",(IF(T1221&lt;7,IF(S1221&gt;2800,IF(S1221&lt;3800,"Pass","Fail"),"Fail"),"Fail")))</f>
        <v>Pass</v>
      </c>
      <c r="W1221" s="54">
        <v>102</v>
      </c>
      <c r="X1221" s="26" t="s">
        <v>399</v>
      </c>
      <c r="Z1221" s="53">
        <v>2800</v>
      </c>
      <c r="AA1221" s="53">
        <v>3800</v>
      </c>
      <c r="AB1221" s="53">
        <v>3100</v>
      </c>
      <c r="AC1221" s="53">
        <v>3760</v>
      </c>
      <c r="AD1221" s="52">
        <v>6</v>
      </c>
      <c r="AE1221" s="52">
        <v>6</v>
      </c>
    </row>
    <row r="1222" spans="1:31" ht="15.75">
      <c r="A1222" s="199"/>
      <c r="B1222" s="48"/>
      <c r="C1222" s="51" t="s">
        <v>155</v>
      </c>
      <c r="D1222">
        <v>3456.8</v>
      </c>
      <c r="E1222">
        <v>3469.75</v>
      </c>
      <c r="F1222">
        <v>3603.9</v>
      </c>
      <c r="G1222">
        <v>3577.51</v>
      </c>
      <c r="H1222">
        <v>3595.14</v>
      </c>
      <c r="I1222">
        <v>3458.54</v>
      </c>
      <c r="J1222">
        <v>3544.38</v>
      </c>
      <c r="K1222">
        <v>3569.11</v>
      </c>
      <c r="L1222">
        <v>3528.56</v>
      </c>
      <c r="M1222" s="50"/>
      <c r="N1222" s="50"/>
      <c r="O1222" s="50"/>
      <c r="P1222" s="50"/>
      <c r="Q1222" s="48"/>
      <c r="R1222" s="48"/>
      <c r="S1222" s="49"/>
      <c r="T1222" s="48"/>
      <c r="U1222" s="48"/>
      <c r="V1222" s="47"/>
      <c r="W1222" s="46"/>
    </row>
    <row r="1223" spans="1:31" ht="24.75" thickBot="1">
      <c r="A1223" s="199"/>
      <c r="B1223" s="42"/>
      <c r="C1223" s="45" t="s">
        <v>154</v>
      </c>
      <c r="D1223" s="44">
        <f t="shared" ref="D1223:L1223" si="402">IF(((D1221="")*AND(D1222="")),"",(D1221-D1222)*2)</f>
        <v>3414.1999999999989</v>
      </c>
      <c r="E1223" s="44">
        <f t="shared" si="402"/>
        <v>3436.16</v>
      </c>
      <c r="F1223" s="44">
        <f t="shared" si="402"/>
        <v>3438.62</v>
      </c>
      <c r="G1223" s="44">
        <f t="shared" si="402"/>
        <v>3426.6800000000003</v>
      </c>
      <c r="H1223" s="44">
        <f t="shared" si="402"/>
        <v>3367.54</v>
      </c>
      <c r="I1223" s="44">
        <f t="shared" si="402"/>
        <v>3388.34</v>
      </c>
      <c r="J1223" s="44">
        <f t="shared" si="402"/>
        <v>3423.6800000000003</v>
      </c>
      <c r="K1223" s="44">
        <f t="shared" si="402"/>
        <v>3447.04</v>
      </c>
      <c r="L1223" s="44">
        <f t="shared" si="402"/>
        <v>3415.4800000000005</v>
      </c>
      <c r="M1223" s="44"/>
      <c r="N1223" s="44"/>
      <c r="O1223" s="44"/>
      <c r="P1223" s="44"/>
      <c r="Q1223" s="42"/>
      <c r="R1223" s="42"/>
      <c r="S1223" s="43"/>
      <c r="T1223" s="42"/>
      <c r="U1223" s="42"/>
      <c r="V1223" s="41"/>
      <c r="W1223" s="40"/>
    </row>
    <row r="1224" spans="1:31" ht="15.75">
      <c r="A1224" s="195">
        <v>43845</v>
      </c>
      <c r="B1224" s="63" t="s">
        <v>158</v>
      </c>
      <c r="C1224" s="56" t="s">
        <v>156</v>
      </c>
      <c r="D1224">
        <v>1935.03</v>
      </c>
      <c r="E1224">
        <v>1931.08</v>
      </c>
      <c r="F1224">
        <v>1924.68</v>
      </c>
      <c r="G1224">
        <v>1932.37</v>
      </c>
      <c r="H1224">
        <v>1938.82</v>
      </c>
      <c r="I1224">
        <v>1939.53</v>
      </c>
      <c r="J1224">
        <v>1933.45</v>
      </c>
      <c r="K1224">
        <v>1929.82</v>
      </c>
      <c r="L1224">
        <v>1941.69</v>
      </c>
      <c r="M1224" s="62"/>
      <c r="N1224" s="62"/>
      <c r="O1224" s="62"/>
      <c r="P1224" s="62"/>
      <c r="Q1224" s="57">
        <f>IF((L1225=""),"",MAX(D1226:L1226))</f>
        <v>3174.84</v>
      </c>
      <c r="R1224" s="57">
        <f>IF(L1225="","",MIN(D1226:L1226))</f>
        <v>2780.76</v>
      </c>
      <c r="S1224" s="58">
        <f>IF((L1226=""),"",AVERAGE(D1226:L1226))</f>
        <v>2940.7244444444441</v>
      </c>
      <c r="T1224" s="57">
        <f>IF((L1225=""),"",((Q1224-R1224)/(Q1224+R1224))*100)</f>
        <v>6.6169655450332447</v>
      </c>
      <c r="U1224" s="56">
        <f>STDEV(D1224:L1224)</f>
        <v>5.3596449924217904</v>
      </c>
      <c r="V1224" s="55" t="str">
        <f>IF(L1225="","",(IF(T1224&lt;12,IF(S1224&gt;2200,IF(S1224&lt;3280,"Pass","Fail"),"Fail"),"Fail")))</f>
        <v>Pass</v>
      </c>
      <c r="W1224" s="54">
        <v>1159</v>
      </c>
      <c r="X1224" s="26" t="s">
        <v>400</v>
      </c>
      <c r="Z1224" s="37">
        <v>2000</v>
      </c>
      <c r="AA1224" s="37">
        <v>3000</v>
      </c>
      <c r="AB1224" s="37">
        <v>2200</v>
      </c>
      <c r="AC1224" s="37">
        <v>3280</v>
      </c>
      <c r="AD1224" s="39">
        <v>12</v>
      </c>
      <c r="AE1224" s="39">
        <v>12</v>
      </c>
    </row>
    <row r="1225" spans="1:31" ht="15.75">
      <c r="A1225" s="199"/>
      <c r="B1225" s="48"/>
      <c r="C1225" s="51" t="s">
        <v>155</v>
      </c>
      <c r="D1225">
        <v>1188.49</v>
      </c>
      <c r="E1225">
        <v>1218.1600000000001</v>
      </c>
      <c r="F1225">
        <v>1229.49</v>
      </c>
      <c r="G1225">
        <v>1211.75</v>
      </c>
      <c r="H1225">
        <v>1168.83</v>
      </c>
      <c r="I1225">
        <v>1199.8699999999999</v>
      </c>
      <c r="J1225">
        <v>1227.99</v>
      </c>
      <c r="K1225">
        <v>1197.28</v>
      </c>
      <c r="L1225">
        <v>1147.98</v>
      </c>
      <c r="M1225" s="50"/>
      <c r="N1225" s="50"/>
      <c r="O1225" s="50"/>
      <c r="P1225" s="50"/>
      <c r="Q1225" s="48"/>
      <c r="R1225" s="48"/>
      <c r="S1225" s="48"/>
      <c r="T1225" s="48"/>
      <c r="U1225" s="48"/>
      <c r="V1225" s="47"/>
      <c r="W1225" s="46"/>
    </row>
    <row r="1226" spans="1:31" ht="24.75" thickBot="1">
      <c r="A1226" s="199"/>
      <c r="B1226" s="61"/>
      <c r="C1226" s="51" t="s">
        <v>154</v>
      </c>
      <c r="D1226" s="24">
        <f t="shared" ref="D1226:L1226" si="403">IF(((D1224="")*AND(D1225="")),"",(D1224-D1225)*4)</f>
        <v>2986.16</v>
      </c>
      <c r="E1226" s="24">
        <f t="shared" si="403"/>
        <v>2851.6799999999994</v>
      </c>
      <c r="F1226" s="24">
        <f t="shared" si="403"/>
        <v>2780.76</v>
      </c>
      <c r="G1226" s="24">
        <f t="shared" si="403"/>
        <v>2882.4799999999996</v>
      </c>
      <c r="H1226" s="24">
        <f t="shared" si="403"/>
        <v>3079.96</v>
      </c>
      <c r="I1226" s="24">
        <f t="shared" si="403"/>
        <v>2958.6400000000003</v>
      </c>
      <c r="J1226" s="24">
        <f t="shared" si="403"/>
        <v>2821.84</v>
      </c>
      <c r="K1226" s="24">
        <f t="shared" si="403"/>
        <v>2930.16</v>
      </c>
      <c r="L1226" s="24">
        <f t="shared" si="403"/>
        <v>3174.84</v>
      </c>
      <c r="M1226" s="24"/>
      <c r="N1226" s="24"/>
      <c r="O1226" s="24"/>
      <c r="P1226" s="24" t="str">
        <f>IF(((P1224="")*AND(P1225="")),"",(P1224-P1225)*4)</f>
        <v/>
      </c>
      <c r="Q1226" s="61"/>
      <c r="R1226" s="61"/>
      <c r="S1226" s="61"/>
      <c r="T1226" s="61"/>
      <c r="U1226" s="61"/>
      <c r="V1226" s="60"/>
      <c r="W1226" s="59"/>
    </row>
    <row r="1227" spans="1:31" ht="15.75">
      <c r="A1227" s="195">
        <v>43845</v>
      </c>
      <c r="B1227" s="57" t="s">
        <v>157</v>
      </c>
      <c r="C1227" s="51" t="s">
        <v>156</v>
      </c>
      <c r="D1227">
        <v>3474.69</v>
      </c>
      <c r="E1227">
        <v>3487.79</v>
      </c>
      <c r="F1227">
        <v>3618.45</v>
      </c>
      <c r="G1227">
        <v>3592.86</v>
      </c>
      <c r="H1227">
        <v>3609.59</v>
      </c>
      <c r="I1227">
        <v>3475.35</v>
      </c>
      <c r="J1227">
        <v>3560.95</v>
      </c>
      <c r="K1227">
        <v>3584.94</v>
      </c>
      <c r="L1227">
        <v>3544.86</v>
      </c>
      <c r="M1227" s="50"/>
      <c r="N1227" s="50"/>
      <c r="O1227" s="50"/>
      <c r="P1227" s="50"/>
      <c r="Q1227" s="57">
        <f>IF((L1228=""),"",MAX(D1229:L1229))</f>
        <v>3411.38</v>
      </c>
      <c r="R1227" s="57">
        <f>IF(L1228="","",MIN(D1229:L1229))</f>
        <v>3332.28</v>
      </c>
      <c r="S1227" s="58">
        <f>IF((L1229=""),"",AVERAGE(D1229:L1229))</f>
        <v>3383.8177777777773</v>
      </c>
      <c r="T1227" s="57">
        <f>IF((L1228=""),"",((Q1227-R1227)/(Q1227+R1227))*100)</f>
        <v>1.1729535593431448</v>
      </c>
      <c r="U1227" s="56">
        <f>STDEV(D1227:L1227)</f>
        <v>57.613744622654863</v>
      </c>
      <c r="V1227" s="55" t="str">
        <f>IF(L1228="","",(IF(T1227&lt;7,IF(S1227&gt;2800,IF(S1227&lt;3800,"Pass","Fail"),"Fail"),"Fail")))</f>
        <v>Pass</v>
      </c>
      <c r="W1227" s="54">
        <v>1159</v>
      </c>
      <c r="X1227" s="26" t="s">
        <v>400</v>
      </c>
      <c r="Z1227" s="53">
        <v>2800</v>
      </c>
      <c r="AA1227" s="53">
        <v>3800</v>
      </c>
      <c r="AB1227" s="53">
        <v>3100</v>
      </c>
      <c r="AC1227" s="53">
        <v>3760</v>
      </c>
      <c r="AD1227" s="52">
        <v>6</v>
      </c>
      <c r="AE1227" s="52">
        <v>6</v>
      </c>
    </row>
    <row r="1228" spans="1:31" ht="15.75">
      <c r="A1228" s="199"/>
      <c r="B1228" s="48"/>
      <c r="C1228" s="51" t="s">
        <v>155</v>
      </c>
      <c r="D1228">
        <v>1787.15</v>
      </c>
      <c r="E1228">
        <v>1783.45</v>
      </c>
      <c r="F1228">
        <v>1918.14</v>
      </c>
      <c r="G1228">
        <v>1895.81</v>
      </c>
      <c r="H1228">
        <v>1943.45</v>
      </c>
      <c r="I1228">
        <v>1796.4</v>
      </c>
      <c r="J1228">
        <v>1865.58</v>
      </c>
      <c r="K1228">
        <v>1879.25</v>
      </c>
      <c r="L1228">
        <v>1853.07</v>
      </c>
      <c r="M1228" s="50"/>
      <c r="N1228" s="50"/>
      <c r="O1228" s="50"/>
      <c r="P1228" s="50"/>
      <c r="Q1228" s="48"/>
      <c r="R1228" s="48"/>
      <c r="S1228" s="49"/>
      <c r="T1228" s="48"/>
      <c r="U1228" s="48"/>
      <c r="V1228" s="47"/>
      <c r="W1228" s="46"/>
    </row>
    <row r="1229" spans="1:31" ht="24.75" thickBot="1">
      <c r="A1229" s="199"/>
      <c r="B1229" s="42"/>
      <c r="C1229" s="45" t="s">
        <v>154</v>
      </c>
      <c r="D1229" s="44">
        <f t="shared" ref="D1229:L1229" si="404">IF(((D1227="")*AND(D1228="")),"",(D1227-D1228)*2)</f>
        <v>3375.08</v>
      </c>
      <c r="E1229" s="44">
        <f t="shared" si="404"/>
        <v>3408.68</v>
      </c>
      <c r="F1229" s="44">
        <f t="shared" si="404"/>
        <v>3400.6199999999994</v>
      </c>
      <c r="G1229" s="44">
        <f t="shared" si="404"/>
        <v>3394.1000000000004</v>
      </c>
      <c r="H1229" s="44">
        <f t="shared" si="404"/>
        <v>3332.28</v>
      </c>
      <c r="I1229" s="44">
        <f t="shared" si="404"/>
        <v>3357.8999999999996</v>
      </c>
      <c r="J1229" s="44">
        <f t="shared" si="404"/>
        <v>3390.74</v>
      </c>
      <c r="K1229" s="44">
        <f t="shared" si="404"/>
        <v>3411.38</v>
      </c>
      <c r="L1229" s="44">
        <f t="shared" si="404"/>
        <v>3383.5800000000004</v>
      </c>
      <c r="M1229" s="44"/>
      <c r="N1229" s="44"/>
      <c r="O1229" s="44"/>
      <c r="P1229" s="44"/>
      <c r="Q1229" s="42"/>
      <c r="R1229" s="42"/>
      <c r="S1229" s="43"/>
      <c r="T1229" s="42"/>
      <c r="U1229" s="42"/>
      <c r="V1229" s="41"/>
      <c r="W1229" s="40"/>
    </row>
    <row r="1230" spans="1:31" ht="15.75">
      <c r="A1230" s="195">
        <v>43859</v>
      </c>
      <c r="B1230" s="63" t="s">
        <v>158</v>
      </c>
      <c r="C1230" s="56" t="s">
        <v>156</v>
      </c>
      <c r="D1230">
        <v>1178.47</v>
      </c>
      <c r="E1230">
        <v>1201.08</v>
      </c>
      <c r="F1230">
        <v>1213.8499999999999</v>
      </c>
      <c r="G1230">
        <v>1194.78</v>
      </c>
      <c r="H1230">
        <v>1161.6500000000001</v>
      </c>
      <c r="I1230">
        <v>1186.8599999999999</v>
      </c>
      <c r="J1230">
        <v>1206.71</v>
      </c>
      <c r="K1230">
        <v>1185.57</v>
      </c>
      <c r="L1230">
        <v>1148.27</v>
      </c>
      <c r="M1230" s="62"/>
      <c r="N1230" s="62"/>
      <c r="O1230" s="62"/>
      <c r="P1230" s="62"/>
      <c r="Q1230" s="57">
        <f>IF((L1231=""),"",MAX(D1232:L1232))</f>
        <v>3062.96</v>
      </c>
      <c r="R1230" s="57">
        <f>IF(L1231="","",MIN(D1232:L1232))</f>
        <v>2712.7599999999998</v>
      </c>
      <c r="S1230" s="58">
        <f>IF((L1232=""),"",AVERAGE(D1232:L1232))</f>
        <v>2858.5555555555552</v>
      </c>
      <c r="T1230" s="57">
        <f>IF((L1231=""),"",((Q1230-R1230)/(Q1230+R1230))*100)</f>
        <v>6.0633133185126757</v>
      </c>
      <c r="U1230" s="56">
        <f>STDEV(D1230:L1230)</f>
        <v>21.159973416803705</v>
      </c>
      <c r="V1230" s="55" t="str">
        <f>IF(L1231="","",(IF(T1230&lt;12,IF(S1230&gt;2200,IF(S1230&lt;3280,"Pass","Fail"),"Fail"),"Fail")))</f>
        <v>Pass</v>
      </c>
      <c r="W1230" s="54">
        <v>1159</v>
      </c>
      <c r="X1230" s="26" t="s">
        <v>401</v>
      </c>
      <c r="Z1230" s="37">
        <v>2000</v>
      </c>
      <c r="AA1230" s="37">
        <v>3000</v>
      </c>
      <c r="AB1230" s="37">
        <v>2200</v>
      </c>
      <c r="AC1230" s="37">
        <v>3280</v>
      </c>
      <c r="AD1230" s="39">
        <v>12</v>
      </c>
      <c r="AE1230" s="39">
        <v>12</v>
      </c>
    </row>
    <row r="1231" spans="1:31" ht="15.75">
      <c r="A1231" s="199"/>
      <c r="B1231" s="48"/>
      <c r="C1231" s="51" t="s">
        <v>155</v>
      </c>
      <c r="D1231">
        <v>449.45</v>
      </c>
      <c r="E1231">
        <v>506.42</v>
      </c>
      <c r="F1231">
        <v>535.66</v>
      </c>
      <c r="G1231">
        <v>498.04</v>
      </c>
      <c r="H1231">
        <v>408.15</v>
      </c>
      <c r="I1231">
        <v>464.01</v>
      </c>
      <c r="J1231">
        <v>520.57000000000005</v>
      </c>
      <c r="K1231">
        <v>480.66</v>
      </c>
      <c r="L1231">
        <v>382.53</v>
      </c>
      <c r="M1231" s="50"/>
      <c r="N1231" s="50"/>
      <c r="O1231" s="50"/>
      <c r="P1231" s="50"/>
      <c r="Q1231" s="48"/>
      <c r="R1231" s="48"/>
      <c r="S1231" s="48"/>
      <c r="T1231" s="48"/>
      <c r="U1231" s="48"/>
      <c r="V1231" s="47"/>
      <c r="W1231" s="46"/>
    </row>
    <row r="1232" spans="1:31" ht="24.75" thickBot="1">
      <c r="A1232" s="199"/>
      <c r="B1232" s="61"/>
      <c r="C1232" s="51" t="s">
        <v>154</v>
      </c>
      <c r="D1232" s="24">
        <f t="shared" ref="D1232:L1232" si="405">IF(((D1230="")*AND(D1231="")),"",(D1230-D1231)*4)</f>
        <v>2916.08</v>
      </c>
      <c r="E1232" s="24">
        <f t="shared" si="405"/>
        <v>2778.6399999999994</v>
      </c>
      <c r="F1232" s="24">
        <f t="shared" si="405"/>
        <v>2712.7599999999998</v>
      </c>
      <c r="G1232" s="24">
        <f t="shared" si="405"/>
        <v>2786.96</v>
      </c>
      <c r="H1232" s="24">
        <f t="shared" si="405"/>
        <v>3014.0000000000005</v>
      </c>
      <c r="I1232" s="24">
        <f t="shared" si="405"/>
        <v>2891.3999999999996</v>
      </c>
      <c r="J1232" s="24">
        <f t="shared" si="405"/>
        <v>2744.56</v>
      </c>
      <c r="K1232" s="24">
        <f t="shared" si="405"/>
        <v>2819.6399999999994</v>
      </c>
      <c r="L1232" s="24">
        <f t="shared" si="405"/>
        <v>3062.96</v>
      </c>
      <c r="M1232" s="24"/>
      <c r="N1232" s="24"/>
      <c r="O1232" s="24"/>
      <c r="P1232" s="24" t="str">
        <f>IF(((P1230="")*AND(P1231="")),"",(P1230-P1231)*4)</f>
        <v/>
      </c>
      <c r="Q1232" s="61"/>
      <c r="R1232" s="61"/>
      <c r="S1232" s="61"/>
      <c r="T1232" s="61"/>
      <c r="U1232" s="61"/>
      <c r="V1232" s="60"/>
      <c r="W1232" s="59"/>
    </row>
    <row r="1233" spans="1:31" ht="15.75">
      <c r="A1233" s="195">
        <v>43859</v>
      </c>
      <c r="B1233" s="57" t="s">
        <v>157</v>
      </c>
      <c r="C1233" s="51" t="s">
        <v>156</v>
      </c>
      <c r="D1233">
        <v>6743.78</v>
      </c>
      <c r="E1233">
        <v>6769.15</v>
      </c>
      <c r="F1233">
        <v>6901.04</v>
      </c>
      <c r="G1233">
        <v>6870.2</v>
      </c>
      <c r="H1233">
        <v>6855.03</v>
      </c>
      <c r="I1233">
        <v>6743.19</v>
      </c>
      <c r="J1233">
        <v>6834.77</v>
      </c>
      <c r="K1233">
        <v>6880.04</v>
      </c>
      <c r="L1233">
        <v>6830.05</v>
      </c>
      <c r="M1233" s="50"/>
      <c r="N1233" s="50"/>
      <c r="O1233" s="50"/>
      <c r="P1233" s="50"/>
      <c r="Q1233" s="57">
        <f>IF((L1234=""),"",MAX(D1235:L1235))</f>
        <v>3422.7999999999993</v>
      </c>
      <c r="R1233" s="57">
        <f>IF(L1234="","",MIN(D1235:L1235))</f>
        <v>3360.4799999999996</v>
      </c>
      <c r="S1233" s="58">
        <f>IF((L1235=""),"",AVERAGE(D1235:L1235))</f>
        <v>3404.1533333333332</v>
      </c>
      <c r="T1233" s="57">
        <f>IF((L1234=""),"",((Q1233-R1233)/(Q1233+R1233))*100)</f>
        <v>0.91872958214904465</v>
      </c>
      <c r="U1233" s="56">
        <f>STDEV(D1233:L1233)</f>
        <v>59.46165150738846</v>
      </c>
      <c r="V1233" s="55" t="str">
        <f>IF(L1234="","",(IF(T1233&lt;7,IF(S1233&gt;2800,IF(S1233&lt;3800,"Pass","Fail"),"Fail"),"Fail")))</f>
        <v>Pass</v>
      </c>
      <c r="W1233" s="54">
        <v>1159</v>
      </c>
      <c r="X1233" s="26" t="s">
        <v>401</v>
      </c>
      <c r="Z1233" s="53">
        <v>2800</v>
      </c>
      <c r="AA1233" s="53">
        <v>3800</v>
      </c>
      <c r="AB1233" s="53">
        <v>3100</v>
      </c>
      <c r="AC1233" s="53">
        <v>3760</v>
      </c>
      <c r="AD1233" s="52">
        <v>6</v>
      </c>
      <c r="AE1233" s="52">
        <v>6</v>
      </c>
    </row>
    <row r="1234" spans="1:31" ht="15.75">
      <c r="A1234" s="199"/>
      <c r="B1234" s="48"/>
      <c r="C1234" s="51" t="s">
        <v>155</v>
      </c>
      <c r="D1234">
        <v>5041.33</v>
      </c>
      <c r="E1234">
        <v>5057.75</v>
      </c>
      <c r="F1234">
        <v>5195.87</v>
      </c>
      <c r="G1234">
        <v>5168.1400000000003</v>
      </c>
      <c r="H1234">
        <v>5174.79</v>
      </c>
      <c r="I1234">
        <v>5046.38</v>
      </c>
      <c r="J1234">
        <v>5130.37</v>
      </c>
      <c r="K1234">
        <v>5169.1400000000003</v>
      </c>
      <c r="L1234">
        <v>5124.79</v>
      </c>
      <c r="M1234" s="50"/>
      <c r="N1234" s="50"/>
      <c r="O1234" s="50"/>
      <c r="P1234" s="50"/>
      <c r="Q1234" s="48"/>
      <c r="R1234" s="48"/>
      <c r="S1234" s="49"/>
      <c r="T1234" s="48"/>
      <c r="U1234" s="48"/>
      <c r="V1234" s="47"/>
      <c r="W1234" s="46"/>
    </row>
    <row r="1235" spans="1:31" ht="24.75" thickBot="1">
      <c r="A1235" s="199"/>
      <c r="B1235" s="42"/>
      <c r="C1235" s="45" t="s">
        <v>154</v>
      </c>
      <c r="D1235" s="44">
        <f t="shared" ref="D1235:L1235" si="406">IF(((D1233="")*AND(D1234="")),"",(D1233-D1234)*2)</f>
        <v>3404.8999999999996</v>
      </c>
      <c r="E1235" s="44">
        <f t="shared" si="406"/>
        <v>3422.7999999999993</v>
      </c>
      <c r="F1235" s="44">
        <f t="shared" si="406"/>
        <v>3410.34</v>
      </c>
      <c r="G1235" s="44">
        <f t="shared" si="406"/>
        <v>3404.119999999999</v>
      </c>
      <c r="H1235" s="44">
        <f t="shared" si="406"/>
        <v>3360.4799999999996</v>
      </c>
      <c r="I1235" s="44">
        <f t="shared" si="406"/>
        <v>3393.619999999999</v>
      </c>
      <c r="J1235" s="44">
        <f t="shared" si="406"/>
        <v>3408.8000000000011</v>
      </c>
      <c r="K1235" s="44">
        <f t="shared" si="406"/>
        <v>3421.7999999999993</v>
      </c>
      <c r="L1235" s="44">
        <f t="shared" si="406"/>
        <v>3410.5200000000004</v>
      </c>
      <c r="M1235" s="44"/>
      <c r="N1235" s="44"/>
      <c r="O1235" s="44"/>
      <c r="P1235" s="44"/>
      <c r="Q1235" s="42"/>
      <c r="R1235" s="42"/>
      <c r="S1235" s="43"/>
      <c r="T1235" s="42"/>
      <c r="U1235" s="42"/>
      <c r="V1235" s="41"/>
      <c r="W1235" s="40"/>
    </row>
    <row r="1236" spans="1:31" ht="15.75">
      <c r="A1236" s="195">
        <v>43864</v>
      </c>
      <c r="B1236" s="63" t="s">
        <v>158</v>
      </c>
      <c r="C1236" s="56" t="s">
        <v>156</v>
      </c>
      <c r="D1236">
        <v>1944.21</v>
      </c>
      <c r="E1236">
        <v>1939.87</v>
      </c>
      <c r="F1236">
        <v>1928.6</v>
      </c>
      <c r="G1236">
        <v>1936.96</v>
      </c>
      <c r="H1236">
        <v>1942.58</v>
      </c>
      <c r="I1236">
        <v>1949.65</v>
      </c>
      <c r="J1236">
        <v>1939.95</v>
      </c>
      <c r="K1236">
        <v>1938.31</v>
      </c>
      <c r="L1236">
        <v>1943.21</v>
      </c>
      <c r="M1236" s="62"/>
      <c r="N1236" s="62"/>
      <c r="O1236" s="62"/>
      <c r="P1236" s="62"/>
      <c r="Q1236" s="57">
        <f>IF((L1237=""),"",MAX(D1238:L1238))</f>
        <v>3204.4400000000005</v>
      </c>
      <c r="R1236" s="57">
        <f>IF(L1237="","",MIN(D1238:L1238))</f>
        <v>2846.8399999999992</v>
      </c>
      <c r="S1236" s="58">
        <f>IF((L1238=""),"",AVERAGE(D1238:L1238))</f>
        <v>2998.6977777777774</v>
      </c>
      <c r="T1236" s="57">
        <f>IF((L1237=""),"",((Q1236-R1236)/(Q1236+R1236))*100)</f>
        <v>5.909493528641895</v>
      </c>
      <c r="U1236" s="56">
        <f>STDEV(D1236:L1236)</f>
        <v>5.7948758495850763</v>
      </c>
      <c r="V1236" s="55" t="str">
        <f>IF(L1237="","",(IF(T1236&lt;12,IF(S1236&gt;2200,IF(S1236&lt;3280,"Pass","Fail"),"Fail"),"Fail")))</f>
        <v>Pass</v>
      </c>
      <c r="W1236" s="54">
        <v>64</v>
      </c>
      <c r="X1236" s="26" t="s">
        <v>402</v>
      </c>
      <c r="Z1236" s="37">
        <v>2000</v>
      </c>
      <c r="AA1236" s="37">
        <v>3000</v>
      </c>
      <c r="AB1236" s="37">
        <v>2200</v>
      </c>
      <c r="AC1236" s="37">
        <v>3280</v>
      </c>
      <c r="AD1236" s="39">
        <v>12</v>
      </c>
      <c r="AE1236" s="39">
        <v>12</v>
      </c>
    </row>
    <row r="1237" spans="1:31" ht="15.75">
      <c r="A1237" s="199"/>
      <c r="B1237" s="48"/>
      <c r="C1237" s="51" t="s">
        <v>155</v>
      </c>
      <c r="D1237">
        <v>1182.7</v>
      </c>
      <c r="E1237">
        <v>1208.69</v>
      </c>
      <c r="F1237">
        <v>1216.8900000000001</v>
      </c>
      <c r="G1237">
        <v>1200.94</v>
      </c>
      <c r="H1237">
        <v>1164.49</v>
      </c>
      <c r="I1237">
        <v>1193.93</v>
      </c>
      <c r="J1237">
        <v>1217.71</v>
      </c>
      <c r="K1237">
        <v>1188.82</v>
      </c>
      <c r="L1237">
        <v>1142.0999999999999</v>
      </c>
      <c r="M1237" s="50"/>
      <c r="N1237" s="50"/>
      <c r="O1237" s="50"/>
      <c r="P1237" s="50"/>
      <c r="Q1237" s="48"/>
      <c r="R1237" s="48"/>
      <c r="S1237" s="48"/>
      <c r="T1237" s="48"/>
      <c r="U1237" s="48"/>
      <c r="V1237" s="47"/>
      <c r="W1237" s="46"/>
    </row>
    <row r="1238" spans="1:31" ht="24.75" thickBot="1">
      <c r="A1238" s="199"/>
      <c r="B1238" s="61"/>
      <c r="C1238" s="51" t="s">
        <v>154</v>
      </c>
      <c r="D1238" s="24">
        <f t="shared" ref="D1238:L1238" si="407">IF(((D1236="")*AND(D1237="")),"",(D1236-D1237)*4)</f>
        <v>3046.04</v>
      </c>
      <c r="E1238" s="24">
        <f t="shared" si="407"/>
        <v>2924.7199999999993</v>
      </c>
      <c r="F1238" s="24">
        <f t="shared" si="407"/>
        <v>2846.8399999999992</v>
      </c>
      <c r="G1238" s="24">
        <f t="shared" si="407"/>
        <v>2944.08</v>
      </c>
      <c r="H1238" s="24">
        <f t="shared" si="407"/>
        <v>3112.3599999999997</v>
      </c>
      <c r="I1238" s="24">
        <f t="shared" si="407"/>
        <v>3022.88</v>
      </c>
      <c r="J1238" s="24">
        <f t="shared" si="407"/>
        <v>2888.96</v>
      </c>
      <c r="K1238" s="24">
        <f t="shared" si="407"/>
        <v>2997.96</v>
      </c>
      <c r="L1238" s="24">
        <f t="shared" si="407"/>
        <v>3204.4400000000005</v>
      </c>
      <c r="M1238" s="24"/>
      <c r="N1238" s="24"/>
      <c r="O1238" s="24"/>
      <c r="P1238" s="24" t="str">
        <f>IF(((P1236="")*AND(P1237="")),"",(P1236-P1237)*4)</f>
        <v/>
      </c>
      <c r="Q1238" s="61"/>
      <c r="R1238" s="61"/>
      <c r="S1238" s="61"/>
      <c r="T1238" s="61"/>
      <c r="U1238" s="61"/>
      <c r="V1238" s="60"/>
      <c r="W1238" s="59"/>
    </row>
    <row r="1239" spans="1:31" ht="15.75">
      <c r="A1239" s="195">
        <v>43864</v>
      </c>
      <c r="B1239" s="57" t="s">
        <v>157</v>
      </c>
      <c r="C1239" s="51" t="s">
        <v>156</v>
      </c>
      <c r="D1239">
        <v>5043.49</v>
      </c>
      <c r="E1239">
        <v>5059.6099999999997</v>
      </c>
      <c r="F1239">
        <v>5197.3900000000003</v>
      </c>
      <c r="G1239">
        <v>5169.9399999999996</v>
      </c>
      <c r="H1239">
        <v>5177.3900000000003</v>
      </c>
      <c r="I1239">
        <v>5047.47</v>
      </c>
      <c r="J1239">
        <v>5131.84</v>
      </c>
      <c r="K1239">
        <v>5170.68</v>
      </c>
      <c r="L1239">
        <v>5126.17</v>
      </c>
      <c r="M1239" s="50"/>
      <c r="N1239" s="50"/>
      <c r="O1239" s="50"/>
      <c r="P1239" s="50"/>
      <c r="Q1239" s="57">
        <f>IF((L1240=""),"",MAX(D1241:L1241))</f>
        <v>3482.3799999999992</v>
      </c>
      <c r="R1239" s="57">
        <f>IF(L1240="","",MIN(D1241:L1241))</f>
        <v>3428.6800000000003</v>
      </c>
      <c r="S1239" s="58">
        <f>IF((L1241=""),"",AVERAGE(D1241:L1241))</f>
        <v>3465.6377777777775</v>
      </c>
      <c r="T1239" s="57">
        <f>IF((L1240=""),"",((Q1239-R1239)/(Q1239+R1239))*100)</f>
        <v>0.77701539271832265</v>
      </c>
      <c r="U1239" s="56">
        <f>STDEV(D1239:L1239)</f>
        <v>60.280554700547491</v>
      </c>
      <c r="V1239" s="55" t="str">
        <f>IF(L1240="","",(IF(T1239&lt;7,IF(S1239&gt;2800,IF(S1239&lt;3800,"Pass","Fail"),"Fail"),"Fail")))</f>
        <v>Pass</v>
      </c>
      <c r="W1239" s="54">
        <v>64</v>
      </c>
      <c r="X1239" s="26" t="s">
        <v>402</v>
      </c>
      <c r="Z1239" s="53">
        <v>2800</v>
      </c>
      <c r="AA1239" s="53">
        <v>3800</v>
      </c>
      <c r="AB1239" s="53">
        <v>3100</v>
      </c>
      <c r="AC1239" s="53">
        <v>3760</v>
      </c>
      <c r="AD1239" s="52">
        <v>6</v>
      </c>
      <c r="AE1239" s="52">
        <v>6</v>
      </c>
    </row>
    <row r="1240" spans="1:31" ht="15.75">
      <c r="A1240" s="199"/>
      <c r="B1240" s="48"/>
      <c r="C1240" s="51" t="s">
        <v>155</v>
      </c>
      <c r="D1240">
        <v>3302.3</v>
      </c>
      <c r="E1240">
        <v>3322.59</v>
      </c>
      <c r="F1240">
        <v>3462.67</v>
      </c>
      <c r="G1240">
        <v>3439.21</v>
      </c>
      <c r="H1240">
        <v>3463.05</v>
      </c>
      <c r="I1240">
        <v>3312.83</v>
      </c>
      <c r="J1240">
        <v>3400.85</v>
      </c>
      <c r="K1240">
        <v>3432.34</v>
      </c>
      <c r="L1240">
        <v>3392.77</v>
      </c>
      <c r="M1240" s="50"/>
      <c r="N1240" s="50"/>
      <c r="O1240" s="50"/>
      <c r="P1240" s="50"/>
      <c r="Q1240" s="48"/>
      <c r="R1240" s="48"/>
      <c r="S1240" s="49"/>
      <c r="T1240" s="48"/>
      <c r="U1240" s="48"/>
      <c r="V1240" s="47"/>
      <c r="W1240" s="46"/>
    </row>
    <row r="1241" spans="1:31" ht="24.75" thickBot="1">
      <c r="A1241" s="199"/>
      <c r="B1241" s="42"/>
      <c r="C1241" s="45" t="s">
        <v>154</v>
      </c>
      <c r="D1241" s="44">
        <f t="shared" ref="D1241:L1241" si="408">IF(((D1239="")*AND(D1240="")),"",(D1239-D1240)*2)</f>
        <v>3482.3799999999992</v>
      </c>
      <c r="E1241" s="44">
        <f t="shared" si="408"/>
        <v>3474.0399999999991</v>
      </c>
      <c r="F1241" s="44">
        <f t="shared" si="408"/>
        <v>3469.4400000000005</v>
      </c>
      <c r="G1241" s="44">
        <f t="shared" si="408"/>
        <v>3461.4599999999991</v>
      </c>
      <c r="H1241" s="44">
        <f t="shared" si="408"/>
        <v>3428.6800000000003</v>
      </c>
      <c r="I1241" s="44">
        <f t="shared" si="408"/>
        <v>3469.2800000000007</v>
      </c>
      <c r="J1241" s="44">
        <f t="shared" si="408"/>
        <v>3461.9800000000005</v>
      </c>
      <c r="K1241" s="44">
        <f t="shared" si="408"/>
        <v>3476.6800000000003</v>
      </c>
      <c r="L1241" s="44">
        <f t="shared" si="408"/>
        <v>3466.8</v>
      </c>
      <c r="M1241" s="44"/>
      <c r="N1241" s="44"/>
      <c r="O1241" s="44"/>
      <c r="P1241" s="44"/>
      <c r="Q1241" s="42"/>
      <c r="R1241" s="42"/>
      <c r="S1241" s="43"/>
      <c r="T1241" s="42"/>
      <c r="U1241" s="42"/>
      <c r="V1241" s="41"/>
      <c r="W1241" s="40"/>
    </row>
    <row r="1242" spans="1:31" ht="15.75">
      <c r="A1242" s="195">
        <v>43867</v>
      </c>
      <c r="B1242" s="63" t="s">
        <v>158</v>
      </c>
      <c r="C1242" s="56" t="s">
        <v>156</v>
      </c>
      <c r="D1242">
        <v>1182.7</v>
      </c>
      <c r="E1242">
        <v>1208.69</v>
      </c>
      <c r="F1242">
        <v>1216.8900000000001</v>
      </c>
      <c r="G1242">
        <v>1200.94</v>
      </c>
      <c r="H1242">
        <v>1164.49</v>
      </c>
      <c r="I1242">
        <v>1193.93</v>
      </c>
      <c r="J1242">
        <v>1217.71</v>
      </c>
      <c r="K1242">
        <v>1188.82</v>
      </c>
      <c r="L1242">
        <v>1142.0999999999999</v>
      </c>
      <c r="M1242" s="62"/>
      <c r="N1242" s="62"/>
      <c r="O1242" s="62"/>
      <c r="P1242" s="62"/>
      <c r="Q1242" s="57">
        <f>IF((L1243=""),"",MAX(D1244:L1244))</f>
        <v>3095.08</v>
      </c>
      <c r="R1242" s="57">
        <f>IF(L1243="","",MIN(D1244:L1244))</f>
        <v>2748.5200000000004</v>
      </c>
      <c r="S1242" s="58">
        <f>IF((L1244=""),"",AVERAGE(D1244:L1244))</f>
        <v>2890.8177777777778</v>
      </c>
      <c r="T1242" s="57">
        <f>IF((L1243=""),"",((Q1242-R1242)/(Q1242+R1242))*100)</f>
        <v>5.9305907317406987</v>
      </c>
      <c r="U1242" s="56">
        <f>STDEV(D1242:L1242)</f>
        <v>24.927006438791956</v>
      </c>
      <c r="V1242" s="55" t="str">
        <f>IF(L1243="","",(IF(T1242&lt;12,IF(S1242&gt;2200,IF(S1242&lt;3280,"Pass","Fail"),"Fail"),"Fail")))</f>
        <v>Pass</v>
      </c>
      <c r="W1242" s="54">
        <v>1340</v>
      </c>
      <c r="X1242" s="26" t="s">
        <v>403</v>
      </c>
      <c r="Z1242" s="37">
        <v>2000</v>
      </c>
      <c r="AA1242" s="37">
        <v>3000</v>
      </c>
      <c r="AB1242" s="37">
        <v>2200</v>
      </c>
      <c r="AC1242" s="37">
        <v>3280</v>
      </c>
      <c r="AD1242" s="39">
        <v>12</v>
      </c>
      <c r="AE1242" s="39">
        <v>12</v>
      </c>
    </row>
    <row r="1243" spans="1:31" ht="15.75">
      <c r="A1243" s="199"/>
      <c r="B1243" s="48"/>
      <c r="C1243" s="51" t="s">
        <v>155</v>
      </c>
      <c r="D1243">
        <v>443.68</v>
      </c>
      <c r="E1243">
        <v>506.8</v>
      </c>
      <c r="F1243">
        <v>529.76</v>
      </c>
      <c r="G1243">
        <v>498.5</v>
      </c>
      <c r="H1243">
        <v>409.15</v>
      </c>
      <c r="I1243">
        <v>459.2</v>
      </c>
      <c r="J1243">
        <v>521.54</v>
      </c>
      <c r="K1243">
        <v>474.97</v>
      </c>
      <c r="L1243">
        <v>368.33</v>
      </c>
      <c r="M1243" s="50"/>
      <c r="N1243" s="50"/>
      <c r="O1243" s="50"/>
      <c r="P1243" s="50"/>
      <c r="Q1243" s="48"/>
      <c r="R1243" s="48"/>
      <c r="S1243" s="48"/>
      <c r="T1243" s="48"/>
      <c r="U1243" s="48"/>
      <c r="V1243" s="47"/>
      <c r="W1243" s="46"/>
    </row>
    <row r="1244" spans="1:31" ht="24.75" thickBot="1">
      <c r="A1244" s="199"/>
      <c r="B1244" s="61"/>
      <c r="C1244" s="51" t="s">
        <v>154</v>
      </c>
      <c r="D1244" s="24">
        <f t="shared" ref="D1244:L1244" si="409">IF(((D1242="")*AND(D1243="")),"",(D1242-D1243)*4)</f>
        <v>2956.08</v>
      </c>
      <c r="E1244" s="24">
        <f t="shared" si="409"/>
        <v>2807.5600000000004</v>
      </c>
      <c r="F1244" s="24">
        <f t="shared" si="409"/>
        <v>2748.5200000000004</v>
      </c>
      <c r="G1244" s="24">
        <f t="shared" si="409"/>
        <v>2809.76</v>
      </c>
      <c r="H1244" s="24">
        <f t="shared" si="409"/>
        <v>3021.36</v>
      </c>
      <c r="I1244" s="24">
        <f t="shared" si="409"/>
        <v>2938.92</v>
      </c>
      <c r="J1244" s="24">
        <f t="shared" si="409"/>
        <v>2784.6800000000003</v>
      </c>
      <c r="K1244" s="24">
        <f t="shared" si="409"/>
        <v>2855.3999999999996</v>
      </c>
      <c r="L1244" s="24">
        <f t="shared" si="409"/>
        <v>3095.08</v>
      </c>
      <c r="M1244" s="24"/>
      <c r="N1244" s="24"/>
      <c r="O1244" s="24"/>
      <c r="P1244" s="24" t="str">
        <f>IF(((P1242="")*AND(P1243="")),"",(P1242-P1243)*4)</f>
        <v/>
      </c>
      <c r="Q1244" s="61"/>
      <c r="R1244" s="61"/>
      <c r="S1244" s="61"/>
      <c r="T1244" s="61"/>
      <c r="U1244" s="61"/>
      <c r="V1244" s="60"/>
      <c r="W1244" s="59"/>
    </row>
    <row r="1245" spans="1:31" ht="15.75">
      <c r="A1245" s="195">
        <v>43867</v>
      </c>
      <c r="B1245" s="57" t="s">
        <v>157</v>
      </c>
      <c r="C1245" s="51" t="s">
        <v>156</v>
      </c>
      <c r="D1245">
        <v>3302.3</v>
      </c>
      <c r="E1245">
        <v>3322.59</v>
      </c>
      <c r="F1245">
        <v>3462.67</v>
      </c>
      <c r="G1245">
        <v>3439.21</v>
      </c>
      <c r="H1245">
        <v>3463.05</v>
      </c>
      <c r="I1245">
        <v>3312.83</v>
      </c>
      <c r="J1245">
        <v>3400.85</v>
      </c>
      <c r="K1245">
        <v>3432.34</v>
      </c>
      <c r="L1245">
        <v>3392.77</v>
      </c>
      <c r="M1245" s="50"/>
      <c r="N1245" s="50"/>
      <c r="O1245" s="50"/>
      <c r="P1245" s="50"/>
      <c r="Q1245" s="57">
        <f>IF((L1246=""),"",MAX(D1247:L1247))</f>
        <v>3439.38</v>
      </c>
      <c r="R1245" s="57">
        <f>IF(L1246="","",MIN(D1247:L1247))</f>
        <v>3374.26</v>
      </c>
      <c r="S1245" s="58">
        <f>IF((L1247=""),"",AVERAGE(D1247:L1247))</f>
        <v>3417.2466666666669</v>
      </c>
      <c r="T1245" s="57">
        <f>IF((L1246=""),"",((Q1245-R1245)/(Q1245+R1245))*100)</f>
        <v>0.95572997692862982</v>
      </c>
      <c r="U1245" s="56">
        <f>STDEV(D1245:L1245)</f>
        <v>64.332196600477005</v>
      </c>
      <c r="V1245" s="55" t="str">
        <f>IF(L1246="","",(IF(T1245&lt;7,IF(S1245&gt;2800,IF(S1245&lt;3800,"Pass","Fail"),"Fail"),"Fail")))</f>
        <v>Pass</v>
      </c>
      <c r="W1245" s="54">
        <v>1340</v>
      </c>
      <c r="X1245" s="26" t="s">
        <v>403</v>
      </c>
      <c r="Z1245" s="53">
        <v>2800</v>
      </c>
      <c r="AA1245" s="53">
        <v>3800</v>
      </c>
      <c r="AB1245" s="53">
        <v>3100</v>
      </c>
      <c r="AC1245" s="53">
        <v>3760</v>
      </c>
      <c r="AD1245" s="52">
        <v>6</v>
      </c>
      <c r="AE1245" s="52">
        <v>6</v>
      </c>
    </row>
    <row r="1246" spans="1:31" ht="15.75">
      <c r="A1246" s="199"/>
      <c r="B1246" s="48"/>
      <c r="C1246" s="51" t="s">
        <v>155</v>
      </c>
      <c r="D1246">
        <v>1595.54</v>
      </c>
      <c r="E1246">
        <v>1607.29</v>
      </c>
      <c r="F1246">
        <v>1747.84</v>
      </c>
      <c r="G1246">
        <v>1726.71</v>
      </c>
      <c r="H1246">
        <v>1775.92</v>
      </c>
      <c r="I1246">
        <v>1610.35</v>
      </c>
      <c r="J1246">
        <v>1690.55</v>
      </c>
      <c r="K1246">
        <v>1712.65</v>
      </c>
      <c r="L1246">
        <v>1684.15</v>
      </c>
      <c r="M1246" s="50"/>
      <c r="N1246" s="50"/>
      <c r="O1246" s="50"/>
      <c r="P1246" s="50"/>
      <c r="Q1246" s="48"/>
      <c r="R1246" s="48"/>
      <c r="S1246" s="49"/>
      <c r="T1246" s="48"/>
      <c r="U1246" s="48"/>
      <c r="V1246" s="47"/>
      <c r="W1246" s="46"/>
    </row>
    <row r="1247" spans="1:31" ht="24.75" thickBot="1">
      <c r="A1247" s="199"/>
      <c r="B1247" s="42"/>
      <c r="C1247" s="45" t="s">
        <v>154</v>
      </c>
      <c r="D1247" s="44">
        <f t="shared" ref="D1247:L1247" si="410">IF(((D1245="")*AND(D1246="")),"",(D1245-D1246)*2)</f>
        <v>3413.5200000000004</v>
      </c>
      <c r="E1247" s="44">
        <f t="shared" si="410"/>
        <v>3430.6000000000004</v>
      </c>
      <c r="F1247" s="44">
        <f t="shared" si="410"/>
        <v>3429.6600000000003</v>
      </c>
      <c r="G1247" s="44">
        <f t="shared" si="410"/>
        <v>3425</v>
      </c>
      <c r="H1247" s="44">
        <f t="shared" si="410"/>
        <v>3374.26</v>
      </c>
      <c r="I1247" s="44">
        <f t="shared" si="410"/>
        <v>3404.96</v>
      </c>
      <c r="J1247" s="44">
        <f t="shared" si="410"/>
        <v>3420.6</v>
      </c>
      <c r="K1247" s="44">
        <f t="shared" si="410"/>
        <v>3439.38</v>
      </c>
      <c r="L1247" s="44">
        <f t="shared" si="410"/>
        <v>3417.24</v>
      </c>
      <c r="M1247" s="44"/>
      <c r="N1247" s="44"/>
      <c r="O1247" s="44"/>
      <c r="P1247" s="44"/>
      <c r="Q1247" s="42"/>
      <c r="R1247" s="42"/>
      <c r="S1247" s="43"/>
      <c r="T1247" s="42"/>
      <c r="U1247" s="42"/>
      <c r="V1247" s="41"/>
      <c r="W1247" s="40"/>
    </row>
    <row r="1248" spans="1:31" ht="15.75">
      <c r="A1248" s="195">
        <v>43871</v>
      </c>
      <c r="B1248" s="63" t="s">
        <v>158</v>
      </c>
      <c r="C1248" s="56" t="s">
        <v>156</v>
      </c>
      <c r="D1248">
        <v>1934.81</v>
      </c>
      <c r="E1248">
        <v>1930.44</v>
      </c>
      <c r="F1248">
        <v>1926.98</v>
      </c>
      <c r="G1248">
        <v>1933.6</v>
      </c>
      <c r="H1248">
        <v>1935.67</v>
      </c>
      <c r="I1248">
        <v>1941.55</v>
      </c>
      <c r="J1248">
        <v>1932.21</v>
      </c>
      <c r="K1248">
        <v>1930.19</v>
      </c>
      <c r="L1248">
        <v>1935.73</v>
      </c>
      <c r="M1248" s="62"/>
      <c r="N1248" s="62"/>
      <c r="O1248" s="62"/>
      <c r="P1248" s="62"/>
      <c r="Q1248" s="57">
        <f>IF((L1249=""),"",MAX(D1250:L1250))</f>
        <v>3181.04</v>
      </c>
      <c r="R1248" s="57">
        <f>IF(L1249="","",MIN(D1250:L1250))</f>
        <v>2823.88</v>
      </c>
      <c r="S1248" s="58">
        <f>IF((L1250=""),"",AVERAGE(D1250:L1250))</f>
        <v>2980.7777777777778</v>
      </c>
      <c r="T1248" s="57">
        <f>IF((L1249=""),"",((Q1248-R1248)/(Q1248+R1248))*100)</f>
        <v>5.9477894792936432</v>
      </c>
      <c r="U1248" s="56">
        <f>STDEV(D1248:L1248)</f>
        <v>4.1936443312657934</v>
      </c>
      <c r="V1248" s="55" t="str">
        <f>IF(L1249="","",(IF(T1248&lt;12,IF(S1248&gt;2200,IF(S1248&lt;3280,"Pass","Fail"),"Fail"),"Fail")))</f>
        <v>Pass</v>
      </c>
      <c r="W1248" s="54">
        <v>1340</v>
      </c>
      <c r="X1248" s="26" t="s">
        <v>404</v>
      </c>
      <c r="Z1248" s="37">
        <v>2000</v>
      </c>
      <c r="AA1248" s="37">
        <v>3000</v>
      </c>
      <c r="AB1248" s="37">
        <v>2200</v>
      </c>
      <c r="AC1248" s="37">
        <v>3280</v>
      </c>
      <c r="AD1248" s="39">
        <v>12</v>
      </c>
      <c r="AE1248" s="39">
        <v>12</v>
      </c>
    </row>
    <row r="1249" spans="1:31" ht="15.75">
      <c r="A1249" s="199"/>
      <c r="B1249" s="48"/>
      <c r="C1249" s="51" t="s">
        <v>155</v>
      </c>
      <c r="D1249">
        <v>1178.6600000000001</v>
      </c>
      <c r="E1249">
        <v>1203.98</v>
      </c>
      <c r="F1249">
        <v>1221.01</v>
      </c>
      <c r="G1249">
        <v>1202.03</v>
      </c>
      <c r="H1249">
        <v>1161.96</v>
      </c>
      <c r="I1249">
        <v>1184.67</v>
      </c>
      <c r="J1249">
        <v>1212.77</v>
      </c>
      <c r="K1249">
        <v>1188.8800000000001</v>
      </c>
      <c r="L1249">
        <v>1140.47</v>
      </c>
      <c r="M1249" s="50"/>
      <c r="N1249" s="50"/>
      <c r="O1249" s="50"/>
      <c r="P1249" s="50"/>
      <c r="Q1249" s="48"/>
      <c r="R1249" s="48"/>
      <c r="S1249" s="48"/>
      <c r="T1249" s="48"/>
      <c r="U1249" s="48"/>
      <c r="V1249" s="47"/>
      <c r="W1249" s="46"/>
    </row>
    <row r="1250" spans="1:31" ht="24.75" thickBot="1">
      <c r="A1250" s="199"/>
      <c r="B1250" s="61"/>
      <c r="C1250" s="51" t="s">
        <v>154</v>
      </c>
      <c r="D1250" s="24">
        <f t="shared" ref="D1250:L1250" si="411">IF(((D1248="")*AND(D1249="")),"",(D1248-D1249)*4)</f>
        <v>3024.5999999999995</v>
      </c>
      <c r="E1250" s="24">
        <f t="shared" si="411"/>
        <v>2905.84</v>
      </c>
      <c r="F1250" s="24">
        <f t="shared" si="411"/>
        <v>2823.88</v>
      </c>
      <c r="G1250" s="24">
        <f t="shared" si="411"/>
        <v>2926.2799999999997</v>
      </c>
      <c r="H1250" s="24">
        <f t="shared" si="411"/>
        <v>3094.84</v>
      </c>
      <c r="I1250" s="24">
        <f t="shared" si="411"/>
        <v>3027.5199999999995</v>
      </c>
      <c r="J1250" s="24">
        <f t="shared" si="411"/>
        <v>2877.76</v>
      </c>
      <c r="K1250" s="24">
        <f t="shared" si="411"/>
        <v>2965.24</v>
      </c>
      <c r="L1250" s="24">
        <f t="shared" si="411"/>
        <v>3181.04</v>
      </c>
      <c r="M1250" s="24"/>
      <c r="N1250" s="24"/>
      <c r="O1250" s="24"/>
      <c r="P1250" s="24" t="str">
        <f>IF(((P1248="")*AND(P1249="")),"",(P1248-P1249)*4)</f>
        <v/>
      </c>
      <c r="Q1250" s="61"/>
      <c r="R1250" s="61"/>
      <c r="S1250" s="61"/>
      <c r="T1250" s="61"/>
      <c r="U1250" s="61"/>
      <c r="V1250" s="60"/>
      <c r="W1250" s="59"/>
    </row>
    <row r="1251" spans="1:31" ht="15.75">
      <c r="A1251" s="195">
        <v>43871</v>
      </c>
      <c r="B1251" s="57" t="s">
        <v>157</v>
      </c>
      <c r="C1251" s="51" t="s">
        <v>156</v>
      </c>
      <c r="D1251">
        <v>6706.31</v>
      </c>
      <c r="E1251">
        <v>6849.49</v>
      </c>
      <c r="F1251">
        <v>7023.83</v>
      </c>
      <c r="G1251">
        <v>7028.67</v>
      </c>
      <c r="H1251">
        <v>7043.1</v>
      </c>
      <c r="I1251">
        <v>6936.01</v>
      </c>
      <c r="J1251">
        <v>7002.8</v>
      </c>
      <c r="K1251">
        <v>6943.87</v>
      </c>
      <c r="L1251">
        <v>6824.17</v>
      </c>
      <c r="M1251" s="50"/>
      <c r="N1251" s="50"/>
      <c r="O1251" s="50"/>
      <c r="P1251" s="50"/>
      <c r="Q1251" s="57">
        <f>IF((L1252=""),"",MAX(D1253:L1253))</f>
        <v>3438.08</v>
      </c>
      <c r="R1251" s="57">
        <f>IF(L1252="","",MIN(D1253:L1253))</f>
        <v>3361.7200000000012</v>
      </c>
      <c r="S1251" s="58">
        <f>IF((L1253=""),"",AVERAGE(D1253:L1253))</f>
        <v>3406.9311111111119</v>
      </c>
      <c r="T1251" s="57">
        <f>IF((L1252=""),"",((Q1251-R1251)/(Q1251+R1251))*100)</f>
        <v>1.1229742051236618</v>
      </c>
      <c r="U1251" s="56">
        <f>STDEV(D1251:L1251)</f>
        <v>114.32601936032334</v>
      </c>
      <c r="V1251" s="55" t="str">
        <f>IF(L1252="","",(IF(T1251&lt;7,IF(S1251&gt;2800,IF(S1251&lt;3800,"Pass","Fail"),"Fail"),"Fail")))</f>
        <v>Pass</v>
      </c>
      <c r="W1251" s="54">
        <v>1340</v>
      </c>
      <c r="X1251" s="26" t="s">
        <v>404</v>
      </c>
      <c r="Z1251" s="53">
        <v>2800</v>
      </c>
      <c r="AA1251" s="53">
        <v>3800</v>
      </c>
      <c r="AB1251" s="53">
        <v>3100</v>
      </c>
      <c r="AC1251" s="53">
        <v>3760</v>
      </c>
      <c r="AD1251" s="52">
        <v>6</v>
      </c>
      <c r="AE1251" s="52">
        <v>6</v>
      </c>
    </row>
    <row r="1252" spans="1:31" ht="15.75">
      <c r="A1252" s="199"/>
      <c r="B1252" s="48"/>
      <c r="C1252" s="51" t="s">
        <v>155</v>
      </c>
      <c r="D1252">
        <v>5005.9399999999996</v>
      </c>
      <c r="E1252">
        <v>5130.45</v>
      </c>
      <c r="F1252">
        <v>5315.38</v>
      </c>
      <c r="G1252">
        <v>5322.64</v>
      </c>
      <c r="H1252">
        <v>5360.02</v>
      </c>
      <c r="I1252">
        <v>5255.15</v>
      </c>
      <c r="J1252">
        <v>5294.9</v>
      </c>
      <c r="K1252">
        <v>5230.51</v>
      </c>
      <c r="L1252">
        <v>5112.07</v>
      </c>
      <c r="M1252" s="50"/>
      <c r="N1252" s="50"/>
      <c r="O1252" s="50"/>
      <c r="P1252" s="50"/>
      <c r="Q1252" s="48"/>
      <c r="R1252" s="48"/>
      <c r="S1252" s="49"/>
      <c r="T1252" s="48"/>
      <c r="U1252" s="48"/>
      <c r="V1252" s="47"/>
      <c r="W1252" s="46"/>
    </row>
    <row r="1253" spans="1:31" ht="24.75" thickBot="1">
      <c r="A1253" s="199"/>
      <c r="B1253" s="42"/>
      <c r="C1253" s="45" t="s">
        <v>154</v>
      </c>
      <c r="D1253" s="44">
        <f t="shared" ref="D1253:L1253" si="412">IF(((D1251="")*AND(D1252="")),"",(D1251-D1252)*2)</f>
        <v>3400.7400000000016</v>
      </c>
      <c r="E1253" s="44">
        <f t="shared" si="412"/>
        <v>3438.08</v>
      </c>
      <c r="F1253" s="44">
        <f t="shared" si="412"/>
        <v>3416.8999999999996</v>
      </c>
      <c r="G1253" s="44">
        <f t="shared" si="412"/>
        <v>3412.0599999999995</v>
      </c>
      <c r="H1253" s="44">
        <f t="shared" si="412"/>
        <v>3366.16</v>
      </c>
      <c r="I1253" s="44">
        <f t="shared" si="412"/>
        <v>3361.7200000000012</v>
      </c>
      <c r="J1253" s="44">
        <f t="shared" si="412"/>
        <v>3415.8000000000011</v>
      </c>
      <c r="K1253" s="44">
        <f t="shared" si="412"/>
        <v>3426.7199999999993</v>
      </c>
      <c r="L1253" s="44">
        <f t="shared" si="412"/>
        <v>3424.2000000000007</v>
      </c>
      <c r="M1253" s="44"/>
      <c r="N1253" s="44"/>
      <c r="O1253" s="44"/>
      <c r="P1253" s="44"/>
      <c r="Q1253" s="42"/>
      <c r="R1253" s="42"/>
      <c r="S1253" s="43"/>
      <c r="T1253" s="42"/>
      <c r="U1253" s="42"/>
      <c r="V1253" s="41"/>
      <c r="W1253" s="40"/>
    </row>
    <row r="1254" spans="1:31" ht="15.75">
      <c r="A1254" s="195">
        <v>43875</v>
      </c>
      <c r="B1254" s="63" t="s">
        <v>158</v>
      </c>
      <c r="C1254" s="56" t="s">
        <v>156</v>
      </c>
      <c r="D1254">
        <v>1165</v>
      </c>
      <c r="E1254">
        <v>1205</v>
      </c>
      <c r="F1254">
        <v>1224</v>
      </c>
      <c r="G1254">
        <v>1208</v>
      </c>
      <c r="H1254">
        <v>1181</v>
      </c>
      <c r="I1254">
        <v>1142</v>
      </c>
      <c r="J1254">
        <v>1190</v>
      </c>
      <c r="K1254">
        <v>1219</v>
      </c>
      <c r="L1254">
        <v>1192</v>
      </c>
      <c r="M1254" s="62"/>
      <c r="N1254" s="62"/>
      <c r="O1254" s="62"/>
      <c r="P1254" s="62"/>
      <c r="Q1254" s="57">
        <f>IF((L1255=""),"",MAX(D1256:L1256))</f>
        <v>3128</v>
      </c>
      <c r="R1254" s="57">
        <f>IF(L1255="","",MIN(D1256:L1256))</f>
        <v>2740</v>
      </c>
      <c r="S1254" s="58">
        <f>IF((L1256=""),"",AVERAGE(D1256:L1256))</f>
        <v>2901.7777777777778</v>
      </c>
      <c r="T1254" s="57">
        <f>IF((L1255=""),"",((Q1254-R1254)/(Q1254+R1254))*100)</f>
        <v>6.6121336059986362</v>
      </c>
      <c r="U1254" s="56">
        <f>STDEV(D1254:L1254)</f>
        <v>26.29533122903182</v>
      </c>
      <c r="V1254" s="55" t="str">
        <f>IF(L1255="","",(IF(T1254&lt;12,IF(S1254&gt;2200,IF(S1254&lt;3280,"Pass","Fail"),"Fail"),"Fail")))</f>
        <v>Pass</v>
      </c>
      <c r="W1254" s="54">
        <v>1159</v>
      </c>
      <c r="X1254" s="26" t="s">
        <v>405</v>
      </c>
      <c r="Z1254" s="37">
        <v>2000</v>
      </c>
      <c r="AA1254" s="37">
        <v>3000</v>
      </c>
      <c r="AB1254" s="37">
        <v>2200</v>
      </c>
      <c r="AC1254" s="37">
        <v>3280</v>
      </c>
      <c r="AD1254" s="39">
        <v>12</v>
      </c>
      <c r="AE1254" s="39">
        <v>12</v>
      </c>
    </row>
    <row r="1255" spans="1:31" ht="15.75">
      <c r="A1255" s="199"/>
      <c r="B1255" s="48"/>
      <c r="C1255" s="51" t="s">
        <v>155</v>
      </c>
      <c r="D1255">
        <v>402</v>
      </c>
      <c r="E1255">
        <v>496</v>
      </c>
      <c r="F1255">
        <v>539</v>
      </c>
      <c r="G1255">
        <v>504</v>
      </c>
      <c r="H1255">
        <v>441</v>
      </c>
      <c r="I1255">
        <v>360</v>
      </c>
      <c r="J1255">
        <v>472</v>
      </c>
      <c r="K1255">
        <v>525</v>
      </c>
      <c r="L1255">
        <v>458</v>
      </c>
      <c r="M1255" s="50"/>
      <c r="N1255" s="50"/>
      <c r="O1255" s="50"/>
      <c r="P1255" s="50"/>
      <c r="Q1255" s="48"/>
      <c r="R1255" s="48"/>
      <c r="S1255" s="48"/>
      <c r="T1255" s="48"/>
      <c r="U1255" s="48"/>
      <c r="V1255" s="47"/>
      <c r="W1255" s="46"/>
    </row>
    <row r="1256" spans="1:31" ht="24.75" thickBot="1">
      <c r="A1256" s="199"/>
      <c r="B1256" s="61"/>
      <c r="C1256" s="51" t="s">
        <v>154</v>
      </c>
      <c r="D1256" s="24">
        <f t="shared" ref="D1256:L1256" si="413">IF(((D1254="")*AND(D1255="")),"",(D1254-D1255)*4)</f>
        <v>3052</v>
      </c>
      <c r="E1256" s="24">
        <f t="shared" si="413"/>
        <v>2836</v>
      </c>
      <c r="F1256" s="24">
        <f t="shared" si="413"/>
        <v>2740</v>
      </c>
      <c r="G1256" s="24">
        <f t="shared" si="413"/>
        <v>2816</v>
      </c>
      <c r="H1256" s="24">
        <f t="shared" si="413"/>
        <v>2960</v>
      </c>
      <c r="I1256" s="24">
        <f t="shared" si="413"/>
        <v>3128</v>
      </c>
      <c r="J1256" s="24">
        <f t="shared" si="413"/>
        <v>2872</v>
      </c>
      <c r="K1256" s="24">
        <f t="shared" si="413"/>
        <v>2776</v>
      </c>
      <c r="L1256" s="24">
        <f t="shared" si="413"/>
        <v>2936</v>
      </c>
      <c r="M1256" s="24"/>
      <c r="N1256" s="24"/>
      <c r="O1256" s="24"/>
      <c r="P1256" s="24" t="str">
        <f>IF(((P1254="")*AND(P1255="")),"",(P1254-P1255)*4)</f>
        <v/>
      </c>
      <c r="Q1256" s="61"/>
      <c r="R1256" s="61"/>
      <c r="S1256" s="61"/>
      <c r="T1256" s="61"/>
      <c r="U1256" s="61"/>
      <c r="V1256" s="60"/>
      <c r="W1256" s="59"/>
    </row>
    <row r="1257" spans="1:31" ht="15.75">
      <c r="A1257" s="195">
        <v>43875</v>
      </c>
      <c r="B1257" s="57" t="s">
        <v>157</v>
      </c>
      <c r="C1257" s="51" t="s">
        <v>156</v>
      </c>
      <c r="D1257">
        <v>4962</v>
      </c>
      <c r="E1257">
        <v>5154</v>
      </c>
      <c r="F1257">
        <v>5380</v>
      </c>
      <c r="G1257">
        <v>5367</v>
      </c>
      <c r="H1257">
        <v>5487</v>
      </c>
      <c r="I1257">
        <v>5275</v>
      </c>
      <c r="J1257">
        <v>5351</v>
      </c>
      <c r="K1257">
        <v>5289</v>
      </c>
      <c r="L1257" s="50">
        <v>5169</v>
      </c>
      <c r="M1257" s="50"/>
      <c r="N1257" s="50"/>
      <c r="O1257" s="50"/>
      <c r="P1257" s="50"/>
      <c r="Q1257" s="57">
        <f>IF((L1258=""),"",MAX(D1259:L1259))</f>
        <v>3530</v>
      </c>
      <c r="R1257" s="57">
        <f>IF(L1258="","",MIN(D1259:L1259))</f>
        <v>3318</v>
      </c>
      <c r="S1257" s="58">
        <f>IF((L1259=""),"",AVERAGE(D1259:L1259))</f>
        <v>3453.7777777777778</v>
      </c>
      <c r="T1257" s="57">
        <f>IF((L1258=""),"",((Q1257-R1257)/(Q1257+R1257))*100)</f>
        <v>3.0957943925233646</v>
      </c>
      <c r="U1257" s="56">
        <f>STDEV(D1257:L1257)</f>
        <v>155.74988853214671</v>
      </c>
      <c r="V1257" s="55" t="str">
        <f>IF(L1258="","",(IF(T1257&lt;7,IF(S1257&gt;2800,IF(S1257&lt;3800,"Pass","Fail"),"Fail"),"Fail")))</f>
        <v>Pass</v>
      </c>
      <c r="W1257" s="54">
        <v>1159</v>
      </c>
      <c r="X1257" s="26" t="s">
        <v>405</v>
      </c>
      <c r="Z1257" s="53">
        <v>2800</v>
      </c>
      <c r="AA1257" s="53">
        <v>3800</v>
      </c>
      <c r="AB1257" s="53">
        <v>3100</v>
      </c>
      <c r="AC1257" s="53">
        <v>3760</v>
      </c>
      <c r="AD1257" s="52">
        <v>6</v>
      </c>
      <c r="AE1257" s="52">
        <v>6</v>
      </c>
    </row>
    <row r="1258" spans="1:31" ht="15.75">
      <c r="A1258" s="199"/>
      <c r="B1258" s="48"/>
      <c r="C1258" s="51" t="s">
        <v>155</v>
      </c>
      <c r="D1258">
        <v>3303</v>
      </c>
      <c r="E1258">
        <v>3444</v>
      </c>
      <c r="F1258">
        <v>3615</v>
      </c>
      <c r="G1258">
        <v>3621</v>
      </c>
      <c r="H1258" s="233">
        <v>3738</v>
      </c>
      <c r="I1258" s="233">
        <v>3587</v>
      </c>
      <c r="J1258" s="233">
        <v>3604</v>
      </c>
      <c r="K1258" s="233">
        <v>3536</v>
      </c>
      <c r="L1258" s="233">
        <v>3444</v>
      </c>
      <c r="M1258" s="50"/>
      <c r="N1258" s="50"/>
      <c r="O1258" s="50"/>
      <c r="P1258" s="50"/>
      <c r="Q1258" s="48"/>
      <c r="R1258" s="48"/>
      <c r="S1258" s="49"/>
      <c r="T1258" s="48"/>
      <c r="U1258" s="48"/>
      <c r="V1258" s="47"/>
      <c r="W1258" s="46"/>
    </row>
    <row r="1259" spans="1:31" ht="24.75" thickBot="1">
      <c r="A1259" s="199"/>
      <c r="B1259" s="42"/>
      <c r="C1259" s="45" t="s">
        <v>154</v>
      </c>
      <c r="D1259" s="44">
        <f t="shared" ref="D1259:L1259" si="414">IF(((D1257="")*AND(D1258="")),"",(D1257-D1258)*2)</f>
        <v>3318</v>
      </c>
      <c r="E1259" s="44">
        <f t="shared" si="414"/>
        <v>3420</v>
      </c>
      <c r="F1259" s="44">
        <f t="shared" si="414"/>
        <v>3530</v>
      </c>
      <c r="G1259" s="44">
        <f t="shared" si="414"/>
        <v>3492</v>
      </c>
      <c r="H1259" s="44">
        <f t="shared" si="414"/>
        <v>3498</v>
      </c>
      <c r="I1259" s="44">
        <f t="shared" si="414"/>
        <v>3376</v>
      </c>
      <c r="J1259" s="44">
        <f t="shared" si="414"/>
        <v>3494</v>
      </c>
      <c r="K1259" s="44">
        <f t="shared" si="414"/>
        <v>3506</v>
      </c>
      <c r="L1259" s="44">
        <f t="shared" si="414"/>
        <v>3450</v>
      </c>
      <c r="M1259" s="44"/>
      <c r="N1259" s="44"/>
      <c r="O1259" s="44"/>
      <c r="P1259" s="44"/>
      <c r="Q1259" s="42"/>
      <c r="R1259" s="42"/>
      <c r="S1259" s="43"/>
      <c r="T1259" s="42"/>
      <c r="U1259" s="42"/>
      <c r="V1259" s="41"/>
      <c r="W1259" s="40"/>
    </row>
    <row r="1260" spans="1:31" ht="15.75">
      <c r="A1260" s="195">
        <v>43881</v>
      </c>
      <c r="B1260" s="63" t="s">
        <v>158</v>
      </c>
      <c r="C1260" s="56" t="s">
        <v>156</v>
      </c>
      <c r="D1260">
        <v>1979</v>
      </c>
      <c r="E1260">
        <v>1968</v>
      </c>
      <c r="F1260">
        <v>1923</v>
      </c>
      <c r="G1260">
        <v>1953</v>
      </c>
      <c r="H1260" s="233">
        <v>1979</v>
      </c>
      <c r="I1260" s="233">
        <v>1983</v>
      </c>
      <c r="J1260" s="233">
        <v>1889</v>
      </c>
      <c r="K1260" s="233">
        <v>1973</v>
      </c>
      <c r="L1260" s="233">
        <v>1982</v>
      </c>
      <c r="M1260" s="62"/>
      <c r="N1260" s="62"/>
      <c r="O1260" s="62"/>
      <c r="P1260" s="62"/>
      <c r="Q1260" s="57">
        <f>IF((L1261=""),"",MAX(D1262:L1262))</f>
        <v>3264</v>
      </c>
      <c r="R1260" s="57">
        <f>IF(L1261="","",MIN(D1262:L1262))</f>
        <v>2728</v>
      </c>
      <c r="S1260" s="58">
        <f>IF((L1262=""),"",AVERAGE(D1262:L1262))</f>
        <v>2979.5555555555557</v>
      </c>
      <c r="T1260" s="57">
        <f>IF((L1261=""),"",((Q1260-R1260)/(Q1260+R1260))*100)</f>
        <v>8.9452603471295067</v>
      </c>
      <c r="U1260" s="56">
        <f>STDEV(D1260:L1260)</f>
        <v>32.429838797688014</v>
      </c>
      <c r="V1260" s="55" t="str">
        <f>IF(L1261="","",(IF(T1260&lt;12,IF(S1260&gt;2200,IF(S1260&lt;3280,"Pass","Fail"),"Fail"),"Fail")))</f>
        <v>Pass</v>
      </c>
      <c r="W1260" s="54">
        <v>1159</v>
      </c>
      <c r="X1260" s="26" t="s">
        <v>406</v>
      </c>
      <c r="Z1260" s="37">
        <v>2000</v>
      </c>
      <c r="AA1260" s="37">
        <v>3000</v>
      </c>
      <c r="AB1260" s="37">
        <v>2200</v>
      </c>
      <c r="AC1260" s="37">
        <v>3280</v>
      </c>
      <c r="AD1260" s="39">
        <v>12</v>
      </c>
      <c r="AE1260" s="39">
        <v>12</v>
      </c>
    </row>
    <row r="1261" spans="1:31" ht="15.75">
      <c r="A1261" s="199"/>
      <c r="B1261" s="48"/>
      <c r="C1261" s="51" t="s">
        <v>155</v>
      </c>
      <c r="D1261">
        <v>1187</v>
      </c>
      <c r="E1261">
        <v>1228</v>
      </c>
      <c r="F1261">
        <v>1231</v>
      </c>
      <c r="G1261">
        <v>1237</v>
      </c>
      <c r="H1261" s="233">
        <v>1207</v>
      </c>
      <c r="I1261" s="233">
        <v>1167</v>
      </c>
      <c r="J1261" s="233">
        <v>1207</v>
      </c>
      <c r="K1261" s="233">
        <v>1244</v>
      </c>
      <c r="L1261" s="233">
        <v>1217</v>
      </c>
      <c r="M1261" s="50"/>
      <c r="N1261" s="50"/>
      <c r="O1261" s="50"/>
      <c r="P1261" s="50"/>
      <c r="Q1261" s="48"/>
      <c r="R1261" s="48"/>
      <c r="S1261" s="48"/>
      <c r="T1261" s="48"/>
      <c r="U1261" s="48"/>
      <c r="V1261" s="47"/>
      <c r="W1261" s="46"/>
    </row>
    <row r="1262" spans="1:31" ht="24.75" thickBot="1">
      <c r="A1262" s="199"/>
      <c r="B1262" s="61"/>
      <c r="C1262" s="51" t="s">
        <v>154</v>
      </c>
      <c r="D1262" s="24">
        <f t="shared" ref="D1262:L1262" si="415">IF(((D1260="")*AND(D1261="")),"",(D1260-D1261)*4)</f>
        <v>3168</v>
      </c>
      <c r="E1262" s="24">
        <f t="shared" si="415"/>
        <v>2960</v>
      </c>
      <c r="F1262" s="24">
        <f t="shared" si="415"/>
        <v>2768</v>
      </c>
      <c r="G1262" s="24">
        <f t="shared" si="415"/>
        <v>2864</v>
      </c>
      <c r="H1262" s="24">
        <f t="shared" si="415"/>
        <v>3088</v>
      </c>
      <c r="I1262" s="24">
        <f t="shared" si="415"/>
        <v>3264</v>
      </c>
      <c r="J1262" s="24">
        <f t="shared" si="415"/>
        <v>2728</v>
      </c>
      <c r="K1262" s="24">
        <f t="shared" si="415"/>
        <v>2916</v>
      </c>
      <c r="L1262" s="24">
        <f t="shared" si="415"/>
        <v>3060</v>
      </c>
      <c r="M1262" s="24"/>
      <c r="N1262" s="24"/>
      <c r="O1262" s="24"/>
      <c r="P1262" s="24" t="str">
        <f>IF(((P1260="")*AND(P1261="")),"",(P1260-P1261)*4)</f>
        <v/>
      </c>
      <c r="Q1262" s="61"/>
      <c r="R1262" s="61"/>
      <c r="S1262" s="61"/>
      <c r="T1262" s="61"/>
      <c r="U1262" s="61"/>
      <c r="V1262" s="60"/>
      <c r="W1262" s="59"/>
    </row>
    <row r="1263" spans="1:31" ht="15.75">
      <c r="A1263" s="195">
        <v>43881</v>
      </c>
      <c r="B1263" s="57" t="s">
        <v>157</v>
      </c>
      <c r="C1263" s="51" t="s">
        <v>156</v>
      </c>
      <c r="D1263">
        <v>6691</v>
      </c>
      <c r="E1263">
        <v>6931</v>
      </c>
      <c r="F1263">
        <v>7088</v>
      </c>
      <c r="G1263">
        <v>7075</v>
      </c>
      <c r="H1263">
        <v>7059</v>
      </c>
      <c r="I1263" s="233">
        <v>6945</v>
      </c>
      <c r="J1263" s="233">
        <v>7067</v>
      </c>
      <c r="K1263" s="233">
        <v>7001</v>
      </c>
      <c r="L1263" s="50">
        <v>6792</v>
      </c>
      <c r="M1263" s="50"/>
      <c r="N1263" s="50"/>
      <c r="O1263" s="50"/>
      <c r="P1263" s="50"/>
      <c r="Q1263" s="57">
        <f>IF((L1264=""),"",MAX(D1265:L1265))</f>
        <v>3862</v>
      </c>
      <c r="R1263" s="57">
        <f>IF(L1264="","",MIN(D1265:L1265))</f>
        <v>3486</v>
      </c>
      <c r="S1263" s="58">
        <f>IF((L1265=""),"",AVERAGE(D1265:L1265))</f>
        <v>3609.3333333333335</v>
      </c>
      <c r="T1263" s="57">
        <f>IF((L1264=""),"",((Q1263-R1263)/(Q1263+R1263))*100)</f>
        <v>5.1170386499727822</v>
      </c>
      <c r="U1263" s="56">
        <f>STDEV(D1263:L1263)</f>
        <v>138.82633035559212</v>
      </c>
      <c r="V1263" s="55" t="str">
        <f>IF(L1264="","",(IF(T1263&lt;7,IF(S1263&gt;2800,IF(S1263&lt;3800,"Pass","Fail"),"Fail"),"Fail")))</f>
        <v>Pass</v>
      </c>
      <c r="W1263" s="54">
        <v>1159</v>
      </c>
      <c r="X1263" s="26" t="s">
        <v>406</v>
      </c>
      <c r="Z1263" s="53">
        <v>2800</v>
      </c>
      <c r="AA1263" s="53">
        <v>3800</v>
      </c>
      <c r="AB1263" s="53">
        <v>3100</v>
      </c>
      <c r="AC1263" s="53">
        <v>3760</v>
      </c>
      <c r="AD1263" s="52">
        <v>6</v>
      </c>
      <c r="AE1263" s="52">
        <v>6</v>
      </c>
    </row>
    <row r="1264" spans="1:31" ht="15.75">
      <c r="A1264" s="199"/>
      <c r="B1264" s="48"/>
      <c r="C1264" s="51" t="s">
        <v>155</v>
      </c>
      <c r="D1264">
        <v>4940</v>
      </c>
      <c r="E1264">
        <v>5167</v>
      </c>
      <c r="F1264">
        <v>5157</v>
      </c>
      <c r="G1264">
        <v>5169</v>
      </c>
      <c r="H1264" s="233">
        <v>5195</v>
      </c>
      <c r="I1264" s="233">
        <v>5202</v>
      </c>
      <c r="J1264" s="233">
        <v>5278</v>
      </c>
      <c r="K1264" s="233">
        <v>5253</v>
      </c>
      <c r="L1264" s="233">
        <v>5046</v>
      </c>
      <c r="M1264" s="50"/>
      <c r="N1264" s="50"/>
      <c r="O1264" s="50"/>
      <c r="P1264" s="50"/>
      <c r="Q1264" s="48"/>
      <c r="R1264" s="48"/>
      <c r="S1264" s="49"/>
      <c r="T1264" s="48"/>
      <c r="U1264" s="48"/>
      <c r="V1264" s="47"/>
      <c r="W1264" s="46"/>
    </row>
    <row r="1265" spans="1:31" ht="24.75" thickBot="1">
      <c r="A1265" s="199"/>
      <c r="B1265" s="42"/>
      <c r="C1265" s="45" t="s">
        <v>154</v>
      </c>
      <c r="D1265" s="44">
        <f t="shared" ref="D1265:L1265" si="416">IF(((D1263="")*AND(D1264="")),"",(D1263-D1264)*2)</f>
        <v>3502</v>
      </c>
      <c r="E1265" s="44">
        <f t="shared" si="416"/>
        <v>3528</v>
      </c>
      <c r="F1265" s="44">
        <f t="shared" si="416"/>
        <v>3862</v>
      </c>
      <c r="G1265" s="44">
        <f t="shared" si="416"/>
        <v>3812</v>
      </c>
      <c r="H1265" s="44">
        <f t="shared" si="416"/>
        <v>3728</v>
      </c>
      <c r="I1265" s="44">
        <f t="shared" si="416"/>
        <v>3486</v>
      </c>
      <c r="J1265" s="44">
        <f t="shared" si="416"/>
        <v>3578</v>
      </c>
      <c r="K1265" s="44">
        <f t="shared" si="416"/>
        <v>3496</v>
      </c>
      <c r="L1265" s="44">
        <f t="shared" si="416"/>
        <v>3492</v>
      </c>
      <c r="M1265" s="44"/>
      <c r="N1265" s="44"/>
      <c r="O1265" s="44"/>
      <c r="P1265" s="44"/>
      <c r="Q1265" s="42"/>
      <c r="R1265" s="42"/>
      <c r="S1265" s="43"/>
      <c r="T1265" s="42"/>
      <c r="U1265" s="42"/>
      <c r="V1265" s="41"/>
      <c r="W1265" s="40"/>
    </row>
    <row r="1266" spans="1:31" ht="15.75">
      <c r="A1266" s="195">
        <v>43885</v>
      </c>
      <c r="B1266" s="63" t="s">
        <v>158</v>
      </c>
      <c r="C1266" s="56" t="s">
        <v>156</v>
      </c>
      <c r="D1266">
        <v>1187</v>
      </c>
      <c r="E1266">
        <v>1228</v>
      </c>
      <c r="F1266">
        <v>1231</v>
      </c>
      <c r="G1266">
        <v>1237</v>
      </c>
      <c r="H1266" s="233">
        <v>1207</v>
      </c>
      <c r="I1266" s="233">
        <v>1167</v>
      </c>
      <c r="J1266" s="233">
        <v>1207</v>
      </c>
      <c r="K1266" s="233">
        <v>1244</v>
      </c>
      <c r="L1266" s="233">
        <v>1217</v>
      </c>
      <c r="M1266" s="62"/>
      <c r="N1266" s="62"/>
      <c r="O1266" s="62"/>
      <c r="P1266" s="62"/>
      <c r="Q1266" s="57">
        <f>IF((L1267=""),"",MAX(D1268:L1268))</f>
        <v>3096</v>
      </c>
      <c r="R1266" s="57">
        <f>IF(L1267="","",MIN(D1268:L1268))</f>
        <v>2712</v>
      </c>
      <c r="S1266" s="58">
        <f>IF((L1268=""),"",AVERAGE(D1268:L1268))</f>
        <v>2872.4444444444443</v>
      </c>
      <c r="T1266" s="57">
        <f>IF((L1267=""),"",((Q1266-R1266)/(Q1266+R1266))*100)</f>
        <v>6.6115702479338845</v>
      </c>
      <c r="U1266" s="56">
        <f>STDEV(D1266:L1266)</f>
        <v>24.897010083763224</v>
      </c>
      <c r="V1266" s="55" t="str">
        <f>IF(L1267="","",(IF(T1266&lt;12,IF(S1266&gt;2200,IF(S1266&lt;3280,"Pass","Fail"),"Fail"),"Fail")))</f>
        <v>Pass</v>
      </c>
      <c r="W1266" s="54">
        <v>1340</v>
      </c>
      <c r="X1266" s="26" t="s">
        <v>408</v>
      </c>
      <c r="Z1266" s="37">
        <v>2000</v>
      </c>
      <c r="AA1266" s="37">
        <v>3000</v>
      </c>
      <c r="AB1266" s="37">
        <v>2200</v>
      </c>
      <c r="AC1266" s="37">
        <v>3280</v>
      </c>
      <c r="AD1266" s="39">
        <v>12</v>
      </c>
      <c r="AE1266" s="39">
        <v>12</v>
      </c>
    </row>
    <row r="1267" spans="1:31" ht="15.75">
      <c r="A1267" s="199"/>
      <c r="B1267" s="48"/>
      <c r="C1267" s="51" t="s">
        <v>155</v>
      </c>
      <c r="D1267">
        <v>427</v>
      </c>
      <c r="E1267">
        <v>528</v>
      </c>
      <c r="F1267">
        <v>553</v>
      </c>
      <c r="G1267">
        <v>538</v>
      </c>
      <c r="H1267" s="233">
        <v>472</v>
      </c>
      <c r="I1267" s="233">
        <v>393</v>
      </c>
      <c r="J1267" s="233">
        <v>502</v>
      </c>
      <c r="K1267" s="233">
        <v>558</v>
      </c>
      <c r="L1267" s="233">
        <v>491</v>
      </c>
      <c r="M1267" s="50"/>
      <c r="N1267" s="50"/>
      <c r="O1267" s="50"/>
      <c r="P1267" s="50"/>
      <c r="Q1267" s="48"/>
      <c r="R1267" s="48"/>
      <c r="S1267" s="48"/>
      <c r="T1267" s="48"/>
      <c r="U1267" s="48"/>
      <c r="V1267" s="47"/>
      <c r="W1267" s="46"/>
    </row>
    <row r="1268" spans="1:31" ht="24.75" thickBot="1">
      <c r="A1268" s="199"/>
      <c r="B1268" s="61"/>
      <c r="C1268" s="51" t="s">
        <v>154</v>
      </c>
      <c r="D1268" s="24">
        <f t="shared" ref="D1268:L1268" si="417">IF(((D1266="")*AND(D1267="")),"",(D1266-D1267)*4)</f>
        <v>3040</v>
      </c>
      <c r="E1268" s="24">
        <f t="shared" si="417"/>
        <v>2800</v>
      </c>
      <c r="F1268" s="24">
        <f t="shared" si="417"/>
        <v>2712</v>
      </c>
      <c r="G1268" s="24">
        <f t="shared" si="417"/>
        <v>2796</v>
      </c>
      <c r="H1268" s="24">
        <f t="shared" si="417"/>
        <v>2940</v>
      </c>
      <c r="I1268" s="24">
        <f t="shared" si="417"/>
        <v>3096</v>
      </c>
      <c r="J1268" s="24">
        <f t="shared" si="417"/>
        <v>2820</v>
      </c>
      <c r="K1268" s="24">
        <f t="shared" si="417"/>
        <v>2744</v>
      </c>
      <c r="L1268" s="24">
        <f t="shared" si="417"/>
        <v>2904</v>
      </c>
      <c r="M1268" s="24"/>
      <c r="N1268" s="24"/>
      <c r="O1268" s="24"/>
      <c r="P1268" s="24" t="str">
        <f>IF(((P1266="")*AND(P1267="")),"",(P1266-P1267)*4)</f>
        <v/>
      </c>
      <c r="Q1268" s="61"/>
      <c r="R1268" s="61"/>
      <c r="S1268" s="61"/>
      <c r="T1268" s="61"/>
      <c r="U1268" s="61"/>
      <c r="V1268" s="60"/>
      <c r="W1268" s="59"/>
    </row>
    <row r="1269" spans="1:31" ht="15.75">
      <c r="A1269" s="195">
        <v>43881</v>
      </c>
      <c r="B1269" s="57" t="s">
        <v>157</v>
      </c>
      <c r="C1269" s="51" t="s">
        <v>156</v>
      </c>
      <c r="D1269">
        <v>4940</v>
      </c>
      <c r="E1269">
        <v>5167</v>
      </c>
      <c r="F1269">
        <v>5157</v>
      </c>
      <c r="G1269">
        <v>5169</v>
      </c>
      <c r="H1269" s="233">
        <v>5195</v>
      </c>
      <c r="I1269" s="233">
        <v>5202</v>
      </c>
      <c r="J1269" s="233">
        <v>5278</v>
      </c>
      <c r="K1269" s="233">
        <v>5253</v>
      </c>
      <c r="L1269" s="233">
        <v>5046</v>
      </c>
      <c r="M1269" s="50"/>
      <c r="N1269" s="50"/>
      <c r="O1269" s="50"/>
      <c r="P1269" s="50"/>
      <c r="Q1269" s="57">
        <f>IF((L1270=""),"",MAX(D1271:L1271))</f>
        <v>3456</v>
      </c>
      <c r="R1269" s="57">
        <f>IF(L1270="","",MIN(D1271:L1271))</f>
        <v>3022</v>
      </c>
      <c r="S1269" s="58">
        <f>IF((L1271=""),"",AVERAGE(D1271:L1271))</f>
        <v>3270.6666666666665</v>
      </c>
      <c r="T1269" s="57">
        <f>IF((L1270=""),"",((Q1269-R1269)/(Q1269+R1269))*100)</f>
        <v>6.6995986415560358</v>
      </c>
      <c r="U1269" s="56">
        <f>STDEV(D1269:L1269)</f>
        <v>104.2688831818966</v>
      </c>
      <c r="V1269" s="55" t="str">
        <f>IF(L1270="","",(IF(T1269&lt;7,IF(S1269&gt;2800,IF(S1269&lt;3800,"Pass","Fail"),"Fail"),"Fail")))</f>
        <v>Pass</v>
      </c>
      <c r="W1269" s="54">
        <v>1340</v>
      </c>
      <c r="X1269" s="26" t="s">
        <v>408</v>
      </c>
      <c r="Z1269" s="53">
        <v>2800</v>
      </c>
      <c r="AA1269" s="53">
        <v>3800</v>
      </c>
      <c r="AB1269" s="53">
        <v>3100</v>
      </c>
      <c r="AC1269" s="53">
        <v>3760</v>
      </c>
      <c r="AD1269" s="52">
        <v>6</v>
      </c>
      <c r="AE1269" s="52">
        <v>6</v>
      </c>
    </row>
    <row r="1270" spans="1:31" ht="15.75">
      <c r="A1270" s="199"/>
      <c r="B1270" s="48"/>
      <c r="C1270" s="51" t="s">
        <v>155</v>
      </c>
      <c r="D1270">
        <v>3263</v>
      </c>
      <c r="E1270">
        <v>3450</v>
      </c>
      <c r="F1270">
        <v>3636</v>
      </c>
      <c r="G1270">
        <v>3626</v>
      </c>
      <c r="H1270" s="233">
        <v>3684</v>
      </c>
      <c r="I1270" s="233">
        <v>3549</v>
      </c>
      <c r="J1270" s="233">
        <v>3617</v>
      </c>
      <c r="K1270" s="233">
        <v>3525</v>
      </c>
      <c r="L1270" s="233">
        <v>3339</v>
      </c>
      <c r="M1270" s="50"/>
      <c r="N1270" s="50"/>
      <c r="O1270" s="50"/>
      <c r="P1270" s="50"/>
      <c r="Q1270" s="48"/>
      <c r="R1270" s="48"/>
      <c r="S1270" s="49"/>
      <c r="T1270" s="48"/>
      <c r="U1270" s="48"/>
      <c r="V1270" s="47"/>
      <c r="W1270" s="46"/>
    </row>
    <row r="1271" spans="1:31" ht="24.75" thickBot="1">
      <c r="A1271" s="199"/>
      <c r="B1271" s="42"/>
      <c r="C1271" s="45" t="s">
        <v>154</v>
      </c>
      <c r="D1271" s="44">
        <f t="shared" ref="D1271:L1271" si="418">IF(((D1269="")*AND(D1270="")),"",(D1269-D1270)*2)</f>
        <v>3354</v>
      </c>
      <c r="E1271" s="44">
        <f t="shared" si="418"/>
        <v>3434</v>
      </c>
      <c r="F1271" s="44">
        <f t="shared" si="418"/>
        <v>3042</v>
      </c>
      <c r="G1271" s="44">
        <f t="shared" si="418"/>
        <v>3086</v>
      </c>
      <c r="H1271" s="44">
        <f t="shared" si="418"/>
        <v>3022</v>
      </c>
      <c r="I1271" s="44">
        <f t="shared" si="418"/>
        <v>3306</v>
      </c>
      <c r="J1271" s="44">
        <f t="shared" si="418"/>
        <v>3322</v>
      </c>
      <c r="K1271" s="44">
        <f t="shared" si="418"/>
        <v>3456</v>
      </c>
      <c r="L1271" s="44">
        <f t="shared" si="418"/>
        <v>3414</v>
      </c>
      <c r="M1271" s="44"/>
      <c r="N1271" s="44"/>
      <c r="O1271" s="44"/>
      <c r="P1271" s="44"/>
      <c r="Q1271" s="42"/>
      <c r="R1271" s="42"/>
      <c r="S1271" s="43"/>
      <c r="T1271" s="42"/>
      <c r="U1271" s="42"/>
      <c r="V1271" s="41"/>
      <c r="W1271" s="40"/>
    </row>
    <row r="1272" spans="1:31" ht="15.75">
      <c r="A1272" s="195">
        <v>43889</v>
      </c>
      <c r="B1272" s="63" t="s">
        <v>158</v>
      </c>
      <c r="C1272" s="56" t="s">
        <v>156</v>
      </c>
      <c r="D1272">
        <v>1961</v>
      </c>
      <c r="E1272">
        <v>1953</v>
      </c>
      <c r="F1272">
        <v>1942</v>
      </c>
      <c r="G1272">
        <v>1954</v>
      </c>
      <c r="H1272" s="233">
        <v>1956</v>
      </c>
      <c r="I1272" s="233">
        <v>1962</v>
      </c>
      <c r="J1272" s="233">
        <v>1952</v>
      </c>
      <c r="K1272" s="233">
        <v>1955</v>
      </c>
      <c r="L1272" s="233">
        <v>1963</v>
      </c>
      <c r="M1272" s="62"/>
      <c r="N1272" s="62"/>
      <c r="O1272" s="62"/>
      <c r="P1272" s="62"/>
      <c r="Q1272" s="57">
        <f>IF((L1273=""),"",MAX(D1274:L1274))</f>
        <v>3240</v>
      </c>
      <c r="R1272" s="57">
        <f>IF(L1273="","",MIN(D1274:L1274))</f>
        <v>2876</v>
      </c>
      <c r="S1272" s="58">
        <f>IF((L1274=""),"",AVERAGE(D1274:L1274))</f>
        <v>3026.2222222222222</v>
      </c>
      <c r="T1272" s="57">
        <f>IF((L1273=""),"",((Q1272-R1272)/(Q1272+R1272))*100)</f>
        <v>5.9516023544800527</v>
      </c>
      <c r="U1272" s="56">
        <f>STDEV(D1272:L1272)</f>
        <v>6.4420493633625631</v>
      </c>
      <c r="V1272" s="55" t="str">
        <f>IF(L1273="","",(IF(T1272&lt;12,IF(S1272&gt;2200,IF(S1272&lt;3280,"Pass","Fail"),"Fail"),"Fail")))</f>
        <v>Pass</v>
      </c>
      <c r="W1272" s="54">
        <v>1335</v>
      </c>
      <c r="X1272" s="26" t="s">
        <v>409</v>
      </c>
      <c r="Z1272" s="37">
        <v>2000</v>
      </c>
      <c r="AA1272" s="37">
        <v>3000</v>
      </c>
      <c r="AB1272" s="37">
        <v>2200</v>
      </c>
      <c r="AC1272" s="37">
        <v>3280</v>
      </c>
      <c r="AD1272" s="39">
        <v>12</v>
      </c>
      <c r="AE1272" s="39">
        <v>12</v>
      </c>
    </row>
    <row r="1273" spans="1:31" ht="15.75">
      <c r="A1273" s="199"/>
      <c r="B1273" s="48"/>
      <c r="C1273" s="51" t="s">
        <v>155</v>
      </c>
      <c r="D1273">
        <v>1167</v>
      </c>
      <c r="E1273">
        <v>1210</v>
      </c>
      <c r="F1273">
        <v>1223</v>
      </c>
      <c r="G1273">
        <v>1218</v>
      </c>
      <c r="H1273" s="233">
        <v>1193</v>
      </c>
      <c r="I1273" s="233">
        <v>1152</v>
      </c>
      <c r="J1273" s="233">
        <v>1195</v>
      </c>
      <c r="K1273" s="233">
        <v>1225</v>
      </c>
      <c r="L1273" s="233">
        <v>1206</v>
      </c>
      <c r="M1273" s="50"/>
      <c r="N1273" s="50"/>
      <c r="O1273" s="50"/>
      <c r="P1273" s="50"/>
      <c r="Q1273" s="48"/>
      <c r="R1273" s="48"/>
      <c r="S1273" s="48"/>
      <c r="T1273" s="48"/>
      <c r="U1273" s="48"/>
      <c r="V1273" s="47"/>
      <c r="W1273" s="46"/>
    </row>
    <row r="1274" spans="1:31" ht="24.75" thickBot="1">
      <c r="A1274" s="199"/>
      <c r="B1274" s="61"/>
      <c r="C1274" s="51" t="s">
        <v>154</v>
      </c>
      <c r="D1274" s="24">
        <f t="shared" ref="D1274:L1274" si="419">IF(((D1272="")*AND(D1273="")),"",(D1272-D1273)*4)</f>
        <v>3176</v>
      </c>
      <c r="E1274" s="24">
        <f t="shared" si="419"/>
        <v>2972</v>
      </c>
      <c r="F1274" s="24">
        <f t="shared" si="419"/>
        <v>2876</v>
      </c>
      <c r="G1274" s="24">
        <f t="shared" si="419"/>
        <v>2944</v>
      </c>
      <c r="H1274" s="24">
        <f t="shared" si="419"/>
        <v>3052</v>
      </c>
      <c r="I1274" s="24">
        <f t="shared" si="419"/>
        <v>3240</v>
      </c>
      <c r="J1274" s="24">
        <f t="shared" si="419"/>
        <v>3028</v>
      </c>
      <c r="K1274" s="24">
        <f t="shared" si="419"/>
        <v>2920</v>
      </c>
      <c r="L1274" s="24">
        <f t="shared" si="419"/>
        <v>3028</v>
      </c>
      <c r="M1274" s="24"/>
      <c r="N1274" s="24"/>
      <c r="O1274" s="24"/>
      <c r="P1274" s="24" t="str">
        <f>IF(((P1272="")*AND(P1273="")),"",(P1272-P1273)*4)</f>
        <v/>
      </c>
      <c r="Q1274" s="61"/>
      <c r="R1274" s="61"/>
      <c r="S1274" s="61"/>
      <c r="T1274" s="61"/>
      <c r="U1274" s="61"/>
      <c r="V1274" s="60"/>
      <c r="W1274" s="59"/>
    </row>
    <row r="1275" spans="1:31" ht="15.75">
      <c r="B1275" s="57" t="s">
        <v>157</v>
      </c>
      <c r="C1275" s="51" t="s">
        <v>156</v>
      </c>
      <c r="D1275">
        <v>3267</v>
      </c>
      <c r="E1275">
        <v>3454</v>
      </c>
      <c r="F1275">
        <v>3640</v>
      </c>
      <c r="G1275">
        <v>3630</v>
      </c>
      <c r="H1275" s="233">
        <v>3688</v>
      </c>
      <c r="I1275" s="233">
        <v>3552</v>
      </c>
      <c r="J1275" s="233">
        <v>3621</v>
      </c>
      <c r="K1275" s="233">
        <v>3529</v>
      </c>
      <c r="L1275" s="233">
        <v>3343</v>
      </c>
      <c r="M1275" s="50"/>
      <c r="N1275" s="50"/>
      <c r="O1275" s="50"/>
      <c r="P1275" s="50"/>
      <c r="Q1275" s="57">
        <f>IF((L1276=""),"",MAX(D1277:L1277))</f>
        <v>3360</v>
      </c>
      <c r="R1275" s="57">
        <f>IF(L1276="","",MIN(D1277:L1277))</f>
        <v>3210</v>
      </c>
      <c r="S1275" s="58">
        <f>IF((L1277=""),"",AVERAGE(D1277:L1277))</f>
        <v>3317.5555555555557</v>
      </c>
      <c r="T1275" s="57">
        <f>IF((L1276=""),"",((Q1275-R1275)/(Q1275+R1275))*100)</f>
        <v>2.2831050228310499</v>
      </c>
      <c r="U1275" s="56">
        <f>STDEV(D1275:L1275)</f>
        <v>143.83536112900728</v>
      </c>
      <c r="V1275" s="55" t="str">
        <f>IF(L1276="","",(IF(T1275&lt;7,IF(S1275&gt;2800,IF(S1275&lt;3800,"Pass","Fail"),"Fail"),"Fail")))</f>
        <v>Pass</v>
      </c>
      <c r="W1275" s="54">
        <v>1335</v>
      </c>
      <c r="X1275" s="26" t="s">
        <v>409</v>
      </c>
      <c r="Z1275" s="53">
        <v>2800</v>
      </c>
      <c r="AA1275" s="53">
        <v>3800</v>
      </c>
      <c r="AB1275" s="53">
        <v>3100</v>
      </c>
      <c r="AC1275" s="53">
        <v>3760</v>
      </c>
      <c r="AD1275" s="52">
        <v>6</v>
      </c>
      <c r="AE1275" s="52">
        <v>6</v>
      </c>
    </row>
    <row r="1276" spans="1:31" ht="15.75">
      <c r="B1276" s="48"/>
      <c r="C1276" s="51" t="s">
        <v>155</v>
      </c>
      <c r="D1276">
        <v>1598</v>
      </c>
      <c r="E1276">
        <v>1774</v>
      </c>
      <c r="F1276">
        <v>1969</v>
      </c>
      <c r="G1276">
        <v>1964</v>
      </c>
      <c r="H1276" s="233">
        <v>2083</v>
      </c>
      <c r="I1276" s="233">
        <v>1928</v>
      </c>
      <c r="J1276" s="233">
        <v>1960</v>
      </c>
      <c r="K1276" s="233">
        <v>1852</v>
      </c>
      <c r="L1276" s="233">
        <v>1667</v>
      </c>
      <c r="M1276" s="50"/>
      <c r="N1276" s="50"/>
      <c r="O1276" s="50"/>
      <c r="P1276" s="50"/>
      <c r="Q1276" s="48"/>
      <c r="R1276" s="48"/>
      <c r="S1276" s="49"/>
      <c r="T1276" s="48"/>
      <c r="U1276" s="48"/>
      <c r="V1276" s="47"/>
      <c r="W1276" s="46"/>
    </row>
    <row r="1277" spans="1:31" ht="24.75" thickBot="1">
      <c r="A1277" s="195">
        <v>43881</v>
      </c>
      <c r="B1277" s="42"/>
      <c r="C1277" s="45" t="s">
        <v>154</v>
      </c>
      <c r="D1277" s="44">
        <f t="shared" ref="D1277:L1277" si="420">IF(((D1275="")*AND(D1276="")),"",(D1275-D1276)*2)</f>
        <v>3338</v>
      </c>
      <c r="E1277" s="44">
        <f t="shared" si="420"/>
        <v>3360</v>
      </c>
      <c r="F1277" s="44">
        <f t="shared" si="420"/>
        <v>3342</v>
      </c>
      <c r="G1277" s="44">
        <f t="shared" si="420"/>
        <v>3332</v>
      </c>
      <c r="H1277" s="44">
        <f t="shared" si="420"/>
        <v>3210</v>
      </c>
      <c r="I1277" s="44">
        <f t="shared" si="420"/>
        <v>3248</v>
      </c>
      <c r="J1277" s="44">
        <f t="shared" si="420"/>
        <v>3322</v>
      </c>
      <c r="K1277" s="44">
        <f t="shared" si="420"/>
        <v>3354</v>
      </c>
      <c r="L1277" s="44">
        <f t="shared" si="420"/>
        <v>3352</v>
      </c>
      <c r="M1277" s="44"/>
      <c r="N1277" s="44"/>
      <c r="O1277" s="44"/>
      <c r="P1277" s="44"/>
      <c r="Q1277" s="42"/>
      <c r="R1277" s="42"/>
      <c r="S1277" s="43"/>
      <c r="T1277" s="42"/>
      <c r="U1277" s="42"/>
      <c r="V1277" s="41"/>
      <c r="W1277" s="40"/>
    </row>
    <row r="1278" spans="1:31" ht="15.75">
      <c r="A1278" s="199"/>
      <c r="B1278" s="63" t="s">
        <v>158</v>
      </c>
      <c r="C1278" s="56" t="s">
        <v>156</v>
      </c>
      <c r="D1278">
        <v>1951</v>
      </c>
      <c r="E1278">
        <v>1944</v>
      </c>
      <c r="F1278">
        <v>1944</v>
      </c>
      <c r="G1278">
        <v>1948</v>
      </c>
      <c r="H1278" s="233">
        <v>1954</v>
      </c>
      <c r="I1278" s="233">
        <v>1954</v>
      </c>
      <c r="J1278" s="233">
        <v>1950</v>
      </c>
      <c r="K1278" s="233">
        <v>1952</v>
      </c>
      <c r="L1278" s="233">
        <v>1952</v>
      </c>
      <c r="M1278" s="62"/>
      <c r="N1278" s="62"/>
      <c r="O1278" s="62"/>
      <c r="P1278" s="62"/>
      <c r="Q1278" s="57">
        <f>IF((L1279=""),"",MAX(D1280:L1280))</f>
        <v>3196</v>
      </c>
      <c r="R1278" s="57">
        <f>IF(L1279="","",MIN(D1280:L1280))</f>
        <v>2840</v>
      </c>
      <c r="S1278" s="58">
        <f>IF((L1280=""),"",AVERAGE(D1280:L1280))</f>
        <v>2979.1111111111113</v>
      </c>
      <c r="T1278" s="57">
        <f>IF((L1279=""),"",((Q1278-R1278)/(Q1278+R1278))*100)</f>
        <v>5.8979456593770703</v>
      </c>
      <c r="U1278" s="56">
        <f>STDEV(D1278:L1278)</f>
        <v>3.8224483137130356</v>
      </c>
      <c r="V1278" s="55" t="str">
        <f>IF(L1279="","",(IF(T1278&lt;12,IF(S1278&gt;2200,IF(S1278&lt;3280,"Pass","Fail"),"Fail"),"Fail")))</f>
        <v>Pass</v>
      </c>
      <c r="W1278" s="54">
        <v>1340</v>
      </c>
      <c r="X1278" s="26" t="s">
        <v>411</v>
      </c>
      <c r="Z1278" s="37">
        <v>2000</v>
      </c>
      <c r="AA1278" s="37">
        <v>3000</v>
      </c>
      <c r="AB1278" s="37">
        <v>2200</v>
      </c>
      <c r="AC1278" s="37">
        <v>3280</v>
      </c>
      <c r="AD1278" s="39">
        <v>12</v>
      </c>
      <c r="AE1278" s="39">
        <v>12</v>
      </c>
    </row>
    <row r="1279" spans="1:31" ht="15.75">
      <c r="A1279" s="199"/>
      <c r="B1279" s="48"/>
      <c r="C1279" s="51" t="s">
        <v>155</v>
      </c>
      <c r="D1279">
        <v>1180</v>
      </c>
      <c r="E1279">
        <v>1218</v>
      </c>
      <c r="F1279">
        <v>1234</v>
      </c>
      <c r="G1279">
        <v>1218</v>
      </c>
      <c r="H1279" s="233">
        <v>1198</v>
      </c>
      <c r="I1279" s="233">
        <v>1155</v>
      </c>
      <c r="J1279" s="233">
        <v>1200</v>
      </c>
      <c r="K1279" s="233">
        <v>1234</v>
      </c>
      <c r="L1279" s="233">
        <v>1209</v>
      </c>
      <c r="M1279" s="50"/>
      <c r="N1279" s="50"/>
      <c r="O1279" s="50"/>
      <c r="P1279" s="50"/>
      <c r="Q1279" s="48"/>
      <c r="R1279" s="48"/>
      <c r="S1279" s="48"/>
      <c r="T1279" s="48"/>
      <c r="U1279" s="48"/>
      <c r="V1279" s="47"/>
      <c r="W1279" s="46"/>
    </row>
    <row r="1280" spans="1:31" ht="24.75" thickBot="1">
      <c r="B1280" s="61"/>
      <c r="C1280" s="51" t="s">
        <v>154</v>
      </c>
      <c r="D1280" s="24">
        <f t="shared" ref="D1280:L1280" si="421">IF(((D1278="")*AND(D1279="")),"",(D1278-D1279)*4)</f>
        <v>3084</v>
      </c>
      <c r="E1280" s="24">
        <f t="shared" si="421"/>
        <v>2904</v>
      </c>
      <c r="F1280" s="24">
        <f t="shared" si="421"/>
        <v>2840</v>
      </c>
      <c r="G1280" s="24">
        <f t="shared" si="421"/>
        <v>2920</v>
      </c>
      <c r="H1280" s="24">
        <f t="shared" si="421"/>
        <v>3024</v>
      </c>
      <c r="I1280" s="24">
        <f t="shared" si="421"/>
        <v>3196</v>
      </c>
      <c r="J1280" s="24">
        <f t="shared" si="421"/>
        <v>3000</v>
      </c>
      <c r="K1280" s="24">
        <f t="shared" si="421"/>
        <v>2872</v>
      </c>
      <c r="L1280" s="24">
        <f t="shared" si="421"/>
        <v>2972</v>
      </c>
      <c r="M1280" s="24"/>
      <c r="N1280" s="24"/>
      <c r="O1280" s="24"/>
      <c r="P1280" s="24" t="str">
        <f>IF(((P1278="")*AND(P1279="")),"",(P1278-P1279)*4)</f>
        <v/>
      </c>
      <c r="Q1280" s="61"/>
      <c r="R1280" s="61"/>
      <c r="S1280" s="61"/>
      <c r="T1280" s="61"/>
      <c r="U1280" s="61"/>
      <c r="V1280" s="60"/>
      <c r="W1280" s="59"/>
    </row>
    <row r="1281" spans="1:31" ht="15.75">
      <c r="A1281" s="195">
        <v>43892</v>
      </c>
      <c r="B1281" s="57" t="s">
        <v>157</v>
      </c>
      <c r="C1281" s="51" t="s">
        <v>156</v>
      </c>
      <c r="D1281">
        <v>6780</v>
      </c>
      <c r="E1281">
        <v>6957</v>
      </c>
      <c r="F1281">
        <v>7094</v>
      </c>
      <c r="G1281">
        <v>7092</v>
      </c>
      <c r="H1281" s="233">
        <v>7110</v>
      </c>
      <c r="I1281" s="233">
        <v>7032</v>
      </c>
      <c r="J1281" s="233">
        <v>7091</v>
      </c>
      <c r="K1281" s="233">
        <v>7024</v>
      </c>
      <c r="L1281" s="233">
        <v>6900</v>
      </c>
      <c r="M1281" s="50"/>
      <c r="N1281" s="50"/>
      <c r="O1281" s="50"/>
      <c r="P1281" s="50"/>
      <c r="Q1281" s="57">
        <f>IF((L1282=""),"",MAX(D1283:L1283))</f>
        <v>3828</v>
      </c>
      <c r="R1281" s="57">
        <f>IF(L1282="","",MIN(D1283:L1283))</f>
        <v>3524</v>
      </c>
      <c r="S1281" s="58">
        <f>IF((L1283=""),"",AVERAGE(D1283:L1283))</f>
        <v>3686.4444444444443</v>
      </c>
      <c r="T1281" s="57">
        <f>IF((L1282=""),"",((Q1281-R1281)/(Q1281+R1281))*100)</f>
        <v>4.1349292709466816</v>
      </c>
      <c r="U1281" s="56">
        <f>STDEV(D1281:L1281)</f>
        <v>111.14117648788832</v>
      </c>
      <c r="V1281" s="55" t="str">
        <f>IF(L1282="","",(IF(T1281&lt;7,IF(S1281&gt;2800,IF(S1281&lt;3800,"Pass","Fail"),"Fail"),"Fail")))</f>
        <v>Pass</v>
      </c>
      <c r="W1281" s="54">
        <v>1340</v>
      </c>
      <c r="X1281" s="26" t="s">
        <v>411</v>
      </c>
      <c r="Z1281" s="53">
        <v>2800</v>
      </c>
      <c r="AA1281" s="53">
        <v>3800</v>
      </c>
      <c r="AB1281" s="53">
        <v>3100</v>
      </c>
      <c r="AC1281" s="53">
        <v>3760</v>
      </c>
      <c r="AD1281" s="52">
        <v>6</v>
      </c>
      <c r="AE1281" s="52">
        <v>6</v>
      </c>
    </row>
    <row r="1282" spans="1:31" ht="15.75">
      <c r="A1282" s="199"/>
      <c r="B1282" s="48"/>
      <c r="C1282" s="51" t="s">
        <v>155</v>
      </c>
      <c r="D1282">
        <v>4866</v>
      </c>
      <c r="E1282">
        <v>5065</v>
      </c>
      <c r="F1282">
        <v>5286</v>
      </c>
      <c r="G1282">
        <v>5275</v>
      </c>
      <c r="H1282" s="233">
        <v>5348</v>
      </c>
      <c r="I1282" s="233">
        <v>5176</v>
      </c>
      <c r="J1282" s="233">
        <v>5279</v>
      </c>
      <c r="K1282" s="233">
        <v>5179</v>
      </c>
      <c r="L1282" s="233">
        <v>5017</v>
      </c>
      <c r="M1282" s="50"/>
      <c r="N1282" s="50"/>
      <c r="O1282" s="50"/>
      <c r="P1282" s="50"/>
      <c r="Q1282" s="48"/>
      <c r="R1282" s="48"/>
      <c r="S1282" s="49"/>
      <c r="T1282" s="48"/>
      <c r="U1282" s="48"/>
      <c r="V1282" s="47"/>
      <c r="W1282" s="46"/>
    </row>
    <row r="1283" spans="1:31" ht="24.75" thickBot="1">
      <c r="A1283" s="199"/>
      <c r="B1283" s="42"/>
      <c r="C1283" s="45" t="s">
        <v>154</v>
      </c>
      <c r="D1283" s="44">
        <f t="shared" ref="D1283:L1283" si="422">IF(((D1281="")*AND(D1282="")),"",(D1281-D1282)*2)</f>
        <v>3828</v>
      </c>
      <c r="E1283" s="44">
        <f t="shared" si="422"/>
        <v>3784</v>
      </c>
      <c r="F1283" s="44">
        <f t="shared" si="422"/>
        <v>3616</v>
      </c>
      <c r="G1283" s="44">
        <f t="shared" si="422"/>
        <v>3634</v>
      </c>
      <c r="H1283" s="44">
        <f t="shared" si="422"/>
        <v>3524</v>
      </c>
      <c r="I1283" s="44">
        <f t="shared" si="422"/>
        <v>3712</v>
      </c>
      <c r="J1283" s="44">
        <f t="shared" si="422"/>
        <v>3624</v>
      </c>
      <c r="K1283" s="44">
        <f t="shared" si="422"/>
        <v>3690</v>
      </c>
      <c r="L1283" s="44">
        <f t="shared" si="422"/>
        <v>3766</v>
      </c>
      <c r="M1283" s="44"/>
      <c r="N1283" s="44"/>
      <c r="O1283" s="44"/>
      <c r="P1283" s="44"/>
      <c r="Q1283" s="42"/>
      <c r="R1283" s="42"/>
      <c r="S1283" s="43"/>
      <c r="T1283" s="42"/>
      <c r="U1283" s="42"/>
      <c r="V1283" s="41"/>
      <c r="W1283" s="40"/>
    </row>
    <row r="1284" spans="1:31" ht="15.75">
      <c r="B1284" s="57" t="s">
        <v>157</v>
      </c>
      <c r="C1284" s="51" t="s">
        <v>156</v>
      </c>
      <c r="D1284">
        <v>4866</v>
      </c>
      <c r="E1284">
        <v>5065</v>
      </c>
      <c r="F1284">
        <v>5286</v>
      </c>
      <c r="G1284">
        <v>5275</v>
      </c>
      <c r="H1284" s="233">
        <v>5348</v>
      </c>
      <c r="I1284" s="233">
        <v>5176</v>
      </c>
      <c r="J1284" s="233">
        <v>5279</v>
      </c>
      <c r="K1284" s="233">
        <v>5179</v>
      </c>
      <c r="L1284" s="233">
        <v>5017</v>
      </c>
      <c r="M1284" s="50"/>
      <c r="N1284" s="50"/>
      <c r="O1284" s="50"/>
      <c r="P1284" s="50"/>
      <c r="Q1284" s="57">
        <f>IF((L1285=""),"",MAX(D1286:L1286))</f>
        <v>6700</v>
      </c>
      <c r="R1284" s="57">
        <f>IF(L1285="","",MIN(D1286:L1286))</f>
        <v>3288</v>
      </c>
      <c r="S1284" s="58">
        <f>IF((L1286=""),"",AVERAGE(D1286:L1286))</f>
        <v>5531.333333333333</v>
      </c>
      <c r="T1284" s="57">
        <f>IF((L1285=""),"",((Q1284-R1284)/(Q1284+R1284))*100)</f>
        <v>34.160993191830194</v>
      </c>
      <c r="U1284" s="56">
        <f>STDEV(D1284:L1284)</f>
        <v>156.06248748498149</v>
      </c>
      <c r="V1284" s="55" t="str">
        <f>IF(L1285="","",(IF(T1284&lt;7,IF(S1284&gt;2800,IF(S1284&lt;3800,"Pass","Fail"),"Fail"),"Fail")))</f>
        <v>Fail</v>
      </c>
      <c r="W1284" s="54">
        <v>1335</v>
      </c>
      <c r="X1284" s="26" t="s">
        <v>409</v>
      </c>
      <c r="Z1284" s="53">
        <v>2800</v>
      </c>
      <c r="AA1284" s="53">
        <v>3800</v>
      </c>
      <c r="AB1284" s="53">
        <v>3100</v>
      </c>
      <c r="AC1284" s="53">
        <v>3760</v>
      </c>
      <c r="AD1284" s="52">
        <v>6</v>
      </c>
      <c r="AE1284" s="52">
        <v>6</v>
      </c>
    </row>
    <row r="1285" spans="1:31" ht="15.75">
      <c r="B1285" s="48"/>
      <c r="C1285" s="51" t="s">
        <v>155</v>
      </c>
      <c r="D1285">
        <v>3222</v>
      </c>
      <c r="E1285">
        <v>3378</v>
      </c>
      <c r="F1285">
        <v>3546</v>
      </c>
      <c r="G1285">
        <v>1964</v>
      </c>
      <c r="H1285" s="233">
        <v>2083</v>
      </c>
      <c r="I1285" s="233">
        <v>1928</v>
      </c>
      <c r="J1285" s="233">
        <v>1960</v>
      </c>
      <c r="K1285" s="233">
        <v>1852</v>
      </c>
      <c r="L1285" s="233">
        <v>1667</v>
      </c>
      <c r="M1285" s="50"/>
      <c r="N1285" s="50"/>
      <c r="O1285" s="50"/>
      <c r="P1285" s="50"/>
      <c r="Q1285" s="48"/>
      <c r="R1285" s="48"/>
      <c r="S1285" s="49"/>
      <c r="T1285" s="48"/>
      <c r="U1285" s="48"/>
      <c r="V1285" s="47"/>
      <c r="W1285" s="46"/>
    </row>
    <row r="1286" spans="1:31" ht="24.75" thickBot="1">
      <c r="A1286" s="195"/>
      <c r="B1286" s="42"/>
      <c r="C1286" s="45" t="s">
        <v>154</v>
      </c>
      <c r="D1286" s="44">
        <f t="shared" ref="D1286:L1286" si="423">IF(((D1284="")*AND(D1285="")),"",(D1284-D1285)*2)</f>
        <v>3288</v>
      </c>
      <c r="E1286" s="44">
        <f t="shared" si="423"/>
        <v>3374</v>
      </c>
      <c r="F1286" s="44">
        <f t="shared" si="423"/>
        <v>3480</v>
      </c>
      <c r="G1286" s="44">
        <f t="shared" si="423"/>
        <v>6622</v>
      </c>
      <c r="H1286" s="44">
        <f t="shared" si="423"/>
        <v>6530</v>
      </c>
      <c r="I1286" s="44">
        <f t="shared" si="423"/>
        <v>6496</v>
      </c>
      <c r="J1286" s="44">
        <f t="shared" si="423"/>
        <v>6638</v>
      </c>
      <c r="K1286" s="44">
        <f t="shared" si="423"/>
        <v>6654</v>
      </c>
      <c r="L1286" s="44">
        <f t="shared" si="423"/>
        <v>6700</v>
      </c>
      <c r="M1286" s="44"/>
      <c r="N1286" s="44"/>
      <c r="O1286" s="44"/>
      <c r="P1286" s="44"/>
      <c r="Q1286" s="42"/>
      <c r="R1286" s="42"/>
      <c r="S1286" s="43"/>
      <c r="T1286" s="42"/>
      <c r="U1286" s="42"/>
      <c r="V1286" s="41"/>
      <c r="W1286" s="40"/>
    </row>
    <row r="1287" spans="1:31" ht="15.75">
      <c r="A1287" s="195">
        <v>43895</v>
      </c>
      <c r="B1287" s="63" t="s">
        <v>158</v>
      </c>
      <c r="C1287" s="56" t="s">
        <v>156</v>
      </c>
      <c r="D1287">
        <v>1180</v>
      </c>
      <c r="E1287">
        <v>1218</v>
      </c>
      <c r="F1287">
        <v>1234</v>
      </c>
      <c r="G1287">
        <v>1218</v>
      </c>
      <c r="H1287" s="233">
        <v>1198</v>
      </c>
      <c r="I1287" s="233">
        <v>1155</v>
      </c>
      <c r="J1287" s="233">
        <v>1200</v>
      </c>
      <c r="K1287" s="233">
        <v>1234</v>
      </c>
      <c r="L1287" s="233">
        <v>1209</v>
      </c>
      <c r="M1287" s="62"/>
      <c r="N1287" s="62"/>
      <c r="O1287" s="62"/>
      <c r="P1287" s="62"/>
      <c r="Q1287" s="57">
        <f>IF((L1288=""),"",MAX(D1289:L1289))</f>
        <v>3108</v>
      </c>
      <c r="R1287" s="57">
        <f>IF(L1288="","",MIN(D1289:L1289))</f>
        <v>2744</v>
      </c>
      <c r="S1287" s="58">
        <f>IF((L1289=""),"",AVERAGE(D1289:L1289))</f>
        <v>2899.1111111111113</v>
      </c>
      <c r="T1287" s="57">
        <f>IF((L1288=""),"",((Q1287-R1287)/(Q1287+R1287))*100)</f>
        <v>6.2200956937799043</v>
      </c>
      <c r="U1287" s="56">
        <f>STDEV(D1287:L1287)</f>
        <v>25.5804830116831</v>
      </c>
      <c r="V1287" s="55" t="str">
        <f>IF(L1288="","",(IF(T1287&lt;12,IF(S1287&gt;2200,IF(S1287&lt;3280,"Pass","Fail"),"Fail"),"Fail")))</f>
        <v>Pass</v>
      </c>
      <c r="W1287" s="54">
        <v>1340</v>
      </c>
      <c r="X1287" s="26" t="s">
        <v>413</v>
      </c>
      <c r="Z1287" s="37">
        <v>2000</v>
      </c>
      <c r="AA1287" s="37">
        <v>3000</v>
      </c>
      <c r="AB1287" s="37">
        <v>2200</v>
      </c>
      <c r="AC1287" s="37">
        <v>3280</v>
      </c>
      <c r="AD1287" s="39">
        <v>12</v>
      </c>
      <c r="AE1287" s="39">
        <v>12</v>
      </c>
    </row>
    <row r="1288" spans="1:31" ht="15.75">
      <c r="A1288" s="199"/>
      <c r="B1288" s="48"/>
      <c r="C1288" s="51" t="s">
        <v>155</v>
      </c>
      <c r="D1288">
        <v>421</v>
      </c>
      <c r="E1288">
        <v>506</v>
      </c>
      <c r="F1288">
        <v>548</v>
      </c>
      <c r="G1288">
        <v>520</v>
      </c>
      <c r="H1288" s="233">
        <v>458</v>
      </c>
      <c r="I1288" s="233">
        <v>378</v>
      </c>
      <c r="J1288" s="233">
        <v>483</v>
      </c>
      <c r="K1288" s="233">
        <v>536</v>
      </c>
      <c r="L1288" s="233">
        <v>473</v>
      </c>
      <c r="M1288" s="50"/>
      <c r="N1288" s="50"/>
      <c r="O1288" s="50"/>
      <c r="P1288" s="50"/>
      <c r="Q1288" s="48"/>
      <c r="R1288" s="48"/>
      <c r="S1288" s="48"/>
      <c r="T1288" s="48"/>
      <c r="U1288" s="48"/>
      <c r="V1288" s="47"/>
      <c r="W1288" s="46"/>
    </row>
    <row r="1289" spans="1:31" ht="24.75" thickBot="1">
      <c r="B1289" s="61"/>
      <c r="C1289" s="51" t="s">
        <v>154</v>
      </c>
      <c r="D1289" s="24">
        <f t="shared" ref="D1289:L1289" si="424">IF(((D1287="")*AND(D1288="")),"",(D1287-D1288)*4)</f>
        <v>3036</v>
      </c>
      <c r="E1289" s="24">
        <f t="shared" si="424"/>
        <v>2848</v>
      </c>
      <c r="F1289" s="24">
        <f t="shared" si="424"/>
        <v>2744</v>
      </c>
      <c r="G1289" s="24">
        <f t="shared" si="424"/>
        <v>2792</v>
      </c>
      <c r="H1289" s="24">
        <f t="shared" si="424"/>
        <v>2960</v>
      </c>
      <c r="I1289" s="24">
        <f t="shared" si="424"/>
        <v>3108</v>
      </c>
      <c r="J1289" s="24">
        <f t="shared" si="424"/>
        <v>2868</v>
      </c>
      <c r="K1289" s="24">
        <f t="shared" si="424"/>
        <v>2792</v>
      </c>
      <c r="L1289" s="24">
        <f t="shared" si="424"/>
        <v>2944</v>
      </c>
      <c r="M1289" s="24"/>
      <c r="N1289" s="24"/>
      <c r="O1289" s="24"/>
      <c r="P1289" s="24" t="str">
        <f>IF(((P1287="")*AND(P1288="")),"",(P1287-P1288)*4)</f>
        <v/>
      </c>
      <c r="Q1289" s="61"/>
      <c r="R1289" s="61"/>
      <c r="S1289" s="61"/>
      <c r="T1289" s="61"/>
      <c r="U1289" s="61"/>
      <c r="V1289" s="60"/>
      <c r="W1289" s="59"/>
    </row>
    <row r="1290" spans="1:31" ht="15.75">
      <c r="A1290" s="195">
        <v>43895</v>
      </c>
      <c r="B1290" s="57" t="s">
        <v>157</v>
      </c>
      <c r="C1290" s="51" t="s">
        <v>156</v>
      </c>
      <c r="D1290">
        <v>4866</v>
      </c>
      <c r="E1290">
        <v>5065</v>
      </c>
      <c r="F1290">
        <v>5286</v>
      </c>
      <c r="G1290">
        <v>5275</v>
      </c>
      <c r="H1290" s="233">
        <v>5348</v>
      </c>
      <c r="I1290" s="233">
        <v>5176</v>
      </c>
      <c r="J1290" s="233">
        <v>5279</v>
      </c>
      <c r="K1290" s="233">
        <v>5179</v>
      </c>
      <c r="L1290" s="233">
        <v>5017</v>
      </c>
      <c r="M1290" s="50"/>
      <c r="N1290" s="50"/>
      <c r="O1290" s="50"/>
      <c r="P1290" s="50"/>
      <c r="Q1290" s="57">
        <f>IF((L1291=""),"",MAX(D1292:L1292))</f>
        <v>3480</v>
      </c>
      <c r="R1290" s="57">
        <f>IF(L1291="","",MIN(D1292:L1292))</f>
        <v>3288</v>
      </c>
      <c r="S1290" s="58">
        <f>IF((L1292=""),"",AVERAGE(D1292:L1292))</f>
        <v>3414.6666666666665</v>
      </c>
      <c r="T1290" s="57">
        <f>IF((L1291=""),"",((Q1290-R1290)/(Q1290+R1290))*100)</f>
        <v>2.8368794326241136</v>
      </c>
      <c r="U1290" s="56">
        <f>STDEV(D1290:L1290)</f>
        <v>156.06248748498149</v>
      </c>
      <c r="V1290" s="55" t="str">
        <f>IF(L1291="","",(IF(T1290&lt;7,IF(S1290&gt;2800,IF(S1290&lt;3800,"Pass","Fail"),"Fail"),"Fail")))</f>
        <v>Pass</v>
      </c>
      <c r="W1290" s="54">
        <v>1340</v>
      </c>
      <c r="X1290" s="26" t="s">
        <v>413</v>
      </c>
      <c r="Z1290" s="53">
        <v>2800</v>
      </c>
      <c r="AA1290" s="53">
        <v>3800</v>
      </c>
      <c r="AB1290" s="53">
        <v>3100</v>
      </c>
      <c r="AC1290" s="53">
        <v>3760</v>
      </c>
      <c r="AD1290" s="52">
        <v>6</v>
      </c>
      <c r="AE1290" s="52">
        <v>6</v>
      </c>
    </row>
    <row r="1291" spans="1:31" ht="15.75">
      <c r="A1291" s="199"/>
      <c r="B1291" s="48"/>
      <c r="C1291" s="51" t="s">
        <v>155</v>
      </c>
      <c r="D1291">
        <v>3222</v>
      </c>
      <c r="E1291">
        <v>3378</v>
      </c>
      <c r="F1291">
        <v>3546</v>
      </c>
      <c r="G1291">
        <v>3544</v>
      </c>
      <c r="H1291" s="233">
        <v>3624</v>
      </c>
      <c r="I1291" s="233">
        <v>3501</v>
      </c>
      <c r="J1291" s="233">
        <v>3539</v>
      </c>
      <c r="K1291" s="233">
        <v>3449</v>
      </c>
      <c r="L1291" s="233">
        <v>3322</v>
      </c>
      <c r="M1291" s="50"/>
      <c r="N1291" s="50"/>
      <c r="O1291" s="50"/>
      <c r="P1291" s="50"/>
      <c r="Q1291" s="48"/>
      <c r="R1291" s="48"/>
      <c r="S1291" s="49"/>
      <c r="T1291" s="48"/>
      <c r="U1291" s="48"/>
      <c r="V1291" s="47"/>
      <c r="W1291" s="46"/>
    </row>
    <row r="1292" spans="1:31" ht="24.75" thickBot="1">
      <c r="A1292" s="199"/>
      <c r="B1292" s="42"/>
      <c r="C1292" s="45" t="s">
        <v>154</v>
      </c>
      <c r="D1292" s="44">
        <f t="shared" ref="D1292:L1292" si="425">IF(((D1290="")*AND(D1291="")),"",(D1290-D1291)*2)</f>
        <v>3288</v>
      </c>
      <c r="E1292" s="44">
        <f t="shared" si="425"/>
        <v>3374</v>
      </c>
      <c r="F1292" s="44">
        <f t="shared" si="425"/>
        <v>3480</v>
      </c>
      <c r="G1292" s="44">
        <f t="shared" si="425"/>
        <v>3462</v>
      </c>
      <c r="H1292" s="44">
        <f t="shared" si="425"/>
        <v>3448</v>
      </c>
      <c r="I1292" s="44">
        <f t="shared" si="425"/>
        <v>3350</v>
      </c>
      <c r="J1292" s="44">
        <f t="shared" si="425"/>
        <v>3480</v>
      </c>
      <c r="K1292" s="44">
        <f t="shared" si="425"/>
        <v>3460</v>
      </c>
      <c r="L1292" s="44">
        <f t="shared" si="425"/>
        <v>3390</v>
      </c>
      <c r="M1292" s="44"/>
      <c r="N1292" s="44"/>
      <c r="O1292" s="44"/>
      <c r="P1292" s="44"/>
      <c r="Q1292" s="42"/>
      <c r="R1292" s="42"/>
      <c r="S1292" s="43"/>
      <c r="T1292" s="42"/>
      <c r="U1292" s="42"/>
      <c r="V1292" s="41"/>
      <c r="W1292" s="40"/>
    </row>
    <row r="1293" spans="1:31" ht="15.75">
      <c r="A1293" s="195">
        <v>43899</v>
      </c>
      <c r="B1293" s="63" t="s">
        <v>158</v>
      </c>
      <c r="C1293" s="56" t="s">
        <v>156</v>
      </c>
      <c r="D1293">
        <v>1966</v>
      </c>
      <c r="E1293">
        <v>1962</v>
      </c>
      <c r="F1293">
        <v>1953</v>
      </c>
      <c r="G1293">
        <v>1962</v>
      </c>
      <c r="H1293" s="233">
        <v>1966</v>
      </c>
      <c r="I1293" s="233">
        <v>1972</v>
      </c>
      <c r="J1293" s="233">
        <v>1964</v>
      </c>
      <c r="K1293" s="233">
        <v>1962</v>
      </c>
      <c r="L1293" s="233">
        <v>1966</v>
      </c>
      <c r="M1293" s="62"/>
      <c r="N1293" s="62"/>
      <c r="O1293" s="62"/>
      <c r="P1293" s="62"/>
      <c r="Q1293" s="57">
        <f>IF((L1294=""),"",MAX(D1295:L1295))</f>
        <v>3284</v>
      </c>
      <c r="R1293" s="57">
        <f>IF(L1294="","",MIN(D1295:L1295))</f>
        <v>2904</v>
      </c>
      <c r="S1293" s="58">
        <f>IF((L1295=""),"",AVERAGE(D1295:L1295))</f>
        <v>3069.7777777777778</v>
      </c>
      <c r="T1293" s="57">
        <f>IF((L1294=""),"",((Q1293-R1293)/(Q1293+R1293))*100)</f>
        <v>6.1409179056237875</v>
      </c>
      <c r="U1293" s="56">
        <f>STDEV(D1293:L1293)</f>
        <v>5.0990195135927845</v>
      </c>
      <c r="V1293" s="55" t="str">
        <f>IF(L1294="","",(IF(T1293&lt;12,IF(S1293&gt;2200,IF(S1293&lt;3280,"Pass","Fail"),"Fail"),"Fail")))</f>
        <v>Pass</v>
      </c>
      <c r="W1293" s="54">
        <v>1340</v>
      </c>
      <c r="X1293" s="26" t="s">
        <v>415</v>
      </c>
      <c r="Z1293" s="37">
        <v>2000</v>
      </c>
      <c r="AA1293" s="37">
        <v>3000</v>
      </c>
      <c r="AB1293" s="37">
        <v>2200</v>
      </c>
      <c r="AC1293" s="37">
        <v>3280</v>
      </c>
      <c r="AD1293" s="39">
        <v>12</v>
      </c>
      <c r="AE1293" s="39">
        <v>12</v>
      </c>
    </row>
    <row r="1294" spans="1:31" ht="15.75">
      <c r="A1294" s="199"/>
      <c r="B1294" s="48"/>
      <c r="C1294" s="51" t="s">
        <v>155</v>
      </c>
      <c r="D1294">
        <v>1163</v>
      </c>
      <c r="E1294">
        <v>1209</v>
      </c>
      <c r="F1294">
        <v>1227</v>
      </c>
      <c r="G1294">
        <v>1216</v>
      </c>
      <c r="H1294" s="233">
        <v>1188</v>
      </c>
      <c r="I1294" s="233">
        <v>1151</v>
      </c>
      <c r="J1294" s="233">
        <v>1197</v>
      </c>
      <c r="K1294" s="233">
        <v>1223</v>
      </c>
      <c r="L1294" s="233">
        <v>1192</v>
      </c>
      <c r="M1294" s="50"/>
      <c r="N1294" s="50"/>
      <c r="O1294" s="50"/>
      <c r="P1294" s="50"/>
      <c r="Q1294" s="48"/>
      <c r="R1294" s="48"/>
      <c r="S1294" s="48"/>
      <c r="T1294" s="48"/>
      <c r="U1294" s="48"/>
      <c r="V1294" s="47"/>
      <c r="W1294" s="46"/>
    </row>
    <row r="1295" spans="1:31" ht="24.75" thickBot="1">
      <c r="B1295" s="61"/>
      <c r="C1295" s="51" t="s">
        <v>154</v>
      </c>
      <c r="D1295" s="24">
        <f t="shared" ref="D1295:L1295" si="426">IF(((D1293="")*AND(D1294="")),"",(D1293-D1294)*4)</f>
        <v>3212</v>
      </c>
      <c r="E1295" s="24">
        <f t="shared" si="426"/>
        <v>3012</v>
      </c>
      <c r="F1295" s="24">
        <f t="shared" si="426"/>
        <v>2904</v>
      </c>
      <c r="G1295" s="24">
        <f t="shared" si="426"/>
        <v>2984</v>
      </c>
      <c r="H1295" s="24">
        <f t="shared" si="426"/>
        <v>3112</v>
      </c>
      <c r="I1295" s="24">
        <f t="shared" si="426"/>
        <v>3284</v>
      </c>
      <c r="J1295" s="24">
        <f t="shared" si="426"/>
        <v>3068</v>
      </c>
      <c r="K1295" s="24">
        <f t="shared" si="426"/>
        <v>2956</v>
      </c>
      <c r="L1295" s="24">
        <f t="shared" si="426"/>
        <v>3096</v>
      </c>
      <c r="M1295" s="24"/>
      <c r="N1295" s="24"/>
      <c r="O1295" s="24"/>
      <c r="P1295" s="24" t="str">
        <f>IF(((P1293="")*AND(P1294="")),"",(P1293-P1294)*4)</f>
        <v/>
      </c>
      <c r="Q1295" s="61"/>
      <c r="R1295" s="61"/>
      <c r="S1295" s="61"/>
      <c r="T1295" s="61"/>
      <c r="U1295" s="61"/>
      <c r="V1295" s="60"/>
      <c r="W1295" s="59"/>
    </row>
    <row r="1296" spans="1:31" ht="15.75">
      <c r="A1296" s="195">
        <v>43899</v>
      </c>
      <c r="B1296" s="57" t="s">
        <v>157</v>
      </c>
      <c r="C1296" s="51" t="s">
        <v>156</v>
      </c>
      <c r="D1296">
        <v>3222</v>
      </c>
      <c r="E1296">
        <v>3378</v>
      </c>
      <c r="F1296">
        <v>3546</v>
      </c>
      <c r="G1296">
        <v>3544</v>
      </c>
      <c r="H1296" s="233">
        <v>3624</v>
      </c>
      <c r="I1296" s="233">
        <v>3501</v>
      </c>
      <c r="J1296" s="233">
        <v>3539</v>
      </c>
      <c r="K1296" s="233">
        <v>3449</v>
      </c>
      <c r="L1296" s="233">
        <v>3322</v>
      </c>
      <c r="M1296" s="50"/>
      <c r="N1296" s="50"/>
      <c r="O1296" s="50"/>
      <c r="P1296" s="50"/>
      <c r="Q1296" s="57">
        <f>IF((L1297=""),"",MAX(D1298:L1298))</f>
        <v>3384</v>
      </c>
      <c r="R1296" s="57">
        <f>IF(L1297="","",MIN(D1298:L1298))</f>
        <v>3234</v>
      </c>
      <c r="S1296" s="58">
        <f>IF((L1298=""),"",AVERAGE(D1298:L1298))</f>
        <v>3334.4444444444443</v>
      </c>
      <c r="T1296" s="57">
        <f>IF((L1297=""),"",((Q1296-R1296)/(Q1296+R1296))*100)</f>
        <v>2.2665457842248413</v>
      </c>
      <c r="U1296" s="56">
        <f>STDEV(D1296:L1296)</f>
        <v>128.34426360379337</v>
      </c>
      <c r="V1296" s="55" t="str">
        <f>IF(L1297="","",(IF(T1296&lt;7,IF(S1296&gt;2800,IF(S1296&lt;3800,"Pass","Fail"),"Fail"),"Fail")))</f>
        <v>Pass</v>
      </c>
      <c r="W1296" s="54">
        <v>1340</v>
      </c>
      <c r="X1296" s="26" t="s">
        <v>415</v>
      </c>
      <c r="Z1296" s="53">
        <v>2800</v>
      </c>
      <c r="AA1296" s="53">
        <v>3800</v>
      </c>
      <c r="AB1296" s="53">
        <v>3100</v>
      </c>
      <c r="AC1296" s="53">
        <v>3760</v>
      </c>
      <c r="AD1296" s="52">
        <v>6</v>
      </c>
      <c r="AE1296" s="52">
        <v>6</v>
      </c>
    </row>
    <row r="1297" spans="1:31" ht="15.75">
      <c r="A1297" s="199"/>
      <c r="B1297" s="48"/>
      <c r="C1297" s="51" t="s">
        <v>155</v>
      </c>
      <c r="D1297">
        <v>1543</v>
      </c>
      <c r="E1297">
        <v>1686</v>
      </c>
      <c r="F1297">
        <v>1868</v>
      </c>
      <c r="G1297">
        <v>1871</v>
      </c>
      <c r="H1297" s="233">
        <v>2007</v>
      </c>
      <c r="I1297" s="233">
        <v>1872</v>
      </c>
      <c r="J1297" s="233">
        <v>1869</v>
      </c>
      <c r="K1297" s="233">
        <v>1761</v>
      </c>
      <c r="L1297" s="233">
        <v>1643</v>
      </c>
      <c r="M1297" s="50"/>
      <c r="N1297" s="50"/>
      <c r="O1297" s="50"/>
      <c r="P1297" s="50"/>
      <c r="Q1297" s="48"/>
      <c r="R1297" s="48"/>
      <c r="S1297" s="49"/>
      <c r="T1297" s="48"/>
      <c r="U1297" s="48"/>
      <c r="V1297" s="47"/>
      <c r="W1297" s="46"/>
    </row>
    <row r="1298" spans="1:31" ht="24.75" thickBot="1">
      <c r="A1298" s="199"/>
      <c r="B1298" s="42"/>
      <c r="C1298" s="45" t="s">
        <v>154</v>
      </c>
      <c r="D1298" s="44">
        <f t="shared" ref="D1298:L1298" si="427">IF(((D1296="")*AND(D1297="")),"",(D1296-D1297)*2)</f>
        <v>3358</v>
      </c>
      <c r="E1298" s="44">
        <f t="shared" si="427"/>
        <v>3384</v>
      </c>
      <c r="F1298" s="44">
        <f t="shared" si="427"/>
        <v>3356</v>
      </c>
      <c r="G1298" s="44">
        <f t="shared" si="427"/>
        <v>3346</v>
      </c>
      <c r="H1298" s="44">
        <f t="shared" si="427"/>
        <v>3234</v>
      </c>
      <c r="I1298" s="44">
        <f t="shared" si="427"/>
        <v>3258</v>
      </c>
      <c r="J1298" s="44">
        <f t="shared" si="427"/>
        <v>3340</v>
      </c>
      <c r="K1298" s="44">
        <f t="shared" si="427"/>
        <v>3376</v>
      </c>
      <c r="L1298" s="44">
        <f t="shared" si="427"/>
        <v>3358</v>
      </c>
      <c r="M1298" s="44"/>
      <c r="N1298" s="44"/>
      <c r="O1298" s="44"/>
      <c r="P1298" s="44"/>
      <c r="Q1298" s="42"/>
      <c r="R1298" s="42"/>
      <c r="S1298" s="43"/>
      <c r="T1298" s="42"/>
      <c r="U1298" s="42"/>
      <c r="V1298" s="41"/>
      <c r="W1298" s="40"/>
    </row>
    <row r="1299" spans="1:31" ht="15.75">
      <c r="A1299" s="195">
        <v>43902</v>
      </c>
      <c r="B1299" s="63" t="s">
        <v>158</v>
      </c>
      <c r="C1299" s="56" t="s">
        <v>156</v>
      </c>
      <c r="D1299">
        <v>1166</v>
      </c>
      <c r="E1299">
        <v>1211</v>
      </c>
      <c r="F1299">
        <v>1223</v>
      </c>
      <c r="G1299">
        <v>1220</v>
      </c>
      <c r="H1299" s="233">
        <v>1192</v>
      </c>
      <c r="I1299" s="233">
        <v>1155</v>
      </c>
      <c r="J1299" s="233">
        <v>1201</v>
      </c>
      <c r="K1299" s="233">
        <v>1225</v>
      </c>
      <c r="L1299" s="233">
        <v>1196</v>
      </c>
      <c r="M1299" s="62"/>
      <c r="N1299" s="62"/>
      <c r="O1299" s="62"/>
      <c r="P1299" s="62"/>
      <c r="Q1299" s="57">
        <f>IF((L1300=""),"",MAX(D1301:L1301))</f>
        <v>3108</v>
      </c>
      <c r="R1299" s="57">
        <f>IF(L1300="","",MIN(D1301:L1301))</f>
        <v>2700</v>
      </c>
      <c r="S1299" s="58">
        <f>IF((L1301=""),"",AVERAGE(D1301:L1301))</f>
        <v>2872.4444444444443</v>
      </c>
      <c r="T1299" s="57">
        <f>IF((L1300=""),"",((Q1299-R1299)/(Q1299+R1299))*100)</f>
        <v>7.0247933884297522</v>
      </c>
      <c r="U1299" s="56">
        <f>STDEV(D1299:L1299)</f>
        <v>24.808152781787204</v>
      </c>
      <c r="V1299" s="55" t="str">
        <f>IF(L1300="","",(IF(T1299&lt;12,IF(S1299&gt;2200,IF(S1299&lt;3280,"Pass","Fail"),"Fail"),"Fail")))</f>
        <v>Pass</v>
      </c>
      <c r="W1299" s="54">
        <v>1159</v>
      </c>
      <c r="X1299" s="26" t="s">
        <v>417</v>
      </c>
      <c r="Z1299" s="37">
        <v>2000</v>
      </c>
      <c r="AA1299" s="37">
        <v>3000</v>
      </c>
      <c r="AB1299" s="37">
        <v>2200</v>
      </c>
      <c r="AC1299" s="37">
        <v>3280</v>
      </c>
      <c r="AD1299" s="39">
        <v>12</v>
      </c>
      <c r="AE1299" s="39">
        <v>12</v>
      </c>
    </row>
    <row r="1300" spans="1:31" ht="15.75">
      <c r="A1300" s="199"/>
      <c r="B1300" s="48"/>
      <c r="C1300" s="51" t="s">
        <v>155</v>
      </c>
      <c r="D1300">
        <v>407</v>
      </c>
      <c r="E1300">
        <v>513</v>
      </c>
      <c r="F1300">
        <v>548</v>
      </c>
      <c r="G1300">
        <v>523</v>
      </c>
      <c r="H1300" s="233">
        <v>459</v>
      </c>
      <c r="I1300" s="233">
        <v>378</v>
      </c>
      <c r="J1300" s="233">
        <v>493</v>
      </c>
      <c r="K1300" s="233">
        <v>534</v>
      </c>
      <c r="L1300" s="233">
        <v>471</v>
      </c>
      <c r="M1300" s="50"/>
      <c r="N1300" s="50"/>
      <c r="O1300" s="50"/>
      <c r="P1300" s="50"/>
      <c r="Q1300" s="48"/>
      <c r="R1300" s="48"/>
      <c r="S1300" s="48"/>
      <c r="T1300" s="48"/>
      <c r="U1300" s="48"/>
      <c r="V1300" s="47"/>
      <c r="W1300" s="46"/>
    </row>
    <row r="1301" spans="1:31" ht="24.75" thickBot="1">
      <c r="B1301" s="61"/>
      <c r="C1301" s="51" t="s">
        <v>154</v>
      </c>
      <c r="D1301" s="24">
        <f t="shared" ref="D1301:L1301" si="428">IF(((D1299="")*AND(D1300="")),"",(D1299-D1300)*4)</f>
        <v>3036</v>
      </c>
      <c r="E1301" s="24">
        <f t="shared" si="428"/>
        <v>2792</v>
      </c>
      <c r="F1301" s="24">
        <f t="shared" si="428"/>
        <v>2700</v>
      </c>
      <c r="G1301" s="24">
        <f t="shared" si="428"/>
        <v>2788</v>
      </c>
      <c r="H1301" s="24">
        <f t="shared" si="428"/>
        <v>2932</v>
      </c>
      <c r="I1301" s="24">
        <f t="shared" si="428"/>
        <v>3108</v>
      </c>
      <c r="J1301" s="24">
        <f t="shared" si="428"/>
        <v>2832</v>
      </c>
      <c r="K1301" s="24">
        <f t="shared" si="428"/>
        <v>2764</v>
      </c>
      <c r="L1301" s="24">
        <f t="shared" si="428"/>
        <v>2900</v>
      </c>
      <c r="M1301" s="24"/>
      <c r="N1301" s="24"/>
      <c r="O1301" s="24"/>
      <c r="P1301" s="24" t="str">
        <f>IF(((P1299="")*AND(P1300="")),"",(P1299-P1300)*4)</f>
        <v/>
      </c>
      <c r="Q1301" s="61"/>
      <c r="R1301" s="61"/>
      <c r="S1301" s="61"/>
      <c r="T1301" s="61"/>
      <c r="U1301" s="61"/>
      <c r="V1301" s="60"/>
      <c r="W1301" s="59"/>
    </row>
    <row r="1302" spans="1:31" ht="15.75">
      <c r="A1302" s="195">
        <v>43902</v>
      </c>
      <c r="B1302" s="57" t="s">
        <v>157</v>
      </c>
      <c r="C1302" s="51" t="s">
        <v>156</v>
      </c>
      <c r="D1302">
        <v>6804</v>
      </c>
      <c r="E1302">
        <v>6987</v>
      </c>
      <c r="F1302">
        <v>7104</v>
      </c>
      <c r="G1302">
        <v>7109</v>
      </c>
      <c r="H1302" s="233">
        <v>7126</v>
      </c>
      <c r="I1302" s="233">
        <v>7045</v>
      </c>
      <c r="J1302" s="233">
        <v>7105</v>
      </c>
      <c r="K1302" s="233">
        <v>7045</v>
      </c>
      <c r="L1302" s="233">
        <v>6936</v>
      </c>
      <c r="M1302" s="50"/>
      <c r="N1302" s="50"/>
      <c r="O1302" s="50"/>
      <c r="P1302" s="50"/>
      <c r="Q1302" s="57">
        <f>IF((L1303=""),"",MAX(D1304:L1304))</f>
        <v>3498</v>
      </c>
      <c r="R1302" s="57">
        <f>IF(L1303="","",MIN(D1304:L1304))</f>
        <v>3114</v>
      </c>
      <c r="S1302" s="58">
        <f>IF((L1304=""),"",AVERAGE(D1304:L1304))</f>
        <v>3323.7777777777778</v>
      </c>
      <c r="T1302" s="57">
        <f>IF((L1303=""),"",((Q1302-R1302)/(Q1302+R1302))*100)</f>
        <v>5.8076225045372052</v>
      </c>
      <c r="U1302" s="56">
        <f>STDEV(D1302:L1302)</f>
        <v>105.33280590585252</v>
      </c>
      <c r="V1302" s="55" t="str">
        <f>IF(L1303="","",(IF(T1302&lt;7,IF(S1302&gt;2800,IF(S1302&lt;3800,"Pass","Fail"),"Fail"),"Fail")))</f>
        <v>Pass</v>
      </c>
      <c r="W1302" s="54">
        <v>1159</v>
      </c>
      <c r="X1302" s="26" t="s">
        <v>417</v>
      </c>
      <c r="Z1302" s="53">
        <v>2800</v>
      </c>
      <c r="AA1302" s="53">
        <v>3800</v>
      </c>
      <c r="AB1302" s="53">
        <v>3100</v>
      </c>
      <c r="AC1302" s="53">
        <v>3760</v>
      </c>
      <c r="AD1302" s="52">
        <v>6</v>
      </c>
      <c r="AE1302" s="52">
        <v>6</v>
      </c>
    </row>
    <row r="1303" spans="1:31" ht="15.75">
      <c r="A1303" s="195"/>
      <c r="B1303" s="48"/>
      <c r="C1303" s="51" t="s">
        <v>155</v>
      </c>
      <c r="D1303">
        <v>5055</v>
      </c>
      <c r="E1303">
        <v>5269</v>
      </c>
      <c r="F1303">
        <v>5474</v>
      </c>
      <c r="G1303">
        <v>5483</v>
      </c>
      <c r="H1303" s="233">
        <v>5569</v>
      </c>
      <c r="I1303" s="233">
        <v>5392</v>
      </c>
      <c r="J1303" s="233">
        <v>5495</v>
      </c>
      <c r="K1303" s="233">
        <v>5355</v>
      </c>
      <c r="L1303" s="233">
        <v>5212</v>
      </c>
      <c r="M1303" s="50"/>
      <c r="N1303" s="50"/>
      <c r="O1303" s="50"/>
      <c r="P1303" s="50"/>
      <c r="Q1303" s="48"/>
      <c r="R1303" s="48"/>
      <c r="S1303" s="49"/>
      <c r="T1303" s="48"/>
      <c r="U1303" s="48"/>
      <c r="V1303" s="47"/>
      <c r="W1303" s="46"/>
    </row>
    <row r="1304" spans="1:31" ht="24.75" thickBot="1">
      <c r="A1304" s="195"/>
      <c r="B1304" s="42"/>
      <c r="C1304" s="45" t="s">
        <v>154</v>
      </c>
      <c r="D1304" s="44">
        <f t="shared" ref="D1304:L1304" si="429">IF(((D1302="")*AND(D1303="")),"",(D1302-D1303)*2)</f>
        <v>3498</v>
      </c>
      <c r="E1304" s="44">
        <f t="shared" si="429"/>
        <v>3436</v>
      </c>
      <c r="F1304" s="44">
        <f t="shared" si="429"/>
        <v>3260</v>
      </c>
      <c r="G1304" s="44">
        <f t="shared" si="429"/>
        <v>3252</v>
      </c>
      <c r="H1304" s="44">
        <f t="shared" si="429"/>
        <v>3114</v>
      </c>
      <c r="I1304" s="44">
        <f t="shared" si="429"/>
        <v>3306</v>
      </c>
      <c r="J1304" s="44">
        <f t="shared" si="429"/>
        <v>3220</v>
      </c>
      <c r="K1304" s="44">
        <f t="shared" si="429"/>
        <v>3380</v>
      </c>
      <c r="L1304" s="44">
        <f t="shared" si="429"/>
        <v>3448</v>
      </c>
      <c r="M1304" s="44"/>
      <c r="N1304" s="44"/>
      <c r="O1304" s="44"/>
      <c r="P1304" s="44"/>
      <c r="Q1304" s="42"/>
      <c r="R1304" s="42"/>
      <c r="S1304" s="43"/>
      <c r="T1304" s="42"/>
      <c r="U1304" s="42"/>
      <c r="V1304" s="41"/>
      <c r="W1304" s="40"/>
    </row>
    <row r="1305" spans="1:31" ht="15.75">
      <c r="A1305" s="195">
        <v>43906</v>
      </c>
      <c r="B1305" s="63" t="s">
        <v>158</v>
      </c>
      <c r="C1305" s="56" t="s">
        <v>156</v>
      </c>
      <c r="D1305">
        <v>1947.06</v>
      </c>
      <c r="E1305">
        <v>1944.35</v>
      </c>
      <c r="F1305">
        <v>1940.56</v>
      </c>
      <c r="G1305">
        <v>1937.72</v>
      </c>
      <c r="H1305">
        <v>1947.35</v>
      </c>
      <c r="I1305">
        <v>1951.04</v>
      </c>
      <c r="J1305">
        <v>1938.38</v>
      </c>
      <c r="K1305">
        <v>1943.48</v>
      </c>
      <c r="L1305">
        <v>1951.28</v>
      </c>
      <c r="M1305" s="62"/>
      <c r="N1305" s="62"/>
      <c r="O1305" s="62"/>
      <c r="P1305" s="62"/>
      <c r="Q1305" s="57">
        <f>IF((L1306=""),"",MAX(D1307:L1307))</f>
        <v>3193.76</v>
      </c>
      <c r="R1305" s="57">
        <f>IF(L1306="","",MIN(D1307:L1307))</f>
        <v>2862.16</v>
      </c>
      <c r="S1305" s="58">
        <f>IF((L1307=""),"",AVERAGE(D1307:L1307))</f>
        <v>2988.9644444444443</v>
      </c>
      <c r="T1305" s="57">
        <f>IF((L1306=""),"",((Q1305-R1305)/(Q1305+R1305))*100)</f>
        <v>5.4756337600232561</v>
      </c>
      <c r="U1305" s="56">
        <f>STDEV(D1305:L1305)</f>
        <v>5.0419217567837027</v>
      </c>
      <c r="V1305" s="55" t="str">
        <f>IF(L1306="","",(IF(T1305&lt;12,IF(S1305&gt;2200,IF(S1305&lt;3280,"Pass","Fail"),"Fail"),"Fail")))</f>
        <v>Pass</v>
      </c>
      <c r="W1305" s="54">
        <v>1428</v>
      </c>
      <c r="X1305" s="26" t="s">
        <v>419</v>
      </c>
      <c r="Z1305" s="37">
        <v>2000</v>
      </c>
      <c r="AA1305" s="37">
        <v>3000</v>
      </c>
      <c r="AB1305" s="37">
        <v>2200</v>
      </c>
      <c r="AC1305" s="37">
        <v>3280</v>
      </c>
      <c r="AD1305" s="39">
        <v>12</v>
      </c>
      <c r="AE1305" s="39">
        <v>12</v>
      </c>
    </row>
    <row r="1306" spans="1:31" ht="15.75">
      <c r="A1306" s="195"/>
      <c r="B1306" s="48"/>
      <c r="C1306" s="51" t="s">
        <v>155</v>
      </c>
      <c r="D1306">
        <v>1197.8800000000001</v>
      </c>
      <c r="E1306">
        <v>1215.5999999999999</v>
      </c>
      <c r="F1306">
        <v>1225.02</v>
      </c>
      <c r="G1306">
        <v>1205.8699999999999</v>
      </c>
      <c r="H1306">
        <v>1161.48</v>
      </c>
      <c r="I1306">
        <v>1200.55</v>
      </c>
      <c r="J1306">
        <v>1218.73</v>
      </c>
      <c r="K1306">
        <v>1198.08</v>
      </c>
      <c r="L1306">
        <v>1152.8399999999999</v>
      </c>
      <c r="M1306" s="50"/>
      <c r="N1306" s="50"/>
      <c r="O1306" s="50"/>
      <c r="P1306" s="50"/>
      <c r="Q1306" s="48"/>
      <c r="R1306" s="48"/>
      <c r="S1306" s="48"/>
      <c r="T1306" s="48"/>
      <c r="U1306" s="48"/>
      <c r="V1306" s="47"/>
      <c r="W1306" s="46"/>
    </row>
    <row r="1307" spans="1:31" ht="24.75" thickBot="1">
      <c r="A1307" s="195"/>
      <c r="B1307" s="61"/>
      <c r="C1307" s="51" t="s">
        <v>154</v>
      </c>
      <c r="D1307" s="24">
        <f t="shared" ref="D1307:L1307" si="430">IF(((D1305="")*AND(D1306="")),"",(D1305-D1306)*4)</f>
        <v>2996.7199999999993</v>
      </c>
      <c r="E1307" s="24">
        <f t="shared" si="430"/>
        <v>2915</v>
      </c>
      <c r="F1307" s="24">
        <f t="shared" si="430"/>
        <v>2862.16</v>
      </c>
      <c r="G1307" s="24">
        <f t="shared" si="430"/>
        <v>2927.4000000000005</v>
      </c>
      <c r="H1307" s="24">
        <f t="shared" si="430"/>
        <v>3143.4799999999996</v>
      </c>
      <c r="I1307" s="24">
        <f t="shared" si="430"/>
        <v>3001.96</v>
      </c>
      <c r="J1307" s="24">
        <f t="shared" si="430"/>
        <v>2878.6000000000004</v>
      </c>
      <c r="K1307" s="24">
        <f t="shared" si="430"/>
        <v>2981.6000000000004</v>
      </c>
      <c r="L1307" s="24">
        <f t="shared" si="430"/>
        <v>3193.76</v>
      </c>
      <c r="M1307" s="24"/>
      <c r="N1307" s="24"/>
      <c r="O1307" s="24"/>
      <c r="P1307" s="24" t="str">
        <f>IF(((P1305="")*AND(P1306="")),"",(P1305-P1306)*4)</f>
        <v/>
      </c>
      <c r="Q1307" s="61"/>
      <c r="R1307" s="61"/>
      <c r="S1307" s="61"/>
      <c r="T1307" s="61"/>
      <c r="U1307" s="61"/>
      <c r="V1307" s="60"/>
      <c r="W1307" s="59"/>
    </row>
    <row r="1308" spans="1:31" ht="15.75">
      <c r="A1308" s="195">
        <v>43906</v>
      </c>
      <c r="B1308" s="57" t="s">
        <v>157</v>
      </c>
      <c r="C1308" s="51" t="s">
        <v>156</v>
      </c>
      <c r="D1308">
        <v>5051.34</v>
      </c>
      <c r="E1308">
        <v>5191.1499999999996</v>
      </c>
      <c r="F1308">
        <v>5387.67</v>
      </c>
      <c r="G1308">
        <v>5395.6</v>
      </c>
      <c r="H1308">
        <v>5426.99</v>
      </c>
      <c r="I1308">
        <v>5327.6</v>
      </c>
      <c r="J1308">
        <v>5370.07</v>
      </c>
      <c r="K1308">
        <v>5291.79</v>
      </c>
      <c r="L1308">
        <v>5145.16</v>
      </c>
      <c r="M1308" s="50"/>
      <c r="N1308" s="50"/>
      <c r="O1308" s="50"/>
      <c r="P1308" s="50"/>
      <c r="Q1308" s="57">
        <f>IF((L1309=""),"",MAX(D1310:L1310))</f>
        <v>3416.58</v>
      </c>
      <c r="R1308" s="57">
        <f>IF(L1309="","",MIN(D1310:L1310))</f>
        <v>3319.9400000000005</v>
      </c>
      <c r="S1308" s="58">
        <f>IF((L1310=""),"",AVERAGE(D1310:L1310))</f>
        <v>3384.92</v>
      </c>
      <c r="T1308" s="57">
        <f>IF((L1309=""),"",((Q1308-R1308)/(Q1308+R1308))*100)</f>
        <v>1.4345685903107155</v>
      </c>
      <c r="U1308" s="56">
        <f>STDEV(D1308:L1308)</f>
        <v>129.87342868263761</v>
      </c>
      <c r="V1308" s="55" t="str">
        <f>IF(L1309="","",(IF(T1308&lt;7,IF(S1308&gt;2800,IF(S1308&lt;3800,"Pass","Fail"),"Fail"),"Fail")))</f>
        <v>Pass</v>
      </c>
      <c r="W1308" s="54">
        <v>1428</v>
      </c>
      <c r="X1308" s="26" t="s">
        <v>419</v>
      </c>
      <c r="Z1308" s="53">
        <v>2800</v>
      </c>
      <c r="AA1308" s="53">
        <v>3800</v>
      </c>
      <c r="AB1308" s="53">
        <v>3100</v>
      </c>
      <c r="AC1308" s="53">
        <v>3760</v>
      </c>
      <c r="AD1308" s="52">
        <v>6</v>
      </c>
      <c r="AE1308" s="52">
        <v>6</v>
      </c>
    </row>
    <row r="1309" spans="1:31" ht="15.75">
      <c r="A1309" s="195"/>
      <c r="B1309" s="48"/>
      <c r="C1309" s="51" t="s">
        <v>155</v>
      </c>
      <c r="D1309">
        <v>3368.03</v>
      </c>
      <c r="E1309">
        <v>3491.64</v>
      </c>
      <c r="F1309">
        <v>3680.65</v>
      </c>
      <c r="G1309">
        <v>3688.8</v>
      </c>
      <c r="H1309">
        <v>3750.53</v>
      </c>
      <c r="I1309">
        <v>3667.63</v>
      </c>
      <c r="J1309">
        <v>3668.14</v>
      </c>
      <c r="K1309">
        <v>3583.5</v>
      </c>
      <c r="L1309">
        <v>3456.31</v>
      </c>
      <c r="M1309" s="50"/>
      <c r="N1309" s="50"/>
      <c r="O1309" s="50"/>
      <c r="P1309" s="50"/>
      <c r="Q1309" s="48"/>
      <c r="R1309" s="48"/>
      <c r="S1309" s="49"/>
      <c r="T1309" s="48"/>
      <c r="U1309" s="48"/>
      <c r="V1309" s="47"/>
      <c r="W1309" s="46"/>
    </row>
    <row r="1310" spans="1:31" ht="24.75" thickBot="1">
      <c r="A1310" s="195"/>
      <c r="B1310" s="42"/>
      <c r="C1310" s="45" t="s">
        <v>154</v>
      </c>
      <c r="D1310" s="44">
        <f t="shared" ref="D1310:L1310" si="431">IF(((D1308="")*AND(D1309="")),"",(D1308-D1309)*2)</f>
        <v>3366.62</v>
      </c>
      <c r="E1310" s="44">
        <f t="shared" si="431"/>
        <v>3399.0199999999995</v>
      </c>
      <c r="F1310" s="44">
        <f t="shared" si="431"/>
        <v>3414.04</v>
      </c>
      <c r="G1310" s="44">
        <f t="shared" si="431"/>
        <v>3413.6000000000004</v>
      </c>
      <c r="H1310" s="44">
        <f t="shared" si="431"/>
        <v>3352.9199999999992</v>
      </c>
      <c r="I1310" s="44">
        <f t="shared" si="431"/>
        <v>3319.9400000000005</v>
      </c>
      <c r="J1310" s="44">
        <f t="shared" si="431"/>
        <v>3403.8599999999997</v>
      </c>
      <c r="K1310" s="44">
        <f t="shared" si="431"/>
        <v>3416.58</v>
      </c>
      <c r="L1310" s="44">
        <f t="shared" si="431"/>
        <v>3377.7</v>
      </c>
      <c r="M1310" s="44"/>
      <c r="N1310" s="44"/>
      <c r="O1310" s="44"/>
      <c r="P1310" s="44"/>
      <c r="Q1310" s="42"/>
      <c r="R1310" s="42"/>
      <c r="S1310" s="43"/>
      <c r="T1310" s="42"/>
      <c r="U1310" s="42"/>
      <c r="V1310" s="41"/>
      <c r="W1310" s="40"/>
    </row>
    <row r="1311" spans="1:31" ht="15.75">
      <c r="A1311" s="195">
        <v>43909</v>
      </c>
      <c r="B1311" s="63" t="s">
        <v>158</v>
      </c>
      <c r="C1311" s="56" t="s">
        <v>156</v>
      </c>
      <c r="D1311" s="266">
        <v>1197.8599999999999</v>
      </c>
      <c r="E1311" s="266">
        <v>1214.3399999999999</v>
      </c>
      <c r="F1311" s="266">
        <v>1220.5999999999999</v>
      </c>
      <c r="G1311" s="266">
        <v>1204.6400000000001</v>
      </c>
      <c r="H1311" s="266">
        <v>1169.29</v>
      </c>
      <c r="I1311" s="266">
        <v>1200.3499999999999</v>
      </c>
      <c r="J1311" s="266">
        <v>1218.29</v>
      </c>
      <c r="K1311" s="266">
        <v>1195.68</v>
      </c>
      <c r="L1311" s="266">
        <v>1159.6099999999999</v>
      </c>
      <c r="M1311" s="62"/>
      <c r="N1311" s="62"/>
      <c r="O1311" s="62"/>
      <c r="P1311" s="62"/>
      <c r="Q1311" s="57">
        <f>IF((L1312=""),"",MAX(D1313:L1313))</f>
        <v>3103.6799999999994</v>
      </c>
      <c r="R1311" s="57">
        <f>IF(L1312="","",MIN(D1313:L1313))</f>
        <v>2707.72</v>
      </c>
      <c r="S1311" s="58">
        <f>IF((L1313=""),"",AVERAGE(D1313:L1313))</f>
        <v>2874.4577777777777</v>
      </c>
      <c r="T1311" s="57">
        <f>IF((L1312=""),"",((Q1311-R1311)/(Q1311+R1311))*100)</f>
        <v>6.813504491172516</v>
      </c>
      <c r="U1311" s="56">
        <f>STDEV(D1311:L1311)</f>
        <v>21.042547638323747</v>
      </c>
      <c r="V1311" s="55" t="str">
        <f>IF(L1312="","",(IF(T1311&lt;12,IF(S1311&gt;2200,IF(S1311&lt;3280,"Pass","Fail"),"Fail"),"Fail")))</f>
        <v>Pass</v>
      </c>
      <c r="W1311" s="54">
        <v>1428</v>
      </c>
      <c r="Z1311" s="37">
        <v>2000</v>
      </c>
      <c r="AA1311" s="37">
        <v>3000</v>
      </c>
      <c r="AB1311" s="37">
        <v>2200</v>
      </c>
      <c r="AC1311" s="37">
        <v>3280</v>
      </c>
      <c r="AD1311" s="39">
        <v>12</v>
      </c>
      <c r="AE1311" s="39">
        <v>12</v>
      </c>
    </row>
    <row r="1312" spans="1:31" ht="15.75">
      <c r="A1312" s="195"/>
      <c r="B1312" s="48"/>
      <c r="C1312" s="51" t="s">
        <v>155</v>
      </c>
      <c r="D1312" s="266">
        <v>464.5</v>
      </c>
      <c r="E1312" s="266">
        <v>517.73</v>
      </c>
      <c r="F1312" s="266">
        <v>543.66999999999996</v>
      </c>
      <c r="G1312" s="266">
        <v>502.47</v>
      </c>
      <c r="H1312" s="266">
        <v>414.15</v>
      </c>
      <c r="I1312" s="266">
        <v>470.82</v>
      </c>
      <c r="J1312" s="266">
        <v>527.29999999999995</v>
      </c>
      <c r="K1312" s="266">
        <v>488.8</v>
      </c>
      <c r="L1312" s="266">
        <v>383.69</v>
      </c>
      <c r="M1312" s="50"/>
      <c r="N1312" s="50"/>
      <c r="O1312" s="50"/>
      <c r="P1312" s="50"/>
      <c r="Q1312" s="48"/>
      <c r="R1312" s="48"/>
      <c r="S1312" s="48"/>
      <c r="T1312" s="48"/>
      <c r="U1312" s="48"/>
      <c r="V1312" s="47"/>
      <c r="W1312" s="46"/>
    </row>
    <row r="1313" spans="1:31" ht="24.75" thickBot="1">
      <c r="A1313" s="195"/>
      <c r="B1313" s="61"/>
      <c r="C1313" s="51" t="s">
        <v>154</v>
      </c>
      <c r="D1313" s="24">
        <f t="shared" ref="D1313:L1313" si="432">IF(((D1311="")*AND(D1312="")),"",(D1311-D1312)*4)</f>
        <v>2933.4399999999996</v>
      </c>
      <c r="E1313" s="24">
        <f t="shared" si="432"/>
        <v>2786.4399999999996</v>
      </c>
      <c r="F1313" s="24">
        <f t="shared" si="432"/>
        <v>2707.72</v>
      </c>
      <c r="G1313" s="24">
        <f t="shared" si="432"/>
        <v>2808.6800000000003</v>
      </c>
      <c r="H1313" s="24">
        <f t="shared" si="432"/>
        <v>3020.56</v>
      </c>
      <c r="I1313" s="24">
        <f t="shared" si="432"/>
        <v>2918.12</v>
      </c>
      <c r="J1313" s="24">
        <f t="shared" si="432"/>
        <v>2763.96</v>
      </c>
      <c r="K1313" s="24">
        <f t="shared" si="432"/>
        <v>2827.5200000000004</v>
      </c>
      <c r="L1313" s="24">
        <f t="shared" si="432"/>
        <v>3103.6799999999994</v>
      </c>
      <c r="M1313" s="24"/>
      <c r="N1313" s="24"/>
      <c r="O1313" s="24"/>
      <c r="P1313" s="24" t="str">
        <f>IF(((P1311="")*AND(P1312="")),"",(P1311-P1312)*4)</f>
        <v/>
      </c>
      <c r="Q1313" s="61"/>
      <c r="R1313" s="61"/>
      <c r="S1313" s="61"/>
      <c r="T1313" s="61"/>
      <c r="U1313" s="61"/>
      <c r="V1313" s="60"/>
      <c r="W1313" s="59"/>
    </row>
    <row r="1314" spans="1:31" ht="15.75">
      <c r="A1314" s="195">
        <v>43909</v>
      </c>
      <c r="B1314" s="57" t="s">
        <v>157</v>
      </c>
      <c r="C1314" s="51" t="s">
        <v>156</v>
      </c>
      <c r="D1314" s="266">
        <v>3337.14</v>
      </c>
      <c r="E1314" s="266">
        <v>3512.04</v>
      </c>
      <c r="F1314" s="266">
        <v>3677.63</v>
      </c>
      <c r="G1314" s="266">
        <v>3659.12</v>
      </c>
      <c r="H1314" s="266">
        <v>3780.64</v>
      </c>
      <c r="I1314" s="266">
        <v>3780.64</v>
      </c>
      <c r="J1314" s="266">
        <v>3694.02</v>
      </c>
      <c r="K1314" s="266">
        <v>3541.02</v>
      </c>
      <c r="L1314" s="266">
        <v>3498.33</v>
      </c>
      <c r="M1314" s="50"/>
      <c r="N1314" s="50"/>
      <c r="O1314" s="50"/>
      <c r="P1314" s="50"/>
      <c r="Q1314" s="57">
        <f>IF((L1315=""),"",MAX(D1316:L1316))</f>
        <v>3826.8599999999997</v>
      </c>
      <c r="R1314" s="57">
        <f>IF(L1315="","",MIN(D1316:L1316))</f>
        <v>3333.0999999999995</v>
      </c>
      <c r="S1314" s="58">
        <f>IF((L1316=""),"",AVERAGE(D1316:L1316))</f>
        <v>3472.3222222222221</v>
      </c>
      <c r="T1314" s="57">
        <f>IF((L1315=""),"",((Q1314-R1314)/(Q1314+R1314))*100)</f>
        <v>6.896127911329117</v>
      </c>
      <c r="U1314" s="56">
        <f>STDEV(D1314:L1314)</f>
        <v>147.28767845613055</v>
      </c>
      <c r="V1314" s="55" t="str">
        <f>IF(L1315="","",(IF(T1314&lt;7,IF(S1314&gt;2800,IF(S1314&lt;3800,"Pass","Fail"),"Fail"),"Fail")))</f>
        <v>Pass</v>
      </c>
      <c r="W1314" s="54">
        <v>1428</v>
      </c>
      <c r="Z1314" s="53">
        <v>2800</v>
      </c>
      <c r="AA1314" s="53">
        <v>3800</v>
      </c>
      <c r="AB1314" s="53">
        <v>3100</v>
      </c>
      <c r="AC1314" s="53">
        <v>3760</v>
      </c>
      <c r="AD1314" s="52">
        <v>6</v>
      </c>
      <c r="AE1314" s="52">
        <v>6</v>
      </c>
    </row>
    <row r="1315" spans="1:31" ht="15.75">
      <c r="A1315" s="195"/>
      <c r="B1315" s="48"/>
      <c r="C1315" s="51" t="s">
        <v>155</v>
      </c>
      <c r="D1315" s="266">
        <v>1618.71</v>
      </c>
      <c r="E1315" s="266">
        <v>1779.96</v>
      </c>
      <c r="F1315" s="266">
        <v>1951.65</v>
      </c>
      <c r="G1315" s="266">
        <v>1934.52</v>
      </c>
      <c r="H1315" s="266">
        <v>2114.09</v>
      </c>
      <c r="I1315" s="266">
        <v>1867.21</v>
      </c>
      <c r="J1315" s="266">
        <v>1970.8</v>
      </c>
      <c r="K1315" s="266">
        <v>1809.17</v>
      </c>
      <c r="L1315" s="266">
        <v>1809.02</v>
      </c>
      <c r="M1315" s="50"/>
      <c r="N1315" s="50"/>
      <c r="O1315" s="50"/>
      <c r="P1315" s="50"/>
      <c r="Q1315" s="48"/>
      <c r="R1315" s="48"/>
      <c r="S1315" s="49"/>
      <c r="T1315" s="48"/>
      <c r="U1315" s="48"/>
      <c r="V1315" s="47"/>
      <c r="W1315" s="46"/>
    </row>
    <row r="1316" spans="1:31" ht="24.75" thickBot="1">
      <c r="A1316" s="195"/>
      <c r="B1316" s="42"/>
      <c r="C1316" s="45" t="s">
        <v>154</v>
      </c>
      <c r="D1316" s="44">
        <f t="shared" ref="D1316:L1316" si="433">IF(((D1314="")*AND(D1315="")),"",(D1314-D1315)*2)</f>
        <v>3436.8599999999997</v>
      </c>
      <c r="E1316" s="44">
        <f t="shared" si="433"/>
        <v>3464.16</v>
      </c>
      <c r="F1316" s="44">
        <f t="shared" si="433"/>
        <v>3451.96</v>
      </c>
      <c r="G1316" s="44">
        <f t="shared" si="433"/>
        <v>3449.2</v>
      </c>
      <c r="H1316" s="44">
        <f t="shared" si="433"/>
        <v>3333.0999999999995</v>
      </c>
      <c r="I1316" s="44">
        <f t="shared" si="433"/>
        <v>3826.8599999999997</v>
      </c>
      <c r="J1316" s="44">
        <f t="shared" si="433"/>
        <v>3446.44</v>
      </c>
      <c r="K1316" s="44">
        <f t="shared" si="433"/>
        <v>3463.7</v>
      </c>
      <c r="L1316" s="44">
        <f t="shared" si="433"/>
        <v>3378.62</v>
      </c>
      <c r="M1316" s="44"/>
      <c r="N1316" s="44"/>
      <c r="O1316" s="44"/>
      <c r="P1316" s="44"/>
      <c r="Q1316" s="42"/>
      <c r="R1316" s="42"/>
      <c r="S1316" s="43"/>
      <c r="T1316" s="42"/>
      <c r="U1316" s="42"/>
      <c r="V1316" s="41"/>
      <c r="W1316" s="40"/>
    </row>
    <row r="1317" spans="1:31" ht="15.75">
      <c r="A1317" s="195">
        <v>43949</v>
      </c>
      <c r="B1317" s="63" t="s">
        <v>158</v>
      </c>
      <c r="C1317" s="56" t="s">
        <v>156</v>
      </c>
      <c r="D1317">
        <v>1911.32</v>
      </c>
      <c r="E1317">
        <v>1908.29</v>
      </c>
      <c r="F1317">
        <v>1905.64</v>
      </c>
      <c r="G1317">
        <v>1907.66</v>
      </c>
      <c r="H1317">
        <v>1920.19</v>
      </c>
      <c r="I1317">
        <v>1919.36</v>
      </c>
      <c r="J1317">
        <v>1905.96</v>
      </c>
      <c r="K1317">
        <v>2018.99</v>
      </c>
      <c r="L1317">
        <v>1909.12</v>
      </c>
      <c r="M1317" s="62"/>
      <c r="N1317" s="62"/>
      <c r="O1317" s="62"/>
      <c r="P1317" s="62"/>
      <c r="Q1317" s="57">
        <f>IF((L1318=""),"",MAX(D1319:L1319))</f>
        <v>3326.5600000000004</v>
      </c>
      <c r="R1317" s="57">
        <f>IF(L1318="","",MIN(D1319:L1319))</f>
        <v>2754.0800000000008</v>
      </c>
      <c r="S1317" s="58">
        <f>IF((L1319=""),"",AVERAGE(D1319:L1319))</f>
        <v>2968.4800000000005</v>
      </c>
      <c r="T1317" s="57">
        <f>IF((L1318=""),"",((Q1317-R1317)/(Q1317+R1317))*100)</f>
        <v>9.4147984422692268</v>
      </c>
      <c r="U1317" s="56">
        <f>STDEV(D1317:L1317)</f>
        <v>36.413783371727831</v>
      </c>
      <c r="V1317" s="55" t="str">
        <f>IF(L1318="","",(IF(T1317&lt;12,IF(S1317&gt;2200,IF(S1317&lt;3280,"Pass","Fail"),"Fail"),"Fail")))</f>
        <v>Pass</v>
      </c>
      <c r="W1317" s="54">
        <v>121</v>
      </c>
      <c r="X1317" s="26" t="s">
        <v>420</v>
      </c>
      <c r="Z1317" s="37">
        <v>2000</v>
      </c>
      <c r="AA1317" s="37">
        <v>3000</v>
      </c>
      <c r="AB1317" s="37">
        <v>2200</v>
      </c>
      <c r="AC1317" s="37">
        <v>3280</v>
      </c>
      <c r="AD1317" s="39">
        <v>12</v>
      </c>
      <c r="AE1317" s="39">
        <v>12</v>
      </c>
    </row>
    <row r="1318" spans="1:31" ht="15.75">
      <c r="A1318" s="195"/>
      <c r="B1318" s="48"/>
      <c r="C1318" s="51" t="s">
        <v>155</v>
      </c>
      <c r="D1318">
        <v>1173.4000000000001</v>
      </c>
      <c r="E1318">
        <v>1203.18</v>
      </c>
      <c r="F1318">
        <v>1217.1199999999999</v>
      </c>
      <c r="G1318">
        <v>1198.1300000000001</v>
      </c>
      <c r="H1318">
        <v>1142.9000000000001</v>
      </c>
      <c r="I1318">
        <v>1168.3900000000001</v>
      </c>
      <c r="J1318">
        <v>1208.9100000000001</v>
      </c>
      <c r="K1318">
        <v>1187.3499999999999</v>
      </c>
      <c r="L1318">
        <v>1128.07</v>
      </c>
      <c r="M1318" s="50"/>
      <c r="N1318" s="50"/>
      <c r="O1318" s="50"/>
      <c r="P1318" s="50"/>
      <c r="Q1318" s="48"/>
      <c r="R1318" s="48"/>
      <c r="S1318" s="48"/>
      <c r="T1318" s="48"/>
      <c r="U1318" s="48"/>
      <c r="V1318" s="47"/>
      <c r="W1318" s="46"/>
    </row>
    <row r="1319" spans="1:31" ht="24.75" thickBot="1">
      <c r="A1319" s="195"/>
      <c r="B1319" s="61"/>
      <c r="C1319" s="51" t="s">
        <v>154</v>
      </c>
      <c r="D1319" s="24">
        <f t="shared" ref="D1319:L1319" si="434">IF(((D1317="")*AND(D1318="")),"",(D1317-D1318)*4)</f>
        <v>2951.6799999999994</v>
      </c>
      <c r="E1319" s="24">
        <f t="shared" si="434"/>
        <v>2820.4399999999996</v>
      </c>
      <c r="F1319" s="24">
        <f t="shared" si="434"/>
        <v>2754.0800000000008</v>
      </c>
      <c r="G1319" s="24">
        <f t="shared" si="434"/>
        <v>2838.12</v>
      </c>
      <c r="H1319" s="24">
        <f t="shared" si="434"/>
        <v>3109.16</v>
      </c>
      <c r="I1319" s="24">
        <f t="shared" si="434"/>
        <v>3003.8799999999992</v>
      </c>
      <c r="J1319" s="24">
        <f t="shared" si="434"/>
        <v>2788.2</v>
      </c>
      <c r="K1319" s="24">
        <f t="shared" si="434"/>
        <v>3326.5600000000004</v>
      </c>
      <c r="L1319" s="24">
        <f t="shared" si="434"/>
        <v>3124.2</v>
      </c>
      <c r="M1319" s="24"/>
      <c r="N1319" s="24"/>
      <c r="O1319" s="24"/>
      <c r="P1319" s="24" t="str">
        <f>IF(((P1317="")*AND(P1318="")),"",(P1317-P1318)*4)</f>
        <v/>
      </c>
      <c r="Q1319" s="61"/>
      <c r="R1319" s="61"/>
      <c r="S1319" s="61"/>
      <c r="T1319" s="61"/>
      <c r="U1319" s="61"/>
      <c r="V1319" s="60"/>
      <c r="W1319" s="59"/>
    </row>
    <row r="1320" spans="1:31" ht="15.75">
      <c r="A1320" s="195">
        <v>43949</v>
      </c>
      <c r="B1320" s="57" t="s">
        <v>157</v>
      </c>
      <c r="C1320" s="51" t="s">
        <v>156</v>
      </c>
      <c r="D1320">
        <v>6818.31</v>
      </c>
      <c r="E1320">
        <v>6991.88</v>
      </c>
      <c r="F1320">
        <v>7153.93</v>
      </c>
      <c r="G1320">
        <v>7144.51</v>
      </c>
      <c r="H1320">
        <v>7156.37</v>
      </c>
      <c r="I1320">
        <v>6998.39</v>
      </c>
      <c r="J1320">
        <v>7122.82</v>
      </c>
      <c r="K1320">
        <v>7087.44</v>
      </c>
      <c r="L1320">
        <v>6959.1</v>
      </c>
      <c r="M1320" s="50"/>
      <c r="N1320" s="50"/>
      <c r="O1320" s="50"/>
      <c r="P1320" s="50"/>
      <c r="Q1320" s="57">
        <f>IF((L1321=""),"",MAX(D1322:L1322))</f>
        <v>3407.8000000000011</v>
      </c>
      <c r="R1320" s="57">
        <f>IF(L1321="","",MIN(D1322:L1322))</f>
        <v>3308.92</v>
      </c>
      <c r="S1320" s="58">
        <f>IF((L1322=""),"",AVERAGE(D1322:L1322))</f>
        <v>3372.7088888888884</v>
      </c>
      <c r="T1320" s="57">
        <f>IF((L1321=""),"",((Q1320-R1320)/(Q1320+R1320))*100)</f>
        <v>1.4721471194273545</v>
      </c>
      <c r="U1320" s="56">
        <f>STDEV(D1320:L1320)</f>
        <v>114.94792190373354</v>
      </c>
      <c r="V1320" s="55" t="str">
        <f>IF(L1321="","",(IF(T1320&lt;7,IF(S1320&gt;2800,IF(S1320&lt;3800,"Pass","Fail"),"Fail"),"Fail")))</f>
        <v>Pass</v>
      </c>
      <c r="W1320" s="54">
        <v>121</v>
      </c>
      <c r="X1320" s="26" t="s">
        <v>420</v>
      </c>
      <c r="Z1320" s="53">
        <v>2800</v>
      </c>
      <c r="AA1320" s="53">
        <v>3800</v>
      </c>
      <c r="AB1320" s="53">
        <v>3100</v>
      </c>
      <c r="AC1320" s="53">
        <v>3760</v>
      </c>
      <c r="AD1320" s="52">
        <v>6</v>
      </c>
      <c r="AE1320" s="52">
        <v>6</v>
      </c>
    </row>
    <row r="1321" spans="1:31" ht="15.75">
      <c r="A1321" s="195"/>
      <c r="B1321" s="48"/>
      <c r="C1321" s="51" t="s">
        <v>155</v>
      </c>
      <c r="D1321">
        <v>5131.7700000000004</v>
      </c>
      <c r="E1321">
        <v>5291.78</v>
      </c>
      <c r="F1321">
        <v>5462.04</v>
      </c>
      <c r="G1321">
        <v>5455.73</v>
      </c>
      <c r="H1321">
        <v>5501.91</v>
      </c>
      <c r="I1321">
        <v>5332.3</v>
      </c>
      <c r="J1321">
        <v>5434.04</v>
      </c>
      <c r="K1321">
        <v>5390.79</v>
      </c>
      <c r="L1321">
        <v>5255.2</v>
      </c>
      <c r="M1321" s="50"/>
      <c r="N1321" s="50"/>
      <c r="O1321" s="50"/>
      <c r="P1321" s="50"/>
      <c r="Q1321" s="48"/>
      <c r="R1321" s="48"/>
      <c r="S1321" s="49"/>
      <c r="T1321" s="48"/>
      <c r="U1321" s="48"/>
      <c r="V1321" s="47"/>
      <c r="W1321" s="46"/>
    </row>
    <row r="1322" spans="1:31" ht="24.75" thickBot="1">
      <c r="A1322" s="195"/>
      <c r="B1322" s="42"/>
      <c r="C1322" s="45" t="s">
        <v>154</v>
      </c>
      <c r="D1322" s="44">
        <f t="shared" ref="D1322:L1322" si="435">IF(((D1320="")*AND(D1321="")),"",(D1320-D1321)*2)</f>
        <v>3373.08</v>
      </c>
      <c r="E1322" s="44">
        <f t="shared" si="435"/>
        <v>3400.2000000000007</v>
      </c>
      <c r="F1322" s="44">
        <f t="shared" si="435"/>
        <v>3383.7800000000007</v>
      </c>
      <c r="G1322" s="44">
        <f t="shared" si="435"/>
        <v>3377.5600000000013</v>
      </c>
      <c r="H1322" s="44">
        <f t="shared" si="435"/>
        <v>3308.92</v>
      </c>
      <c r="I1322" s="44">
        <f t="shared" si="435"/>
        <v>3332.1800000000003</v>
      </c>
      <c r="J1322" s="44">
        <f t="shared" si="435"/>
        <v>3377.5599999999995</v>
      </c>
      <c r="K1322" s="44">
        <f t="shared" si="435"/>
        <v>3393.2999999999993</v>
      </c>
      <c r="L1322" s="44">
        <f t="shared" si="435"/>
        <v>3407.8000000000011</v>
      </c>
      <c r="M1322" s="44"/>
      <c r="N1322" s="44"/>
      <c r="O1322" s="44"/>
      <c r="P1322" s="44"/>
      <c r="Q1322" s="42"/>
      <c r="R1322" s="42"/>
      <c r="S1322" s="43"/>
      <c r="T1322" s="42"/>
      <c r="U1322" s="42"/>
      <c r="V1322" s="41"/>
      <c r="W1322" s="40"/>
    </row>
    <row r="1323" spans="1:31" ht="15.75">
      <c r="A1323" s="195">
        <v>43957</v>
      </c>
      <c r="B1323" s="63" t="s">
        <v>158</v>
      </c>
      <c r="C1323" s="56" t="s">
        <v>156</v>
      </c>
      <c r="D1323">
        <v>1173.4000000000001</v>
      </c>
      <c r="E1323">
        <v>1203.18</v>
      </c>
      <c r="F1323">
        <v>1217.1199999999999</v>
      </c>
      <c r="G1323">
        <v>1198.1300000000001</v>
      </c>
      <c r="H1323">
        <v>1142.9000000000001</v>
      </c>
      <c r="I1323">
        <v>1168.3900000000001</v>
      </c>
      <c r="J1323">
        <v>1208.9100000000001</v>
      </c>
      <c r="K1323">
        <v>1187.3499999999999</v>
      </c>
      <c r="L1323">
        <v>1128.07</v>
      </c>
      <c r="M1323" s="62"/>
      <c r="N1323" s="62"/>
      <c r="O1323" s="62"/>
      <c r="P1323" s="62"/>
      <c r="Q1323" s="57">
        <f>IF((L1324=""),"",MAX(D1325:L1325))</f>
        <v>3084.2799999999997</v>
      </c>
      <c r="R1323" s="57">
        <f>IF(L1324="","",MIN(D1325:L1325))</f>
        <v>2708.4799999999996</v>
      </c>
      <c r="S1323" s="58">
        <f>IF((L1325=""),"",AVERAGE(D1325:L1325))</f>
        <v>2866.8666666666663</v>
      </c>
      <c r="T1323" s="57">
        <f>IF((L1324=""),"",((Q1323-R1323)/(Q1323+R1323))*100)</f>
        <v>6.4874084201658659</v>
      </c>
      <c r="U1323" s="56">
        <f>STDEV(D1323:L1323)</f>
        <v>30.370697957803149</v>
      </c>
      <c r="V1323" s="55" t="str">
        <f>IF(L1324="","",(IF(T1323&lt;12,IF(S1323&gt;2200,IF(S1323&lt;3280,"Pass","Fail"),"Fail"),"Fail")))</f>
        <v>Pass</v>
      </c>
      <c r="W1323" s="54">
        <v>1428</v>
      </c>
      <c r="X1323" s="26" t="s">
        <v>427</v>
      </c>
      <c r="Z1323" s="37">
        <v>2000</v>
      </c>
      <c r="AA1323" s="37">
        <v>3000</v>
      </c>
      <c r="AB1323" s="37">
        <v>2200</v>
      </c>
      <c r="AC1323" s="37">
        <v>3280</v>
      </c>
      <c r="AD1323" s="39">
        <v>12</v>
      </c>
      <c r="AE1323" s="39">
        <v>12</v>
      </c>
    </row>
    <row r="1324" spans="1:31" ht="15.75">
      <c r="A1324" s="195"/>
      <c r="B1324" s="48"/>
      <c r="C1324" s="51" t="s">
        <v>155</v>
      </c>
      <c r="D1324">
        <v>434</v>
      </c>
      <c r="E1324">
        <v>511</v>
      </c>
      <c r="F1324">
        <v>540</v>
      </c>
      <c r="G1324">
        <v>501</v>
      </c>
      <c r="H1324">
        <v>387</v>
      </c>
      <c r="I1324" s="233">
        <v>438</v>
      </c>
      <c r="J1324" s="233">
        <v>522</v>
      </c>
      <c r="K1324" s="233">
        <v>487</v>
      </c>
      <c r="L1324" s="233">
        <v>357</v>
      </c>
      <c r="M1324" s="50"/>
      <c r="N1324" s="50"/>
      <c r="O1324" s="50"/>
      <c r="P1324" s="50"/>
      <c r="Q1324" s="48"/>
      <c r="R1324" s="48"/>
      <c r="S1324" s="48"/>
      <c r="T1324" s="48"/>
      <c r="U1324" s="48"/>
      <c r="V1324" s="47"/>
      <c r="W1324" s="46"/>
    </row>
    <row r="1325" spans="1:31" ht="24.75" thickBot="1">
      <c r="A1325" s="195"/>
      <c r="B1325" s="61"/>
      <c r="C1325" s="51" t="s">
        <v>154</v>
      </c>
      <c r="D1325" s="24">
        <f t="shared" ref="D1325:L1325" si="436">IF(((D1323="")*AND(D1324="")),"",(D1323-D1324)*4)</f>
        <v>2957.6000000000004</v>
      </c>
      <c r="E1325" s="24">
        <f t="shared" si="436"/>
        <v>2768.7200000000003</v>
      </c>
      <c r="F1325" s="24">
        <f t="shared" si="436"/>
        <v>2708.4799999999996</v>
      </c>
      <c r="G1325" s="24">
        <f t="shared" si="436"/>
        <v>2788.5200000000004</v>
      </c>
      <c r="H1325" s="24">
        <f t="shared" si="436"/>
        <v>3023.6000000000004</v>
      </c>
      <c r="I1325" s="24">
        <f t="shared" si="436"/>
        <v>2921.5600000000004</v>
      </c>
      <c r="J1325" s="24">
        <f t="shared" si="436"/>
        <v>2747.6400000000003</v>
      </c>
      <c r="K1325" s="24">
        <f t="shared" si="436"/>
        <v>2801.3999999999996</v>
      </c>
      <c r="L1325" s="24">
        <f t="shared" si="436"/>
        <v>3084.2799999999997</v>
      </c>
      <c r="M1325" s="24"/>
      <c r="N1325" s="24"/>
      <c r="O1325" s="24"/>
      <c r="P1325" s="24" t="str">
        <f>IF(((P1323="")*AND(P1324="")),"",(P1323-P1324)*4)</f>
        <v/>
      </c>
      <c r="Q1325" s="61"/>
      <c r="R1325" s="61"/>
      <c r="S1325" s="61"/>
      <c r="T1325" s="61"/>
      <c r="U1325" s="61"/>
      <c r="V1325" s="60"/>
      <c r="W1325" s="59"/>
    </row>
    <row r="1326" spans="1:31" ht="15.75">
      <c r="A1326" s="195">
        <v>43957</v>
      </c>
      <c r="B1326" s="57" t="s">
        <v>157</v>
      </c>
      <c r="C1326" s="51" t="s">
        <v>156</v>
      </c>
      <c r="D1326">
        <v>5131.7700000000004</v>
      </c>
      <c r="E1326">
        <v>5291.78</v>
      </c>
      <c r="F1326">
        <v>5462.04</v>
      </c>
      <c r="G1326">
        <v>5455.73</v>
      </c>
      <c r="H1326">
        <v>5501.91</v>
      </c>
      <c r="I1326">
        <v>5332.3</v>
      </c>
      <c r="J1326">
        <v>5434.04</v>
      </c>
      <c r="K1326">
        <v>5390.79</v>
      </c>
      <c r="L1326">
        <v>5255.2</v>
      </c>
      <c r="M1326" s="50"/>
      <c r="N1326" s="50"/>
      <c r="O1326" s="50"/>
      <c r="P1326" s="50"/>
      <c r="Q1326" s="57">
        <f>IF((L1327=""),"",MAX(D1328:L1328))</f>
        <v>3430.08</v>
      </c>
      <c r="R1326" s="57">
        <f>IF(L1327="","",MIN(D1328:L1328))</f>
        <v>3206.6000000000004</v>
      </c>
      <c r="S1326" s="58">
        <f>IF((L1328=""),"",AVERAGE(D1328:L1328))</f>
        <v>3369.0133333333338</v>
      </c>
      <c r="T1326" s="57">
        <f>IF((L1327=""),"",((Q1326-R1326)/(Q1326+R1326))*100)</f>
        <v>3.3673463237642851</v>
      </c>
      <c r="U1326" s="56">
        <f>STDEV(D1326:L1326)</f>
        <v>119.69289770534196</v>
      </c>
      <c r="V1326" s="55" t="str">
        <f>IF(L1327="","",(IF(T1326&lt;7,IF(S1326&gt;2800,IF(S1326&lt;3800,"Pass","Fail"),"Fail"),"Fail")))</f>
        <v>Pass</v>
      </c>
      <c r="W1326" s="54">
        <v>1428</v>
      </c>
      <c r="X1326" s="26" t="s">
        <v>427</v>
      </c>
      <c r="Z1326" s="53">
        <v>2800</v>
      </c>
      <c r="AA1326" s="53">
        <v>3800</v>
      </c>
      <c r="AB1326" s="53">
        <v>3100</v>
      </c>
      <c r="AC1326" s="53">
        <v>3760</v>
      </c>
      <c r="AD1326" s="52">
        <v>6</v>
      </c>
      <c r="AE1326" s="52">
        <v>6</v>
      </c>
    </row>
    <row r="1327" spans="1:31" ht="15.75">
      <c r="A1327" s="195"/>
      <c r="B1327" s="48"/>
      <c r="C1327" s="51" t="s">
        <v>155</v>
      </c>
      <c r="D1327">
        <v>3443</v>
      </c>
      <c r="E1327">
        <v>3594</v>
      </c>
      <c r="F1327">
        <v>3747</v>
      </c>
      <c r="G1327">
        <v>3746</v>
      </c>
      <c r="H1327" s="233">
        <v>3829</v>
      </c>
      <c r="I1327" s="233">
        <v>3729</v>
      </c>
      <c r="J1327" s="233">
        <v>3740</v>
      </c>
      <c r="K1327" s="233">
        <v>3687</v>
      </c>
      <c r="L1327" s="233">
        <v>3580</v>
      </c>
      <c r="M1327" s="50"/>
      <c r="N1327" s="50"/>
      <c r="O1327" s="50"/>
      <c r="P1327" s="50"/>
      <c r="Q1327" s="48"/>
      <c r="R1327" s="48"/>
      <c r="S1327" s="49"/>
      <c r="T1327" s="48"/>
      <c r="U1327" s="48"/>
      <c r="V1327" s="47"/>
      <c r="W1327" s="46"/>
    </row>
    <row r="1328" spans="1:31" ht="24.75" thickBot="1">
      <c r="A1328" s="195"/>
      <c r="B1328" s="42"/>
      <c r="C1328" s="45" t="s">
        <v>154</v>
      </c>
      <c r="D1328" s="44">
        <f t="shared" ref="D1328:L1328" si="437">IF(((D1326="")*AND(D1327="")),"",(D1326-D1327)*2)</f>
        <v>3377.5400000000009</v>
      </c>
      <c r="E1328" s="44">
        <f t="shared" si="437"/>
        <v>3395.5599999999995</v>
      </c>
      <c r="F1328" s="44">
        <f t="shared" si="437"/>
        <v>3430.08</v>
      </c>
      <c r="G1328" s="44">
        <f t="shared" si="437"/>
        <v>3419.4599999999991</v>
      </c>
      <c r="H1328" s="44">
        <f t="shared" si="437"/>
        <v>3345.8199999999997</v>
      </c>
      <c r="I1328" s="44">
        <f t="shared" si="437"/>
        <v>3206.6000000000004</v>
      </c>
      <c r="J1328" s="44">
        <f t="shared" si="437"/>
        <v>3388.08</v>
      </c>
      <c r="K1328" s="44">
        <f t="shared" si="437"/>
        <v>3407.58</v>
      </c>
      <c r="L1328" s="44">
        <f t="shared" si="437"/>
        <v>3350.3999999999996</v>
      </c>
      <c r="M1328" s="44"/>
      <c r="N1328" s="44"/>
      <c r="O1328" s="44"/>
      <c r="P1328" s="44"/>
      <c r="Q1328" s="42"/>
      <c r="R1328" s="42"/>
      <c r="S1328" s="43"/>
      <c r="T1328" s="42"/>
      <c r="U1328" s="42"/>
      <c r="V1328" s="41"/>
      <c r="W1328" s="40"/>
    </row>
    <row r="1329" spans="1:31" ht="15.75">
      <c r="A1329" s="195">
        <v>43963</v>
      </c>
      <c r="B1329" s="63" t="s">
        <v>158</v>
      </c>
      <c r="C1329" s="56" t="s">
        <v>156</v>
      </c>
      <c r="D1329">
        <v>2043.9</v>
      </c>
      <c r="E1329">
        <v>2030.87</v>
      </c>
      <c r="F1329">
        <v>2032.22</v>
      </c>
      <c r="G1329">
        <v>2034.79</v>
      </c>
      <c r="H1329">
        <v>2053.73</v>
      </c>
      <c r="I1329">
        <v>2058.5300000000002</v>
      </c>
      <c r="J1329">
        <v>2036.17</v>
      </c>
      <c r="K1329">
        <v>2070.71</v>
      </c>
      <c r="L1329">
        <v>2041.87</v>
      </c>
      <c r="M1329" s="62"/>
      <c r="N1329" s="62"/>
      <c r="O1329" s="62"/>
      <c r="P1329" s="62"/>
      <c r="Q1329" s="57">
        <f>IF((L1330=""),"",MAX(D1331:L1331))</f>
        <v>3534.08</v>
      </c>
      <c r="R1329" s="57">
        <f>IF(L1330="","",MIN(D1331:L1331))</f>
        <v>3216.3599999999997</v>
      </c>
      <c r="S1329" s="58">
        <f>IF((L1331=""),"",AVERAGE(D1331:L1331))</f>
        <v>3381.2088888888893</v>
      </c>
      <c r="T1329" s="57">
        <f>IF((L1330=""),"",((Q1329-R1329)/(Q1329+R1329))*100)</f>
        <v>4.7066561587096585</v>
      </c>
      <c r="U1329" s="56">
        <f>STDEV(D1329:L1329)</f>
        <v>13.582803568366177</v>
      </c>
      <c r="V1329" s="55" t="str">
        <f>IF(L1330="","",(IF(T1329&lt;12,IF(S1329&gt;2200,IF(S1329&lt;3280,"Pass","Fail"),"Fail"),"Fail")))</f>
        <v>Fail</v>
      </c>
      <c r="W1329" s="54">
        <v>121</v>
      </c>
      <c r="X1329" s="26" t="s">
        <v>428</v>
      </c>
      <c r="Z1329" s="37">
        <v>2000</v>
      </c>
      <c r="AA1329" s="37">
        <v>3000</v>
      </c>
      <c r="AB1329" s="37">
        <v>2200</v>
      </c>
      <c r="AC1329" s="37">
        <v>3280</v>
      </c>
      <c r="AD1329" s="39">
        <v>12</v>
      </c>
      <c r="AE1329" s="39">
        <v>12</v>
      </c>
    </row>
    <row r="1330" spans="1:31" ht="15.75">
      <c r="A1330" s="195"/>
      <c r="B1330" s="48"/>
      <c r="C1330" s="51" t="s">
        <v>155</v>
      </c>
      <c r="D1330">
        <v>1202.95</v>
      </c>
      <c r="E1330">
        <v>1208.77</v>
      </c>
      <c r="F1330">
        <v>1228.1300000000001</v>
      </c>
      <c r="G1330">
        <v>1203.67</v>
      </c>
      <c r="H1330">
        <v>1181.3599999999999</v>
      </c>
      <c r="I1330">
        <v>1201.07</v>
      </c>
      <c r="J1330">
        <v>1216.3699999999999</v>
      </c>
      <c r="K1330">
        <v>1194.4000000000001</v>
      </c>
      <c r="L1330">
        <v>1158.3499999999999</v>
      </c>
      <c r="M1330" s="50"/>
      <c r="N1330" s="50"/>
      <c r="O1330" s="50"/>
      <c r="P1330" s="50"/>
      <c r="Q1330" s="48"/>
      <c r="R1330" s="48"/>
      <c r="S1330" s="48"/>
      <c r="T1330" s="48"/>
      <c r="U1330" s="48"/>
      <c r="V1330" s="47"/>
      <c r="W1330" s="46"/>
    </row>
    <row r="1331" spans="1:31" ht="24.75" thickBot="1">
      <c r="A1331" s="195"/>
      <c r="B1331" s="61"/>
      <c r="C1331" s="51" t="s">
        <v>154</v>
      </c>
      <c r="D1331" s="24">
        <f t="shared" ref="D1331:L1331" si="438">IF(((D1329="")*AND(D1330="")),"",(D1329-D1330)*4)</f>
        <v>3363.8</v>
      </c>
      <c r="E1331" s="24">
        <f t="shared" si="438"/>
        <v>3288.3999999999996</v>
      </c>
      <c r="F1331" s="24">
        <f t="shared" si="438"/>
        <v>3216.3599999999997</v>
      </c>
      <c r="G1331" s="24">
        <f t="shared" si="438"/>
        <v>3324.4799999999996</v>
      </c>
      <c r="H1331" s="24">
        <f t="shared" si="438"/>
        <v>3489.4800000000005</v>
      </c>
      <c r="I1331" s="24">
        <f t="shared" si="438"/>
        <v>3429.8400000000011</v>
      </c>
      <c r="J1331" s="24">
        <f t="shared" si="438"/>
        <v>3279.2000000000007</v>
      </c>
      <c r="K1331" s="24">
        <f t="shared" si="438"/>
        <v>3505.24</v>
      </c>
      <c r="L1331" s="24">
        <f t="shared" si="438"/>
        <v>3534.08</v>
      </c>
      <c r="M1331" s="24"/>
      <c r="N1331" s="24"/>
      <c r="O1331" s="24"/>
      <c r="P1331" s="24" t="str">
        <f>IF(((P1329="")*AND(P1330="")),"",(P1329-P1330)*4)</f>
        <v/>
      </c>
      <c r="Q1331" s="61"/>
      <c r="R1331" s="61"/>
      <c r="S1331" s="61"/>
      <c r="T1331" s="61"/>
      <c r="U1331" s="61"/>
      <c r="V1331" s="60"/>
      <c r="W1331" s="59"/>
    </row>
    <row r="1332" spans="1:31" ht="15.75">
      <c r="A1332" s="195">
        <v>43963</v>
      </c>
      <c r="B1332" s="57" t="s">
        <v>157</v>
      </c>
      <c r="C1332" s="51" t="s">
        <v>156</v>
      </c>
      <c r="D1332">
        <v>3442.93</v>
      </c>
      <c r="E1332">
        <v>3593.01</v>
      </c>
      <c r="F1332">
        <v>3752.83</v>
      </c>
      <c r="G1332">
        <v>3751.02</v>
      </c>
      <c r="H1332">
        <v>3836</v>
      </c>
      <c r="I1332">
        <v>3663.24</v>
      </c>
      <c r="J1332">
        <v>3730.22</v>
      </c>
      <c r="K1332">
        <v>3689.08</v>
      </c>
      <c r="L1332">
        <v>3578.16</v>
      </c>
      <c r="M1332" s="50"/>
      <c r="N1332" s="50"/>
      <c r="O1332" s="50"/>
      <c r="P1332" s="50"/>
      <c r="Q1332" s="57">
        <f>IF((L1333=""),"",MAX(D1334:L1334))</f>
        <v>3450.1200000000003</v>
      </c>
      <c r="R1332" s="57">
        <f>IF(L1333="","",MIN(D1334:L1334))</f>
        <v>3348.38</v>
      </c>
      <c r="S1332" s="58">
        <f>IF((L1334=""),"",AVERAGE(D1334:L1334))</f>
        <v>3416.4466666666667</v>
      </c>
      <c r="T1332" s="57">
        <f>IF((L1333=""),"",((Q1332-R1332)/(Q1332+R1332))*100)</f>
        <v>1.496506582334342</v>
      </c>
      <c r="U1332" s="56">
        <f>STDEV(D1332:L1332)</f>
        <v>117.75790434661316</v>
      </c>
      <c r="V1332" s="55" t="str">
        <f>IF(L1333="","",(IF(T1332&lt;7,IF(S1332&gt;2800,IF(S1332&lt;3800,"Pass","Fail"),"Fail"),"Fail")))</f>
        <v>Pass</v>
      </c>
      <c r="W1332" s="54">
        <v>121</v>
      </c>
      <c r="X1332" s="26" t="s">
        <v>428</v>
      </c>
      <c r="Z1332" s="53">
        <v>2800</v>
      </c>
      <c r="AA1332" s="53">
        <v>3800</v>
      </c>
      <c r="AB1332" s="53">
        <v>3100</v>
      </c>
      <c r="AC1332" s="53">
        <v>3760</v>
      </c>
      <c r="AD1332" s="52">
        <v>6</v>
      </c>
      <c r="AE1332" s="52">
        <v>6</v>
      </c>
    </row>
    <row r="1333" spans="1:31" ht="15.75">
      <c r="A1333" s="195"/>
      <c r="B1333" s="48"/>
      <c r="C1333" s="51" t="s">
        <v>155</v>
      </c>
      <c r="D1333">
        <v>1727.76</v>
      </c>
      <c r="E1333">
        <v>1867.95</v>
      </c>
      <c r="F1333">
        <v>2033.74</v>
      </c>
      <c r="G1333">
        <v>2036.65</v>
      </c>
      <c r="H1333">
        <v>2161.81</v>
      </c>
      <c r="I1333">
        <v>1979.56</v>
      </c>
      <c r="J1333">
        <v>2016.61</v>
      </c>
      <c r="K1333">
        <v>1971.76</v>
      </c>
      <c r="L1333">
        <v>1866.64</v>
      </c>
      <c r="M1333" s="50"/>
      <c r="N1333" s="50"/>
      <c r="O1333" s="50"/>
      <c r="P1333" s="50"/>
      <c r="Q1333" s="48"/>
      <c r="R1333" s="48"/>
      <c r="S1333" s="49"/>
      <c r="T1333" s="48"/>
      <c r="U1333" s="48"/>
      <c r="V1333" s="47"/>
      <c r="W1333" s="46"/>
    </row>
    <row r="1334" spans="1:31" ht="24.75" thickBot="1">
      <c r="A1334" s="195"/>
      <c r="B1334" s="42"/>
      <c r="C1334" s="45" t="s">
        <v>154</v>
      </c>
      <c r="D1334" s="44">
        <f t="shared" ref="D1334:L1334" si="439">IF(((D1332="")*AND(D1333="")),"",(D1332-D1333)*2)</f>
        <v>3430.3399999999997</v>
      </c>
      <c r="E1334" s="44">
        <f t="shared" si="439"/>
        <v>3450.1200000000003</v>
      </c>
      <c r="F1334" s="44">
        <f t="shared" si="439"/>
        <v>3438.18</v>
      </c>
      <c r="G1334" s="44">
        <f t="shared" si="439"/>
        <v>3428.74</v>
      </c>
      <c r="H1334" s="44">
        <f t="shared" si="439"/>
        <v>3348.38</v>
      </c>
      <c r="I1334" s="44">
        <f t="shared" si="439"/>
        <v>3367.3599999999997</v>
      </c>
      <c r="J1334" s="44">
        <f t="shared" si="439"/>
        <v>3427.22</v>
      </c>
      <c r="K1334" s="44">
        <f t="shared" si="439"/>
        <v>3434.64</v>
      </c>
      <c r="L1334" s="44">
        <f t="shared" si="439"/>
        <v>3423.0399999999995</v>
      </c>
      <c r="M1334" s="44"/>
      <c r="N1334" s="44"/>
      <c r="O1334" s="44"/>
      <c r="P1334" s="44"/>
      <c r="Q1334" s="42"/>
      <c r="R1334" s="42"/>
      <c r="S1334" s="43"/>
      <c r="T1334" s="42"/>
      <c r="U1334" s="42"/>
      <c r="V1334" s="41"/>
      <c r="W1334" s="40"/>
    </row>
    <row r="1335" spans="1:31" ht="15.75">
      <c r="A1335" s="195">
        <v>43963</v>
      </c>
      <c r="B1335" s="63" t="s">
        <v>158</v>
      </c>
      <c r="C1335" s="56" t="s">
        <v>156</v>
      </c>
      <c r="D1335">
        <v>1202.95</v>
      </c>
      <c r="E1335">
        <v>1208.77</v>
      </c>
      <c r="F1335">
        <v>1228.1300000000001</v>
      </c>
      <c r="G1335">
        <v>1203.67</v>
      </c>
      <c r="H1335">
        <v>1181.3599999999999</v>
      </c>
      <c r="I1335">
        <v>1201.07</v>
      </c>
      <c r="J1335">
        <v>1216.3699999999999</v>
      </c>
      <c r="K1335">
        <v>1194.4000000000001</v>
      </c>
      <c r="L1335">
        <v>1158.3499999999999</v>
      </c>
      <c r="M1335" s="62"/>
      <c r="N1335" s="62"/>
      <c r="O1335" s="62"/>
      <c r="P1335" s="62"/>
      <c r="Q1335" s="57">
        <f>IF((L1336=""),"",MAX(D1337:L1337))</f>
        <v>3191.2799999999997</v>
      </c>
      <c r="R1335" s="57">
        <f>IF(L1336="","",MIN(D1337:L1337))</f>
        <v>2627.8800000000006</v>
      </c>
      <c r="S1335" s="58">
        <f>IF((L1337=""),"",AVERAGE(D1337:L1337))</f>
        <v>2835.8577777777773</v>
      </c>
      <c r="T1335" s="57">
        <f>IF((L1336=""),"",((Q1335-R1335)/(Q1335+R1335))*100)</f>
        <v>9.6818097457364853</v>
      </c>
      <c r="U1335" s="56">
        <f>STDEV(D1335:L1335)</f>
        <v>20.218600828064851</v>
      </c>
      <c r="V1335" s="55" t="str">
        <f>IF(L1336="","",(IF(T1335&lt;12,IF(S1335&gt;2200,IF(S1335&lt;3280,"Pass","Fail"),"Fail"),"Fail")))</f>
        <v>Pass</v>
      </c>
      <c r="W1335" s="54">
        <v>121</v>
      </c>
      <c r="X1335" s="26" t="s">
        <v>429</v>
      </c>
      <c r="Z1335" s="37">
        <v>2000</v>
      </c>
      <c r="AA1335" s="37">
        <v>3000</v>
      </c>
      <c r="AB1335" s="37">
        <v>2200</v>
      </c>
      <c r="AC1335" s="37">
        <v>3280</v>
      </c>
      <c r="AD1335" s="39">
        <v>12</v>
      </c>
      <c r="AE1335" s="39">
        <v>12</v>
      </c>
    </row>
    <row r="1336" spans="1:31" ht="15.75">
      <c r="A1336" s="195"/>
      <c r="B1336" s="48"/>
      <c r="C1336" s="51" t="s">
        <v>155</v>
      </c>
      <c r="D1336">
        <v>476.98</v>
      </c>
      <c r="E1336">
        <v>530.69000000000005</v>
      </c>
      <c r="F1336">
        <v>571.16</v>
      </c>
      <c r="G1336">
        <v>525.69000000000005</v>
      </c>
      <c r="H1336">
        <v>425.94</v>
      </c>
      <c r="I1336">
        <v>472.28</v>
      </c>
      <c r="J1336">
        <v>545.6</v>
      </c>
      <c r="K1336">
        <v>505.52</v>
      </c>
      <c r="L1336">
        <v>360.53</v>
      </c>
      <c r="M1336" s="50"/>
      <c r="N1336" s="50"/>
      <c r="O1336" s="50"/>
      <c r="P1336" s="50"/>
      <c r="Q1336" s="48"/>
      <c r="R1336" s="48"/>
      <c r="S1336" s="48"/>
      <c r="T1336" s="48"/>
      <c r="U1336" s="48"/>
      <c r="V1336" s="47"/>
      <c r="W1336" s="46"/>
    </row>
    <row r="1337" spans="1:31" ht="24.75" thickBot="1">
      <c r="A1337" s="195"/>
      <c r="B1337" s="61"/>
      <c r="C1337" s="51" t="s">
        <v>154</v>
      </c>
      <c r="D1337" s="24">
        <f t="shared" ref="D1337:L1337" si="440">IF(((D1335="")*AND(D1336="")),"",(D1335-D1336)*4)</f>
        <v>2903.88</v>
      </c>
      <c r="E1337" s="24">
        <f t="shared" si="440"/>
        <v>2712.3199999999997</v>
      </c>
      <c r="F1337" s="24">
        <f t="shared" si="440"/>
        <v>2627.8800000000006</v>
      </c>
      <c r="G1337" s="24">
        <f t="shared" si="440"/>
        <v>2711.92</v>
      </c>
      <c r="H1337" s="24">
        <f t="shared" si="440"/>
        <v>3021.6799999999994</v>
      </c>
      <c r="I1337" s="24">
        <f t="shared" si="440"/>
        <v>2915.16</v>
      </c>
      <c r="J1337" s="24">
        <f t="shared" si="440"/>
        <v>2683.0799999999995</v>
      </c>
      <c r="K1337" s="24">
        <f t="shared" si="440"/>
        <v>2755.5200000000004</v>
      </c>
      <c r="L1337" s="24">
        <f t="shared" si="440"/>
        <v>3191.2799999999997</v>
      </c>
      <c r="M1337" s="24"/>
      <c r="N1337" s="24"/>
      <c r="O1337" s="24"/>
      <c r="P1337" s="24" t="str">
        <f>IF(((P1335="")*AND(P1336="")),"",(P1335-P1336)*4)</f>
        <v/>
      </c>
      <c r="Q1337" s="61"/>
      <c r="R1337" s="61"/>
      <c r="S1337" s="61"/>
      <c r="T1337" s="61"/>
      <c r="U1337" s="61"/>
      <c r="V1337" s="60"/>
      <c r="W1337" s="59"/>
    </row>
    <row r="1338" spans="1:31" ht="15.75">
      <c r="A1338" s="195">
        <v>43969</v>
      </c>
      <c r="B1338" s="57" t="s">
        <v>157</v>
      </c>
      <c r="C1338" s="51" t="s">
        <v>156</v>
      </c>
      <c r="D1338" s="266">
        <v>6776.93</v>
      </c>
      <c r="E1338" s="266">
        <v>6909.11</v>
      </c>
      <c r="F1338" s="266">
        <v>7056.38</v>
      </c>
      <c r="G1338" s="266">
        <v>7053.61</v>
      </c>
      <c r="H1338" s="266">
        <v>7095.9</v>
      </c>
      <c r="I1338" s="266">
        <v>6951.92</v>
      </c>
      <c r="J1338" s="266">
        <v>7036.38</v>
      </c>
      <c r="K1338" s="266">
        <v>6997.35</v>
      </c>
      <c r="L1338" s="266">
        <v>6915.86</v>
      </c>
      <c r="M1338" s="50"/>
      <c r="N1338" s="50"/>
      <c r="O1338" s="50"/>
      <c r="P1338" s="50"/>
      <c r="Q1338" s="57">
        <f>IF((L1339=""),"",MAX(D1340:L1340))</f>
        <v>3506.84</v>
      </c>
      <c r="R1338" s="57">
        <f>IF(L1339="","",MIN(D1340:L1340))</f>
        <v>3431.58</v>
      </c>
      <c r="S1338" s="58">
        <f>IF((L1340=""),"",AVERAGE(D1340:L1340))</f>
        <v>3483.1599999999994</v>
      </c>
      <c r="T1338" s="57">
        <f>IF((L1339=""),"",((Q1338-R1338)/(Q1338+R1338))*100)</f>
        <v>1.0846849859189875</v>
      </c>
      <c r="U1338" s="56">
        <f>STDEV(D1338:L1338)</f>
        <v>99.531235605355604</v>
      </c>
      <c r="V1338" s="55" t="str">
        <f>IF(L1339="","",(IF(T1338&lt;7,IF(S1338&gt;2800,IF(S1338&lt;3800,"Pass","Fail"),"Fail"),"Fail")))</f>
        <v>Pass</v>
      </c>
      <c r="W1338" s="54">
        <v>1428</v>
      </c>
      <c r="X1338" s="26" t="s">
        <v>432</v>
      </c>
      <c r="Z1338" s="53">
        <v>2800</v>
      </c>
      <c r="AA1338" s="53">
        <v>3800</v>
      </c>
      <c r="AB1338" s="53">
        <v>3100</v>
      </c>
      <c r="AC1338" s="53">
        <v>3760</v>
      </c>
      <c r="AD1338" s="52">
        <v>6</v>
      </c>
      <c r="AE1338" s="52">
        <v>6</v>
      </c>
    </row>
    <row r="1339" spans="1:31" ht="15.75">
      <c r="A1339" s="195"/>
      <c r="B1339" s="48"/>
      <c r="C1339" s="51" t="s">
        <v>155</v>
      </c>
      <c r="D1339" s="266">
        <v>5030.9799999999996</v>
      </c>
      <c r="E1339" s="266">
        <v>5155.6899999999996</v>
      </c>
      <c r="F1339" s="266">
        <v>5312.03</v>
      </c>
      <c r="G1339" s="266">
        <v>5310.55</v>
      </c>
      <c r="H1339" s="266">
        <v>5380.11</v>
      </c>
      <c r="I1339" s="266">
        <v>5223.09</v>
      </c>
      <c r="J1339" s="266">
        <v>5291.5</v>
      </c>
      <c r="K1339" s="266">
        <v>5251.1</v>
      </c>
      <c r="L1339" s="266">
        <v>5164.17</v>
      </c>
      <c r="M1339" s="50"/>
      <c r="N1339" s="50"/>
      <c r="O1339" s="50"/>
      <c r="P1339" s="50"/>
      <c r="Q1339" s="48"/>
      <c r="R1339" s="48"/>
      <c r="S1339" s="49"/>
      <c r="T1339" s="48"/>
      <c r="U1339" s="48"/>
      <c r="V1339" s="47"/>
      <c r="W1339" s="46"/>
    </row>
    <row r="1340" spans="1:31" ht="24.75" thickBot="1">
      <c r="A1340" s="195"/>
      <c r="B1340" s="42"/>
      <c r="C1340" s="45" t="s">
        <v>154</v>
      </c>
      <c r="D1340" s="44">
        <f t="shared" ref="D1340:L1340" si="441">IF(((D1338="")*AND(D1339="")),"",(D1338-D1339)*2)</f>
        <v>3491.9000000000015</v>
      </c>
      <c r="E1340" s="44">
        <f t="shared" si="441"/>
        <v>3506.84</v>
      </c>
      <c r="F1340" s="44">
        <f t="shared" si="441"/>
        <v>3488.7000000000007</v>
      </c>
      <c r="G1340" s="44">
        <f t="shared" si="441"/>
        <v>3486.119999999999</v>
      </c>
      <c r="H1340" s="44">
        <f t="shared" si="441"/>
        <v>3431.58</v>
      </c>
      <c r="I1340" s="44">
        <f t="shared" si="441"/>
        <v>3457.66</v>
      </c>
      <c r="J1340" s="44">
        <f t="shared" si="441"/>
        <v>3489.76</v>
      </c>
      <c r="K1340" s="44">
        <f t="shared" si="441"/>
        <v>3492.5</v>
      </c>
      <c r="L1340" s="44">
        <f t="shared" si="441"/>
        <v>3503.3799999999992</v>
      </c>
      <c r="M1340" s="44"/>
      <c r="N1340" s="44"/>
      <c r="O1340" s="44"/>
      <c r="P1340" s="44"/>
      <c r="Q1340" s="42"/>
      <c r="R1340" s="42"/>
      <c r="S1340" s="43"/>
      <c r="T1340" s="42"/>
      <c r="U1340" s="42"/>
      <c r="V1340" s="41"/>
      <c r="W1340" s="40"/>
    </row>
    <row r="1341" spans="1:31" ht="15.75">
      <c r="A1341" s="195">
        <v>43969</v>
      </c>
      <c r="B1341" s="63" t="s">
        <v>158</v>
      </c>
      <c r="C1341" s="56" t="s">
        <v>156</v>
      </c>
      <c r="D1341" s="266">
        <v>1912.81</v>
      </c>
      <c r="E1341" s="266">
        <v>1911.86</v>
      </c>
      <c r="F1341" s="266">
        <v>1903.26</v>
      </c>
      <c r="G1341" s="266">
        <v>1913.91</v>
      </c>
      <c r="H1341" s="266">
        <v>1915.65</v>
      </c>
      <c r="I1341" s="266">
        <v>1919.49</v>
      </c>
      <c r="J1341" s="266">
        <v>1909.73</v>
      </c>
      <c r="K1341" s="266">
        <v>1977.98</v>
      </c>
      <c r="L1341" s="266">
        <v>1917.02</v>
      </c>
      <c r="M1341" s="62"/>
      <c r="N1341" s="62"/>
      <c r="O1341" s="62"/>
      <c r="P1341" s="62"/>
      <c r="Q1341" s="57">
        <f>IF((L1342=""),"",MAX(D1343:L1343))</f>
        <v>3129.12</v>
      </c>
      <c r="R1341" s="57">
        <f>IF(L1342="","",MIN(D1343:L1343))</f>
        <v>2725.5199999999995</v>
      </c>
      <c r="S1341" s="58">
        <f>IF((L1343=""),"",AVERAGE(D1343:L1343))</f>
        <v>2899.3022222222221</v>
      </c>
      <c r="T1341" s="57">
        <f>IF((L1342=""),"",((Q1341-R1341)/(Q1341+R1341))*100)</f>
        <v>6.8936774934069449</v>
      </c>
      <c r="U1341" s="56">
        <f>STDEV(D1341:L1341)</f>
        <v>22.164619329030241</v>
      </c>
      <c r="V1341" s="55" t="str">
        <f>IF(L1342="","",(IF(T1341&lt;12,IF(S1341&gt;2200,IF(S1341&lt;3280,"Pass","Fail"),"Fail"),"Fail")))</f>
        <v>Pass</v>
      </c>
      <c r="W1341" s="54">
        <v>1428</v>
      </c>
      <c r="X1341" s="26" t="s">
        <v>432</v>
      </c>
      <c r="Z1341" s="37">
        <v>2000</v>
      </c>
      <c r="AA1341" s="37">
        <v>3000</v>
      </c>
      <c r="AB1341" s="37">
        <v>2200</v>
      </c>
      <c r="AC1341" s="37">
        <v>3280</v>
      </c>
      <c r="AD1341" s="39">
        <v>12</v>
      </c>
      <c r="AE1341" s="39">
        <v>12</v>
      </c>
    </row>
    <row r="1342" spans="1:31" ht="15.75">
      <c r="A1342" s="195"/>
      <c r="B1342" s="48"/>
      <c r="C1342" s="51" t="s">
        <v>155</v>
      </c>
      <c r="D1342" s="266">
        <v>1190.24</v>
      </c>
      <c r="E1342" s="266">
        <v>1213.29</v>
      </c>
      <c r="F1342" s="266">
        <v>1221.8800000000001</v>
      </c>
      <c r="G1342" s="266">
        <v>1206.6400000000001</v>
      </c>
      <c r="H1342" s="266">
        <v>1168.23</v>
      </c>
      <c r="I1342" s="266">
        <v>1191.9100000000001</v>
      </c>
      <c r="J1342" s="266">
        <v>1219.1199999999999</v>
      </c>
      <c r="K1342" s="266">
        <v>1195.7</v>
      </c>
      <c r="L1342" s="266">
        <v>1151.27</v>
      </c>
      <c r="M1342" s="50"/>
      <c r="N1342" s="50"/>
      <c r="O1342" s="50"/>
      <c r="P1342" s="50"/>
      <c r="Q1342" s="48"/>
      <c r="R1342" s="48"/>
      <c r="S1342" s="48"/>
      <c r="T1342" s="48"/>
      <c r="U1342" s="48"/>
      <c r="V1342" s="47"/>
      <c r="W1342" s="46"/>
    </row>
    <row r="1343" spans="1:31" ht="24.75" thickBot="1">
      <c r="A1343" s="195"/>
      <c r="B1343" s="61"/>
      <c r="C1343" s="51" t="s">
        <v>154</v>
      </c>
      <c r="D1343" s="24">
        <f t="shared" ref="D1343:L1343" si="442">IF(((D1341="")*AND(D1342="")),"",(D1341-D1342)*4)</f>
        <v>2890.2799999999997</v>
      </c>
      <c r="E1343" s="24">
        <f t="shared" si="442"/>
        <v>2794.2799999999997</v>
      </c>
      <c r="F1343" s="24">
        <f t="shared" si="442"/>
        <v>2725.5199999999995</v>
      </c>
      <c r="G1343" s="24">
        <f t="shared" si="442"/>
        <v>2829.08</v>
      </c>
      <c r="H1343" s="24">
        <f t="shared" si="442"/>
        <v>2989.6800000000003</v>
      </c>
      <c r="I1343" s="24">
        <f t="shared" si="442"/>
        <v>2910.3199999999997</v>
      </c>
      <c r="J1343" s="24">
        <f t="shared" si="442"/>
        <v>2762.4400000000005</v>
      </c>
      <c r="K1343" s="24">
        <f t="shared" si="442"/>
        <v>3129.12</v>
      </c>
      <c r="L1343" s="24">
        <f t="shared" si="442"/>
        <v>3063</v>
      </c>
      <c r="M1343" s="24"/>
      <c r="N1343" s="24"/>
      <c r="O1343" s="24"/>
      <c r="P1343" s="24" t="str">
        <f>IF(((P1341="")*AND(P1342="")),"",(P1341-P1342)*4)</f>
        <v/>
      </c>
      <c r="Q1343" s="61"/>
      <c r="R1343" s="61"/>
      <c r="S1343" s="61"/>
      <c r="T1343" s="61"/>
      <c r="U1343" s="61"/>
      <c r="V1343" s="60"/>
      <c r="W1343" s="59"/>
    </row>
    <row r="1344" spans="1:31" ht="15.75">
      <c r="A1344" s="195">
        <v>43973</v>
      </c>
      <c r="B1344" s="63" t="s">
        <v>158</v>
      </c>
      <c r="C1344" s="63" t="s">
        <v>156</v>
      </c>
      <c r="D1344">
        <v>1192.6400000000001</v>
      </c>
      <c r="E1344">
        <v>1217.78</v>
      </c>
      <c r="F1344">
        <v>1226.2</v>
      </c>
      <c r="G1344">
        <v>1209.3</v>
      </c>
      <c r="H1344">
        <v>1166.8800000000001</v>
      </c>
      <c r="I1344">
        <v>1195.1500000000001</v>
      </c>
      <c r="J1344">
        <v>1224.29</v>
      </c>
      <c r="K1344">
        <v>1199.82</v>
      </c>
      <c r="L1344">
        <v>1149.07</v>
      </c>
      <c r="M1344" s="62"/>
      <c r="N1344" s="62"/>
      <c r="O1344" s="62"/>
      <c r="P1344" s="62"/>
      <c r="Q1344" s="63">
        <f>IF((L1345=""),"",MAX(D1346:L1346))</f>
        <v>3254.24</v>
      </c>
      <c r="R1344" s="63">
        <f>IF(L1345="","",MIN(D1346:L1346))</f>
        <v>2642.28</v>
      </c>
      <c r="S1344" s="275">
        <f>IF((L1346=""),"",AVERAGE(D1346:L1346))</f>
        <v>2849.6311111111113</v>
      </c>
      <c r="T1344" s="63">
        <f>IF((L1345=""),"",((Q1344-R1344)/(Q1344+R1344))*100)</f>
        <v>10.378324842449436</v>
      </c>
      <c r="U1344" s="63">
        <f>STDEV(D1344:L1344)</f>
        <v>26.000053365333223</v>
      </c>
      <c r="V1344" s="55" t="str">
        <f>IF(L1345="","",(IF(T1344&lt;12,IF(S1344&gt;2200,IF(S1344&lt;3280,"Pass","Fail"),"Fail"),"Fail")))</f>
        <v>Pass</v>
      </c>
      <c r="W1344" s="67" t="s">
        <v>436</v>
      </c>
      <c r="X1344" s="26" t="s">
        <v>435</v>
      </c>
      <c r="Z1344" s="53">
        <v>2800</v>
      </c>
      <c r="AA1344" s="53">
        <v>3800</v>
      </c>
      <c r="AB1344" s="53">
        <v>3100</v>
      </c>
      <c r="AC1344" s="53">
        <v>3760</v>
      </c>
      <c r="AD1344" s="52">
        <v>6</v>
      </c>
      <c r="AE1344" s="52">
        <v>6</v>
      </c>
    </row>
    <row r="1345" spans="1:31" ht="15.75">
      <c r="A1345" s="195"/>
      <c r="B1345" s="48"/>
      <c r="C1345" s="48" t="s">
        <v>155</v>
      </c>
      <c r="D1345">
        <v>459.57</v>
      </c>
      <c r="E1345">
        <v>543.75</v>
      </c>
      <c r="F1345">
        <v>565.63</v>
      </c>
      <c r="G1345">
        <v>535.96</v>
      </c>
      <c r="H1345">
        <v>393.04</v>
      </c>
      <c r="I1345">
        <v>470.11</v>
      </c>
      <c r="J1345">
        <v>553.91999999999996</v>
      </c>
      <c r="K1345">
        <v>511.97</v>
      </c>
      <c r="L1345">
        <v>335.51</v>
      </c>
      <c r="M1345" s="50"/>
      <c r="N1345" s="50"/>
      <c r="O1345" s="50"/>
      <c r="P1345" s="50"/>
      <c r="Q1345" s="48"/>
      <c r="R1345" s="48"/>
      <c r="S1345" s="48"/>
      <c r="T1345" s="48"/>
      <c r="U1345" s="48"/>
      <c r="V1345" s="47"/>
      <c r="W1345" s="46"/>
    </row>
    <row r="1346" spans="1:31" ht="24.75" thickBot="1">
      <c r="A1346" s="195"/>
      <c r="B1346" s="48"/>
      <c r="C1346" s="48" t="s">
        <v>154</v>
      </c>
      <c r="D1346" s="276">
        <f t="shared" ref="D1346:L1346" si="443">IF(((D1344="")*AND(D1345="")),"",(D1344-D1345)*4)</f>
        <v>2932.2800000000007</v>
      </c>
      <c r="E1346" s="276">
        <f t="shared" si="443"/>
        <v>2696.12</v>
      </c>
      <c r="F1346" s="276">
        <f t="shared" si="443"/>
        <v>2642.28</v>
      </c>
      <c r="G1346" s="276">
        <f t="shared" si="443"/>
        <v>2693.3599999999997</v>
      </c>
      <c r="H1346" s="276">
        <f t="shared" si="443"/>
        <v>3095.3600000000006</v>
      </c>
      <c r="I1346" s="276">
        <f t="shared" si="443"/>
        <v>2900.1600000000003</v>
      </c>
      <c r="J1346" s="276">
        <f t="shared" si="443"/>
        <v>2681.48</v>
      </c>
      <c r="K1346" s="276">
        <f t="shared" si="443"/>
        <v>2751.3999999999996</v>
      </c>
      <c r="L1346" s="276">
        <f t="shared" si="443"/>
        <v>3254.24</v>
      </c>
      <c r="M1346" s="276"/>
      <c r="N1346" s="276"/>
      <c r="O1346" s="276"/>
      <c r="P1346" s="276" t="str">
        <f>IF(((P1344="")*AND(P1345="")),"",(P1344-P1345)*4)</f>
        <v/>
      </c>
      <c r="Q1346" s="48"/>
      <c r="R1346" s="48"/>
      <c r="S1346" s="48"/>
      <c r="T1346" s="48"/>
      <c r="U1346" s="48"/>
      <c r="V1346" s="47"/>
      <c r="W1346" s="46"/>
    </row>
    <row r="1347" spans="1:31" ht="15.75">
      <c r="A1347" s="195">
        <v>43973</v>
      </c>
      <c r="B1347" s="48" t="s">
        <v>157</v>
      </c>
      <c r="C1347" s="48" t="s">
        <v>156</v>
      </c>
      <c r="D1347">
        <v>5035.75</v>
      </c>
      <c r="E1347">
        <v>5157.58</v>
      </c>
      <c r="F1347">
        <v>5316.27</v>
      </c>
      <c r="G1347">
        <v>5314.39</v>
      </c>
      <c r="H1347">
        <v>5384.28</v>
      </c>
      <c r="I1347">
        <v>5226.6000000000004</v>
      </c>
      <c r="J1347">
        <v>5295.14</v>
      </c>
      <c r="K1347">
        <v>5250.84</v>
      </c>
      <c r="L1347">
        <v>5162.93</v>
      </c>
      <c r="M1347" s="50"/>
      <c r="N1347" s="50"/>
      <c r="O1347" s="50"/>
      <c r="P1347" s="50"/>
      <c r="Q1347" s="48">
        <f>IF((L1348=""),"",MAX(D1349:L1349))</f>
        <v>3476.3599999999997</v>
      </c>
      <c r="R1347" s="48">
        <f>IF(L1348="","",MIN(D1349:L1349))</f>
        <v>3408.8799999999992</v>
      </c>
      <c r="S1347" s="49">
        <f>IF((L1349=""),"",AVERAGE(D1349:L1349))</f>
        <v>3456.1266666666675</v>
      </c>
      <c r="T1347" s="48">
        <f>IF((L1348=""),"",((Q1347-R1347)/(Q1347+R1347))*100)</f>
        <v>0.98006750672453657</v>
      </c>
      <c r="U1347" s="48">
        <f>STDEV(D1347:L1347)</f>
        <v>106.02291046956337</v>
      </c>
      <c r="V1347" s="47" t="str">
        <f>IF(L1348="","",(IF(T1347&lt;7,IF(S1347&gt;2800,IF(S1347&lt;3800,"Pass","Fail"),"Fail"),"Fail")))</f>
        <v>Pass</v>
      </c>
      <c r="W1347" s="67" t="s">
        <v>436</v>
      </c>
      <c r="X1347" s="26" t="s">
        <v>435</v>
      </c>
      <c r="Z1347" s="37">
        <v>2000</v>
      </c>
      <c r="AA1347" s="37">
        <v>3000</v>
      </c>
      <c r="AB1347" s="37">
        <v>2200</v>
      </c>
      <c r="AC1347" s="37">
        <v>3280</v>
      </c>
      <c r="AD1347" s="39">
        <v>12</v>
      </c>
      <c r="AE1347" s="39">
        <v>12</v>
      </c>
    </row>
    <row r="1348" spans="1:31" ht="15.75">
      <c r="A1348" s="195"/>
      <c r="B1348" s="48"/>
      <c r="C1348" s="48" t="s">
        <v>155</v>
      </c>
      <c r="D1348">
        <v>3303.53</v>
      </c>
      <c r="E1348">
        <v>3419.4</v>
      </c>
      <c r="F1348">
        <v>3578.32</v>
      </c>
      <c r="G1348">
        <v>3578.16</v>
      </c>
      <c r="H1348">
        <v>3679.84</v>
      </c>
      <c r="I1348">
        <v>3519.64</v>
      </c>
      <c r="J1348">
        <v>3560.75</v>
      </c>
      <c r="K1348">
        <v>3514.84</v>
      </c>
      <c r="L1348">
        <v>3436.73</v>
      </c>
      <c r="M1348" s="50"/>
      <c r="N1348" s="50"/>
      <c r="O1348" s="50"/>
      <c r="P1348" s="50"/>
      <c r="Q1348" s="48"/>
      <c r="R1348" s="48"/>
      <c r="S1348" s="49"/>
      <c r="T1348" s="48"/>
      <c r="U1348" s="48"/>
      <c r="V1348" s="47"/>
      <c r="W1348" s="46"/>
    </row>
    <row r="1349" spans="1:31" ht="24.75" thickBot="1">
      <c r="A1349" s="195"/>
      <c r="B1349" s="42"/>
      <c r="C1349" s="42" t="s">
        <v>154</v>
      </c>
      <c r="D1349" s="277">
        <f t="shared" ref="D1349:L1349" si="444">IF(((D1347="")*AND(D1348="")),"",(D1347-D1348)*2)</f>
        <v>3464.4399999999996</v>
      </c>
      <c r="E1349" s="277">
        <f t="shared" si="444"/>
        <v>3476.3599999999997</v>
      </c>
      <c r="F1349" s="277">
        <f t="shared" si="444"/>
        <v>3475.9000000000005</v>
      </c>
      <c r="G1349" s="277">
        <f t="shared" si="444"/>
        <v>3472.4600000000009</v>
      </c>
      <c r="H1349" s="277">
        <f t="shared" si="444"/>
        <v>3408.8799999999992</v>
      </c>
      <c r="I1349" s="277">
        <f t="shared" si="444"/>
        <v>3413.920000000001</v>
      </c>
      <c r="J1349" s="277">
        <f t="shared" si="444"/>
        <v>3468.7800000000007</v>
      </c>
      <c r="K1349" s="277">
        <f t="shared" si="444"/>
        <v>3472</v>
      </c>
      <c r="L1349" s="277">
        <f t="shared" si="444"/>
        <v>3452.4000000000005</v>
      </c>
      <c r="M1349" s="277"/>
      <c r="N1349" s="277"/>
      <c r="O1349" s="277"/>
      <c r="P1349" s="277"/>
      <c r="Q1349" s="42"/>
      <c r="R1349" s="42"/>
      <c r="S1349" s="43"/>
      <c r="T1349" s="42"/>
      <c r="U1349" s="42"/>
      <c r="V1349" s="41"/>
      <c r="W1349" s="40"/>
    </row>
    <row r="1350" spans="1:31" ht="15.75">
      <c r="A1350" s="195">
        <v>43977</v>
      </c>
      <c r="B1350" s="63" t="s">
        <v>158</v>
      </c>
      <c r="C1350" s="63" t="s">
        <v>156</v>
      </c>
      <c r="D1350">
        <v>1905.32</v>
      </c>
      <c r="E1350">
        <v>1904.67</v>
      </c>
      <c r="F1350">
        <v>1902.08</v>
      </c>
      <c r="G1350">
        <v>1903.27</v>
      </c>
      <c r="H1350">
        <v>1906.23</v>
      </c>
      <c r="I1350">
        <v>1912.54</v>
      </c>
      <c r="J1350">
        <v>1910.63</v>
      </c>
      <c r="K1350">
        <v>1913.86</v>
      </c>
      <c r="L1350">
        <v>1905.14</v>
      </c>
      <c r="M1350" s="62"/>
      <c r="N1350" s="62"/>
      <c r="O1350" s="62"/>
      <c r="P1350" s="62"/>
      <c r="Q1350" s="63">
        <f>IF((L1351=""),"",MAX(D1352:L1352))</f>
        <v>3170.5200000000004</v>
      </c>
      <c r="R1350" s="63">
        <f>IF(L1351="","",MIN(D1352:L1352))</f>
        <v>2771.7599999999993</v>
      </c>
      <c r="S1350" s="275">
        <f>IF((L1352=""),"",AVERAGE(D1352:L1352))</f>
        <v>2948.6355555555556</v>
      </c>
      <c r="T1350" s="63">
        <f>IF((L1351=""),"",((Q1350-R1350)/(Q1350+R1350))*100)</f>
        <v>6.710555544336537</v>
      </c>
      <c r="U1350" s="63">
        <f>STDEV(D1350:L1350)</f>
        <v>4.2025342882043004</v>
      </c>
      <c r="V1350" s="55" t="str">
        <f>IF(L1351="","",(IF(T1350&lt;12,IF(S1350&gt;2200,IF(S1350&lt;3280,"Pass","Fail"),"Fail"),"Fail")))</f>
        <v>Pass</v>
      </c>
      <c r="W1350" s="67" t="s">
        <v>439</v>
      </c>
      <c r="X1350" s="26" t="s">
        <v>437</v>
      </c>
      <c r="Z1350" s="53">
        <v>2800</v>
      </c>
      <c r="AA1350" s="53">
        <v>3800</v>
      </c>
      <c r="AB1350" s="53">
        <v>3100</v>
      </c>
      <c r="AC1350" s="53">
        <v>3760</v>
      </c>
      <c r="AD1350" s="52">
        <v>6</v>
      </c>
      <c r="AE1350" s="52">
        <v>6</v>
      </c>
    </row>
    <row r="1351" spans="1:31" ht="15.75">
      <c r="A1351" s="195"/>
      <c r="B1351" s="48"/>
      <c r="C1351" s="48" t="s">
        <v>155</v>
      </c>
      <c r="D1351">
        <v>1163.7</v>
      </c>
      <c r="E1351">
        <v>1188.57</v>
      </c>
      <c r="F1351">
        <v>1209.1400000000001</v>
      </c>
      <c r="G1351">
        <v>1181.77</v>
      </c>
      <c r="H1351">
        <v>1133.92</v>
      </c>
      <c r="I1351">
        <v>1173.95</v>
      </c>
      <c r="J1351">
        <v>1197.44</v>
      </c>
      <c r="K1351">
        <v>1168.31</v>
      </c>
      <c r="L1351">
        <v>1112.51</v>
      </c>
      <c r="M1351" s="50"/>
      <c r="N1351" s="50"/>
      <c r="O1351" s="50"/>
      <c r="P1351" s="50"/>
      <c r="Q1351" s="48"/>
      <c r="R1351" s="48"/>
      <c r="S1351" s="48"/>
      <c r="T1351" s="48"/>
      <c r="U1351" s="48"/>
      <c r="V1351" s="47"/>
      <c r="W1351" s="46"/>
    </row>
    <row r="1352" spans="1:31" ht="24.75" thickBot="1">
      <c r="A1352" s="195"/>
      <c r="B1352" s="48"/>
      <c r="C1352" s="48" t="s">
        <v>154</v>
      </c>
      <c r="D1352" s="276">
        <f t="shared" ref="D1352:L1352" si="445">IF(((D1350="")*AND(D1351="")),"",(D1350-D1351)*4)</f>
        <v>2966.4799999999996</v>
      </c>
      <c r="E1352" s="276">
        <f t="shared" si="445"/>
        <v>2864.4000000000005</v>
      </c>
      <c r="F1352" s="276">
        <f t="shared" si="445"/>
        <v>2771.7599999999993</v>
      </c>
      <c r="G1352" s="276">
        <f t="shared" si="445"/>
        <v>2886</v>
      </c>
      <c r="H1352" s="276">
        <f t="shared" si="445"/>
        <v>3089.24</v>
      </c>
      <c r="I1352" s="276">
        <f t="shared" si="445"/>
        <v>2954.3599999999997</v>
      </c>
      <c r="J1352" s="276">
        <f t="shared" si="445"/>
        <v>2852.76</v>
      </c>
      <c r="K1352" s="276">
        <f t="shared" si="445"/>
        <v>2982.2</v>
      </c>
      <c r="L1352" s="276">
        <f t="shared" si="445"/>
        <v>3170.5200000000004</v>
      </c>
      <c r="M1352" s="276"/>
      <c r="N1352" s="276"/>
      <c r="O1352" s="276"/>
      <c r="P1352" s="276" t="str">
        <f>IF(((P1350="")*AND(P1351="")),"",(P1350-P1351)*4)</f>
        <v/>
      </c>
      <c r="Q1352" s="48"/>
      <c r="R1352" s="48"/>
      <c r="S1352" s="48"/>
      <c r="T1352" s="48"/>
      <c r="U1352" s="48"/>
      <c r="V1352" s="47"/>
      <c r="W1352" s="46"/>
    </row>
    <row r="1353" spans="1:31" ht="15.75">
      <c r="A1353" s="195">
        <v>43977</v>
      </c>
      <c r="B1353" s="48" t="s">
        <v>157</v>
      </c>
      <c r="C1353" s="48" t="s">
        <v>156</v>
      </c>
      <c r="D1353">
        <v>6794.14</v>
      </c>
      <c r="E1353">
        <v>6937.89</v>
      </c>
      <c r="F1353">
        <v>7090.43</v>
      </c>
      <c r="G1353">
        <v>7085.03</v>
      </c>
      <c r="H1353">
        <v>7115.51</v>
      </c>
      <c r="I1353">
        <v>6983.35</v>
      </c>
      <c r="J1353">
        <v>7071.26</v>
      </c>
      <c r="K1353">
        <v>7027</v>
      </c>
      <c r="L1353">
        <v>6929.31</v>
      </c>
      <c r="M1353" s="50"/>
      <c r="N1353" s="50"/>
      <c r="O1353" s="50"/>
      <c r="P1353" s="50"/>
      <c r="Q1353" s="48">
        <f>IF((L1354=""),"",MAX(D1355:L1355))</f>
        <v>3480.5600000000013</v>
      </c>
      <c r="R1353" s="48">
        <f>IF(L1354="","",MIN(D1355:L1355))</f>
        <v>3386.8600000000006</v>
      </c>
      <c r="S1353" s="49">
        <f>IF((L1355=""),"",AVERAGE(D1355:L1355))</f>
        <v>3451.264444444445</v>
      </c>
      <c r="T1353" s="48">
        <f>IF((L1354=""),"",((Q1353-R1353)/(Q1353+R1353))*100)</f>
        <v>1.3644134187220338</v>
      </c>
      <c r="U1353" s="48">
        <f>STDEV(D1353:L1353)</f>
        <v>103.64584114245604</v>
      </c>
      <c r="V1353" s="47" t="str">
        <f>IF(L1354="","",(IF(T1353&lt;7,IF(S1353&gt;2800,IF(S1353&lt;3800,"Pass","Fail"),"Fail"),"Fail")))</f>
        <v>Pass</v>
      </c>
      <c r="W1353" s="67" t="s">
        <v>439</v>
      </c>
      <c r="X1353" s="26" t="s">
        <v>437</v>
      </c>
      <c r="Z1353" s="37">
        <v>2000</v>
      </c>
      <c r="AA1353" s="37">
        <v>3000</v>
      </c>
      <c r="AB1353" s="37">
        <v>2200</v>
      </c>
      <c r="AC1353" s="37">
        <v>3280</v>
      </c>
      <c r="AD1353" s="39">
        <v>12</v>
      </c>
      <c r="AE1353" s="39">
        <v>12</v>
      </c>
    </row>
    <row r="1354" spans="1:31" ht="15.75">
      <c r="A1354" s="195"/>
      <c r="B1354" s="48"/>
      <c r="C1354" s="48" t="s">
        <v>155</v>
      </c>
      <c r="D1354">
        <v>5053.8599999999997</v>
      </c>
      <c r="E1354">
        <v>5200.5600000000004</v>
      </c>
      <c r="F1354">
        <v>5359.54</v>
      </c>
      <c r="G1354">
        <v>5355.29</v>
      </c>
      <c r="H1354">
        <v>5422.08</v>
      </c>
      <c r="I1354">
        <v>5278.42</v>
      </c>
      <c r="J1354">
        <v>5340.03</v>
      </c>
      <c r="K1354">
        <v>5294.59</v>
      </c>
      <c r="L1354">
        <v>5198.8599999999997</v>
      </c>
      <c r="M1354" s="50"/>
      <c r="N1354" s="50"/>
      <c r="O1354" s="50"/>
      <c r="P1354" s="50"/>
      <c r="Q1354" s="48"/>
      <c r="R1354" s="48"/>
      <c r="S1354" s="49"/>
      <c r="T1354" s="48"/>
      <c r="U1354" s="48"/>
      <c r="V1354" s="47"/>
      <c r="W1354" s="46"/>
    </row>
    <row r="1355" spans="1:31" ht="24.75" thickBot="1">
      <c r="A1355" s="195"/>
      <c r="B1355" s="42"/>
      <c r="C1355" s="42" t="s">
        <v>154</v>
      </c>
      <c r="D1355" s="277">
        <f t="shared" ref="D1355:L1355" si="446">IF(((D1353="")*AND(D1354="")),"",(D1353-D1354)*2)</f>
        <v>3480.5600000000013</v>
      </c>
      <c r="E1355" s="277">
        <f t="shared" si="446"/>
        <v>3474.66</v>
      </c>
      <c r="F1355" s="277">
        <f t="shared" si="446"/>
        <v>3461.7800000000007</v>
      </c>
      <c r="G1355" s="277">
        <f t="shared" si="446"/>
        <v>3459.4799999999996</v>
      </c>
      <c r="H1355" s="277">
        <f t="shared" si="446"/>
        <v>3386.8600000000006</v>
      </c>
      <c r="I1355" s="277">
        <f t="shared" si="446"/>
        <v>3409.8600000000006</v>
      </c>
      <c r="J1355" s="277">
        <f t="shared" si="446"/>
        <v>3462.4600000000009</v>
      </c>
      <c r="K1355" s="277">
        <f t="shared" si="446"/>
        <v>3464.8199999999997</v>
      </c>
      <c r="L1355" s="277">
        <f t="shared" si="446"/>
        <v>3460.9000000000015</v>
      </c>
      <c r="M1355" s="277"/>
      <c r="N1355" s="277"/>
      <c r="O1355" s="277"/>
      <c r="P1355" s="277"/>
      <c r="Q1355" s="42"/>
      <c r="R1355" s="42"/>
      <c r="S1355" s="43"/>
      <c r="T1355" s="42"/>
      <c r="U1355" s="42"/>
      <c r="V1355" s="41"/>
      <c r="W1355" s="40"/>
    </row>
    <row r="1356" spans="1:31" ht="15.75">
      <c r="A1356" s="195">
        <v>43980</v>
      </c>
      <c r="B1356" s="63" t="s">
        <v>158</v>
      </c>
      <c r="C1356" s="63" t="s">
        <v>156</v>
      </c>
      <c r="D1356">
        <v>1168.6600000000001</v>
      </c>
      <c r="E1356">
        <v>1189.97</v>
      </c>
      <c r="F1356">
        <v>1204.95</v>
      </c>
      <c r="G1356">
        <v>1185.4000000000001</v>
      </c>
      <c r="H1356">
        <v>1137.3900000000001</v>
      </c>
      <c r="I1356">
        <v>1175.74</v>
      </c>
      <c r="J1356">
        <v>1197.96</v>
      </c>
      <c r="K1356">
        <v>1171.8499999999999</v>
      </c>
      <c r="L1356">
        <v>1118.32</v>
      </c>
      <c r="M1356" s="62"/>
      <c r="N1356" s="62"/>
      <c r="O1356" s="62"/>
      <c r="P1356" s="62"/>
      <c r="Q1356" s="63">
        <f>IF((L1357=""),"",MAX(D1358:L1358))</f>
        <v>2979.2</v>
      </c>
      <c r="R1356" s="63">
        <f>IF(L1357="","",MIN(D1358:L1358))</f>
        <v>2663.1200000000003</v>
      </c>
      <c r="S1356" s="275">
        <f>IF((L1358=""),"",AVERAGE(D1358:L1358))</f>
        <v>2785.6888888888889</v>
      </c>
      <c r="T1356" s="63">
        <f>IF((L1357=""),"",((Q1356-R1356)/(Q1356+R1356))*100)</f>
        <v>5.6019509705227541</v>
      </c>
      <c r="U1356" s="63">
        <f>STDEV(D1356:L1356)</f>
        <v>28.20927969855569</v>
      </c>
      <c r="V1356" s="55" t="str">
        <f>IF(L1357="","",(IF(T1356&lt;12,IF(S1356&gt;2200,IF(S1356&lt;3280,"Pass","Fail"),"Fail"),"Fail")))</f>
        <v>Pass</v>
      </c>
      <c r="W1356" s="67" t="s">
        <v>439</v>
      </c>
      <c r="X1356" s="26" t="s">
        <v>438</v>
      </c>
      <c r="Z1356" s="53">
        <v>2800</v>
      </c>
      <c r="AA1356" s="53">
        <v>3800</v>
      </c>
      <c r="AB1356" s="53">
        <v>3100</v>
      </c>
      <c r="AC1356" s="53">
        <v>3760</v>
      </c>
      <c r="AD1356" s="52">
        <v>6</v>
      </c>
      <c r="AE1356" s="52">
        <v>6</v>
      </c>
    </row>
    <row r="1357" spans="1:31" ht="15.75">
      <c r="A1357" s="195"/>
      <c r="B1357" s="48"/>
      <c r="C1357" s="48" t="s">
        <v>155</v>
      </c>
      <c r="D1357">
        <v>455.49</v>
      </c>
      <c r="E1357">
        <v>501.33</v>
      </c>
      <c r="F1357">
        <v>539.16999999999996</v>
      </c>
      <c r="G1357">
        <v>497.48</v>
      </c>
      <c r="H1357">
        <v>418.75</v>
      </c>
      <c r="I1357">
        <v>475.46</v>
      </c>
      <c r="J1357">
        <v>519.41</v>
      </c>
      <c r="K1357">
        <v>501.83</v>
      </c>
      <c r="L1357">
        <v>373.52</v>
      </c>
      <c r="M1357" s="50"/>
      <c r="N1357" s="50"/>
      <c r="O1357" s="50"/>
      <c r="P1357" s="50"/>
      <c r="Q1357" s="48"/>
      <c r="R1357" s="48"/>
      <c r="S1357" s="48"/>
      <c r="T1357" s="48"/>
      <c r="U1357" s="48"/>
      <c r="V1357" s="47"/>
      <c r="W1357" s="46"/>
    </row>
    <row r="1358" spans="1:31" ht="24.75" thickBot="1">
      <c r="A1358" s="195"/>
      <c r="B1358" s="48"/>
      <c r="C1358" s="48" t="s">
        <v>154</v>
      </c>
      <c r="D1358" s="276">
        <f t="shared" ref="D1358:L1358" si="447">IF(((D1356="")*AND(D1357="")),"",(D1356-D1357)*4)</f>
        <v>2852.6800000000003</v>
      </c>
      <c r="E1358" s="276">
        <f t="shared" si="447"/>
        <v>2754.5600000000004</v>
      </c>
      <c r="F1358" s="276">
        <f t="shared" si="447"/>
        <v>2663.1200000000003</v>
      </c>
      <c r="G1358" s="276">
        <f t="shared" si="447"/>
        <v>2751.6800000000003</v>
      </c>
      <c r="H1358" s="276">
        <f t="shared" si="447"/>
        <v>2874.5600000000004</v>
      </c>
      <c r="I1358" s="276">
        <f t="shared" si="447"/>
        <v>2801.12</v>
      </c>
      <c r="J1358" s="276">
        <f t="shared" si="447"/>
        <v>2714.2000000000003</v>
      </c>
      <c r="K1358" s="276">
        <f t="shared" si="447"/>
        <v>2680.08</v>
      </c>
      <c r="L1358" s="276">
        <f t="shared" si="447"/>
        <v>2979.2</v>
      </c>
      <c r="M1358" s="276"/>
      <c r="N1358" s="276"/>
      <c r="O1358" s="276"/>
      <c r="P1358" s="276" t="str">
        <f>IF(((P1356="")*AND(P1357="")),"",(P1356-P1357)*4)</f>
        <v/>
      </c>
      <c r="Q1358" s="48"/>
      <c r="R1358" s="48"/>
      <c r="S1358" s="48"/>
      <c r="T1358" s="48"/>
      <c r="U1358" s="48"/>
      <c r="V1358" s="47"/>
      <c r="W1358" s="46"/>
    </row>
    <row r="1359" spans="1:31" ht="15.75">
      <c r="A1359" s="195">
        <v>43980</v>
      </c>
      <c r="B1359" s="48" t="s">
        <v>157</v>
      </c>
      <c r="C1359" s="48" t="s">
        <v>156</v>
      </c>
      <c r="D1359">
        <v>5068.0600000000004</v>
      </c>
      <c r="E1359">
        <v>5198.3500000000004</v>
      </c>
      <c r="F1359">
        <v>5363.76</v>
      </c>
      <c r="G1359">
        <v>5360.12</v>
      </c>
      <c r="H1359">
        <v>5426.65</v>
      </c>
      <c r="I1359">
        <v>5281.57</v>
      </c>
      <c r="J1359">
        <v>5344.73</v>
      </c>
      <c r="K1359">
        <v>5294.96</v>
      </c>
      <c r="L1359">
        <v>5198.9399999999996</v>
      </c>
      <c r="M1359" s="50"/>
      <c r="N1359" s="50"/>
      <c r="O1359" s="50"/>
      <c r="P1359" s="50"/>
      <c r="Q1359" s="48">
        <f>IF((L1360=""),"",MAX(D1361:L1361))</f>
        <v>3743.1400000000012</v>
      </c>
      <c r="R1359" s="48">
        <f>IF(L1360="","",MIN(D1361:L1361))</f>
        <v>3690.8</v>
      </c>
      <c r="S1359" s="49">
        <f>IF((L1361=""),"",AVERAGE(D1361:L1361))</f>
        <v>3709.266666666666</v>
      </c>
      <c r="T1359" s="48">
        <f>IF((L1360=""),"",((Q1359-R1359)/(Q1359+R1359))*100)</f>
        <v>0.7040680984780755</v>
      </c>
      <c r="U1359" s="48">
        <f>STDEV(D1359:L1359)</f>
        <v>110.38612991572357</v>
      </c>
      <c r="V1359" s="47" t="str">
        <f>IF(L1360="","",(IF(T1359&lt;7,IF(S1359&gt;2800,IF(S1359&lt;3800,"Pass","Fail"),"Fail"),"Fail")))</f>
        <v>Pass</v>
      </c>
      <c r="W1359" s="67" t="s">
        <v>439</v>
      </c>
      <c r="X1359" s="26" t="s">
        <v>438</v>
      </c>
      <c r="Z1359" s="37">
        <v>2000</v>
      </c>
      <c r="AA1359" s="37">
        <v>3000</v>
      </c>
      <c r="AB1359" s="37">
        <v>2200</v>
      </c>
      <c r="AC1359" s="37">
        <v>3280</v>
      </c>
      <c r="AD1359" s="39">
        <v>12</v>
      </c>
      <c r="AE1359" s="39">
        <v>12</v>
      </c>
    </row>
    <row r="1360" spans="1:31" ht="15.75">
      <c r="A1360" s="195"/>
      <c r="B1360" s="48"/>
      <c r="C1360" s="48" t="s">
        <v>155</v>
      </c>
      <c r="D1360">
        <v>3196.49</v>
      </c>
      <c r="E1360">
        <v>3348.34</v>
      </c>
      <c r="F1360">
        <v>3518.36</v>
      </c>
      <c r="G1360">
        <v>3511.51</v>
      </c>
      <c r="H1360">
        <v>3579.67</v>
      </c>
      <c r="I1360">
        <v>3414.1</v>
      </c>
      <c r="J1360">
        <v>3492.27</v>
      </c>
      <c r="K1360">
        <v>3448.9</v>
      </c>
      <c r="L1360">
        <v>3335.8</v>
      </c>
      <c r="M1360" s="50"/>
      <c r="N1360" s="50"/>
      <c r="O1360" s="50"/>
      <c r="P1360" s="50"/>
      <c r="Q1360" s="48"/>
      <c r="R1360" s="48"/>
      <c r="S1360" s="49"/>
      <c r="T1360" s="48"/>
      <c r="U1360" s="48"/>
      <c r="V1360" s="47"/>
      <c r="W1360" s="46"/>
    </row>
    <row r="1361" spans="1:31" ht="24.75" thickBot="1">
      <c r="A1361" s="195"/>
      <c r="B1361" s="42"/>
      <c r="C1361" s="42" t="s">
        <v>154</v>
      </c>
      <c r="D1361" s="277">
        <f t="shared" ref="D1361:L1361" si="448">IF(((D1359="")*AND(D1360="")),"",(D1359-D1360)*2)</f>
        <v>3743.1400000000012</v>
      </c>
      <c r="E1361" s="277">
        <f t="shared" si="448"/>
        <v>3700.0200000000004</v>
      </c>
      <c r="F1361" s="277">
        <f t="shared" si="448"/>
        <v>3690.8</v>
      </c>
      <c r="G1361" s="277">
        <f t="shared" si="448"/>
        <v>3697.2199999999993</v>
      </c>
      <c r="H1361" s="277">
        <f t="shared" si="448"/>
        <v>3693.9599999999991</v>
      </c>
      <c r="I1361" s="277">
        <f t="shared" si="448"/>
        <v>3734.9399999999996</v>
      </c>
      <c r="J1361" s="277">
        <f t="shared" si="448"/>
        <v>3704.9199999999992</v>
      </c>
      <c r="K1361" s="277">
        <f t="shared" si="448"/>
        <v>3692.12</v>
      </c>
      <c r="L1361" s="277">
        <f t="shared" si="448"/>
        <v>3726.2799999999988</v>
      </c>
      <c r="M1361" s="277"/>
      <c r="N1361" s="277"/>
      <c r="O1361" s="277"/>
      <c r="P1361" s="277"/>
      <c r="Q1361" s="42"/>
      <c r="R1361" s="42"/>
      <c r="S1361" s="43"/>
      <c r="T1361" s="42"/>
      <c r="U1361" s="42"/>
      <c r="V1361" s="41"/>
      <c r="W1361" s="40"/>
    </row>
    <row r="1362" spans="1:31" ht="15.75">
      <c r="A1362" s="195">
        <v>43983</v>
      </c>
      <c r="B1362" s="63" t="s">
        <v>158</v>
      </c>
      <c r="C1362" s="63" t="s">
        <v>156</v>
      </c>
      <c r="D1362">
        <v>1963.71</v>
      </c>
      <c r="E1362">
        <v>1952.02</v>
      </c>
      <c r="F1362">
        <v>1943.1</v>
      </c>
      <c r="G1362">
        <v>1956.8</v>
      </c>
      <c r="H1362">
        <v>1969.67</v>
      </c>
      <c r="I1362">
        <v>1975.09</v>
      </c>
      <c r="J1362">
        <v>1952.59</v>
      </c>
      <c r="K1362">
        <v>2046.73</v>
      </c>
      <c r="L1362">
        <v>1964.77</v>
      </c>
      <c r="M1362" s="62"/>
      <c r="N1362" s="62"/>
      <c r="O1362" s="62"/>
      <c r="P1362" s="62"/>
      <c r="Q1362" s="63">
        <f>IF((L1363=""),"",MAX(D1364:L1364))</f>
        <v>3440.76</v>
      </c>
      <c r="R1362" s="63">
        <f>IF(L1363="","",MIN(D1364:L1364))</f>
        <v>2897.3599999999997</v>
      </c>
      <c r="S1362" s="275">
        <f>IF((L1364=""),"",AVERAGE(D1364:L1364))</f>
        <v>3114.4933333333333</v>
      </c>
      <c r="T1362" s="63">
        <f>IF((L1363=""),"",((Q1362-R1362)/(Q1362+R1362))*100)</f>
        <v>8.5735202236625465</v>
      </c>
      <c r="U1362" s="63">
        <f>STDEV(D1362:L1362)</f>
        <v>30.621234054176476</v>
      </c>
      <c r="V1362" s="55" t="str">
        <f>IF(L1363="","",(IF(T1362&lt;12,IF(S1362&gt;2200,IF(S1362&lt;3280,"Pass","Fail"),"Fail"),"Fail")))</f>
        <v>Pass</v>
      </c>
      <c r="W1362" s="67">
        <v>1335</v>
      </c>
      <c r="X1362" s="26" t="s">
        <v>441</v>
      </c>
      <c r="Z1362" s="53">
        <v>2800</v>
      </c>
      <c r="AA1362" s="53">
        <v>3800</v>
      </c>
      <c r="AB1362" s="53">
        <v>3100</v>
      </c>
      <c r="AC1362" s="53">
        <v>3760</v>
      </c>
      <c r="AD1362" s="52">
        <v>6</v>
      </c>
      <c r="AE1362" s="52">
        <v>6</v>
      </c>
    </row>
    <row r="1363" spans="1:31" ht="15.75">
      <c r="A1363" s="195"/>
      <c r="B1363" s="48"/>
      <c r="C1363" s="48" t="s">
        <v>155</v>
      </c>
      <c r="D1363">
        <v>1189.71</v>
      </c>
      <c r="E1363">
        <v>1206.7</v>
      </c>
      <c r="F1363">
        <v>1218.76</v>
      </c>
      <c r="G1363">
        <v>1200.1300000000001</v>
      </c>
      <c r="H1363">
        <v>1163.78</v>
      </c>
      <c r="I1363">
        <v>1194.33</v>
      </c>
      <c r="J1363">
        <v>1213.5999999999999</v>
      </c>
      <c r="K1363">
        <v>1186.54</v>
      </c>
      <c r="L1363">
        <v>1143.32</v>
      </c>
      <c r="M1363" s="50"/>
      <c r="N1363" s="50"/>
      <c r="O1363" s="50"/>
      <c r="P1363" s="50"/>
      <c r="Q1363" s="48"/>
      <c r="R1363" s="48"/>
      <c r="S1363" s="48"/>
      <c r="T1363" s="48"/>
      <c r="U1363" s="48"/>
      <c r="V1363" s="47"/>
      <c r="W1363" s="46"/>
    </row>
    <row r="1364" spans="1:31" ht="24.75" thickBot="1">
      <c r="A1364" s="195"/>
      <c r="B1364" s="48"/>
      <c r="C1364" s="48" t="s">
        <v>154</v>
      </c>
      <c r="D1364" s="276">
        <f t="shared" ref="D1364:L1364" si="449">IF(((D1362="")*AND(D1363="")),"",(D1362-D1363)*4)</f>
        <v>3096</v>
      </c>
      <c r="E1364" s="276">
        <f t="shared" si="449"/>
        <v>2981.2799999999997</v>
      </c>
      <c r="F1364" s="276">
        <f t="shared" si="449"/>
        <v>2897.3599999999997</v>
      </c>
      <c r="G1364" s="276">
        <f t="shared" si="449"/>
        <v>3026.6799999999994</v>
      </c>
      <c r="H1364" s="276">
        <f t="shared" si="449"/>
        <v>3223.5600000000004</v>
      </c>
      <c r="I1364" s="276">
        <f t="shared" si="449"/>
        <v>3123.04</v>
      </c>
      <c r="J1364" s="276">
        <f t="shared" si="449"/>
        <v>2955.96</v>
      </c>
      <c r="K1364" s="276">
        <f t="shared" si="449"/>
        <v>3440.76</v>
      </c>
      <c r="L1364" s="276">
        <f t="shared" si="449"/>
        <v>3285.8</v>
      </c>
      <c r="M1364" s="276"/>
      <c r="N1364" s="276"/>
      <c r="O1364" s="276"/>
      <c r="P1364" s="276" t="str">
        <f>IF(((P1362="")*AND(P1363="")),"",(P1362-P1363)*4)</f>
        <v/>
      </c>
      <c r="Q1364" s="48"/>
      <c r="R1364" s="48"/>
      <c r="S1364" s="48"/>
      <c r="T1364" s="48"/>
      <c r="U1364" s="48"/>
      <c r="V1364" s="47"/>
      <c r="W1364" s="46"/>
    </row>
    <row r="1365" spans="1:31" ht="15.75">
      <c r="A1365" s="195">
        <v>43983</v>
      </c>
      <c r="B1365" s="48" t="s">
        <v>157</v>
      </c>
      <c r="C1365" s="48" t="s">
        <v>156</v>
      </c>
      <c r="D1365">
        <v>3203.31</v>
      </c>
      <c r="E1365">
        <v>3358.16</v>
      </c>
      <c r="F1365">
        <v>3525.74</v>
      </c>
      <c r="G1365">
        <v>3518.85</v>
      </c>
      <c r="H1365">
        <v>3587.1</v>
      </c>
      <c r="I1365">
        <v>3422.17</v>
      </c>
      <c r="J1365">
        <v>3499.86</v>
      </c>
      <c r="K1365">
        <v>3457.87</v>
      </c>
      <c r="L1365">
        <v>3343.2</v>
      </c>
      <c r="M1365" s="50"/>
      <c r="N1365" s="50"/>
      <c r="O1365" s="50"/>
      <c r="P1365" s="50"/>
      <c r="Q1365" s="48">
        <f>IF((L1366=""),"",MAX(D1367:L1367))</f>
        <v>4000.1</v>
      </c>
      <c r="R1365" s="48">
        <f>IF(L1366="","",MIN(D1367:L1367))</f>
        <v>3645.02</v>
      </c>
      <c r="S1365" s="49">
        <f>IF((L1367=""),"",AVERAGE(D1367:L1367))</f>
        <v>3724.7311111111103</v>
      </c>
      <c r="T1365" s="48">
        <f>IF((L1366=""),"",((Q1365-R1365)/(Q1365+R1365))*100)</f>
        <v>4.6445314135029916</v>
      </c>
      <c r="U1365" s="48">
        <f>STDEV(D1365:L1365)</f>
        <v>117.95399039454685</v>
      </c>
      <c r="V1365" s="47" t="str">
        <f>IF(L1366="","",(IF(T1365&lt;7,IF(S1365&gt;2800,IF(S1365&lt;3800,"Pass","Fail"),"Fail"),"Fail")))</f>
        <v>Pass</v>
      </c>
      <c r="W1365" s="67">
        <v>1335</v>
      </c>
      <c r="X1365" s="26" t="s">
        <v>441</v>
      </c>
      <c r="Z1365" s="37">
        <v>2000</v>
      </c>
      <c r="AA1365" s="37">
        <v>3000</v>
      </c>
      <c r="AB1365" s="37">
        <v>2200</v>
      </c>
      <c r="AC1365" s="37">
        <v>3280</v>
      </c>
      <c r="AD1365" s="39">
        <v>12</v>
      </c>
      <c r="AE1365" s="39">
        <v>12</v>
      </c>
    </row>
    <row r="1366" spans="1:31" ht="15.75">
      <c r="A1366" s="195"/>
      <c r="B1366" s="48"/>
      <c r="C1366" s="48" t="s">
        <v>155</v>
      </c>
      <c r="D1366">
        <v>1358.62</v>
      </c>
      <c r="E1366">
        <v>1457.82</v>
      </c>
      <c r="F1366">
        <v>1693.37</v>
      </c>
      <c r="G1366">
        <v>1682.7</v>
      </c>
      <c r="H1366">
        <v>1764.59</v>
      </c>
      <c r="I1366">
        <v>1582.95</v>
      </c>
      <c r="J1366">
        <v>1663.34</v>
      </c>
      <c r="K1366">
        <v>1457.82</v>
      </c>
      <c r="L1366">
        <v>1493.76</v>
      </c>
      <c r="M1366" s="50"/>
      <c r="N1366" s="50"/>
      <c r="O1366" s="50"/>
      <c r="P1366" s="50"/>
      <c r="Q1366" s="48"/>
      <c r="R1366" s="48"/>
      <c r="S1366" s="49"/>
      <c r="T1366" s="48"/>
      <c r="U1366" s="48"/>
      <c r="V1366" s="47"/>
      <c r="W1366" s="46"/>
    </row>
    <row r="1367" spans="1:31" ht="24.75" thickBot="1">
      <c r="A1367" s="195"/>
      <c r="B1367" s="42"/>
      <c r="C1367" s="42" t="s">
        <v>154</v>
      </c>
      <c r="D1367" s="277">
        <f t="shared" ref="D1367:L1367" si="450">IF(((D1365="")*AND(D1366="")),"",(D1365-D1366)*2)</f>
        <v>3689.38</v>
      </c>
      <c r="E1367" s="277">
        <f t="shared" si="450"/>
        <v>3800.68</v>
      </c>
      <c r="F1367" s="277">
        <f t="shared" si="450"/>
        <v>3664.74</v>
      </c>
      <c r="G1367" s="277">
        <f t="shared" si="450"/>
        <v>3672.2999999999997</v>
      </c>
      <c r="H1367" s="277">
        <f t="shared" si="450"/>
        <v>3645.02</v>
      </c>
      <c r="I1367" s="277">
        <f t="shared" si="450"/>
        <v>3678.44</v>
      </c>
      <c r="J1367" s="277">
        <f t="shared" si="450"/>
        <v>3673.0400000000004</v>
      </c>
      <c r="K1367" s="277">
        <f t="shared" si="450"/>
        <v>4000.1</v>
      </c>
      <c r="L1367" s="277">
        <f t="shared" si="450"/>
        <v>3698.8799999999997</v>
      </c>
      <c r="M1367" s="277"/>
      <c r="N1367" s="277"/>
      <c r="O1367" s="277"/>
      <c r="P1367" s="277"/>
      <c r="Q1367" s="42"/>
      <c r="R1367" s="42"/>
      <c r="S1367" s="43"/>
      <c r="T1367" s="42"/>
      <c r="U1367" s="42"/>
      <c r="V1367" s="41"/>
      <c r="W1367" s="40"/>
    </row>
    <row r="1368" spans="1:31" ht="15.75">
      <c r="A1368" s="195">
        <v>43986</v>
      </c>
      <c r="B1368" s="63" t="s">
        <v>158</v>
      </c>
      <c r="C1368" s="63" t="s">
        <v>156</v>
      </c>
      <c r="D1368">
        <v>1907.64</v>
      </c>
      <c r="E1368">
        <v>1904.89</v>
      </c>
      <c r="F1368">
        <v>1903.28</v>
      </c>
      <c r="G1368">
        <v>1904.95</v>
      </c>
      <c r="H1368">
        <v>1905.67</v>
      </c>
      <c r="I1368">
        <v>1911.14</v>
      </c>
      <c r="J1368">
        <v>1904.02</v>
      </c>
      <c r="K1368">
        <v>1924.2</v>
      </c>
      <c r="L1368">
        <v>1915.34</v>
      </c>
      <c r="M1368" s="62"/>
      <c r="N1368" s="62"/>
      <c r="O1368" s="62"/>
      <c r="P1368" s="62"/>
      <c r="Q1368" s="63">
        <f>IF((L1369=""),"",MAX(D1370:L1370))</f>
        <v>3219.08</v>
      </c>
      <c r="R1368" s="63">
        <f>IF(L1369="","",MIN(D1370:L1370))</f>
        <v>2829.6400000000003</v>
      </c>
      <c r="S1368" s="275">
        <f>IF((L1370=""),"",AVERAGE(D1370:L1370))</f>
        <v>2985.5866666666666</v>
      </c>
      <c r="T1368" s="63">
        <f>IF((L1369=""),"",((Q1368-R1368)/(Q1368+R1368))*100)</f>
        <v>6.4383869645148</v>
      </c>
      <c r="U1368" s="63">
        <f>STDEV(D1368:L1368)</f>
        <v>6.8880804857565661</v>
      </c>
      <c r="V1368" s="55" t="str">
        <f>IF(L1369="","",(IF(T1368&lt;12,IF(S1368&gt;2200,IF(S1368&lt;3280,"Pass","Fail"),"Fail"),"Fail")))</f>
        <v>Pass</v>
      </c>
      <c r="W1368" s="67">
        <v>1340</v>
      </c>
      <c r="Z1368" s="53">
        <v>2800</v>
      </c>
      <c r="AA1368" s="53">
        <v>3800</v>
      </c>
      <c r="AB1368" s="53">
        <v>3100</v>
      </c>
      <c r="AC1368" s="53">
        <v>3760</v>
      </c>
      <c r="AD1368" s="52">
        <v>6</v>
      </c>
      <c r="AE1368" s="52">
        <v>6</v>
      </c>
    </row>
    <row r="1369" spans="1:31" ht="15.75">
      <c r="A1369" s="195"/>
      <c r="B1369" s="48"/>
      <c r="C1369" s="48" t="s">
        <v>155</v>
      </c>
      <c r="D1369">
        <v>1162.27</v>
      </c>
      <c r="E1369">
        <v>1188.6300000000001</v>
      </c>
      <c r="F1369">
        <v>1195.8699999999999</v>
      </c>
      <c r="G1369">
        <v>1174.68</v>
      </c>
      <c r="H1369">
        <v>1122.1400000000001</v>
      </c>
      <c r="I1369">
        <v>1159.73</v>
      </c>
      <c r="J1369">
        <v>1190.22</v>
      </c>
      <c r="K1369">
        <v>1159.45</v>
      </c>
      <c r="L1369">
        <v>1110.57</v>
      </c>
      <c r="M1369" s="50"/>
      <c r="N1369" s="50"/>
      <c r="O1369" s="50"/>
      <c r="P1369" s="50"/>
      <c r="Q1369" s="48"/>
      <c r="R1369" s="48"/>
      <c r="S1369" s="48"/>
      <c r="T1369" s="48"/>
      <c r="U1369" s="48"/>
      <c r="V1369" s="47"/>
      <c r="W1369" s="46"/>
    </row>
    <row r="1370" spans="1:31" ht="24.75" thickBot="1">
      <c r="A1370" s="195"/>
      <c r="B1370" s="48"/>
      <c r="C1370" s="48" t="s">
        <v>154</v>
      </c>
      <c r="D1370" s="276">
        <f t="shared" ref="D1370:L1370" si="451">IF(((D1368="")*AND(D1369="")),"",(D1368-D1369)*4)</f>
        <v>2981.4800000000005</v>
      </c>
      <c r="E1370" s="276">
        <f t="shared" si="451"/>
        <v>2865.04</v>
      </c>
      <c r="F1370" s="276">
        <f t="shared" si="451"/>
        <v>2829.6400000000003</v>
      </c>
      <c r="G1370" s="276">
        <f t="shared" si="451"/>
        <v>2921.08</v>
      </c>
      <c r="H1370" s="276">
        <f t="shared" si="451"/>
        <v>3134.12</v>
      </c>
      <c r="I1370" s="276">
        <f t="shared" si="451"/>
        <v>3005.6400000000003</v>
      </c>
      <c r="J1370" s="276">
        <f t="shared" si="451"/>
        <v>2855.2</v>
      </c>
      <c r="K1370" s="276">
        <f t="shared" si="451"/>
        <v>3059</v>
      </c>
      <c r="L1370" s="276">
        <f t="shared" si="451"/>
        <v>3219.08</v>
      </c>
      <c r="M1370" s="276"/>
      <c r="N1370" s="276"/>
      <c r="O1370" s="276"/>
      <c r="P1370" s="276" t="str">
        <f>IF(((P1368="")*AND(P1369="")),"",(P1368-P1369)*4)</f>
        <v/>
      </c>
      <c r="Q1370" s="48"/>
      <c r="R1370" s="48"/>
      <c r="S1370" s="48"/>
      <c r="T1370" s="48"/>
      <c r="U1370" s="48"/>
      <c r="V1370" s="47"/>
      <c r="W1370" s="46"/>
    </row>
    <row r="1371" spans="1:31" ht="15.75">
      <c r="A1371" s="195">
        <v>43986</v>
      </c>
      <c r="B1371" s="48" t="s">
        <v>157</v>
      </c>
      <c r="C1371" s="48" t="s">
        <v>156</v>
      </c>
      <c r="D1371">
        <v>6750.36</v>
      </c>
      <c r="E1371">
        <v>6858.85</v>
      </c>
      <c r="F1371">
        <v>6953.6</v>
      </c>
      <c r="G1371">
        <v>6932.18</v>
      </c>
      <c r="H1371">
        <v>6857.5</v>
      </c>
      <c r="I1371">
        <v>6764.95</v>
      </c>
      <c r="J1371">
        <v>6907.41</v>
      </c>
      <c r="K1371">
        <v>6958.79</v>
      </c>
      <c r="L1371">
        <v>6943.12</v>
      </c>
      <c r="M1371" s="50"/>
      <c r="N1371" s="50"/>
      <c r="O1371" s="50"/>
      <c r="P1371" s="50"/>
      <c r="Q1371" s="48">
        <f>IF((L1372=""),"",MAX(D1373:L1373))</f>
        <v>3533.84</v>
      </c>
      <c r="R1371" s="48">
        <f>IF(L1372="","",MIN(D1373:L1373))</f>
        <v>3474.08</v>
      </c>
      <c r="S1371" s="49">
        <f>IF((L1373=""),"",AVERAGE(D1373:L1373))</f>
        <v>3514.1266666666666</v>
      </c>
      <c r="T1371" s="48">
        <f>IF((L1372=""),"",((Q1371-R1371)/(Q1371+R1371))*100)</f>
        <v>0.852749460610284</v>
      </c>
      <c r="U1371" s="48">
        <f>STDEV(D1371:L1371)</f>
        <v>79.115853412095561</v>
      </c>
      <c r="V1371" s="47" t="str">
        <f>IF(L1372="","",(IF(T1371&lt;7,IF(S1371&gt;2800,IF(S1371&lt;3800,"Pass","Fail"),"Fail"),"Fail")))</f>
        <v>Pass</v>
      </c>
      <c r="W1371" s="67">
        <v>1340</v>
      </c>
      <c r="Z1371" s="37">
        <v>2000</v>
      </c>
      <c r="AA1371" s="37">
        <v>3000</v>
      </c>
      <c r="AB1371" s="37">
        <v>2200</v>
      </c>
      <c r="AC1371" s="37">
        <v>3280</v>
      </c>
      <c r="AD1371" s="39">
        <v>12</v>
      </c>
      <c r="AE1371" s="39">
        <v>12</v>
      </c>
    </row>
    <row r="1372" spans="1:31" ht="15.75">
      <c r="A1372" s="195"/>
      <c r="B1372" s="48"/>
      <c r="C1372" s="48" t="s">
        <v>155</v>
      </c>
      <c r="D1372">
        <v>4991.41</v>
      </c>
      <c r="E1372">
        <v>5091.93</v>
      </c>
      <c r="F1372">
        <v>5198.83</v>
      </c>
      <c r="G1372">
        <v>5180.26</v>
      </c>
      <c r="H1372">
        <v>5120.46</v>
      </c>
      <c r="I1372">
        <v>5004.8999999999996</v>
      </c>
      <c r="J1372">
        <v>5152.08</v>
      </c>
      <c r="K1372">
        <v>5196.75</v>
      </c>
      <c r="L1372">
        <v>5176.57</v>
      </c>
      <c r="M1372" s="50"/>
      <c r="N1372" s="50"/>
      <c r="O1372" s="50"/>
      <c r="P1372" s="50"/>
      <c r="Q1372" s="48"/>
      <c r="R1372" s="48"/>
      <c r="S1372" s="49"/>
      <c r="T1372" s="48"/>
      <c r="U1372" s="48"/>
      <c r="V1372" s="47"/>
      <c r="W1372" s="46"/>
    </row>
    <row r="1373" spans="1:31" ht="24.75" thickBot="1">
      <c r="A1373" s="195"/>
      <c r="B1373" s="42"/>
      <c r="C1373" s="42" t="s">
        <v>154</v>
      </c>
      <c r="D1373" s="277">
        <f t="shared" ref="D1373:L1373" si="452">IF(((D1371="")*AND(D1372="")),"",(D1371-D1372)*2)</f>
        <v>3517.8999999999996</v>
      </c>
      <c r="E1373" s="277">
        <f t="shared" si="452"/>
        <v>3533.84</v>
      </c>
      <c r="F1373" s="277">
        <f t="shared" si="452"/>
        <v>3509.5400000000009</v>
      </c>
      <c r="G1373" s="277">
        <f t="shared" si="452"/>
        <v>3503.84</v>
      </c>
      <c r="H1373" s="277">
        <f t="shared" si="452"/>
        <v>3474.08</v>
      </c>
      <c r="I1373" s="277">
        <f t="shared" si="452"/>
        <v>3520.1000000000004</v>
      </c>
      <c r="J1373" s="277">
        <f t="shared" si="452"/>
        <v>3510.66</v>
      </c>
      <c r="K1373" s="277">
        <f t="shared" si="452"/>
        <v>3524.08</v>
      </c>
      <c r="L1373" s="277">
        <f t="shared" si="452"/>
        <v>3533.1000000000004</v>
      </c>
      <c r="M1373" s="277"/>
      <c r="N1373" s="277"/>
      <c r="O1373" s="277"/>
      <c r="P1373" s="277"/>
      <c r="Q1373" s="42"/>
      <c r="R1373" s="42"/>
      <c r="S1373" s="43"/>
      <c r="T1373" s="42"/>
      <c r="U1373" s="42"/>
      <c r="V1373" s="41"/>
      <c r="W1373" s="40"/>
    </row>
    <row r="1374" spans="1:31" ht="15.75">
      <c r="A1374" s="195">
        <v>43990</v>
      </c>
      <c r="B1374" s="63" t="s">
        <v>158</v>
      </c>
      <c r="C1374" s="63" t="s">
        <v>156</v>
      </c>
      <c r="D1374">
        <v>1164.5999999999999</v>
      </c>
      <c r="E1374">
        <v>1192.52</v>
      </c>
      <c r="F1374">
        <v>1200.51</v>
      </c>
      <c r="G1374">
        <v>1174.3800000000001</v>
      </c>
      <c r="H1374">
        <v>1124.96</v>
      </c>
      <c r="I1374">
        <v>1163.04</v>
      </c>
      <c r="J1374">
        <v>1190.5</v>
      </c>
      <c r="K1374">
        <v>1164.3399999999999</v>
      </c>
      <c r="L1374">
        <v>1112.9100000000001</v>
      </c>
      <c r="M1374" s="62"/>
      <c r="N1374" s="62"/>
      <c r="O1374" s="62"/>
      <c r="P1374" s="62"/>
      <c r="Q1374" s="63">
        <f>IF((L1375=""),"",MAX(D1376:L1376))</f>
        <v>3137.3600000000006</v>
      </c>
      <c r="R1374" s="63">
        <f>IF(L1375="","",MIN(D1376:L1376))</f>
        <v>2653.24</v>
      </c>
      <c r="S1374" s="275">
        <f>IF((L1376=""),"",AVERAGE(D1376:L1376))</f>
        <v>2890.4844444444443</v>
      </c>
      <c r="T1374" s="63">
        <f>IF((L1375=""),"",((Q1374-R1374)/(Q1374+R1374))*100)</f>
        <v>8.360446240458689</v>
      </c>
      <c r="U1374" s="63">
        <f>STDEV(D1374:L1374)</f>
        <v>29.742027082903363</v>
      </c>
      <c r="V1374" s="55" t="str">
        <f>IF(L1375="","",(IF(T1374&lt;12,IF(S1374&gt;2200,IF(S1374&lt;3280,"Pass","Fail"),"Fail"),"Fail")))</f>
        <v>Pass</v>
      </c>
      <c r="W1374" s="67">
        <v>1159</v>
      </c>
      <c r="X1374" s="26" t="s">
        <v>448</v>
      </c>
      <c r="Z1374" s="53">
        <v>2800</v>
      </c>
      <c r="AA1374" s="53">
        <v>3800</v>
      </c>
      <c r="AB1374" s="53">
        <v>3100</v>
      </c>
      <c r="AC1374" s="53">
        <v>3760</v>
      </c>
      <c r="AD1374" s="52">
        <v>6</v>
      </c>
      <c r="AE1374" s="52">
        <v>6</v>
      </c>
    </row>
    <row r="1375" spans="1:31" ht="15.75">
      <c r="A1375" s="195"/>
      <c r="B1375" s="48"/>
      <c r="C1375" s="48" t="s">
        <v>155</v>
      </c>
      <c r="D1375">
        <v>417.64</v>
      </c>
      <c r="E1375">
        <v>482.17</v>
      </c>
      <c r="F1375">
        <v>511.43</v>
      </c>
      <c r="G1375">
        <v>466.74</v>
      </c>
      <c r="H1375">
        <v>366.45</v>
      </c>
      <c r="I1375">
        <v>419.55</v>
      </c>
      <c r="J1375">
        <v>490.59</v>
      </c>
      <c r="K1375">
        <v>501.03</v>
      </c>
      <c r="L1375">
        <v>328.57</v>
      </c>
      <c r="M1375" s="50"/>
      <c r="N1375" s="50"/>
      <c r="O1375" s="50"/>
      <c r="P1375" s="50"/>
      <c r="Q1375" s="48"/>
      <c r="R1375" s="48"/>
      <c r="S1375" s="48"/>
      <c r="T1375" s="48"/>
      <c r="U1375" s="48"/>
      <c r="V1375" s="47"/>
      <c r="W1375" s="46"/>
    </row>
    <row r="1376" spans="1:31" ht="24.75" thickBot="1">
      <c r="A1376" s="195"/>
      <c r="B1376" s="48"/>
      <c r="C1376" s="48" t="s">
        <v>154</v>
      </c>
      <c r="D1376" s="276">
        <f t="shared" ref="D1376:L1376" si="453">IF(((D1374="")*AND(D1375="")),"",(D1374-D1375)*4)</f>
        <v>2987.8399999999997</v>
      </c>
      <c r="E1376" s="276">
        <f t="shared" si="453"/>
        <v>2841.3999999999996</v>
      </c>
      <c r="F1376" s="276">
        <f t="shared" si="453"/>
        <v>2756.3199999999997</v>
      </c>
      <c r="G1376" s="276">
        <f t="shared" si="453"/>
        <v>2830.5600000000004</v>
      </c>
      <c r="H1376" s="276">
        <f t="shared" si="453"/>
        <v>3034.04</v>
      </c>
      <c r="I1376" s="276">
        <f t="shared" si="453"/>
        <v>2973.96</v>
      </c>
      <c r="J1376" s="276">
        <f t="shared" si="453"/>
        <v>2799.6400000000003</v>
      </c>
      <c r="K1376" s="276">
        <f t="shared" si="453"/>
        <v>2653.24</v>
      </c>
      <c r="L1376" s="276">
        <f t="shared" si="453"/>
        <v>3137.3600000000006</v>
      </c>
      <c r="M1376" s="276"/>
      <c r="N1376" s="276"/>
      <c r="O1376" s="276"/>
      <c r="P1376" s="276" t="str">
        <f>IF(((P1374="")*AND(P1375="")),"",(P1374-P1375)*4)</f>
        <v/>
      </c>
      <c r="Q1376" s="48"/>
      <c r="R1376" s="48"/>
      <c r="S1376" s="48"/>
      <c r="T1376" s="48"/>
      <c r="U1376" s="48"/>
      <c r="V1376" s="47"/>
      <c r="W1376" s="46"/>
    </row>
    <row r="1377" spans="1:31" ht="15.75">
      <c r="A1377" s="195">
        <v>43990</v>
      </c>
      <c r="B1377" s="48" t="s">
        <v>157</v>
      </c>
      <c r="C1377" s="48" t="s">
        <v>156</v>
      </c>
      <c r="D1377">
        <v>5000.54</v>
      </c>
      <c r="E1377">
        <v>5101.21</v>
      </c>
      <c r="F1377">
        <v>5203.8599999999997</v>
      </c>
      <c r="G1377">
        <v>5185.45</v>
      </c>
      <c r="H1377">
        <v>5128.5200000000004</v>
      </c>
      <c r="I1377">
        <v>5011.55</v>
      </c>
      <c r="J1377">
        <v>5157.2700000000004</v>
      </c>
      <c r="K1377">
        <v>5205.2</v>
      </c>
      <c r="L1377">
        <v>5185.34</v>
      </c>
      <c r="M1377" s="50"/>
      <c r="N1377" s="50"/>
      <c r="O1377" s="50"/>
      <c r="P1377" s="50"/>
      <c r="Q1377" s="48">
        <f>IF((L1378=""),"",MAX(D1379:L1379))</f>
        <v>3447.5199999999995</v>
      </c>
      <c r="R1377" s="48">
        <f>IF(L1378="","",MIN(D1379:L1379))</f>
        <v>3380.3400000000011</v>
      </c>
      <c r="S1377" s="49">
        <f>IF((L1379=""),"",AVERAGE(D1379:L1379))</f>
        <v>3432.4244444444453</v>
      </c>
      <c r="T1377" s="48">
        <f>IF((L1378=""),"",((Q1377-R1377)/(Q1377+R1377))*100)</f>
        <v>0.98391003916305353</v>
      </c>
      <c r="U1377" s="48">
        <f>STDEV(D1377:L1377)</f>
        <v>78.742998736385161</v>
      </c>
      <c r="V1377" s="47" t="str">
        <f>IF(L1378="","",(IF(T1377&lt;7,IF(S1377&gt;2800,IF(S1377&lt;3800,"Pass","Fail"),"Fail"),"Fail")))</f>
        <v>Pass</v>
      </c>
      <c r="W1377" s="67">
        <v>1159</v>
      </c>
      <c r="X1377" s="26" t="s">
        <v>448</v>
      </c>
      <c r="Z1377" s="37">
        <v>2000</v>
      </c>
      <c r="AA1377" s="37">
        <v>3000</v>
      </c>
      <c r="AB1377" s="37">
        <v>2200</v>
      </c>
      <c r="AC1377" s="37">
        <v>3280</v>
      </c>
      <c r="AD1377" s="39">
        <v>12</v>
      </c>
      <c r="AE1377" s="39">
        <v>12</v>
      </c>
    </row>
    <row r="1378" spans="1:31" ht="15.75">
      <c r="A1378" s="195"/>
      <c r="B1378" s="48"/>
      <c r="C1378" s="48" t="s">
        <v>155</v>
      </c>
      <c r="D1378">
        <v>3278.61</v>
      </c>
      <c r="E1378">
        <v>3379.47</v>
      </c>
      <c r="F1378">
        <v>3481.58</v>
      </c>
      <c r="G1378">
        <v>3468.79</v>
      </c>
      <c r="H1378">
        <v>3438.35</v>
      </c>
      <c r="I1378">
        <v>3295.94</v>
      </c>
      <c r="J1378">
        <v>3440.45</v>
      </c>
      <c r="K1378">
        <v>3481.44</v>
      </c>
      <c r="L1378">
        <v>3468.4</v>
      </c>
      <c r="M1378" s="50"/>
      <c r="N1378" s="50"/>
      <c r="O1378" s="50"/>
      <c r="P1378" s="50"/>
      <c r="Q1378" s="48"/>
      <c r="R1378" s="48"/>
      <c r="S1378" s="49"/>
      <c r="T1378" s="48"/>
      <c r="U1378" s="48"/>
      <c r="V1378" s="47"/>
      <c r="W1378" s="46"/>
    </row>
    <row r="1379" spans="1:31" ht="24.75" thickBot="1">
      <c r="A1379" s="195"/>
      <c r="B1379" s="42"/>
      <c r="C1379" s="42" t="s">
        <v>154</v>
      </c>
      <c r="D1379" s="277">
        <f t="shared" ref="D1379:L1379" si="454">IF(((D1377="")*AND(D1378="")),"",(D1377-D1378)*2)</f>
        <v>3443.8599999999997</v>
      </c>
      <c r="E1379" s="277">
        <f t="shared" si="454"/>
        <v>3443.4800000000005</v>
      </c>
      <c r="F1379" s="277">
        <f t="shared" si="454"/>
        <v>3444.5599999999995</v>
      </c>
      <c r="G1379" s="277">
        <f t="shared" si="454"/>
        <v>3433.3199999999997</v>
      </c>
      <c r="H1379" s="277">
        <f t="shared" si="454"/>
        <v>3380.3400000000011</v>
      </c>
      <c r="I1379" s="277">
        <f t="shared" si="454"/>
        <v>3431.2200000000003</v>
      </c>
      <c r="J1379" s="277">
        <f t="shared" si="454"/>
        <v>3433.6400000000012</v>
      </c>
      <c r="K1379" s="277">
        <f t="shared" si="454"/>
        <v>3447.5199999999995</v>
      </c>
      <c r="L1379" s="277">
        <f t="shared" si="454"/>
        <v>3433.88</v>
      </c>
      <c r="M1379" s="277"/>
      <c r="N1379" s="277"/>
      <c r="O1379" s="277"/>
      <c r="P1379" s="277"/>
      <c r="Q1379" s="42"/>
      <c r="R1379" s="42"/>
      <c r="S1379" s="43"/>
      <c r="T1379" s="42"/>
      <c r="U1379" s="42"/>
      <c r="V1379" s="41"/>
      <c r="W1379" s="40"/>
    </row>
    <row r="1380" spans="1:31" ht="15.75">
      <c r="A1380" s="195">
        <v>43993</v>
      </c>
      <c r="B1380" s="63" t="s">
        <v>158</v>
      </c>
      <c r="C1380" s="63" t="s">
        <v>156</v>
      </c>
      <c r="D1380">
        <v>1909.47</v>
      </c>
      <c r="E1380">
        <v>1907.11</v>
      </c>
      <c r="F1380">
        <v>1899.3</v>
      </c>
      <c r="G1380">
        <v>1907.28</v>
      </c>
      <c r="H1380">
        <v>1912.09</v>
      </c>
      <c r="I1380">
        <v>1915.07</v>
      </c>
      <c r="J1380">
        <v>1904</v>
      </c>
      <c r="K1380">
        <v>1929.45</v>
      </c>
      <c r="L1380">
        <v>1914.18</v>
      </c>
      <c r="M1380" s="62"/>
      <c r="N1380" s="62"/>
      <c r="O1380" s="62"/>
      <c r="P1380" s="62"/>
      <c r="Q1380" s="63">
        <f>IF((L1381=""),"",MAX(D1382:L1382))</f>
        <v>3120.8</v>
      </c>
      <c r="R1380" s="63">
        <f>IF(L1381="","",MIN(D1382:L1382))</f>
        <v>2776.76</v>
      </c>
      <c r="S1380" s="275">
        <f>IF((L1382=""),"",AVERAGE(D1382:L1382))</f>
        <v>2919.1911111111112</v>
      </c>
      <c r="T1380" s="63">
        <f>IF((L1381=""),"",((Q1380-R1380)/(Q1380+R1380))*100)</f>
        <v>5.8335989799171175</v>
      </c>
      <c r="U1380" s="63">
        <f>STDEV(D1380:L1380)</f>
        <v>8.5538500103171735</v>
      </c>
      <c r="V1380" s="55" t="str">
        <f>IF(L1381="","",(IF(T1380&lt;12,IF(S1380&gt;2200,IF(S1380&lt;3280,"Pass","Fail"),"Fail"),"Fail")))</f>
        <v>Pass</v>
      </c>
      <c r="W1380" s="67">
        <v>1159</v>
      </c>
      <c r="X1380" s="26" t="s">
        <v>450</v>
      </c>
      <c r="Z1380" s="53">
        <v>2800</v>
      </c>
      <c r="AA1380" s="53">
        <v>3800</v>
      </c>
      <c r="AB1380" s="53">
        <v>3100</v>
      </c>
      <c r="AC1380" s="53">
        <v>3760</v>
      </c>
      <c r="AD1380" s="52">
        <v>6</v>
      </c>
      <c r="AE1380" s="52">
        <v>6</v>
      </c>
    </row>
    <row r="1381" spans="1:31" ht="15.75">
      <c r="A1381" s="195"/>
      <c r="B1381" s="48"/>
      <c r="C1381" s="48" t="s">
        <v>155</v>
      </c>
      <c r="D1381">
        <v>1180.0899999999999</v>
      </c>
      <c r="E1381">
        <v>1196.6199999999999</v>
      </c>
      <c r="F1381">
        <v>1205.1099999999999</v>
      </c>
      <c r="G1381">
        <v>1191.05</v>
      </c>
      <c r="H1381">
        <v>1158.51</v>
      </c>
      <c r="I1381">
        <v>1186.8</v>
      </c>
      <c r="J1381">
        <v>1204.6600000000001</v>
      </c>
      <c r="K1381">
        <v>1172.95</v>
      </c>
      <c r="L1381">
        <v>1133.98</v>
      </c>
      <c r="M1381" s="50"/>
      <c r="N1381" s="50"/>
      <c r="O1381" s="50"/>
      <c r="P1381" s="50"/>
      <c r="Q1381" s="48"/>
      <c r="R1381" s="48"/>
      <c r="S1381" s="48"/>
      <c r="T1381" s="48"/>
      <c r="U1381" s="48"/>
      <c r="V1381" s="47"/>
      <c r="W1381" s="46"/>
    </row>
    <row r="1382" spans="1:31" ht="24.75" thickBot="1">
      <c r="A1382" s="195"/>
      <c r="B1382" s="48"/>
      <c r="C1382" s="48" t="s">
        <v>154</v>
      </c>
      <c r="D1382" s="276">
        <f t="shared" ref="D1382:L1382" si="455">IF(((D1380="")*AND(D1381="")),"",(D1380-D1381)*4)</f>
        <v>2917.5200000000004</v>
      </c>
      <c r="E1382" s="276">
        <f t="shared" si="455"/>
        <v>2841.96</v>
      </c>
      <c r="F1382" s="276">
        <f t="shared" si="455"/>
        <v>2776.76</v>
      </c>
      <c r="G1382" s="276">
        <f t="shared" si="455"/>
        <v>2864.92</v>
      </c>
      <c r="H1382" s="276">
        <f t="shared" si="455"/>
        <v>3014.3199999999997</v>
      </c>
      <c r="I1382" s="276">
        <f t="shared" si="455"/>
        <v>2913.08</v>
      </c>
      <c r="J1382" s="276">
        <f t="shared" si="455"/>
        <v>2797.3599999999997</v>
      </c>
      <c r="K1382" s="276">
        <f t="shared" si="455"/>
        <v>3026</v>
      </c>
      <c r="L1382" s="276">
        <f t="shared" si="455"/>
        <v>3120.8</v>
      </c>
      <c r="M1382" s="276"/>
      <c r="N1382" s="276"/>
      <c r="O1382" s="276"/>
      <c r="P1382" s="276" t="str">
        <f>IF(((P1380="")*AND(P1381="")),"",(P1380-P1381)*4)</f>
        <v/>
      </c>
      <c r="Q1382" s="48"/>
      <c r="R1382" s="48"/>
      <c r="S1382" s="48"/>
      <c r="T1382" s="48"/>
      <c r="U1382" s="48"/>
      <c r="V1382" s="47"/>
      <c r="W1382" s="46"/>
    </row>
    <row r="1383" spans="1:31" ht="15.75">
      <c r="A1383" s="195">
        <v>43993</v>
      </c>
      <c r="B1383" s="48" t="s">
        <v>157</v>
      </c>
      <c r="C1383" s="48" t="s">
        <v>156</v>
      </c>
      <c r="D1383">
        <v>3288.68</v>
      </c>
      <c r="E1383">
        <v>3388.82</v>
      </c>
      <c r="F1383">
        <v>3493.54</v>
      </c>
      <c r="G1383">
        <v>3480.58</v>
      </c>
      <c r="H1383">
        <v>3449.64</v>
      </c>
      <c r="I1383">
        <v>3305.45</v>
      </c>
      <c r="J1383">
        <v>3452.04</v>
      </c>
      <c r="K1383">
        <v>3491.5</v>
      </c>
      <c r="L1383">
        <v>3478.77</v>
      </c>
      <c r="M1383" s="50"/>
      <c r="N1383" s="50"/>
      <c r="O1383" s="50"/>
      <c r="P1383" s="50"/>
      <c r="Q1383" s="48">
        <f>IF((L1384=""),"",MAX(D1385:L1385))</f>
        <v>3561.7999999999997</v>
      </c>
      <c r="R1383" s="48">
        <f>IF(L1384="","",MIN(D1385:L1385))</f>
        <v>3494.56</v>
      </c>
      <c r="S1383" s="49">
        <f>IF((L1385=""),"",AVERAGE(D1385:L1385))</f>
        <v>3526.6777777777779</v>
      </c>
      <c r="T1383" s="48">
        <f>IF((L1384=""),"",((Q1383-R1383)/(Q1383+R1383))*100)</f>
        <v>0.95289922849740927</v>
      </c>
      <c r="U1383" s="48">
        <f>STDEV(D1383:L1383)</f>
        <v>79.546498822992945</v>
      </c>
      <c r="V1383" s="47" t="str">
        <f>IF(L1384="","",(IF(T1383&lt;7,IF(S1383&gt;2800,IF(S1383&lt;3800,"Pass","Fail"),"Fail"),"Fail")))</f>
        <v>Pass</v>
      </c>
      <c r="W1383" s="67">
        <v>1159</v>
      </c>
      <c r="X1383" s="26" t="s">
        <v>450</v>
      </c>
      <c r="Z1383" s="37">
        <v>2000</v>
      </c>
      <c r="AA1383" s="37">
        <v>3000</v>
      </c>
      <c r="AB1383" s="37">
        <v>2200</v>
      </c>
      <c r="AC1383" s="37">
        <v>3280</v>
      </c>
      <c r="AD1383" s="39">
        <v>12</v>
      </c>
      <c r="AE1383" s="39">
        <v>12</v>
      </c>
    </row>
    <row r="1384" spans="1:31" ht="15.75">
      <c r="A1384" s="195"/>
      <c r="B1384" s="48"/>
      <c r="C1384" s="48" t="s">
        <v>155</v>
      </c>
      <c r="D1384">
        <v>1516.34</v>
      </c>
      <c r="E1384">
        <v>1626.29</v>
      </c>
      <c r="F1384">
        <v>1730.31</v>
      </c>
      <c r="G1384">
        <v>1721.01</v>
      </c>
      <c r="H1384">
        <v>1702.36</v>
      </c>
      <c r="I1384">
        <v>1524.55</v>
      </c>
      <c r="J1384">
        <v>1689.44</v>
      </c>
      <c r="K1384">
        <v>1730.5</v>
      </c>
      <c r="L1384">
        <v>1718.17</v>
      </c>
      <c r="M1384" s="50"/>
      <c r="N1384" s="50"/>
      <c r="O1384" s="50"/>
      <c r="P1384" s="50"/>
      <c r="Q1384" s="48"/>
      <c r="R1384" s="48"/>
      <c r="S1384" s="49"/>
      <c r="T1384" s="48"/>
      <c r="U1384" s="48"/>
      <c r="V1384" s="47"/>
      <c r="W1384" s="46"/>
    </row>
    <row r="1385" spans="1:31" ht="24.75" thickBot="1">
      <c r="A1385" s="195"/>
      <c r="B1385" s="42"/>
      <c r="C1385" s="42" t="s">
        <v>154</v>
      </c>
      <c r="D1385" s="277">
        <f t="shared" ref="D1385:L1385" si="456">IF(((D1383="")*AND(D1384="")),"",(D1383-D1384)*2)</f>
        <v>3544.68</v>
      </c>
      <c r="E1385" s="277">
        <f t="shared" si="456"/>
        <v>3525.0600000000004</v>
      </c>
      <c r="F1385" s="277">
        <f t="shared" si="456"/>
        <v>3526.46</v>
      </c>
      <c r="G1385" s="277">
        <f t="shared" si="456"/>
        <v>3519.14</v>
      </c>
      <c r="H1385" s="277">
        <f t="shared" si="456"/>
        <v>3494.56</v>
      </c>
      <c r="I1385" s="277">
        <f t="shared" si="456"/>
        <v>3561.7999999999997</v>
      </c>
      <c r="J1385" s="277">
        <f t="shared" si="456"/>
        <v>3525.2</v>
      </c>
      <c r="K1385" s="277">
        <f t="shared" si="456"/>
        <v>3522</v>
      </c>
      <c r="L1385" s="277">
        <f t="shared" si="456"/>
        <v>3521.2</v>
      </c>
      <c r="M1385" s="277"/>
      <c r="N1385" s="277"/>
      <c r="O1385" s="277"/>
      <c r="P1385" s="277"/>
      <c r="Q1385" s="42"/>
      <c r="R1385" s="42"/>
      <c r="S1385" s="43"/>
      <c r="T1385" s="42"/>
      <c r="U1385" s="42"/>
      <c r="V1385" s="41"/>
      <c r="W1385" s="40"/>
    </row>
    <row r="1386" spans="1:31" ht="15.75">
      <c r="A1386" s="195">
        <v>43997</v>
      </c>
      <c r="B1386" s="63" t="s">
        <v>158</v>
      </c>
      <c r="C1386" s="63" t="s">
        <v>156</v>
      </c>
      <c r="D1386">
        <v>1905.64</v>
      </c>
      <c r="E1386">
        <v>1899.27</v>
      </c>
      <c r="F1386">
        <v>1896.12</v>
      </c>
      <c r="G1386">
        <v>1900.3</v>
      </c>
      <c r="H1386">
        <v>1905.69</v>
      </c>
      <c r="I1386">
        <v>1909.14</v>
      </c>
      <c r="J1386">
        <v>1903.28</v>
      </c>
      <c r="K1386">
        <v>2012.89</v>
      </c>
      <c r="L1386">
        <v>1902</v>
      </c>
      <c r="M1386" s="62"/>
      <c r="N1386" s="62"/>
      <c r="O1386" s="62"/>
      <c r="P1386" s="62"/>
      <c r="Q1386" s="63">
        <f>IF((L1387=""),"",MAX(D1388:L1388))</f>
        <v>3336.6400000000003</v>
      </c>
      <c r="R1386" s="63">
        <f>IF(L1387="","",MIN(D1388:L1388))</f>
        <v>2702.5599999999995</v>
      </c>
      <c r="S1386" s="275">
        <f>IF((L1388=""),"",AVERAGE(D1388:L1388))</f>
        <v>2899.8666666666668</v>
      </c>
      <c r="T1386" s="63">
        <f>IF((L1387=""),"",((Q1386-R1386)/(Q1386+R1386))*100)</f>
        <v>10.499403894555584</v>
      </c>
      <c r="U1386" s="63">
        <f>STDEV(D1386:L1386)</f>
        <v>36.941445596740195</v>
      </c>
      <c r="V1386" s="55" t="str">
        <f>IF(L1387="","",(IF(T1386&lt;12,IF(S1386&gt;2200,IF(S1386&lt;3280,"Pass","Fail"),"Fail"),"Fail")))</f>
        <v>Pass</v>
      </c>
      <c r="W1386" s="67">
        <v>1335</v>
      </c>
      <c r="Z1386" s="53">
        <v>2800</v>
      </c>
      <c r="AA1386" s="53">
        <v>3800</v>
      </c>
      <c r="AB1386" s="53">
        <v>3100</v>
      </c>
      <c r="AC1386" s="53">
        <v>3760</v>
      </c>
      <c r="AD1386" s="52">
        <v>6</v>
      </c>
      <c r="AE1386" s="52">
        <v>6</v>
      </c>
    </row>
    <row r="1387" spans="1:31" ht="15.75">
      <c r="A1387" s="195"/>
      <c r="B1387" s="48"/>
      <c r="C1387" s="48" t="s">
        <v>155</v>
      </c>
      <c r="D1387">
        <v>1188.8800000000001</v>
      </c>
      <c r="E1387">
        <v>1201.3800000000001</v>
      </c>
      <c r="F1387">
        <v>1220.48</v>
      </c>
      <c r="G1387">
        <v>1197.9000000000001</v>
      </c>
      <c r="H1387">
        <v>1167.6600000000001</v>
      </c>
      <c r="I1387">
        <v>1201</v>
      </c>
      <c r="J1387">
        <v>1211.3</v>
      </c>
      <c r="K1387">
        <v>1178.73</v>
      </c>
      <c r="L1387">
        <v>1142.3</v>
      </c>
      <c r="M1387" s="50"/>
      <c r="N1387" s="50"/>
      <c r="O1387" s="50"/>
      <c r="P1387" s="50"/>
      <c r="Q1387" s="48"/>
      <c r="R1387" s="48"/>
      <c r="S1387" s="48"/>
      <c r="T1387" s="48"/>
      <c r="U1387" s="48"/>
      <c r="V1387" s="47"/>
      <c r="W1387" s="46"/>
      <c r="X1387" s="26" t="s">
        <v>452</v>
      </c>
    </row>
    <row r="1388" spans="1:31" ht="24.75" thickBot="1">
      <c r="A1388" s="195"/>
      <c r="B1388" s="48"/>
      <c r="C1388" s="48" t="s">
        <v>154</v>
      </c>
      <c r="D1388" s="276">
        <f t="shared" ref="D1388:L1388" si="457">IF(((D1386="")*AND(D1387="")),"",(D1386-D1387)*4)</f>
        <v>2867.04</v>
      </c>
      <c r="E1388" s="276">
        <f t="shared" si="457"/>
        <v>2791.5599999999995</v>
      </c>
      <c r="F1388" s="276">
        <f t="shared" si="457"/>
        <v>2702.5599999999995</v>
      </c>
      <c r="G1388" s="276">
        <f t="shared" si="457"/>
        <v>2809.5999999999995</v>
      </c>
      <c r="H1388" s="276">
        <f t="shared" si="457"/>
        <v>2952.12</v>
      </c>
      <c r="I1388" s="276">
        <f t="shared" si="457"/>
        <v>2832.5600000000004</v>
      </c>
      <c r="J1388" s="276">
        <f t="shared" si="457"/>
        <v>2767.92</v>
      </c>
      <c r="K1388" s="276">
        <f t="shared" si="457"/>
        <v>3336.6400000000003</v>
      </c>
      <c r="L1388" s="276">
        <f t="shared" si="457"/>
        <v>3038.8</v>
      </c>
      <c r="M1388" s="276"/>
      <c r="N1388" s="276"/>
      <c r="O1388" s="276"/>
      <c r="P1388" s="276" t="str">
        <f>IF(((P1386="")*AND(P1387="")),"",(P1386-P1387)*4)</f>
        <v/>
      </c>
      <c r="Q1388" s="48"/>
      <c r="R1388" s="48"/>
      <c r="S1388" s="48"/>
      <c r="T1388" s="48"/>
      <c r="U1388" s="48"/>
      <c r="V1388" s="47"/>
      <c r="W1388" s="46"/>
    </row>
    <row r="1389" spans="1:31" ht="15.75">
      <c r="A1389" s="195">
        <v>43997</v>
      </c>
      <c r="B1389" s="48" t="s">
        <v>157</v>
      </c>
      <c r="C1389" s="48" t="s">
        <v>156</v>
      </c>
      <c r="D1389">
        <v>6770.5</v>
      </c>
      <c r="E1389">
        <v>6880.24</v>
      </c>
      <c r="F1389">
        <v>6974.04</v>
      </c>
      <c r="G1389">
        <v>6951.37</v>
      </c>
      <c r="H1389">
        <v>6874.93</v>
      </c>
      <c r="I1389">
        <v>6780.47</v>
      </c>
      <c r="J1389">
        <v>6926.22</v>
      </c>
      <c r="K1389">
        <v>6981.39</v>
      </c>
      <c r="L1389">
        <v>6961.86</v>
      </c>
      <c r="M1389" s="50"/>
      <c r="N1389" s="50"/>
      <c r="O1389" s="50"/>
      <c r="P1389" s="50"/>
      <c r="Q1389" s="48">
        <f>IF((L1390=""),"",MAX(D1391:L1391))</f>
        <v>3775.6399999999994</v>
      </c>
      <c r="R1389" s="48">
        <f>IF(L1390="","",MIN(D1391:L1391))</f>
        <v>3647.1000000000004</v>
      </c>
      <c r="S1389" s="49">
        <f>IF((L1391=""),"",AVERAGE(D1391:L1391))</f>
        <v>3680.744444444445</v>
      </c>
      <c r="T1389" s="48">
        <f>IF((L1390=""),"",((Q1389-R1389)/(Q1389+R1389))*100)</f>
        <v>1.7317055426971584</v>
      </c>
      <c r="U1389" s="48">
        <f>STDEV(D1389:L1389)</f>
        <v>80.106020685004836</v>
      </c>
      <c r="V1389" s="47" t="str">
        <f>IF(L1390="","",(IF(T1389&lt;7,IF(S1389&gt;2800,IF(S1389&lt;3800,"Pass","Fail"),"Fail"),"Fail")))</f>
        <v>Pass</v>
      </c>
      <c r="W1389" s="67">
        <v>1335</v>
      </c>
      <c r="Z1389" s="37">
        <v>2000</v>
      </c>
      <c r="AA1389" s="37">
        <v>3000</v>
      </c>
      <c r="AB1389" s="37">
        <v>2200</v>
      </c>
      <c r="AC1389" s="37">
        <v>3280</v>
      </c>
      <c r="AD1389" s="39">
        <v>12</v>
      </c>
      <c r="AE1389" s="39">
        <v>12</v>
      </c>
    </row>
    <row r="1390" spans="1:31" ht="15.75">
      <c r="A1390" s="195"/>
      <c r="B1390" s="48"/>
      <c r="C1390" s="48" t="s">
        <v>155</v>
      </c>
      <c r="D1390">
        <v>4882.68</v>
      </c>
      <c r="E1390">
        <v>5046.5200000000004</v>
      </c>
      <c r="F1390">
        <v>5146.33</v>
      </c>
      <c r="G1390">
        <v>5123.03</v>
      </c>
      <c r="H1390">
        <v>5051.38</v>
      </c>
      <c r="I1390">
        <v>4926.62</v>
      </c>
      <c r="J1390">
        <v>5093.49</v>
      </c>
      <c r="K1390">
        <v>5151.95</v>
      </c>
      <c r="L1390">
        <v>5115.67</v>
      </c>
      <c r="M1390" s="50"/>
      <c r="N1390" s="50"/>
      <c r="O1390" s="50"/>
      <c r="P1390" s="50"/>
      <c r="Q1390" s="48"/>
      <c r="R1390" s="48"/>
      <c r="S1390" s="49"/>
      <c r="T1390" s="48"/>
      <c r="U1390" s="48"/>
      <c r="V1390" s="47"/>
      <c r="W1390" s="46"/>
    </row>
    <row r="1391" spans="1:31" ht="24.75" thickBot="1">
      <c r="A1391" s="195"/>
      <c r="B1391" s="42"/>
      <c r="C1391" s="42" t="s">
        <v>154</v>
      </c>
      <c r="D1391" s="277">
        <f t="shared" ref="D1391:L1391" si="458">IF(((D1389="")*AND(D1390="")),"",(D1389-D1390)*2)</f>
        <v>3775.6399999999994</v>
      </c>
      <c r="E1391" s="277">
        <f t="shared" si="458"/>
        <v>3667.4399999999987</v>
      </c>
      <c r="F1391" s="277">
        <f t="shared" si="458"/>
        <v>3655.42</v>
      </c>
      <c r="G1391" s="277">
        <f t="shared" si="458"/>
        <v>3656.6800000000003</v>
      </c>
      <c r="H1391" s="277">
        <f t="shared" si="458"/>
        <v>3647.1000000000004</v>
      </c>
      <c r="I1391" s="277">
        <f t="shared" si="458"/>
        <v>3707.7000000000007</v>
      </c>
      <c r="J1391" s="277">
        <f t="shared" si="458"/>
        <v>3665.4600000000009</v>
      </c>
      <c r="K1391" s="277">
        <f t="shared" si="458"/>
        <v>3658.880000000001</v>
      </c>
      <c r="L1391" s="277">
        <f t="shared" si="458"/>
        <v>3692.3799999999992</v>
      </c>
      <c r="M1391" s="277"/>
      <c r="N1391" s="277"/>
      <c r="O1391" s="277"/>
      <c r="P1391" s="277"/>
      <c r="Q1391" s="42"/>
      <c r="R1391" s="42"/>
      <c r="S1391" s="43"/>
      <c r="T1391" s="42"/>
      <c r="U1391" s="42"/>
      <c r="V1391" s="41"/>
      <c r="W1391" s="40"/>
    </row>
    <row r="1392" spans="1:31" ht="15.75">
      <c r="A1392" s="195">
        <v>44007</v>
      </c>
      <c r="B1392" s="63" t="s">
        <v>158</v>
      </c>
      <c r="C1392" s="63" t="s">
        <v>156</v>
      </c>
      <c r="D1392">
        <v>1906.43</v>
      </c>
      <c r="E1392">
        <v>1905.79</v>
      </c>
      <c r="F1392">
        <v>1895.37</v>
      </c>
      <c r="G1392">
        <v>1901.28</v>
      </c>
      <c r="H1392">
        <v>1910.69</v>
      </c>
      <c r="I1392">
        <v>1945.14</v>
      </c>
      <c r="J1392">
        <v>1901.61</v>
      </c>
      <c r="K1392">
        <v>1901.12</v>
      </c>
      <c r="L1392">
        <v>1907.67</v>
      </c>
      <c r="M1392" s="62"/>
      <c r="N1392" s="62"/>
      <c r="O1392" s="62"/>
      <c r="P1392" s="62"/>
      <c r="Q1392" s="63">
        <f>IF((L1393=""),"",MAX(D1394:L1394))</f>
        <v>3075.7200000000003</v>
      </c>
      <c r="R1392" s="63">
        <f>IF(L1393="","",MIN(D1394:L1394))</f>
        <v>2734.6799999999994</v>
      </c>
      <c r="S1392" s="275">
        <f>IF((L1394=""),"",AVERAGE(D1394:L1394))</f>
        <v>2891.3866666666668</v>
      </c>
      <c r="T1392" s="63">
        <f>IF((L1393=""),"",((Q1392-R1392)/(Q1392+R1392))*100)</f>
        <v>5.8694754233787849</v>
      </c>
      <c r="U1392" s="63">
        <f>STDEV(D1392:L1392)</f>
        <v>14.51657510499054</v>
      </c>
      <c r="V1392" s="55" t="str">
        <f>IF(L1393="","",(IF(T1392&lt;12,IF(S1392&gt;2200,IF(S1392&lt;3280,"Pass","Fail"),"Fail"),"Fail")))</f>
        <v>Pass</v>
      </c>
      <c r="W1392" s="67">
        <v>1335</v>
      </c>
      <c r="Z1392" s="53">
        <v>2800</v>
      </c>
      <c r="AA1392" s="53">
        <v>3800</v>
      </c>
      <c r="AB1392" s="53">
        <v>3100</v>
      </c>
      <c r="AC1392" s="53">
        <v>3760</v>
      </c>
      <c r="AD1392" s="52">
        <v>6</v>
      </c>
      <c r="AE1392" s="52">
        <v>6</v>
      </c>
    </row>
    <row r="1393" spans="1:31" ht="15.75">
      <c r="A1393" s="195"/>
      <c r="B1393" s="48"/>
      <c r="C1393" s="48" t="s">
        <v>155</v>
      </c>
      <c r="D1393">
        <v>1180.1600000000001</v>
      </c>
      <c r="E1393">
        <v>1202.4000000000001</v>
      </c>
      <c r="F1393">
        <v>1211.7</v>
      </c>
      <c r="G1393">
        <v>1196.55</v>
      </c>
      <c r="H1393">
        <v>1166.26</v>
      </c>
      <c r="I1393">
        <v>1186.92</v>
      </c>
      <c r="J1393">
        <v>1206.83</v>
      </c>
      <c r="K1393">
        <v>1179.92</v>
      </c>
      <c r="L1393">
        <v>1138.74</v>
      </c>
      <c r="M1393" s="50"/>
      <c r="N1393" s="50"/>
      <c r="O1393" s="50"/>
      <c r="P1393" s="50"/>
      <c r="Q1393" s="48"/>
      <c r="R1393" s="48"/>
      <c r="S1393" s="48"/>
      <c r="T1393" s="48"/>
      <c r="U1393" s="48"/>
      <c r="V1393" s="47"/>
      <c r="W1393" s="46"/>
      <c r="X1393" s="26" t="s">
        <v>454</v>
      </c>
    </row>
    <row r="1394" spans="1:31" ht="24.75" thickBot="1">
      <c r="A1394" s="195"/>
      <c r="B1394" s="48"/>
      <c r="C1394" s="48" t="s">
        <v>154</v>
      </c>
      <c r="D1394" s="276">
        <f t="shared" ref="D1394:L1394" si="459">IF(((D1392="")*AND(D1393="")),"",(D1392-D1393)*4)</f>
        <v>2905.08</v>
      </c>
      <c r="E1394" s="276">
        <f t="shared" si="459"/>
        <v>2813.5599999999995</v>
      </c>
      <c r="F1394" s="276">
        <f t="shared" si="459"/>
        <v>2734.6799999999994</v>
      </c>
      <c r="G1394" s="276">
        <f t="shared" si="459"/>
        <v>2818.92</v>
      </c>
      <c r="H1394" s="276">
        <f t="shared" si="459"/>
        <v>2977.7200000000003</v>
      </c>
      <c r="I1394" s="276">
        <f t="shared" si="459"/>
        <v>3032.88</v>
      </c>
      <c r="J1394" s="276">
        <f t="shared" si="459"/>
        <v>2779.12</v>
      </c>
      <c r="K1394" s="276">
        <f t="shared" si="459"/>
        <v>2884.7999999999993</v>
      </c>
      <c r="L1394" s="276">
        <f t="shared" si="459"/>
        <v>3075.7200000000003</v>
      </c>
      <c r="M1394" s="276"/>
      <c r="N1394" s="276"/>
      <c r="O1394" s="276"/>
      <c r="P1394" s="276" t="str">
        <f>IF(((P1392="")*AND(P1393="")),"",(P1392-P1393)*4)</f>
        <v/>
      </c>
      <c r="Q1394" s="48"/>
      <c r="R1394" s="48"/>
      <c r="S1394" s="48"/>
      <c r="T1394" s="48"/>
      <c r="U1394" s="48"/>
      <c r="V1394" s="47"/>
      <c r="W1394" s="46"/>
    </row>
    <row r="1395" spans="1:31" ht="15.75">
      <c r="A1395" s="195">
        <v>44007</v>
      </c>
      <c r="B1395" s="48" t="s">
        <v>157</v>
      </c>
      <c r="C1395" s="48" t="s">
        <v>156</v>
      </c>
      <c r="D1395">
        <v>6742.78</v>
      </c>
      <c r="E1395">
        <v>6868.46</v>
      </c>
      <c r="F1395">
        <v>6959.22</v>
      </c>
      <c r="G1395">
        <v>6922.85</v>
      </c>
      <c r="H1395">
        <v>6863.26</v>
      </c>
      <c r="I1395">
        <v>6734.84</v>
      </c>
      <c r="J1395">
        <v>6895.19</v>
      </c>
      <c r="K1395">
        <v>6953.86</v>
      </c>
      <c r="L1395">
        <v>6919.52</v>
      </c>
      <c r="M1395" s="50"/>
      <c r="N1395" s="50"/>
      <c r="O1395" s="50"/>
      <c r="P1395" s="50"/>
      <c r="Q1395" s="48">
        <f>IF((L1396=""),"",MAX(D1397:L1397))</f>
        <v>3588.0599999999995</v>
      </c>
      <c r="R1395" s="48">
        <f>IF(L1396="","",MIN(D1397:L1397))</f>
        <v>3523.6000000000004</v>
      </c>
      <c r="S1395" s="49">
        <f>IF((L1397=""),"",AVERAGE(D1397:L1397))</f>
        <v>3557.8266666666673</v>
      </c>
      <c r="T1395" s="48">
        <f>IF((L1396=""),"",((Q1395-R1395)/(Q1395+R1395))*100)</f>
        <v>0.9063987873435897</v>
      </c>
      <c r="U1395" s="48">
        <f>STDEV(D1395:L1395)</f>
        <v>83.12166045080113</v>
      </c>
      <c r="V1395" s="47" t="str">
        <f>IF(L1396="","",(IF(T1395&lt;7,IF(S1395&gt;2800,IF(S1395&lt;3800,"Pass","Fail"),"Fail"),"Fail")))</f>
        <v>Pass</v>
      </c>
      <c r="W1395" s="67">
        <v>1335</v>
      </c>
      <c r="Z1395" s="37">
        <v>2000</v>
      </c>
      <c r="AA1395" s="37">
        <v>3000</v>
      </c>
      <c r="AB1395" s="37">
        <v>2200</v>
      </c>
      <c r="AC1395" s="37">
        <v>3280</v>
      </c>
      <c r="AD1395" s="39">
        <v>12</v>
      </c>
      <c r="AE1395" s="39">
        <v>12</v>
      </c>
    </row>
    <row r="1396" spans="1:31" ht="15.75">
      <c r="A1396" s="195"/>
      <c r="B1396" s="48"/>
      <c r="C1396" s="48" t="s">
        <v>155</v>
      </c>
      <c r="D1396">
        <v>4966.03</v>
      </c>
      <c r="E1396">
        <v>5074.43</v>
      </c>
      <c r="F1396">
        <v>5180.07</v>
      </c>
      <c r="G1396">
        <v>5150.21</v>
      </c>
      <c r="H1396">
        <v>5101.46</v>
      </c>
      <c r="I1396">
        <v>4942</v>
      </c>
      <c r="J1396">
        <v>5119.84</v>
      </c>
      <c r="K1396">
        <v>5176.9799999999996</v>
      </c>
      <c r="L1396">
        <v>5138.74</v>
      </c>
      <c r="M1396" s="50"/>
      <c r="N1396" s="50"/>
      <c r="O1396" s="50"/>
      <c r="P1396" s="50"/>
      <c r="Q1396" s="48"/>
      <c r="R1396" s="48"/>
      <c r="S1396" s="49"/>
      <c r="T1396" s="48"/>
      <c r="U1396" s="48"/>
      <c r="V1396" s="47"/>
      <c r="W1396" s="46"/>
    </row>
    <row r="1397" spans="1:31" ht="24.75" thickBot="1">
      <c r="A1397" s="195"/>
      <c r="B1397" s="42"/>
      <c r="C1397" s="42" t="s">
        <v>154</v>
      </c>
      <c r="D1397" s="277">
        <f t="shared" ref="D1397:L1397" si="460">IF(((D1395="")*AND(D1396="")),"",(D1395-D1396)*2)</f>
        <v>3553.5</v>
      </c>
      <c r="E1397" s="277">
        <f t="shared" si="460"/>
        <v>3588.0599999999995</v>
      </c>
      <c r="F1397" s="277">
        <f t="shared" si="460"/>
        <v>3558.3000000000011</v>
      </c>
      <c r="G1397" s="277">
        <f t="shared" si="460"/>
        <v>3545.2800000000007</v>
      </c>
      <c r="H1397" s="277">
        <f t="shared" si="460"/>
        <v>3523.6000000000004</v>
      </c>
      <c r="I1397" s="277">
        <f t="shared" si="460"/>
        <v>3585.6800000000003</v>
      </c>
      <c r="J1397" s="277">
        <f t="shared" si="460"/>
        <v>3550.6999999999989</v>
      </c>
      <c r="K1397" s="277">
        <f t="shared" si="460"/>
        <v>3553.76</v>
      </c>
      <c r="L1397" s="277">
        <f t="shared" si="460"/>
        <v>3561.5600000000013</v>
      </c>
      <c r="M1397" s="277"/>
      <c r="N1397" s="277"/>
      <c r="O1397" s="277"/>
      <c r="P1397" s="277"/>
      <c r="Q1397" s="42"/>
      <c r="R1397" s="42"/>
      <c r="S1397" s="43"/>
      <c r="T1397" s="42"/>
      <c r="U1397" s="42"/>
      <c r="V1397" s="41"/>
      <c r="W1397" s="40"/>
    </row>
    <row r="1398" spans="1:31" ht="15.75">
      <c r="A1398" s="195">
        <v>44011</v>
      </c>
      <c r="B1398" s="63" t="s">
        <v>158</v>
      </c>
      <c r="C1398" s="63" t="s">
        <v>156</v>
      </c>
      <c r="D1398">
        <v>1181.6199999999999</v>
      </c>
      <c r="E1398">
        <v>1203.74</v>
      </c>
      <c r="F1398">
        <v>1210.1600000000001</v>
      </c>
      <c r="G1398">
        <v>1196.95</v>
      </c>
      <c r="H1398">
        <v>1167.79</v>
      </c>
      <c r="I1398">
        <v>1190.27</v>
      </c>
      <c r="J1398">
        <v>1208.19</v>
      </c>
      <c r="K1398">
        <v>1184.3599999999999</v>
      </c>
      <c r="L1398">
        <v>1138.22</v>
      </c>
      <c r="M1398" s="62"/>
      <c r="N1398" s="62"/>
      <c r="O1398" s="62"/>
      <c r="P1398" s="62"/>
      <c r="Q1398" s="63">
        <f>IF((L1399=""),"",MAX(D1400:L1400))</f>
        <v>3064</v>
      </c>
      <c r="R1398" s="63">
        <f>IF(L1399="","",MIN(D1400:L1400))</f>
        <v>2701.9999999999995</v>
      </c>
      <c r="S1398" s="275">
        <f>IF((L1400=""),"",AVERAGE(D1400:L1400))</f>
        <v>2839.3511111111111</v>
      </c>
      <c r="T1398" s="63">
        <f>IF((L1399=""),"",((Q1398-R1398)/(Q1398+R1398))*100)</f>
        <v>6.2781824488380238</v>
      </c>
      <c r="U1398" s="63">
        <f>STDEV(D1398:L1398)</f>
        <v>22.801946432526439</v>
      </c>
      <c r="V1398" s="55" t="str">
        <f>IF(L1399="","",(IF(T1398&lt;12,IF(S1398&gt;2200,IF(S1398&lt;3280,"Pass","Fail"),"Fail"),"Fail")))</f>
        <v>Pass</v>
      </c>
      <c r="W1398" s="67">
        <v>1335</v>
      </c>
      <c r="X1398" s="26" t="s">
        <v>456</v>
      </c>
      <c r="Z1398" s="53">
        <v>2800</v>
      </c>
      <c r="AA1398" s="53">
        <v>3800</v>
      </c>
      <c r="AB1398" s="53">
        <v>3100</v>
      </c>
      <c r="AC1398" s="53">
        <v>3760</v>
      </c>
      <c r="AD1398" s="52">
        <v>6</v>
      </c>
      <c r="AE1398" s="52">
        <v>6</v>
      </c>
    </row>
    <row r="1399" spans="1:31" ht="15.75">
      <c r="A1399" s="195"/>
      <c r="B1399" s="48"/>
      <c r="C1399" s="48" t="s">
        <v>155</v>
      </c>
      <c r="D1399">
        <v>451.3</v>
      </c>
      <c r="E1399">
        <v>506.25</v>
      </c>
      <c r="F1399">
        <v>529.89</v>
      </c>
      <c r="G1399">
        <v>500.33</v>
      </c>
      <c r="H1399">
        <v>423.23</v>
      </c>
      <c r="I1399">
        <v>480.49</v>
      </c>
      <c r="J1399">
        <v>520.19000000000005</v>
      </c>
      <c r="K1399">
        <v>508.86</v>
      </c>
      <c r="L1399">
        <v>372.22</v>
      </c>
      <c r="M1399" s="50"/>
      <c r="N1399" s="50"/>
      <c r="O1399" s="50"/>
      <c r="P1399" s="50"/>
      <c r="Q1399" s="48"/>
      <c r="R1399" s="48"/>
      <c r="S1399" s="48"/>
      <c r="T1399" s="48"/>
      <c r="U1399" s="48"/>
      <c r="V1399" s="47"/>
      <c r="W1399" s="46"/>
    </row>
    <row r="1400" spans="1:31" ht="24.75" thickBot="1">
      <c r="A1400" s="195"/>
      <c r="B1400" s="48"/>
      <c r="C1400" s="48" t="s">
        <v>154</v>
      </c>
      <c r="D1400" s="276">
        <f t="shared" ref="D1400:L1400" si="461">IF(((D1398="")*AND(D1399="")),"",(D1398-D1399)*4)</f>
        <v>2921.2799999999997</v>
      </c>
      <c r="E1400" s="276">
        <f t="shared" si="461"/>
        <v>2789.96</v>
      </c>
      <c r="F1400" s="276">
        <f t="shared" si="461"/>
        <v>2721.0800000000004</v>
      </c>
      <c r="G1400" s="276">
        <f t="shared" si="461"/>
        <v>2786.4800000000005</v>
      </c>
      <c r="H1400" s="276">
        <f t="shared" si="461"/>
        <v>2978.24</v>
      </c>
      <c r="I1400" s="276">
        <f t="shared" si="461"/>
        <v>2839.12</v>
      </c>
      <c r="J1400" s="276">
        <f t="shared" si="461"/>
        <v>2752</v>
      </c>
      <c r="K1400" s="276">
        <f t="shared" si="461"/>
        <v>2701.9999999999995</v>
      </c>
      <c r="L1400" s="276">
        <f t="shared" si="461"/>
        <v>3064</v>
      </c>
      <c r="M1400" s="276"/>
      <c r="N1400" s="276"/>
      <c r="O1400" s="276"/>
      <c r="P1400" s="276" t="str">
        <f>IF(((P1398="")*AND(P1399="")),"",(P1398-P1399)*4)</f>
        <v/>
      </c>
      <c r="Q1400" s="48"/>
      <c r="R1400" s="48"/>
      <c r="S1400" s="48"/>
      <c r="T1400" s="48"/>
      <c r="U1400" s="48"/>
      <c r="V1400" s="47"/>
      <c r="W1400" s="46"/>
    </row>
    <row r="1401" spans="1:31" ht="15.75">
      <c r="A1401" s="195">
        <v>44011</v>
      </c>
      <c r="B1401" s="48" t="s">
        <v>157</v>
      </c>
      <c r="C1401" s="48" t="s">
        <v>156</v>
      </c>
      <c r="D1401">
        <v>4967.55</v>
      </c>
      <c r="E1401">
        <v>5076.5600000000004</v>
      </c>
      <c r="F1401">
        <v>5182.22</v>
      </c>
      <c r="G1401">
        <v>5152.16</v>
      </c>
      <c r="H1401">
        <v>5103.29</v>
      </c>
      <c r="I1401">
        <v>4943.76</v>
      </c>
      <c r="J1401">
        <v>5122.24</v>
      </c>
      <c r="K1401">
        <v>5178.74</v>
      </c>
      <c r="L1401">
        <v>5140.67</v>
      </c>
      <c r="M1401" s="50"/>
      <c r="N1401" s="50"/>
      <c r="O1401" s="50"/>
      <c r="P1401" s="50"/>
      <c r="Q1401" s="48">
        <f>IF((L1402=""),"",MAX(D1403:L1403))</f>
        <v>3578.2000000000007</v>
      </c>
      <c r="R1401" s="48">
        <f>IF(L1402="","",MIN(D1403:L1403))</f>
        <v>3495.38</v>
      </c>
      <c r="S1401" s="49">
        <f>IF((L1403=""),"",AVERAGE(D1403:L1403))</f>
        <v>3529.2977777777783</v>
      </c>
      <c r="T1401" s="48">
        <f>IF((L1402=""),"",((Q1401-R1401)/(Q1401+R1401))*100)</f>
        <v>1.1708357012997748</v>
      </c>
      <c r="U1401" s="48">
        <f>STDEV(D1401:L1401)</f>
        <v>86.764073226114121</v>
      </c>
      <c r="V1401" s="47" t="str">
        <f>IF(L1402="","",(IF(T1401&lt;7,IF(S1401&gt;2800,IF(S1401&lt;3800,"Pass","Fail"),"Fail"),"Fail")))</f>
        <v>Pass</v>
      </c>
      <c r="W1401" s="67">
        <v>1335</v>
      </c>
      <c r="Z1401" s="37">
        <v>2000</v>
      </c>
      <c r="AA1401" s="37">
        <v>3000</v>
      </c>
      <c r="AB1401" s="37">
        <v>2200</v>
      </c>
      <c r="AC1401" s="37">
        <v>3280</v>
      </c>
      <c r="AD1401" s="39">
        <v>12</v>
      </c>
      <c r="AE1401" s="39">
        <v>12</v>
      </c>
    </row>
    <row r="1402" spans="1:31" ht="15.75">
      <c r="A1402" s="195"/>
      <c r="B1402" s="48"/>
      <c r="C1402" s="48" t="s">
        <v>155</v>
      </c>
      <c r="D1402">
        <v>3194.38</v>
      </c>
      <c r="E1402">
        <v>3310.96</v>
      </c>
      <c r="F1402">
        <v>3421.43</v>
      </c>
      <c r="G1402">
        <v>3393.39</v>
      </c>
      <c r="H1402">
        <v>3355.6</v>
      </c>
      <c r="I1402">
        <v>3154.66</v>
      </c>
      <c r="J1402">
        <v>3361.27</v>
      </c>
      <c r="K1402">
        <v>3417.42</v>
      </c>
      <c r="L1402">
        <v>3376.24</v>
      </c>
      <c r="M1402" s="50"/>
      <c r="N1402" s="50"/>
      <c r="O1402" s="50"/>
      <c r="P1402" s="50"/>
      <c r="Q1402" s="48"/>
      <c r="R1402" s="48"/>
      <c r="S1402" s="49"/>
      <c r="T1402" s="48"/>
      <c r="U1402" s="48"/>
      <c r="V1402" s="47"/>
      <c r="W1402" s="46"/>
    </row>
    <row r="1403" spans="1:31" ht="24.75" thickBot="1">
      <c r="A1403" s="195"/>
      <c r="B1403" s="42"/>
      <c r="C1403" s="42" t="s">
        <v>154</v>
      </c>
      <c r="D1403" s="277">
        <f t="shared" ref="D1403:L1403" si="462">IF(((D1401="")*AND(D1402="")),"",(D1401-D1402)*2)</f>
        <v>3546.34</v>
      </c>
      <c r="E1403" s="277">
        <f t="shared" si="462"/>
        <v>3531.2000000000007</v>
      </c>
      <c r="F1403" s="277">
        <f t="shared" si="462"/>
        <v>3521.5800000000008</v>
      </c>
      <c r="G1403" s="277">
        <f t="shared" si="462"/>
        <v>3517.54</v>
      </c>
      <c r="H1403" s="277">
        <f t="shared" si="462"/>
        <v>3495.38</v>
      </c>
      <c r="I1403" s="277">
        <f t="shared" si="462"/>
        <v>3578.2000000000007</v>
      </c>
      <c r="J1403" s="277">
        <f t="shared" si="462"/>
        <v>3521.9399999999996</v>
      </c>
      <c r="K1403" s="277">
        <f t="shared" si="462"/>
        <v>3522.6399999999994</v>
      </c>
      <c r="L1403" s="277">
        <f t="shared" si="462"/>
        <v>3528.8600000000006</v>
      </c>
      <c r="M1403" s="277"/>
      <c r="N1403" s="277"/>
      <c r="O1403" s="277"/>
      <c r="P1403" s="277"/>
      <c r="Q1403" s="42"/>
      <c r="R1403" s="42"/>
      <c r="S1403" s="43"/>
      <c r="T1403" s="42"/>
      <c r="U1403" s="42"/>
      <c r="V1403" s="41"/>
      <c r="W1403" s="40"/>
    </row>
    <row r="1404" spans="1:31" ht="15.75">
      <c r="A1404" s="195">
        <v>44015</v>
      </c>
      <c r="B1404" s="63" t="s">
        <v>158</v>
      </c>
      <c r="C1404" s="56" t="s">
        <v>156</v>
      </c>
      <c r="D1404">
        <v>1907.46</v>
      </c>
      <c r="E1404">
        <v>1904.27</v>
      </c>
      <c r="F1404">
        <v>1899.53</v>
      </c>
      <c r="G1404">
        <v>1903.14</v>
      </c>
      <c r="H1404">
        <v>1908.34</v>
      </c>
      <c r="I1404">
        <v>1910.76</v>
      </c>
      <c r="J1404">
        <v>1907.67</v>
      </c>
      <c r="K1404">
        <v>1911.92</v>
      </c>
      <c r="L1404">
        <v>1906.99</v>
      </c>
      <c r="M1404" s="62"/>
      <c r="N1404" s="62"/>
      <c r="O1404" s="62"/>
      <c r="P1404" s="62"/>
      <c r="Q1404" s="57">
        <f>IF((L1405=""),"",MAX(D1406:L1406))</f>
        <v>3182.4800000000005</v>
      </c>
      <c r="R1404" s="57">
        <f>IF(L1405="","",MIN(D1406:L1406))</f>
        <v>2773.3599999999997</v>
      </c>
      <c r="S1404" s="58">
        <f>IF((L1406=""),"",AVERAGE(D1406:L1406))</f>
        <v>2954.5155555555552</v>
      </c>
      <c r="T1404" s="57">
        <f>IF((L1405=""),"",((Q1404-R1404)/(Q1404+R1404))*100)</f>
        <v>6.8692241564582117</v>
      </c>
      <c r="U1404" s="56">
        <f>STDEV(D1404:L1404)</f>
        <v>3.8406741305165064</v>
      </c>
      <c r="V1404" s="55" t="str">
        <f>IF(L1405="","",(IF(T1404&lt;12,IF(S1404&gt;2200,IF(S1404&lt;3280,"Pass","Fail"),"Fail"),"Fail")))</f>
        <v>Pass</v>
      </c>
      <c r="W1404" s="54">
        <v>1159</v>
      </c>
      <c r="X1404" s="26" t="s">
        <v>458</v>
      </c>
      <c r="Z1404" s="37">
        <v>2000</v>
      </c>
      <c r="AA1404" s="37">
        <v>3000</v>
      </c>
      <c r="AB1404" s="37">
        <v>2200</v>
      </c>
      <c r="AC1404" s="37">
        <v>3280</v>
      </c>
      <c r="AD1404" s="39">
        <v>12</v>
      </c>
      <c r="AE1404" s="39">
        <v>12</v>
      </c>
    </row>
    <row r="1405" spans="1:31" ht="15.75">
      <c r="A1405" s="199"/>
      <c r="B1405" s="48"/>
      <c r="C1405" s="51" t="s">
        <v>155</v>
      </c>
      <c r="D1405">
        <v>1165.6300000000001</v>
      </c>
      <c r="E1405">
        <v>1188.6600000000001</v>
      </c>
      <c r="F1405">
        <v>1206.19</v>
      </c>
      <c r="G1405">
        <v>1179.6400000000001</v>
      </c>
      <c r="H1405">
        <v>1135.0999999999999</v>
      </c>
      <c r="I1405">
        <v>1164.6600000000001</v>
      </c>
      <c r="J1405">
        <v>1196.99</v>
      </c>
      <c r="K1405">
        <v>1164.18</v>
      </c>
      <c r="L1405">
        <v>1111.3699999999999</v>
      </c>
      <c r="M1405" s="50"/>
      <c r="N1405" s="50"/>
      <c r="O1405" s="50"/>
      <c r="P1405" s="50"/>
      <c r="Q1405" s="48"/>
      <c r="R1405" s="48"/>
      <c r="S1405" s="48"/>
      <c r="T1405" s="48"/>
      <c r="U1405" s="48"/>
      <c r="V1405" s="47"/>
      <c r="W1405" s="46"/>
    </row>
    <row r="1406" spans="1:31" ht="24.75" thickBot="1">
      <c r="A1406" s="199"/>
      <c r="B1406" s="61"/>
      <c r="C1406" s="51" t="s">
        <v>154</v>
      </c>
      <c r="D1406" s="24">
        <f t="shared" ref="D1406:L1406" si="463">IF(((D1404="")*AND(D1405="")),"",(D1404-D1405)*4)</f>
        <v>2967.3199999999997</v>
      </c>
      <c r="E1406" s="24">
        <f t="shared" si="463"/>
        <v>2862.4399999999996</v>
      </c>
      <c r="F1406" s="24">
        <f t="shared" si="463"/>
        <v>2773.3599999999997</v>
      </c>
      <c r="G1406" s="24">
        <f t="shared" si="463"/>
        <v>2894</v>
      </c>
      <c r="H1406" s="24">
        <f t="shared" si="463"/>
        <v>3092.96</v>
      </c>
      <c r="I1406" s="24">
        <f t="shared" si="463"/>
        <v>2984.3999999999996</v>
      </c>
      <c r="J1406" s="24">
        <f t="shared" si="463"/>
        <v>2842.7200000000003</v>
      </c>
      <c r="K1406" s="24">
        <f t="shared" si="463"/>
        <v>2990.96</v>
      </c>
      <c r="L1406" s="24">
        <f t="shared" si="463"/>
        <v>3182.4800000000005</v>
      </c>
      <c r="M1406" s="24"/>
      <c r="N1406" s="24"/>
      <c r="O1406" s="24"/>
      <c r="P1406" s="24" t="str">
        <f>IF(((P1404="")*AND(P1405="")),"",(P1404-P1405)*4)</f>
        <v/>
      </c>
      <c r="Q1406" s="61"/>
      <c r="R1406" s="61"/>
      <c r="S1406" s="61"/>
      <c r="T1406" s="61"/>
      <c r="U1406" s="61"/>
      <c r="V1406" s="60"/>
      <c r="W1406" s="59"/>
    </row>
    <row r="1407" spans="1:31" ht="15.75">
      <c r="A1407" s="195">
        <v>44015</v>
      </c>
      <c r="B1407" s="57" t="s">
        <v>157</v>
      </c>
      <c r="C1407" s="51" t="s">
        <v>156</v>
      </c>
      <c r="D1407">
        <v>3201.69</v>
      </c>
      <c r="E1407">
        <v>3318.8</v>
      </c>
      <c r="F1407">
        <v>3429.88</v>
      </c>
      <c r="G1407">
        <v>3401.75</v>
      </c>
      <c r="H1407">
        <v>3364.64</v>
      </c>
      <c r="I1407">
        <v>3160.47</v>
      </c>
      <c r="J1407">
        <v>3369.33</v>
      </c>
      <c r="K1407">
        <v>3425.25</v>
      </c>
      <c r="L1407">
        <v>3383.57</v>
      </c>
      <c r="M1407" s="50"/>
      <c r="N1407" s="50"/>
      <c r="O1407" s="50"/>
      <c r="P1407" s="50"/>
      <c r="Q1407" s="57">
        <f>IF((L1408=""),"",MAX(D1409:L1409))</f>
        <v>3467.4599999999996</v>
      </c>
      <c r="R1407" s="57">
        <f>IF(L1408="","",MIN(D1409:L1409))</f>
        <v>3405.04</v>
      </c>
      <c r="S1407" s="58">
        <f>IF((L1409=""),"",AVERAGE(D1409:L1409))</f>
        <v>3451.58</v>
      </c>
      <c r="T1407" s="57">
        <f>IF((L1408=""),"",((Q1407-R1407)/(Q1407+R1407))*100)</f>
        <v>0.90825754819933968</v>
      </c>
      <c r="U1407" s="56">
        <f>STDEV(D1407:L1407)</f>
        <v>96.392756600288436</v>
      </c>
      <c r="V1407" s="55" t="str">
        <f>IF(L1408="","",(IF(T1407&lt;7,IF(S1407&gt;2800,IF(S1407&lt;3800,"Pass","Fail"),"Fail"),"Fail")))</f>
        <v>Pass</v>
      </c>
      <c r="W1407" s="54">
        <v>1159</v>
      </c>
      <c r="X1407" s="26" t="s">
        <v>458</v>
      </c>
      <c r="Z1407" s="53">
        <v>2800</v>
      </c>
      <c r="AA1407" s="53">
        <v>3800</v>
      </c>
      <c r="AB1407" s="53">
        <v>3100</v>
      </c>
      <c r="AC1407" s="53">
        <v>3760</v>
      </c>
      <c r="AD1407" s="52">
        <v>6</v>
      </c>
      <c r="AE1407" s="52">
        <v>6</v>
      </c>
    </row>
    <row r="1408" spans="1:31" ht="15.75">
      <c r="A1408" s="199"/>
      <c r="B1408" s="48"/>
      <c r="C1408" s="51" t="s">
        <v>155</v>
      </c>
      <c r="D1408">
        <v>1469.84</v>
      </c>
      <c r="E1408">
        <v>1585.59</v>
      </c>
      <c r="F1408">
        <v>1701.1</v>
      </c>
      <c r="G1408">
        <v>1678.75</v>
      </c>
      <c r="H1408">
        <v>1662.12</v>
      </c>
      <c r="I1408">
        <v>1426.74</v>
      </c>
      <c r="J1408">
        <v>1645.46</v>
      </c>
      <c r="K1408">
        <v>1696.19</v>
      </c>
      <c r="L1408">
        <v>1657.48</v>
      </c>
      <c r="M1408" s="50"/>
      <c r="N1408" s="50"/>
      <c r="O1408" s="50"/>
      <c r="P1408" s="50"/>
      <c r="Q1408" s="48"/>
      <c r="R1408" s="48"/>
      <c r="S1408" s="49"/>
      <c r="T1408" s="48"/>
      <c r="U1408" s="48"/>
      <c r="V1408" s="47"/>
      <c r="W1408" s="46"/>
    </row>
    <row r="1409" spans="1:31" ht="24.75" thickBot="1">
      <c r="A1409" s="199"/>
      <c r="B1409" s="42"/>
      <c r="C1409" s="45" t="s">
        <v>154</v>
      </c>
      <c r="D1409" s="44">
        <f t="shared" ref="D1409:L1409" si="464">IF(((D1407="")*AND(D1408="")),"",(D1407-D1408)*2)</f>
        <v>3463.7000000000003</v>
      </c>
      <c r="E1409" s="44">
        <f t="shared" si="464"/>
        <v>3466.4200000000005</v>
      </c>
      <c r="F1409" s="44">
        <f t="shared" si="464"/>
        <v>3457.5600000000004</v>
      </c>
      <c r="G1409" s="44">
        <f t="shared" si="464"/>
        <v>3446</v>
      </c>
      <c r="H1409" s="44">
        <f t="shared" si="464"/>
        <v>3405.04</v>
      </c>
      <c r="I1409" s="44">
        <f t="shared" si="464"/>
        <v>3467.4599999999996</v>
      </c>
      <c r="J1409" s="44">
        <f t="shared" si="464"/>
        <v>3447.74</v>
      </c>
      <c r="K1409" s="44">
        <f t="shared" si="464"/>
        <v>3458.12</v>
      </c>
      <c r="L1409" s="44">
        <f t="shared" si="464"/>
        <v>3452.1800000000003</v>
      </c>
      <c r="M1409" s="44"/>
      <c r="N1409" s="44"/>
      <c r="O1409" s="44"/>
      <c r="P1409" s="44"/>
      <c r="Q1409" s="42"/>
      <c r="R1409" s="42"/>
      <c r="S1409" s="43"/>
      <c r="T1409" s="42"/>
      <c r="U1409" s="42"/>
      <c r="V1409" s="41"/>
      <c r="W1409" s="40"/>
    </row>
    <row r="1410" spans="1:31" ht="15.75">
      <c r="A1410" s="195">
        <v>44019</v>
      </c>
      <c r="B1410" s="63" t="s">
        <v>158</v>
      </c>
      <c r="C1410" s="56" t="s">
        <v>156</v>
      </c>
      <c r="D1410">
        <v>1912.46</v>
      </c>
      <c r="E1410">
        <v>1910.03</v>
      </c>
      <c r="F1410">
        <v>1903.88</v>
      </c>
      <c r="G1410">
        <v>1906.15</v>
      </c>
      <c r="H1410">
        <v>1916.04</v>
      </c>
      <c r="I1410">
        <v>1917.51</v>
      </c>
      <c r="J1410">
        <v>1907.39</v>
      </c>
      <c r="K1410">
        <v>1978.53</v>
      </c>
      <c r="L1410">
        <v>1912.83</v>
      </c>
      <c r="M1410" s="62"/>
      <c r="N1410" s="62"/>
      <c r="O1410" s="62"/>
      <c r="P1410" s="62"/>
      <c r="Q1410" s="57">
        <f>IF((L1411=""),"",MAX(D1412:L1412))</f>
        <v>3236.16</v>
      </c>
      <c r="R1410" s="57">
        <f>IF(L1411="","",MIN(D1412:L1412))</f>
        <v>2821.4800000000005</v>
      </c>
      <c r="S1410" s="58">
        <f>IF((L1412=""),"",AVERAGE(D1412:L1412))</f>
        <v>3000.3822222222225</v>
      </c>
      <c r="T1410" s="57">
        <f>IF((L1411=""),"",((Q1410-R1410)/(Q1410+R1410))*100)</f>
        <v>6.8455702220666685</v>
      </c>
      <c r="U1410" s="56">
        <f>STDEV(D1410:L1410)</f>
        <v>23.02278599563197</v>
      </c>
      <c r="V1410" s="55" t="str">
        <f>IF(L1411="","",(IF(T1410&lt;12,IF(S1410&gt;2200,IF(S1410&lt;3280,"Pass","Fail"),"Fail"),"Fail")))</f>
        <v>Pass</v>
      </c>
      <c r="W1410" s="54">
        <v>1340</v>
      </c>
      <c r="Z1410" s="37">
        <v>2000</v>
      </c>
      <c r="AA1410" s="37">
        <v>3000</v>
      </c>
      <c r="AB1410" s="37">
        <v>2200</v>
      </c>
      <c r="AC1410" s="37">
        <v>3280</v>
      </c>
      <c r="AD1410" s="39">
        <v>12</v>
      </c>
      <c r="AE1410" s="39">
        <v>12</v>
      </c>
    </row>
    <row r="1411" spans="1:31" ht="15.75">
      <c r="A1411" s="199"/>
      <c r="B1411" s="48"/>
      <c r="C1411" s="51" t="s">
        <v>155</v>
      </c>
      <c r="D1411">
        <v>1166.44</v>
      </c>
      <c r="E1411">
        <v>1188.6600000000001</v>
      </c>
      <c r="F1411">
        <v>1198.51</v>
      </c>
      <c r="G1411">
        <v>1180.31</v>
      </c>
      <c r="H1411">
        <v>1127.21</v>
      </c>
      <c r="I1411">
        <v>1167.03</v>
      </c>
      <c r="J1411">
        <v>1195.78</v>
      </c>
      <c r="K1411">
        <v>1169.49</v>
      </c>
      <c r="L1411">
        <v>1120.53</v>
      </c>
      <c r="M1411" s="50"/>
      <c r="N1411" s="50"/>
      <c r="O1411" s="50"/>
      <c r="P1411" s="50"/>
      <c r="Q1411" s="48"/>
      <c r="R1411" s="48"/>
      <c r="S1411" s="48"/>
      <c r="T1411" s="48"/>
      <c r="U1411" s="48"/>
      <c r="V1411" s="47"/>
      <c r="W1411" s="46"/>
    </row>
    <row r="1412" spans="1:31" ht="24.75" thickBot="1">
      <c r="A1412" s="199"/>
      <c r="B1412" s="61"/>
      <c r="C1412" s="51" t="s">
        <v>154</v>
      </c>
      <c r="D1412" s="24">
        <f t="shared" ref="D1412:L1412" si="465">IF(((D1410="")*AND(D1411="")),"",(D1410-D1411)*4)</f>
        <v>2984.08</v>
      </c>
      <c r="E1412" s="24">
        <f t="shared" si="465"/>
        <v>2885.4799999999996</v>
      </c>
      <c r="F1412" s="24">
        <f t="shared" si="465"/>
        <v>2821.4800000000005</v>
      </c>
      <c r="G1412" s="24">
        <f t="shared" si="465"/>
        <v>2903.3600000000006</v>
      </c>
      <c r="H1412" s="24">
        <f t="shared" si="465"/>
        <v>3155.3199999999997</v>
      </c>
      <c r="I1412" s="24">
        <f t="shared" si="465"/>
        <v>3001.92</v>
      </c>
      <c r="J1412" s="24">
        <f t="shared" si="465"/>
        <v>2846.4400000000005</v>
      </c>
      <c r="K1412" s="24">
        <f t="shared" si="465"/>
        <v>3236.16</v>
      </c>
      <c r="L1412" s="24">
        <f t="shared" si="465"/>
        <v>3169.2</v>
      </c>
      <c r="M1412" s="24"/>
      <c r="N1412" s="24"/>
      <c r="O1412" s="24"/>
      <c r="P1412" s="24" t="str">
        <f>IF(((P1410="")*AND(P1411="")),"",(P1410-P1411)*4)</f>
        <v/>
      </c>
      <c r="Q1412" s="61"/>
      <c r="R1412" s="61"/>
      <c r="S1412" s="61"/>
      <c r="T1412" s="61"/>
      <c r="U1412" s="61"/>
      <c r="V1412" s="60"/>
      <c r="W1412" s="59"/>
    </row>
    <row r="1413" spans="1:31" ht="15.75">
      <c r="A1413" s="195">
        <v>44019</v>
      </c>
      <c r="B1413" s="57" t="s">
        <v>157</v>
      </c>
      <c r="C1413" s="51" t="s">
        <v>156</v>
      </c>
      <c r="D1413">
        <v>6753.86</v>
      </c>
      <c r="E1413">
        <v>6854.32</v>
      </c>
      <c r="F1413">
        <v>6955.35</v>
      </c>
      <c r="G1413">
        <v>6926.09</v>
      </c>
      <c r="H1413">
        <v>6865.78</v>
      </c>
      <c r="I1413">
        <v>6753.29</v>
      </c>
      <c r="J1413">
        <v>6903.06</v>
      </c>
      <c r="K1413">
        <v>6949.38</v>
      </c>
      <c r="L1413">
        <v>6901.09</v>
      </c>
      <c r="M1413" s="50"/>
      <c r="N1413" s="50"/>
      <c r="O1413" s="50"/>
      <c r="P1413" s="50"/>
      <c r="Q1413" s="57">
        <f>IF((L1414=""),"",MAX(D1415:L1415))</f>
        <v>3418.7199999999993</v>
      </c>
      <c r="R1413" s="57">
        <f>IF(L1414="","",MIN(D1415:L1415))</f>
        <v>3347.66</v>
      </c>
      <c r="S1413" s="58">
        <f>IF((L1415=""),"",AVERAGE(D1415:L1415))</f>
        <v>3399.6688888888889</v>
      </c>
      <c r="T1413" s="57">
        <f>IF((L1414=""),"",((Q1413-R1413)/(Q1413+R1413))*100)</f>
        <v>1.0501922741554492</v>
      </c>
      <c r="U1413" s="56">
        <f>STDEV(D1413:L1413)</f>
        <v>75.869537365146485</v>
      </c>
      <c r="V1413" s="55" t="str">
        <f>IF(L1414="","",(IF(T1413&lt;7,IF(S1413&gt;2800,IF(S1413&lt;3800,"Pass","Fail"),"Fail"),"Fail")))</f>
        <v>Pass</v>
      </c>
      <c r="W1413" s="54">
        <v>1340</v>
      </c>
      <c r="Z1413" s="53">
        <v>2800</v>
      </c>
      <c r="AA1413" s="53">
        <v>3800</v>
      </c>
      <c r="AB1413" s="53">
        <v>3100</v>
      </c>
      <c r="AC1413" s="53">
        <v>3760</v>
      </c>
      <c r="AD1413" s="52">
        <v>6</v>
      </c>
      <c r="AE1413" s="52">
        <v>6</v>
      </c>
    </row>
    <row r="1414" spans="1:31" ht="15.75">
      <c r="A1414" s="199"/>
      <c r="B1414" s="48"/>
      <c r="C1414" s="51" t="s">
        <v>155</v>
      </c>
      <c r="D1414">
        <v>5045.42</v>
      </c>
      <c r="E1414">
        <v>5146.57</v>
      </c>
      <c r="F1414">
        <v>5251.56</v>
      </c>
      <c r="G1414">
        <v>5225.57</v>
      </c>
      <c r="H1414">
        <v>5191.95</v>
      </c>
      <c r="I1414">
        <v>5061.8500000000004</v>
      </c>
      <c r="J1414">
        <v>5202.6000000000004</v>
      </c>
      <c r="K1414">
        <v>5240.0200000000004</v>
      </c>
      <c r="L1414">
        <v>5198.17</v>
      </c>
      <c r="M1414" s="50"/>
      <c r="N1414" s="50"/>
      <c r="O1414" s="50"/>
      <c r="P1414" s="50"/>
      <c r="Q1414" s="48"/>
      <c r="R1414" s="48"/>
      <c r="S1414" s="49"/>
      <c r="T1414" s="48"/>
      <c r="U1414" s="48"/>
      <c r="V1414" s="47"/>
      <c r="W1414" s="46"/>
    </row>
    <row r="1415" spans="1:31" ht="24.75" thickBot="1">
      <c r="A1415" s="199"/>
      <c r="B1415" s="42"/>
      <c r="C1415" s="45" t="s">
        <v>154</v>
      </c>
      <c r="D1415" s="44">
        <f t="shared" ref="D1415:L1415" si="466">IF(((D1413="")*AND(D1414="")),"",(D1413-D1414)*2)</f>
        <v>3416.8799999999992</v>
      </c>
      <c r="E1415" s="44">
        <f t="shared" si="466"/>
        <v>3415.5</v>
      </c>
      <c r="F1415" s="44">
        <f t="shared" si="466"/>
        <v>3407.58</v>
      </c>
      <c r="G1415" s="44">
        <f t="shared" si="466"/>
        <v>3401.0400000000009</v>
      </c>
      <c r="H1415" s="44">
        <f t="shared" si="466"/>
        <v>3347.66</v>
      </c>
      <c r="I1415" s="44">
        <f t="shared" si="466"/>
        <v>3382.8799999999992</v>
      </c>
      <c r="J1415" s="44">
        <f t="shared" si="466"/>
        <v>3400.92</v>
      </c>
      <c r="K1415" s="44">
        <f t="shared" si="466"/>
        <v>3418.7199999999993</v>
      </c>
      <c r="L1415" s="44">
        <f t="shared" si="466"/>
        <v>3405.84</v>
      </c>
      <c r="M1415" s="44"/>
      <c r="N1415" s="44"/>
      <c r="O1415" s="44"/>
      <c r="P1415" s="44"/>
      <c r="Q1415" s="42"/>
      <c r="R1415" s="42"/>
      <c r="S1415" s="43"/>
      <c r="T1415" s="42"/>
      <c r="U1415" s="42"/>
      <c r="V1415" s="41"/>
      <c r="W1415" s="40"/>
    </row>
    <row r="1416" spans="1:31" ht="15.75">
      <c r="A1416" s="195">
        <v>44022</v>
      </c>
      <c r="B1416" s="63" t="s">
        <v>158</v>
      </c>
      <c r="C1416" s="56" t="s">
        <v>156</v>
      </c>
      <c r="D1416">
        <v>1172.46</v>
      </c>
      <c r="E1416">
        <v>1195.05</v>
      </c>
      <c r="F1416">
        <v>1195.49</v>
      </c>
      <c r="G1416">
        <v>1185.99</v>
      </c>
      <c r="H1416">
        <v>1131.48</v>
      </c>
      <c r="I1416">
        <v>1166.83</v>
      </c>
      <c r="J1416">
        <v>1200.7</v>
      </c>
      <c r="K1416">
        <v>1173.01</v>
      </c>
      <c r="L1416">
        <v>1119.1199999999999</v>
      </c>
      <c r="M1416" s="62"/>
      <c r="N1416" s="62"/>
      <c r="O1416" s="62"/>
      <c r="P1416" s="62"/>
      <c r="Q1416" s="57">
        <f>IF((L1417=""),"",MAX(D1418:L1418))</f>
        <v>3114.5199999999995</v>
      </c>
      <c r="R1416" s="57">
        <f>IF(L1417="","",MIN(D1418:L1418))</f>
        <v>2725.88</v>
      </c>
      <c r="S1416" s="58">
        <f>IF((L1418=""),"",AVERAGE(D1418:L1418))</f>
        <v>2899.5111111111114</v>
      </c>
      <c r="T1416" s="57">
        <f>IF((L1417=""),"",((Q1416-R1416)/(Q1416+R1416))*100)</f>
        <v>6.6543387439216399</v>
      </c>
      <c r="U1416" s="56">
        <f>STDEV(D1416:L1416)</f>
        <v>28.639431345220057</v>
      </c>
      <c r="V1416" s="55" t="str">
        <f>IF(L1417="","",(IF(T1416&lt;12,IF(S1416&gt;2200,IF(S1416&lt;3280,"Pass","Fail"),"Fail"),"Fail")))</f>
        <v>Pass</v>
      </c>
      <c r="W1416" s="54">
        <v>121</v>
      </c>
      <c r="X1416" s="26" t="s">
        <v>463</v>
      </c>
      <c r="Z1416" s="37">
        <v>2000</v>
      </c>
      <c r="AA1416" s="37">
        <v>3000</v>
      </c>
      <c r="AB1416" s="37">
        <v>2200</v>
      </c>
      <c r="AC1416" s="37">
        <v>3280</v>
      </c>
      <c r="AD1416" s="39">
        <v>12</v>
      </c>
      <c r="AE1416" s="39">
        <v>12</v>
      </c>
    </row>
    <row r="1417" spans="1:31" ht="15.75">
      <c r="A1417" s="199"/>
      <c r="B1417" s="48"/>
      <c r="C1417" s="51" t="s">
        <v>155</v>
      </c>
      <c r="D1417">
        <v>427.87</v>
      </c>
      <c r="E1417">
        <v>490.49</v>
      </c>
      <c r="F1417">
        <v>514.02</v>
      </c>
      <c r="G1417">
        <v>477.31</v>
      </c>
      <c r="H1417">
        <v>364.63</v>
      </c>
      <c r="I1417">
        <v>428.32</v>
      </c>
      <c r="J1417">
        <v>502.52</v>
      </c>
      <c r="K1417">
        <v>470.58</v>
      </c>
      <c r="L1417">
        <v>340.49</v>
      </c>
      <c r="M1417" s="50"/>
      <c r="N1417" s="50"/>
      <c r="O1417" s="50"/>
      <c r="P1417" s="50"/>
      <c r="Q1417" s="48"/>
      <c r="R1417" s="48"/>
      <c r="S1417" s="48"/>
      <c r="T1417" s="48"/>
      <c r="U1417" s="48"/>
      <c r="V1417" s="47"/>
      <c r="W1417" s="46"/>
    </row>
    <row r="1418" spans="1:31" ht="24.75" thickBot="1">
      <c r="A1418" s="199"/>
      <c r="B1418" s="61"/>
      <c r="C1418" s="51" t="s">
        <v>154</v>
      </c>
      <c r="D1418" s="24">
        <f t="shared" ref="D1418:L1418" si="467">IF(((D1416="")*AND(D1417="")),"",(D1416-D1417)*4)</f>
        <v>2978.36</v>
      </c>
      <c r="E1418" s="24">
        <f t="shared" si="467"/>
        <v>2818.24</v>
      </c>
      <c r="F1418" s="24">
        <f t="shared" si="467"/>
        <v>2725.88</v>
      </c>
      <c r="G1418" s="24">
        <f t="shared" si="467"/>
        <v>2834.7200000000003</v>
      </c>
      <c r="H1418" s="24">
        <f t="shared" si="467"/>
        <v>3067.4</v>
      </c>
      <c r="I1418" s="24">
        <f t="shared" si="467"/>
        <v>2954.04</v>
      </c>
      <c r="J1418" s="24">
        <f t="shared" si="467"/>
        <v>2792.7200000000003</v>
      </c>
      <c r="K1418" s="24">
        <f t="shared" si="467"/>
        <v>2809.7200000000003</v>
      </c>
      <c r="L1418" s="24">
        <f t="shared" si="467"/>
        <v>3114.5199999999995</v>
      </c>
      <c r="M1418" s="24"/>
      <c r="N1418" s="24"/>
      <c r="O1418" s="24"/>
      <c r="P1418" s="24" t="str">
        <f>IF(((P1416="")*AND(P1417="")),"",(P1416-P1417)*4)</f>
        <v/>
      </c>
      <c r="Q1418" s="61"/>
      <c r="R1418" s="61"/>
      <c r="S1418" s="61"/>
      <c r="T1418" s="61"/>
      <c r="U1418" s="61"/>
      <c r="V1418" s="60"/>
      <c r="W1418" s="59"/>
    </row>
    <row r="1419" spans="1:31" ht="15.75">
      <c r="A1419" s="195">
        <v>44022</v>
      </c>
      <c r="B1419" s="57" t="s">
        <v>157</v>
      </c>
      <c r="C1419" s="51" t="s">
        <v>156</v>
      </c>
      <c r="D1419">
        <v>4949.09</v>
      </c>
      <c r="E1419">
        <v>5132.18</v>
      </c>
      <c r="F1419">
        <v>5105.91</v>
      </c>
      <c r="G1419">
        <v>5077.28</v>
      </c>
      <c r="H1419">
        <v>4951.58</v>
      </c>
      <c r="I1419">
        <v>5084.01</v>
      </c>
      <c r="J1419">
        <v>5128.03</v>
      </c>
      <c r="K1419">
        <v>5107.6899999999996</v>
      </c>
      <c r="L1419">
        <v>5038.25</v>
      </c>
      <c r="M1419" s="50"/>
      <c r="N1419" s="50"/>
      <c r="O1419" s="50"/>
      <c r="P1419" s="50"/>
      <c r="Q1419" s="57">
        <f>IF((L1420=""),"",MAX(D1421:L1421))</f>
        <v>3418.38</v>
      </c>
      <c r="R1419" s="57">
        <f>IF(L1420="","",MIN(D1421:L1421))</f>
        <v>3355.5599999999995</v>
      </c>
      <c r="S1419" s="58">
        <f>IF((L1421=""),"",AVERAGE(D1421:L1421))</f>
        <v>3401.2733333333331</v>
      </c>
      <c r="T1419" s="57">
        <f>IF((L1420=""),"",((Q1419-R1419)/(Q1419+R1419))*100)</f>
        <v>0.92737756756039513</v>
      </c>
      <c r="U1419" s="56">
        <f>STDEV(D1419:L1419)</f>
        <v>70.263403881349248</v>
      </c>
      <c r="V1419" s="55" t="str">
        <f>IF(L1420="","",(IF(T1419&lt;7,IF(S1419&gt;2800,IF(S1419&lt;3800,"Pass","Fail"),"Fail"),"Fail")))</f>
        <v>Pass</v>
      </c>
      <c r="W1419" s="54">
        <v>121</v>
      </c>
      <c r="X1419" s="26" t="s">
        <v>463</v>
      </c>
      <c r="Z1419" s="53">
        <v>2800</v>
      </c>
      <c r="AA1419" s="53">
        <v>3800</v>
      </c>
      <c r="AB1419" s="53">
        <v>3100</v>
      </c>
      <c r="AC1419" s="53">
        <v>3760</v>
      </c>
      <c r="AD1419" s="52">
        <v>6</v>
      </c>
      <c r="AE1419" s="52">
        <v>6</v>
      </c>
    </row>
    <row r="1420" spans="1:31" ht="15.75">
      <c r="A1420" s="199"/>
      <c r="B1420" s="48"/>
      <c r="C1420" s="51" t="s">
        <v>155</v>
      </c>
      <c r="D1420">
        <v>3242.23</v>
      </c>
      <c r="E1420">
        <v>3432.47</v>
      </c>
      <c r="F1420">
        <v>3407.93</v>
      </c>
      <c r="G1420">
        <v>3399.5</v>
      </c>
      <c r="H1420">
        <v>3242.39</v>
      </c>
      <c r="I1420">
        <v>3384.88</v>
      </c>
      <c r="J1420">
        <v>3422.66</v>
      </c>
      <c r="K1420">
        <v>3406.43</v>
      </c>
      <c r="L1420">
        <v>3329.8</v>
      </c>
      <c r="M1420" s="50"/>
      <c r="N1420" s="50"/>
      <c r="O1420" s="50"/>
      <c r="P1420" s="50"/>
      <c r="Q1420" s="48"/>
      <c r="R1420" s="48"/>
      <c r="S1420" s="49"/>
      <c r="T1420" s="48"/>
      <c r="U1420" s="48"/>
      <c r="V1420" s="47"/>
      <c r="W1420" s="46"/>
    </row>
    <row r="1421" spans="1:31" ht="24.75" thickBot="1">
      <c r="A1421" s="199"/>
      <c r="B1421" s="42"/>
      <c r="C1421" s="45" t="s">
        <v>154</v>
      </c>
      <c r="D1421" s="44">
        <f t="shared" ref="D1421:L1421" si="468">IF(((D1419="")*AND(D1420="")),"",(D1419-D1420)*2)</f>
        <v>3413.7200000000003</v>
      </c>
      <c r="E1421" s="44">
        <f t="shared" si="468"/>
        <v>3399.420000000001</v>
      </c>
      <c r="F1421" s="44">
        <f t="shared" si="468"/>
        <v>3395.96</v>
      </c>
      <c r="G1421" s="44">
        <f t="shared" si="468"/>
        <v>3355.5599999999995</v>
      </c>
      <c r="H1421" s="44">
        <f t="shared" si="468"/>
        <v>3418.38</v>
      </c>
      <c r="I1421" s="44">
        <f t="shared" si="468"/>
        <v>3398.26</v>
      </c>
      <c r="J1421" s="44">
        <f t="shared" si="468"/>
        <v>3410.74</v>
      </c>
      <c r="K1421" s="44">
        <f t="shared" si="468"/>
        <v>3402.5199999999995</v>
      </c>
      <c r="L1421" s="44">
        <f t="shared" si="468"/>
        <v>3416.8999999999996</v>
      </c>
      <c r="M1421" s="44"/>
      <c r="N1421" s="44"/>
      <c r="O1421" s="44"/>
      <c r="P1421" s="44"/>
      <c r="Q1421" s="42"/>
      <c r="R1421" s="42"/>
      <c r="S1421" s="43"/>
      <c r="T1421" s="42"/>
      <c r="U1421" s="42"/>
      <c r="V1421" s="41"/>
      <c r="W1421" s="40"/>
    </row>
    <row r="1422" spans="1:31" ht="15.75">
      <c r="A1422" s="195">
        <v>44025</v>
      </c>
      <c r="B1422" s="63" t="s">
        <v>158</v>
      </c>
      <c r="C1422" s="56" t="s">
        <v>156</v>
      </c>
      <c r="D1422">
        <v>1922.41</v>
      </c>
      <c r="E1422">
        <v>1923.98</v>
      </c>
      <c r="F1422">
        <v>1922.29</v>
      </c>
      <c r="G1422">
        <v>1917.18</v>
      </c>
      <c r="H1422">
        <v>1921.5</v>
      </c>
      <c r="I1422">
        <v>1927.33</v>
      </c>
      <c r="J1422">
        <v>1918.71</v>
      </c>
      <c r="K1422">
        <v>1922.94</v>
      </c>
      <c r="L1422">
        <v>1923.37</v>
      </c>
      <c r="M1422" s="62"/>
      <c r="N1422" s="62"/>
      <c r="O1422" s="62"/>
      <c r="P1422" s="62"/>
      <c r="Q1422" s="57">
        <f>IF((L1423=""),"",MAX(D1424:L1424))</f>
        <v>3155.24</v>
      </c>
      <c r="R1422" s="57">
        <f>IF(L1423="","",MIN(D1424:L1424))</f>
        <v>2838.6800000000003</v>
      </c>
      <c r="S1422" s="58">
        <f>IF((L1424=""),"",AVERAGE(D1424:L1424))</f>
        <v>2969.2177777777779</v>
      </c>
      <c r="T1422" s="57">
        <f>IF((L1423=""),"",((Q1422-R1422)/(Q1422+R1422))*100)</f>
        <v>5.2813517697933818</v>
      </c>
      <c r="U1422" s="56">
        <f>STDEV(D1422:L1422)</f>
        <v>2.9437136408409059</v>
      </c>
      <c r="V1422" s="55" t="str">
        <f>IF(L1423="","",(IF(T1422&lt;12,IF(S1422&gt;2200,IF(S1422&lt;3280,"Pass","Fail"),"Fail"),"Fail")))</f>
        <v>Pass</v>
      </c>
      <c r="W1422" s="54">
        <v>1340</v>
      </c>
      <c r="X1422" s="26" t="s">
        <v>466</v>
      </c>
      <c r="Z1422" s="37">
        <v>2000</v>
      </c>
      <c r="AA1422" s="37">
        <v>3000</v>
      </c>
      <c r="AB1422" s="37">
        <v>2200</v>
      </c>
      <c r="AC1422" s="37">
        <v>3280</v>
      </c>
      <c r="AD1422" s="39">
        <v>12</v>
      </c>
      <c r="AE1422" s="39">
        <v>12</v>
      </c>
    </row>
    <row r="1423" spans="1:31" ht="15.75">
      <c r="A1423" s="199"/>
      <c r="B1423" s="48"/>
      <c r="C1423" s="51" t="s">
        <v>155</v>
      </c>
      <c r="D1423">
        <v>1175.42</v>
      </c>
      <c r="E1423">
        <v>1199.58</v>
      </c>
      <c r="F1423">
        <v>1212.6199999999999</v>
      </c>
      <c r="G1423">
        <v>1190.6300000000001</v>
      </c>
      <c r="H1423">
        <v>1147.68</v>
      </c>
      <c r="I1423">
        <v>1180.5899999999999</v>
      </c>
      <c r="J1423">
        <v>1201.3800000000001</v>
      </c>
      <c r="K1423">
        <v>1176.51</v>
      </c>
      <c r="L1423">
        <v>1134.56</v>
      </c>
      <c r="M1423" s="50"/>
      <c r="N1423" s="50"/>
      <c r="O1423" s="50"/>
      <c r="P1423" s="50"/>
      <c r="Q1423" s="48"/>
      <c r="R1423" s="48"/>
      <c r="S1423" s="48"/>
      <c r="T1423" s="48"/>
      <c r="U1423" s="48"/>
      <c r="V1423" s="47"/>
      <c r="W1423" s="46"/>
    </row>
    <row r="1424" spans="1:31" ht="24.75" thickBot="1">
      <c r="A1424" s="199"/>
      <c r="B1424" s="61"/>
      <c r="C1424" s="51" t="s">
        <v>154</v>
      </c>
      <c r="D1424" s="24">
        <f t="shared" ref="D1424:L1424" si="469">IF(((D1422="")*AND(D1423="")),"",(D1422-D1423)*4)</f>
        <v>2987.96</v>
      </c>
      <c r="E1424" s="24">
        <f t="shared" si="469"/>
        <v>2897.6000000000004</v>
      </c>
      <c r="F1424" s="24">
        <f t="shared" si="469"/>
        <v>2838.6800000000003</v>
      </c>
      <c r="G1424" s="24">
        <f t="shared" si="469"/>
        <v>2906.2</v>
      </c>
      <c r="H1424" s="24">
        <f t="shared" si="469"/>
        <v>3095.2799999999997</v>
      </c>
      <c r="I1424" s="24">
        <f t="shared" si="469"/>
        <v>2986.96</v>
      </c>
      <c r="J1424" s="24">
        <f t="shared" si="469"/>
        <v>2869.3199999999997</v>
      </c>
      <c r="K1424" s="24">
        <f t="shared" si="469"/>
        <v>2985.7200000000003</v>
      </c>
      <c r="L1424" s="24">
        <f t="shared" si="469"/>
        <v>3155.24</v>
      </c>
      <c r="M1424" s="24"/>
      <c r="N1424" s="24"/>
      <c r="O1424" s="24"/>
      <c r="P1424" s="24" t="str">
        <f>IF(((P1422="")*AND(P1423="")),"",(P1422-P1423)*4)</f>
        <v/>
      </c>
      <c r="Q1424" s="61"/>
      <c r="R1424" s="61"/>
      <c r="S1424" s="61"/>
      <c r="T1424" s="61"/>
      <c r="U1424" s="61"/>
      <c r="V1424" s="60"/>
      <c r="W1424" s="59"/>
    </row>
    <row r="1425" spans="1:31" ht="15.75">
      <c r="A1425" s="195">
        <v>44025</v>
      </c>
      <c r="B1425" s="57" t="s">
        <v>157</v>
      </c>
      <c r="C1425" s="51" t="s">
        <v>156</v>
      </c>
      <c r="D1425">
        <v>6760.96</v>
      </c>
      <c r="E1425">
        <v>7050.38</v>
      </c>
      <c r="F1425">
        <v>7006.58</v>
      </c>
      <c r="G1425">
        <v>6838.96</v>
      </c>
      <c r="H1425">
        <v>6718.15</v>
      </c>
      <c r="I1425">
        <v>6974.34</v>
      </c>
      <c r="J1425">
        <v>7050.56</v>
      </c>
      <c r="K1425">
        <v>6943.05</v>
      </c>
      <c r="L1425">
        <v>6942.05</v>
      </c>
      <c r="M1425" s="50"/>
      <c r="N1425" s="50"/>
      <c r="O1425" s="50"/>
      <c r="P1425" s="50"/>
      <c r="Q1425" s="57">
        <f>IF((L1426=""),"",MAX(D1427:L1427))</f>
        <v>3429.76</v>
      </c>
      <c r="R1425" s="57">
        <f>IF(L1426="","",MIN(D1427:L1427))</f>
        <v>3360.58</v>
      </c>
      <c r="S1425" s="58">
        <f>IF((L1427=""),"",AVERAGE(D1427:L1427))</f>
        <v>3411.1600000000003</v>
      </c>
      <c r="T1425" s="57">
        <f>IF((L1426=""),"",((Q1425-R1425)/(Q1425+R1425))*100)</f>
        <v>1.0188002368069977</v>
      </c>
      <c r="U1425" s="56">
        <f>STDEV(D1425:L1425)</f>
        <v>121.50777212222108</v>
      </c>
      <c r="V1425" s="55" t="str">
        <f>IF(L1426="","",(IF(T1425&lt;7,IF(S1425&gt;2800,IF(S1425&lt;3800,"Pass","Fail"),"Fail"),"Fail")))</f>
        <v>Pass</v>
      </c>
      <c r="W1425" s="54">
        <v>1340</v>
      </c>
      <c r="X1425" s="26" t="s">
        <v>466</v>
      </c>
      <c r="Z1425" s="53">
        <v>2800</v>
      </c>
      <c r="AA1425" s="53">
        <v>3800</v>
      </c>
      <c r="AB1425" s="53">
        <v>3100</v>
      </c>
      <c r="AC1425" s="53">
        <v>3760</v>
      </c>
      <c r="AD1425" s="52">
        <v>6</v>
      </c>
      <c r="AE1425" s="52">
        <v>6</v>
      </c>
    </row>
    <row r="1426" spans="1:31" ht="15.75">
      <c r="A1426" s="199"/>
      <c r="B1426" s="48"/>
      <c r="C1426" s="51" t="s">
        <v>155</v>
      </c>
      <c r="D1426">
        <v>5051.33</v>
      </c>
      <c r="E1426">
        <v>5340.1</v>
      </c>
      <c r="F1426">
        <v>5300.89</v>
      </c>
      <c r="G1426">
        <v>5158.67</v>
      </c>
      <c r="H1426">
        <v>5016.29</v>
      </c>
      <c r="I1426">
        <v>5266.62</v>
      </c>
      <c r="J1426">
        <v>5337.46</v>
      </c>
      <c r="K1426">
        <v>5236.28</v>
      </c>
      <c r="L1426">
        <v>5227.17</v>
      </c>
      <c r="M1426" s="50"/>
      <c r="N1426" s="50"/>
      <c r="O1426" s="50"/>
      <c r="P1426" s="50"/>
      <c r="Q1426" s="48"/>
      <c r="R1426" s="48"/>
      <c r="S1426" s="49"/>
      <c r="T1426" s="48"/>
      <c r="U1426" s="48"/>
      <c r="V1426" s="47"/>
      <c r="W1426" s="46"/>
    </row>
    <row r="1427" spans="1:31" ht="24.75" thickBot="1">
      <c r="A1427" s="199"/>
      <c r="B1427" s="42"/>
      <c r="C1427" s="45" t="s">
        <v>154</v>
      </c>
      <c r="D1427" s="44">
        <f t="shared" ref="D1427:L1427" si="470">IF(((D1425="")*AND(D1426="")),"",(D1425-D1426)*2)</f>
        <v>3419.26</v>
      </c>
      <c r="E1427" s="44">
        <f t="shared" si="470"/>
        <v>3420.5599999999995</v>
      </c>
      <c r="F1427" s="44">
        <f t="shared" si="470"/>
        <v>3411.3799999999992</v>
      </c>
      <c r="G1427" s="44">
        <f t="shared" si="470"/>
        <v>3360.58</v>
      </c>
      <c r="H1427" s="44">
        <f t="shared" si="470"/>
        <v>3403.7199999999993</v>
      </c>
      <c r="I1427" s="44">
        <f t="shared" si="470"/>
        <v>3415.4400000000005</v>
      </c>
      <c r="J1427" s="44">
        <f t="shared" si="470"/>
        <v>3426.2000000000007</v>
      </c>
      <c r="K1427" s="44">
        <f t="shared" si="470"/>
        <v>3413.5400000000009</v>
      </c>
      <c r="L1427" s="44">
        <f t="shared" si="470"/>
        <v>3429.76</v>
      </c>
      <c r="M1427" s="44"/>
      <c r="N1427" s="44"/>
      <c r="O1427" s="44"/>
      <c r="P1427" s="44"/>
      <c r="Q1427" s="42"/>
      <c r="R1427" s="42"/>
      <c r="S1427" s="43"/>
      <c r="T1427" s="42"/>
      <c r="U1427" s="42"/>
      <c r="V1427" s="41"/>
      <c r="W1427" s="40"/>
    </row>
    <row r="1428" spans="1:31" ht="15.75">
      <c r="A1428" s="195">
        <v>44028</v>
      </c>
      <c r="B1428" s="63" t="s">
        <v>158</v>
      </c>
      <c r="C1428" s="56" t="s">
        <v>156</v>
      </c>
      <c r="D1428">
        <v>1177.4100000000001</v>
      </c>
      <c r="E1428">
        <v>1200.27</v>
      </c>
      <c r="F1428">
        <v>1214.98</v>
      </c>
      <c r="G1428">
        <v>1190.1300000000001</v>
      </c>
      <c r="H1428">
        <v>1151.7</v>
      </c>
      <c r="I1428">
        <v>1180.3399999999999</v>
      </c>
      <c r="J1428">
        <v>1202.26</v>
      </c>
      <c r="K1428">
        <v>1179.45</v>
      </c>
      <c r="L1428">
        <v>1137.75</v>
      </c>
      <c r="M1428" s="62"/>
      <c r="N1428" s="62"/>
      <c r="O1428" s="62"/>
      <c r="P1428" s="62"/>
      <c r="Q1428" s="57">
        <f>IF((L1429=""),"",MAX(D1430:L1430))</f>
        <v>3117.12</v>
      </c>
      <c r="R1428" s="57">
        <f>IF(L1429="","",MIN(D1430:L1430))</f>
        <v>2729.08</v>
      </c>
      <c r="S1428" s="58">
        <f>IF((L1430=""),"",AVERAGE(D1430:L1430))</f>
        <v>2893.3999999999996</v>
      </c>
      <c r="T1428" s="57">
        <f>IF((L1429=""),"",((Q1428-R1428)/(Q1428+R1428))*100)</f>
        <v>6.63747391467962</v>
      </c>
      <c r="U1428" s="56">
        <f>STDEV(D1428:L1428)</f>
        <v>24.502518124554449</v>
      </c>
      <c r="V1428" s="55" t="str">
        <f>IF(L1429="","",(IF(T1428&lt;12,IF(S1428&gt;2200,IF(S1428&lt;3280,"Pass","Fail"),"Fail"),"Fail")))</f>
        <v>Pass</v>
      </c>
      <c r="W1428" s="54">
        <v>1159</v>
      </c>
      <c r="X1428" s="26" t="s">
        <v>468</v>
      </c>
      <c r="Z1428" s="37">
        <v>2000</v>
      </c>
      <c r="AA1428" s="37">
        <v>3000</v>
      </c>
      <c r="AB1428" s="37">
        <v>2200</v>
      </c>
      <c r="AC1428" s="37">
        <v>3280</v>
      </c>
      <c r="AD1428" s="39">
        <v>12</v>
      </c>
      <c r="AE1428" s="39">
        <v>12</v>
      </c>
    </row>
    <row r="1429" spans="1:31" ht="15.75">
      <c r="A1429" s="199"/>
      <c r="B1429" s="48"/>
      <c r="C1429" s="51" t="s">
        <v>155</v>
      </c>
      <c r="D1429">
        <v>438.81</v>
      </c>
      <c r="E1429">
        <v>497.83</v>
      </c>
      <c r="F1429">
        <v>532.71</v>
      </c>
      <c r="G1429">
        <v>485.8</v>
      </c>
      <c r="H1429">
        <v>388.94</v>
      </c>
      <c r="I1429">
        <v>443.19</v>
      </c>
      <c r="J1429">
        <v>507.68</v>
      </c>
      <c r="K1429">
        <v>470.71</v>
      </c>
      <c r="L1429">
        <v>358.47</v>
      </c>
      <c r="M1429" s="50"/>
      <c r="N1429" s="50"/>
      <c r="O1429" s="50"/>
      <c r="P1429" s="50"/>
      <c r="Q1429" s="48"/>
      <c r="R1429" s="48"/>
      <c r="S1429" s="48"/>
      <c r="T1429" s="48"/>
      <c r="U1429" s="48"/>
      <c r="V1429" s="47"/>
      <c r="W1429" s="46"/>
    </row>
    <row r="1430" spans="1:31" ht="24.75" thickBot="1">
      <c r="A1430" s="199"/>
      <c r="B1430" s="61"/>
      <c r="C1430" s="51" t="s">
        <v>154</v>
      </c>
      <c r="D1430" s="24">
        <f t="shared" ref="D1430:L1430" si="471">IF(((D1428="")*AND(D1429="")),"",(D1428-D1429)*4)</f>
        <v>2954.4000000000005</v>
      </c>
      <c r="E1430" s="24">
        <f t="shared" si="471"/>
        <v>2809.76</v>
      </c>
      <c r="F1430" s="24">
        <f t="shared" si="471"/>
        <v>2729.08</v>
      </c>
      <c r="G1430" s="24">
        <f t="shared" si="471"/>
        <v>2817.3200000000006</v>
      </c>
      <c r="H1430" s="24">
        <f t="shared" si="471"/>
        <v>3051.04</v>
      </c>
      <c r="I1430" s="24">
        <f t="shared" si="471"/>
        <v>2948.5999999999995</v>
      </c>
      <c r="J1430" s="24">
        <f t="shared" si="471"/>
        <v>2778.3199999999997</v>
      </c>
      <c r="K1430" s="24">
        <f t="shared" si="471"/>
        <v>2834.96</v>
      </c>
      <c r="L1430" s="24">
        <f t="shared" si="471"/>
        <v>3117.12</v>
      </c>
      <c r="M1430" s="24"/>
      <c r="N1430" s="24"/>
      <c r="O1430" s="24"/>
      <c r="P1430" s="24" t="str">
        <f>IF(((P1428="")*AND(P1429="")),"",(P1428-P1429)*4)</f>
        <v/>
      </c>
      <c r="Q1430" s="61"/>
      <c r="R1430" s="61"/>
      <c r="S1430" s="61"/>
      <c r="T1430" s="61"/>
      <c r="U1430" s="61"/>
      <c r="V1430" s="60"/>
      <c r="W1430" s="59"/>
    </row>
    <row r="1431" spans="1:31" ht="15.75">
      <c r="A1431" s="195">
        <v>44028</v>
      </c>
      <c r="B1431" s="57" t="s">
        <v>157</v>
      </c>
      <c r="C1431" s="51" t="s">
        <v>156</v>
      </c>
      <c r="D1431">
        <v>5057.16</v>
      </c>
      <c r="E1431">
        <v>5346.32</v>
      </c>
      <c r="F1431">
        <v>5306.94</v>
      </c>
      <c r="G1431">
        <v>5165.07</v>
      </c>
      <c r="H1431">
        <v>5021.17</v>
      </c>
      <c r="I1431">
        <v>5272.44</v>
      </c>
      <c r="J1431">
        <v>5343.9</v>
      </c>
      <c r="K1431">
        <v>5242.03</v>
      </c>
      <c r="L1431">
        <v>5232.84</v>
      </c>
      <c r="M1431" s="50"/>
      <c r="N1431" s="50"/>
      <c r="O1431" s="50"/>
      <c r="P1431" s="50"/>
      <c r="Q1431" s="57">
        <f>IF((L1432=""),"",MAX(D1433:L1433))</f>
        <v>3395.6399999999994</v>
      </c>
      <c r="R1431" s="57">
        <f>IF(L1432="","",MIN(D1433:L1433))</f>
        <v>3310.3199999999997</v>
      </c>
      <c r="S1431" s="58">
        <f>IF((L1433=""),"",AVERAGE(D1433:L1433))</f>
        <v>3365.6977777777774</v>
      </c>
      <c r="T1431" s="57">
        <f>IF((L1432=""),"",((Q1431-R1431)/(Q1431+R1431))*100)</f>
        <v>1.2723010575666978</v>
      </c>
      <c r="U1431" s="56">
        <f>STDEV(D1431:L1431)</f>
        <v>117.96573317191303</v>
      </c>
      <c r="V1431" s="55" t="str">
        <f>IF(L1432="","",(IF(T1431&lt;7,IF(S1431&gt;2800,IF(S1431&lt;3800,"Pass","Fail"),"Fail"),"Fail")))</f>
        <v>Pass</v>
      </c>
      <c r="W1431" s="54">
        <v>1159</v>
      </c>
      <c r="X1431" s="26" t="s">
        <v>468</v>
      </c>
      <c r="Z1431" s="53">
        <v>2800</v>
      </c>
      <c r="AA1431" s="53">
        <v>3800</v>
      </c>
      <c r="AB1431" s="53">
        <v>3100</v>
      </c>
      <c r="AC1431" s="53">
        <v>3760</v>
      </c>
      <c r="AD1431" s="52">
        <v>6</v>
      </c>
      <c r="AE1431" s="52">
        <v>6</v>
      </c>
    </row>
    <row r="1432" spans="1:31" ht="15.75">
      <c r="A1432" s="199"/>
      <c r="B1432" s="48"/>
      <c r="C1432" s="51" t="s">
        <v>155</v>
      </c>
      <c r="D1432">
        <v>3380.04</v>
      </c>
      <c r="E1432">
        <v>3651.89</v>
      </c>
      <c r="F1432">
        <v>3619.46</v>
      </c>
      <c r="G1432">
        <v>3509.91</v>
      </c>
      <c r="H1432">
        <v>3348.77</v>
      </c>
      <c r="I1432">
        <v>3586.93</v>
      </c>
      <c r="J1432">
        <v>3646.08</v>
      </c>
      <c r="K1432">
        <v>3557.89</v>
      </c>
      <c r="L1432">
        <v>3541.26</v>
      </c>
      <c r="M1432" s="50"/>
      <c r="N1432" s="50"/>
      <c r="O1432" s="50"/>
      <c r="P1432" s="50"/>
      <c r="Q1432" s="48"/>
      <c r="R1432" s="48"/>
      <c r="S1432" s="49"/>
      <c r="T1432" s="48"/>
      <c r="U1432" s="48"/>
      <c r="V1432" s="47"/>
      <c r="W1432" s="46"/>
    </row>
    <row r="1433" spans="1:31" ht="24.75" thickBot="1">
      <c r="A1433" s="199"/>
      <c r="B1433" s="42"/>
      <c r="C1433" s="45" t="s">
        <v>154</v>
      </c>
      <c r="D1433" s="44">
        <f t="shared" ref="D1433:L1433" si="472">IF(((D1431="")*AND(D1432="")),"",(D1431-D1432)*2)</f>
        <v>3354.24</v>
      </c>
      <c r="E1433" s="44">
        <f t="shared" si="472"/>
        <v>3388.8599999999997</v>
      </c>
      <c r="F1433" s="44">
        <f t="shared" si="472"/>
        <v>3374.9599999999991</v>
      </c>
      <c r="G1433" s="44">
        <f t="shared" si="472"/>
        <v>3310.3199999999997</v>
      </c>
      <c r="H1433" s="44">
        <f t="shared" si="472"/>
        <v>3344.8</v>
      </c>
      <c r="I1433" s="44">
        <f t="shared" si="472"/>
        <v>3371.0199999999995</v>
      </c>
      <c r="J1433" s="44">
        <f t="shared" si="472"/>
        <v>3395.6399999999994</v>
      </c>
      <c r="K1433" s="44">
        <f t="shared" si="472"/>
        <v>3368.2799999999997</v>
      </c>
      <c r="L1433" s="44">
        <f t="shared" si="472"/>
        <v>3383.16</v>
      </c>
      <c r="M1433" s="44"/>
      <c r="N1433" s="44"/>
      <c r="O1433" s="44"/>
      <c r="P1433" s="44"/>
      <c r="Q1433" s="42"/>
      <c r="R1433" s="42"/>
      <c r="S1433" s="43"/>
      <c r="T1433" s="42"/>
      <c r="U1433" s="42"/>
      <c r="V1433" s="41"/>
      <c r="W1433" s="40"/>
    </row>
    <row r="1434" spans="1:31" ht="15.75">
      <c r="A1434" s="195">
        <v>44036</v>
      </c>
      <c r="B1434" s="63" t="s">
        <v>158</v>
      </c>
      <c r="C1434" s="56" t="s">
        <v>156</v>
      </c>
      <c r="D1434">
        <v>2064.5700000000002</v>
      </c>
      <c r="E1434">
        <v>2041.03</v>
      </c>
      <c r="F1434">
        <v>2028.38</v>
      </c>
      <c r="G1434">
        <v>2037.24</v>
      </c>
      <c r="H1434">
        <v>2053.63</v>
      </c>
      <c r="I1434">
        <v>2062.1</v>
      </c>
      <c r="J1434">
        <v>2041.98</v>
      </c>
      <c r="K1434">
        <v>2047.04</v>
      </c>
      <c r="L1434">
        <v>2060.69</v>
      </c>
      <c r="M1434" s="62"/>
      <c r="N1434" s="62"/>
      <c r="O1434" s="62"/>
      <c r="P1434" s="62"/>
      <c r="Q1434" s="57">
        <f>IF((L1435=""),"",MAX(D1436:L1436))</f>
        <v>3626.76</v>
      </c>
      <c r="R1434" s="57">
        <f>IF(L1435="","",MIN(D1436:L1436))</f>
        <v>3216.1600000000008</v>
      </c>
      <c r="S1434" s="58">
        <f>IF((L1436=""),"",AVERAGE(D1436:L1436))</f>
        <v>3408.9466666666672</v>
      </c>
      <c r="T1434" s="57">
        <f>IF((L1435=""),"",((Q1434-R1434)/(Q1434+R1434))*100)</f>
        <v>6.0003624183827871</v>
      </c>
      <c r="U1434" s="56">
        <f>STDEV(D1434:L1434)</f>
        <v>12.50079975218441</v>
      </c>
      <c r="V1434" s="55" t="str">
        <f>IF(L1435="","",(IF(T1434&lt;12,IF(S1434&gt;2200,IF(S1434&lt;3280,"Pass","Fail"),"Fail"),"Fail")))</f>
        <v>Fail</v>
      </c>
      <c r="W1434" s="54">
        <v>1335</v>
      </c>
      <c r="Z1434" s="37">
        <v>2000</v>
      </c>
      <c r="AA1434" s="37">
        <v>3000</v>
      </c>
      <c r="AB1434" s="37">
        <v>2200</v>
      </c>
      <c r="AC1434" s="37">
        <v>3280</v>
      </c>
      <c r="AD1434" s="39">
        <v>12</v>
      </c>
      <c r="AE1434" s="39">
        <v>12</v>
      </c>
    </row>
    <row r="1435" spans="1:31" ht="15.75">
      <c r="A1435" s="199"/>
      <c r="B1435" s="48"/>
      <c r="C1435" s="51" t="s">
        <v>155</v>
      </c>
      <c r="D1435">
        <v>1202.99</v>
      </c>
      <c r="E1435">
        <v>1209.8399999999999</v>
      </c>
      <c r="F1435">
        <v>1224.3399999999999</v>
      </c>
      <c r="G1435">
        <v>1197.9000000000001</v>
      </c>
      <c r="H1435">
        <v>1171.93</v>
      </c>
      <c r="I1435">
        <v>1202.5899999999999</v>
      </c>
      <c r="J1435">
        <v>1215.3499999999999</v>
      </c>
      <c r="K1435">
        <v>1187.5899999999999</v>
      </c>
      <c r="L1435">
        <v>1154</v>
      </c>
      <c r="M1435" s="50"/>
      <c r="N1435" s="50"/>
      <c r="O1435" s="50"/>
      <c r="P1435" s="50"/>
      <c r="Q1435" s="48"/>
      <c r="R1435" s="48"/>
      <c r="S1435" s="48"/>
      <c r="T1435" s="48"/>
      <c r="U1435" s="48"/>
      <c r="V1435" s="47"/>
      <c r="W1435" s="46"/>
    </row>
    <row r="1436" spans="1:31" ht="24.75" thickBot="1">
      <c r="A1436" s="199"/>
      <c r="B1436" s="61"/>
      <c r="C1436" s="51" t="s">
        <v>154</v>
      </c>
      <c r="D1436" s="24">
        <f t="shared" ref="D1436:L1436" si="473">IF(((D1434="")*AND(D1435="")),"",(D1434-D1435)*4)</f>
        <v>3446.3200000000006</v>
      </c>
      <c r="E1436" s="24">
        <f t="shared" si="473"/>
        <v>3324.76</v>
      </c>
      <c r="F1436" s="24">
        <f t="shared" si="473"/>
        <v>3216.1600000000008</v>
      </c>
      <c r="G1436" s="24">
        <f t="shared" si="473"/>
        <v>3357.3599999999997</v>
      </c>
      <c r="H1436" s="24">
        <f t="shared" si="473"/>
        <v>3526.8</v>
      </c>
      <c r="I1436" s="24">
        <f t="shared" si="473"/>
        <v>3438.04</v>
      </c>
      <c r="J1436" s="24">
        <f t="shared" si="473"/>
        <v>3306.5200000000004</v>
      </c>
      <c r="K1436" s="24">
        <f t="shared" si="473"/>
        <v>3437.8</v>
      </c>
      <c r="L1436" s="24">
        <f t="shared" si="473"/>
        <v>3626.76</v>
      </c>
      <c r="M1436" s="24"/>
      <c r="N1436" s="24"/>
      <c r="O1436" s="24"/>
      <c r="P1436" s="24" t="str">
        <f>IF(((P1434="")*AND(P1435="")),"",(P1434-P1435)*4)</f>
        <v/>
      </c>
      <c r="Q1436" s="61"/>
      <c r="R1436" s="61"/>
      <c r="S1436" s="61"/>
      <c r="T1436" s="61"/>
      <c r="U1436" s="61"/>
      <c r="V1436" s="60"/>
      <c r="W1436" s="59"/>
    </row>
    <row r="1437" spans="1:31" ht="15.75">
      <c r="A1437" s="195">
        <v>44036</v>
      </c>
      <c r="B1437" s="57" t="s">
        <v>157</v>
      </c>
      <c r="C1437" s="51" t="s">
        <v>156</v>
      </c>
      <c r="D1437">
        <v>6718.22</v>
      </c>
      <c r="E1437">
        <v>6922.15</v>
      </c>
      <c r="F1437">
        <v>6892.28</v>
      </c>
      <c r="G1437">
        <v>6823.28</v>
      </c>
      <c r="H1437">
        <v>6719.51</v>
      </c>
      <c r="I1437">
        <v>6868.13</v>
      </c>
      <c r="J1437">
        <v>6922.22</v>
      </c>
      <c r="K1437">
        <v>6884.52</v>
      </c>
      <c r="L1437">
        <v>6824.19</v>
      </c>
      <c r="M1437" s="50"/>
      <c r="N1437" s="50"/>
      <c r="O1437" s="50"/>
      <c r="P1437" s="50"/>
      <c r="Q1437" s="57">
        <f>IF((L1438=""),"",MAX(D1439:L1439))</f>
        <v>3464.7800000000007</v>
      </c>
      <c r="R1437" s="57">
        <f>IF(L1438="","",MIN(D1439:L1439))</f>
        <v>3359.08</v>
      </c>
      <c r="S1437" s="58">
        <f>IF((L1439=""),"",AVERAGE(D1439:L1439))</f>
        <v>3405.7311111111112</v>
      </c>
      <c r="T1437" s="57">
        <f>IF((L1438=""),"",((Q1437-R1437)/(Q1437+R1437))*100)</f>
        <v>1.5489766788884989</v>
      </c>
      <c r="U1437" s="56">
        <f>STDEV(D1437:L1437)</f>
        <v>78.158203735187598</v>
      </c>
      <c r="V1437" s="55" t="str">
        <f>IF(L1438="","",(IF(T1437&lt;7,IF(S1437&gt;2800,IF(S1437&lt;3800,"Pass","Fail"),"Fail"),"Fail")))</f>
        <v>Pass</v>
      </c>
      <c r="W1437" s="54">
        <v>1335</v>
      </c>
      <c r="X1437" s="26" t="s">
        <v>473</v>
      </c>
      <c r="Z1437" s="53">
        <v>2800</v>
      </c>
      <c r="AA1437" s="53">
        <v>3800</v>
      </c>
      <c r="AB1437" s="53">
        <v>3100</v>
      </c>
      <c r="AC1437" s="53">
        <v>3760</v>
      </c>
      <c r="AD1437" s="52">
        <v>6</v>
      </c>
      <c r="AE1437" s="52">
        <v>6</v>
      </c>
    </row>
    <row r="1438" spans="1:31" ht="15.75">
      <c r="A1438" s="199"/>
      <c r="B1438" s="48"/>
      <c r="C1438" s="51" t="s">
        <v>155</v>
      </c>
      <c r="D1438">
        <v>4985.83</v>
      </c>
      <c r="E1438">
        <v>5220.8900000000003</v>
      </c>
      <c r="F1438">
        <v>5192.9399999999996</v>
      </c>
      <c r="G1438">
        <v>5143.74</v>
      </c>
      <c r="H1438">
        <v>5016.78</v>
      </c>
      <c r="I1438">
        <v>5168.83</v>
      </c>
      <c r="J1438">
        <v>5216.42</v>
      </c>
      <c r="K1438">
        <v>5183.17</v>
      </c>
      <c r="L1438">
        <v>5120.1099999999997</v>
      </c>
      <c r="M1438" s="50"/>
      <c r="N1438" s="50"/>
      <c r="O1438" s="50"/>
      <c r="P1438" s="50"/>
      <c r="Q1438" s="48"/>
      <c r="R1438" s="48"/>
      <c r="S1438" s="49"/>
      <c r="T1438" s="48"/>
      <c r="U1438" s="48"/>
      <c r="V1438" s="47"/>
      <c r="W1438" s="46"/>
    </row>
    <row r="1439" spans="1:31" ht="24.75" thickBot="1">
      <c r="A1439" s="199"/>
      <c r="B1439" s="42"/>
      <c r="C1439" s="45" t="s">
        <v>154</v>
      </c>
      <c r="D1439" s="44">
        <f t="shared" ref="D1439:L1439" si="474">IF(((D1437="")*AND(D1438="")),"",(D1437-D1438)*2)</f>
        <v>3464.7800000000007</v>
      </c>
      <c r="E1439" s="44">
        <f t="shared" si="474"/>
        <v>3402.5199999999986</v>
      </c>
      <c r="F1439" s="44">
        <f t="shared" si="474"/>
        <v>3398.6800000000003</v>
      </c>
      <c r="G1439" s="44">
        <f t="shared" si="474"/>
        <v>3359.08</v>
      </c>
      <c r="H1439" s="44">
        <f t="shared" si="474"/>
        <v>3405.4600000000009</v>
      </c>
      <c r="I1439" s="44">
        <f t="shared" si="474"/>
        <v>3398.6000000000004</v>
      </c>
      <c r="J1439" s="44">
        <f t="shared" si="474"/>
        <v>3411.6000000000004</v>
      </c>
      <c r="K1439" s="44">
        <f t="shared" si="474"/>
        <v>3402.7000000000007</v>
      </c>
      <c r="L1439" s="44">
        <f t="shared" si="474"/>
        <v>3408.16</v>
      </c>
      <c r="M1439" s="44"/>
      <c r="N1439" s="44"/>
      <c r="O1439" s="44"/>
      <c r="P1439" s="44"/>
      <c r="Q1439" s="42"/>
      <c r="R1439" s="42"/>
      <c r="S1439" s="43"/>
      <c r="T1439" s="42"/>
      <c r="U1439" s="42"/>
      <c r="V1439" s="41"/>
      <c r="W1439" s="40"/>
    </row>
    <row r="1440" spans="1:31" ht="15.75">
      <c r="A1440" s="195">
        <v>44036</v>
      </c>
      <c r="B1440" s="63" t="s">
        <v>158</v>
      </c>
      <c r="C1440" s="56" t="s">
        <v>156</v>
      </c>
      <c r="D1440">
        <v>1202.99</v>
      </c>
      <c r="E1440">
        <v>1209.8399999999999</v>
      </c>
      <c r="F1440">
        <v>1224.3399999999999</v>
      </c>
      <c r="G1440">
        <v>1197.9000000000001</v>
      </c>
      <c r="H1440">
        <v>1171.93</v>
      </c>
      <c r="I1440">
        <v>1202.5899999999999</v>
      </c>
      <c r="J1440">
        <v>1215.3499999999999</v>
      </c>
      <c r="K1440">
        <v>1187.5899999999999</v>
      </c>
      <c r="L1440">
        <v>1154</v>
      </c>
      <c r="M1440" s="62"/>
      <c r="N1440" s="62"/>
      <c r="O1440" s="62"/>
      <c r="P1440" s="62"/>
      <c r="Q1440" s="57">
        <f>IF((L1441=""),"",MAX(D1442:L1442))</f>
        <v>3268.52</v>
      </c>
      <c r="R1440" s="57">
        <f>IF(L1441="","",MIN(D1442:L1442))</f>
        <v>2666.64</v>
      </c>
      <c r="S1440" s="58">
        <f>IF((L1442=""),"",AVERAGE(D1442:L1442))</f>
        <v>2872.7688888888893</v>
      </c>
      <c r="T1440" s="57">
        <f>IF((L1441=""),"",((Q1440-R1440)/(Q1440+R1440))*100)</f>
        <v>10.140922906880355</v>
      </c>
      <c r="U1440" s="56">
        <f>STDEV(D1440:L1440)</f>
        <v>22.018184782376856</v>
      </c>
      <c r="V1440" s="55" t="str">
        <f>IF(L1441="","",(IF(T1440&lt;12,IF(S1440&gt;2200,IF(S1440&lt;3280,"Pass","Fail"),"Fail"),"Fail")))</f>
        <v>Pass</v>
      </c>
      <c r="W1440" s="54">
        <v>1335</v>
      </c>
      <c r="X1440" s="26" t="s">
        <v>473</v>
      </c>
      <c r="Z1440" s="37">
        <v>2000</v>
      </c>
      <c r="AA1440" s="37">
        <v>3000</v>
      </c>
      <c r="AB1440" s="37">
        <v>2200</v>
      </c>
      <c r="AC1440" s="37">
        <v>3280</v>
      </c>
      <c r="AD1440" s="39">
        <v>12</v>
      </c>
      <c r="AE1440" s="39">
        <v>12</v>
      </c>
    </row>
    <row r="1441" spans="1:31" ht="15.75">
      <c r="A1441" s="199"/>
      <c r="B1441" s="48"/>
      <c r="C1441" s="51" t="s">
        <v>155</v>
      </c>
      <c r="D1441">
        <v>477.6</v>
      </c>
      <c r="E1441">
        <v>528.08000000000004</v>
      </c>
      <c r="F1441">
        <v>557.67999999999995</v>
      </c>
      <c r="G1441">
        <v>514.89</v>
      </c>
      <c r="H1441">
        <v>398.23</v>
      </c>
      <c r="I1441">
        <v>467.21</v>
      </c>
      <c r="J1441">
        <v>538.42999999999995</v>
      </c>
      <c r="K1441">
        <v>483.81</v>
      </c>
      <c r="L1441">
        <v>336.87</v>
      </c>
      <c r="M1441" s="50"/>
      <c r="N1441" s="50"/>
      <c r="O1441" s="50"/>
      <c r="P1441" s="50"/>
      <c r="Q1441" s="48"/>
      <c r="R1441" s="48"/>
      <c r="S1441" s="48"/>
      <c r="T1441" s="48"/>
      <c r="U1441" s="48"/>
      <c r="V1441" s="47"/>
      <c r="W1441" s="46"/>
    </row>
    <row r="1442" spans="1:31" ht="24.75" thickBot="1">
      <c r="A1442" s="199"/>
      <c r="B1442" s="61"/>
      <c r="C1442" s="51" t="s">
        <v>154</v>
      </c>
      <c r="D1442" s="24">
        <f t="shared" ref="D1442:L1442" si="475">IF(((D1440="")*AND(D1441="")),"",(D1440-D1441)*4)</f>
        <v>2901.56</v>
      </c>
      <c r="E1442" s="24">
        <f t="shared" si="475"/>
        <v>2727.0399999999995</v>
      </c>
      <c r="F1442" s="24">
        <f t="shared" si="475"/>
        <v>2666.64</v>
      </c>
      <c r="G1442" s="24">
        <f t="shared" si="475"/>
        <v>2732.0400000000004</v>
      </c>
      <c r="H1442" s="24">
        <f t="shared" si="475"/>
        <v>3094.8</v>
      </c>
      <c r="I1442" s="24">
        <f t="shared" si="475"/>
        <v>2941.5199999999995</v>
      </c>
      <c r="J1442" s="24">
        <f t="shared" si="475"/>
        <v>2707.68</v>
      </c>
      <c r="K1442" s="24">
        <f t="shared" si="475"/>
        <v>2815.12</v>
      </c>
      <c r="L1442" s="24">
        <f t="shared" si="475"/>
        <v>3268.52</v>
      </c>
      <c r="M1442" s="24"/>
      <c r="N1442" s="24"/>
      <c r="O1442" s="24"/>
      <c r="P1442" s="24" t="str">
        <f>IF(((P1440="")*AND(P1441="")),"",(P1440-P1441)*4)</f>
        <v/>
      </c>
      <c r="Q1442" s="61"/>
      <c r="R1442" s="61"/>
      <c r="S1442" s="61"/>
      <c r="T1442" s="61"/>
      <c r="U1442" s="61"/>
      <c r="V1442" s="60"/>
      <c r="W1442" s="59"/>
    </row>
    <row r="1443" spans="1:31" ht="15.75">
      <c r="A1443" s="195">
        <v>44036</v>
      </c>
      <c r="B1443" s="57" t="s">
        <v>157</v>
      </c>
      <c r="C1443" s="51" t="s">
        <v>156</v>
      </c>
      <c r="D1443"/>
      <c r="E1443"/>
      <c r="F1443"/>
      <c r="G1443"/>
      <c r="H1443"/>
      <c r="I1443"/>
      <c r="J1443"/>
      <c r="K1443"/>
      <c r="L1443"/>
      <c r="M1443" s="50"/>
      <c r="N1443" s="50"/>
      <c r="O1443" s="50"/>
      <c r="P1443" s="50"/>
      <c r="Q1443" s="57" t="str">
        <f>IF((L1444=""),"",MAX(D1445:L1445))</f>
        <v/>
      </c>
      <c r="R1443" s="57" t="str">
        <f>IF(L1444="","",MIN(D1445:L1445))</f>
        <v/>
      </c>
      <c r="S1443" s="58" t="str">
        <f>IF((L1445=""),"",AVERAGE(D1445:L1445))</f>
        <v/>
      </c>
      <c r="T1443" s="57" t="str">
        <f>IF((L1444=""),"",((Q1443-R1443)/(Q1443+R1443))*100)</f>
        <v/>
      </c>
      <c r="U1443" s="56" t="e">
        <f>STDEV(D1443:L1443)</f>
        <v>#DIV/0!</v>
      </c>
      <c r="V1443" s="55" t="str">
        <f>IF(L1444="","",(IF(T1443&lt;7,IF(S1443&gt;2800,IF(S1443&lt;3800,"Pass","Fail"),"Fail"),"Fail")))</f>
        <v/>
      </c>
      <c r="W1443" s="54">
        <v>1335</v>
      </c>
      <c r="Z1443" s="53">
        <v>2800</v>
      </c>
      <c r="AA1443" s="53">
        <v>3800</v>
      </c>
      <c r="AB1443" s="53">
        <v>3100</v>
      </c>
      <c r="AC1443" s="53">
        <v>3760</v>
      </c>
      <c r="AD1443" s="52">
        <v>6</v>
      </c>
      <c r="AE1443" s="52">
        <v>6</v>
      </c>
    </row>
    <row r="1444" spans="1:31" ht="15.75">
      <c r="A1444" s="199"/>
      <c r="B1444" s="48"/>
      <c r="C1444" s="51" t="s">
        <v>155</v>
      </c>
      <c r="D1444"/>
      <c r="E1444"/>
      <c r="F1444"/>
      <c r="G1444"/>
      <c r="H1444"/>
      <c r="I1444"/>
      <c r="J1444"/>
      <c r="K1444"/>
      <c r="L1444"/>
      <c r="M1444" s="50"/>
      <c r="N1444" s="50"/>
      <c r="O1444" s="50"/>
      <c r="P1444" s="50"/>
      <c r="Q1444" s="48"/>
      <c r="R1444" s="48"/>
      <c r="S1444" s="49"/>
      <c r="T1444" s="48"/>
      <c r="U1444" s="48"/>
      <c r="V1444" s="47"/>
      <c r="W1444" s="46"/>
    </row>
    <row r="1445" spans="1:31" ht="24.75" thickBot="1">
      <c r="A1445" s="199"/>
      <c r="B1445" s="42"/>
      <c r="C1445" s="45" t="s">
        <v>154</v>
      </c>
      <c r="D1445" s="44" t="str">
        <f t="shared" ref="D1445:L1445" si="476">IF(((D1443="")*AND(D1444="")),"",(D1443-D1444)*2)</f>
        <v/>
      </c>
      <c r="E1445" s="44" t="str">
        <f t="shared" si="476"/>
        <v/>
      </c>
      <c r="F1445" s="44" t="str">
        <f t="shared" si="476"/>
        <v/>
      </c>
      <c r="G1445" s="44" t="str">
        <f t="shared" si="476"/>
        <v/>
      </c>
      <c r="H1445" s="44" t="str">
        <f t="shared" si="476"/>
        <v/>
      </c>
      <c r="I1445" s="44" t="str">
        <f t="shared" si="476"/>
        <v/>
      </c>
      <c r="J1445" s="44" t="str">
        <f t="shared" si="476"/>
        <v/>
      </c>
      <c r="K1445" s="44" t="str">
        <f t="shared" si="476"/>
        <v/>
      </c>
      <c r="L1445" s="44" t="str">
        <f t="shared" si="476"/>
        <v/>
      </c>
      <c r="M1445" s="44"/>
      <c r="N1445" s="44"/>
      <c r="O1445" s="44"/>
      <c r="P1445" s="44"/>
      <c r="Q1445" s="42"/>
      <c r="R1445" s="42"/>
      <c r="S1445" s="43"/>
      <c r="T1445" s="42"/>
      <c r="U1445" s="42"/>
      <c r="V1445" s="41"/>
      <c r="W1445" s="40"/>
    </row>
    <row r="1446" spans="1:31" ht="15.75">
      <c r="A1446" s="195">
        <v>44043</v>
      </c>
      <c r="B1446" s="63" t="s">
        <v>158</v>
      </c>
      <c r="C1446" s="56" t="s">
        <v>156</v>
      </c>
      <c r="D1446">
        <v>1913.71</v>
      </c>
      <c r="E1446">
        <v>1910.34</v>
      </c>
      <c r="F1446">
        <v>1902.62</v>
      </c>
      <c r="G1446">
        <v>1913.9</v>
      </c>
      <c r="H1446">
        <v>1920.22</v>
      </c>
      <c r="I1446">
        <v>1918.41</v>
      </c>
      <c r="J1446">
        <v>1912.8</v>
      </c>
      <c r="K1446">
        <v>1944.7</v>
      </c>
      <c r="L1446">
        <v>1920.82</v>
      </c>
      <c r="M1446" s="62"/>
      <c r="N1446" s="62"/>
      <c r="O1446" s="62"/>
      <c r="P1446" s="62"/>
      <c r="Q1446" s="57">
        <f>IF((L1447=""),"",MAX(D1448:L1448))</f>
        <v>3106.24</v>
      </c>
      <c r="R1446" s="57">
        <f>IF(L1447="","",MIN(D1448:L1448))</f>
        <v>2777.3999999999996</v>
      </c>
      <c r="S1446" s="58">
        <f>IF((L1448=""),"",AVERAGE(D1448:L1448))</f>
        <v>2922.5511111111109</v>
      </c>
      <c r="T1446" s="57">
        <f>IF((L1447=""),"",((Q1446-R1446)/(Q1446+R1446))*100)</f>
        <v>5.5890571143033929</v>
      </c>
      <c r="U1446" s="56">
        <f>STDEV(D1446:L1446)</f>
        <v>11.625311584812966</v>
      </c>
      <c r="V1446" s="55" t="str">
        <f>IF(L1447="","",(IF(T1446&lt;12,IF(S1446&gt;2200,IF(S1446&lt;3280,"Pass","Fail"),"Fail"),"Fail")))</f>
        <v>Pass</v>
      </c>
      <c r="W1446" s="54">
        <v>121</v>
      </c>
      <c r="X1446" t="s">
        <v>475</v>
      </c>
      <c r="Z1446" s="37">
        <v>2000</v>
      </c>
      <c r="AA1446" s="37">
        <v>3000</v>
      </c>
      <c r="AB1446" s="37">
        <v>2200</v>
      </c>
      <c r="AC1446" s="37">
        <v>3280</v>
      </c>
      <c r="AD1446" s="39">
        <v>12</v>
      </c>
      <c r="AE1446" s="39">
        <v>12</v>
      </c>
    </row>
    <row r="1447" spans="1:31" ht="15.75">
      <c r="A1447" s="199"/>
      <c r="B1447" s="48"/>
      <c r="C1447" s="51" t="s">
        <v>155</v>
      </c>
      <c r="D1447">
        <v>1191.67</v>
      </c>
      <c r="E1447">
        <v>1201.27</v>
      </c>
      <c r="F1447">
        <v>1208.27</v>
      </c>
      <c r="G1447">
        <v>1188.99</v>
      </c>
      <c r="H1447">
        <v>1176.93</v>
      </c>
      <c r="I1447">
        <v>1189.69</v>
      </c>
      <c r="J1447">
        <v>1204.81</v>
      </c>
      <c r="K1447">
        <v>1175.8900000000001</v>
      </c>
      <c r="L1447">
        <v>1144.26</v>
      </c>
      <c r="M1447" s="50"/>
      <c r="N1447" s="50"/>
      <c r="O1447" s="50"/>
      <c r="P1447" s="50"/>
      <c r="Q1447" s="48"/>
      <c r="R1447" s="48"/>
      <c r="S1447" s="48"/>
      <c r="T1447" s="48"/>
      <c r="U1447" s="48"/>
      <c r="V1447" s="47"/>
      <c r="W1447" s="46"/>
    </row>
    <row r="1448" spans="1:31" ht="24.75" thickBot="1">
      <c r="A1448" s="199"/>
      <c r="B1448" s="61"/>
      <c r="C1448" s="51" t="s">
        <v>154</v>
      </c>
      <c r="D1448" s="24">
        <f t="shared" ref="D1448:L1448" si="477">IF(((D1446="")*AND(D1447="")),"",(D1446-D1447)*4)</f>
        <v>2888.16</v>
      </c>
      <c r="E1448" s="24">
        <f t="shared" si="477"/>
        <v>2836.2799999999997</v>
      </c>
      <c r="F1448" s="24">
        <f t="shared" si="477"/>
        <v>2777.3999999999996</v>
      </c>
      <c r="G1448" s="24">
        <f t="shared" si="477"/>
        <v>2899.6400000000003</v>
      </c>
      <c r="H1448" s="24">
        <f t="shared" si="477"/>
        <v>2973.16</v>
      </c>
      <c r="I1448" s="24">
        <f t="shared" si="477"/>
        <v>2914.88</v>
      </c>
      <c r="J1448" s="24">
        <f t="shared" si="477"/>
        <v>2831.96</v>
      </c>
      <c r="K1448" s="24">
        <f t="shared" si="477"/>
        <v>3075.24</v>
      </c>
      <c r="L1448" s="24">
        <f t="shared" si="477"/>
        <v>3106.24</v>
      </c>
      <c r="M1448" s="24"/>
      <c r="N1448" s="24"/>
      <c r="O1448" s="24"/>
      <c r="P1448" s="24" t="str">
        <f>IF(((P1446="")*AND(P1447="")),"",(P1446-P1447)*4)</f>
        <v/>
      </c>
      <c r="Q1448" s="61"/>
      <c r="R1448" s="61"/>
      <c r="S1448" s="61"/>
      <c r="T1448" s="61"/>
      <c r="U1448" s="61"/>
      <c r="V1448" s="60"/>
      <c r="W1448" s="59"/>
    </row>
    <row r="1449" spans="1:31" ht="15.75">
      <c r="A1449" s="195">
        <v>44043</v>
      </c>
      <c r="B1449" s="57" t="s">
        <v>157</v>
      </c>
      <c r="C1449" s="51" t="s">
        <v>156</v>
      </c>
      <c r="D1449">
        <v>4985.83</v>
      </c>
      <c r="E1449">
        <v>5220.8900000000003</v>
      </c>
      <c r="F1449">
        <v>5192.9399999999996</v>
      </c>
      <c r="G1449">
        <v>5143.74</v>
      </c>
      <c r="H1449">
        <v>5016.78</v>
      </c>
      <c r="I1449">
        <v>5168.83</v>
      </c>
      <c r="J1449">
        <v>5216.42</v>
      </c>
      <c r="K1449">
        <v>5183.17</v>
      </c>
      <c r="L1449">
        <v>5120.1099999999997</v>
      </c>
      <c r="M1449" s="50"/>
      <c r="N1449" s="50"/>
      <c r="O1449" s="50"/>
      <c r="P1449" s="50"/>
      <c r="Q1449" s="57">
        <f>IF((L1450=""),"",MAX(D1451:L1451))</f>
        <v>3404.42</v>
      </c>
      <c r="R1449" s="57">
        <f>IF(L1450="","",MIN(D1451:L1451))</f>
        <v>3315.62</v>
      </c>
      <c r="S1449" s="58">
        <f>IF((L1451=""),"",AVERAGE(D1451:L1451))</f>
        <v>3379.9955555555553</v>
      </c>
      <c r="T1449" s="57">
        <f>IF((L1450=""),"",((Q1449-R1449)/(Q1449+R1449))*100)</f>
        <v>1.3214207058291345</v>
      </c>
      <c r="U1449" s="56">
        <f>STDEV(D1449:L1449)</f>
        <v>84.578117901596343</v>
      </c>
      <c r="V1449" s="55" t="str">
        <f>IF(L1450="","",(IF(T1449&lt;7,IF(S1449&gt;2800,IF(S1449&lt;3800,"Pass","Fail"),"Fail"),"Fail")))</f>
        <v>Pass</v>
      </c>
      <c r="W1449" s="54">
        <v>121</v>
      </c>
      <c r="X1449" t="s">
        <v>475</v>
      </c>
      <c r="Z1449" s="53">
        <v>2800</v>
      </c>
      <c r="AA1449" s="53">
        <v>3800</v>
      </c>
      <c r="AB1449" s="53">
        <v>3100</v>
      </c>
      <c r="AC1449" s="53">
        <v>3760</v>
      </c>
      <c r="AD1449" s="52">
        <v>6</v>
      </c>
      <c r="AE1449" s="52">
        <v>6</v>
      </c>
    </row>
    <row r="1450" spans="1:31" ht="15.75">
      <c r="A1450" s="199"/>
      <c r="B1450" s="48"/>
      <c r="C1450" s="51" t="s">
        <v>155</v>
      </c>
      <c r="D1450">
        <v>3328.02</v>
      </c>
      <c r="E1450">
        <v>3523.13</v>
      </c>
      <c r="F1450">
        <v>3500.64</v>
      </c>
      <c r="G1450">
        <v>3470.39</v>
      </c>
      <c r="H1450">
        <v>3314.71</v>
      </c>
      <c r="I1450">
        <v>3476.99</v>
      </c>
      <c r="J1450">
        <v>3514.21</v>
      </c>
      <c r="K1450">
        <v>3489.14</v>
      </c>
      <c r="L1450">
        <v>3421.5</v>
      </c>
      <c r="M1450" s="50"/>
      <c r="N1450" s="50"/>
      <c r="O1450" s="50"/>
      <c r="P1450" s="50"/>
      <c r="Q1450" s="48"/>
      <c r="R1450" s="48"/>
      <c r="S1450" s="49"/>
      <c r="T1450" s="48"/>
      <c r="U1450" s="48"/>
      <c r="V1450" s="47"/>
      <c r="W1450" s="46"/>
    </row>
    <row r="1451" spans="1:31" ht="24.75" thickBot="1">
      <c r="A1451" s="199"/>
      <c r="B1451" s="42"/>
      <c r="C1451" s="45" t="s">
        <v>154</v>
      </c>
      <c r="D1451" s="44">
        <f t="shared" ref="D1451:L1451" si="478">IF(((D1449="")*AND(D1450="")),"",(D1449-D1450)*2)</f>
        <v>3315.62</v>
      </c>
      <c r="E1451" s="44">
        <f t="shared" si="478"/>
        <v>3395.5200000000004</v>
      </c>
      <c r="F1451" s="44">
        <f t="shared" si="478"/>
        <v>3384.5999999999995</v>
      </c>
      <c r="G1451" s="44">
        <f t="shared" si="478"/>
        <v>3346.7</v>
      </c>
      <c r="H1451" s="44">
        <f t="shared" si="478"/>
        <v>3404.1399999999994</v>
      </c>
      <c r="I1451" s="44">
        <f t="shared" si="478"/>
        <v>3383.6800000000003</v>
      </c>
      <c r="J1451" s="44">
        <f t="shared" si="478"/>
        <v>3404.42</v>
      </c>
      <c r="K1451" s="44">
        <f t="shared" si="478"/>
        <v>3388.0600000000004</v>
      </c>
      <c r="L1451" s="44">
        <f t="shared" si="478"/>
        <v>3397.2199999999993</v>
      </c>
      <c r="M1451" s="44"/>
      <c r="N1451" s="44"/>
      <c r="O1451" s="44"/>
      <c r="P1451" s="44"/>
      <c r="Q1451" s="42"/>
      <c r="R1451" s="42"/>
      <c r="S1451" s="43"/>
      <c r="T1451" s="42"/>
      <c r="U1451" s="42"/>
      <c r="V1451" s="41"/>
      <c r="W1451" s="40"/>
    </row>
    <row r="1452" spans="1:31" ht="15.75">
      <c r="A1452" s="195">
        <v>44047</v>
      </c>
      <c r="B1452" s="63" t="s">
        <v>158</v>
      </c>
      <c r="C1452" s="56" t="s">
        <v>156</v>
      </c>
      <c r="D1452">
        <v>1191.67</v>
      </c>
      <c r="E1452">
        <v>1201.27</v>
      </c>
      <c r="F1452">
        <v>1208.27</v>
      </c>
      <c r="G1452">
        <v>1188.99</v>
      </c>
      <c r="H1452">
        <v>1176.93</v>
      </c>
      <c r="I1452">
        <v>1189.69</v>
      </c>
      <c r="J1452">
        <v>1204.81</v>
      </c>
      <c r="K1452">
        <v>1175.8900000000001</v>
      </c>
      <c r="L1452">
        <v>1144.26</v>
      </c>
      <c r="M1452" s="62"/>
      <c r="N1452" s="62"/>
      <c r="O1452" s="62"/>
      <c r="P1452" s="62"/>
      <c r="Q1452" s="57">
        <f>IF((L1453=""),"",MAX(D1454:L1454))</f>
        <v>3170.76</v>
      </c>
      <c r="R1452" s="57">
        <f>IF(L1453="","",MIN(D1454:L1454))</f>
        <v>2591.5600000000004</v>
      </c>
      <c r="S1452" s="58">
        <f>IF((L1454=""),"",AVERAGE(D1454:L1454))</f>
        <v>2775.4577777777777</v>
      </c>
      <c r="T1452" s="57">
        <f>IF((L1453=""),"",((Q1452-R1452)/(Q1452+R1452))*100)</f>
        <v>10.05150703188993</v>
      </c>
      <c r="U1452" s="56">
        <f>STDEV(D1452:L1452)</f>
        <v>19.550019892013236</v>
      </c>
      <c r="V1452" s="55" t="str">
        <f>IF(L1453="","",(IF(T1452&lt;12,IF(S1452&gt;2200,IF(S1452&lt;3280,"Pass","Fail"),"Fail"),"Fail")))</f>
        <v>Pass</v>
      </c>
      <c r="W1452" s="54">
        <v>1428</v>
      </c>
      <c r="X1452" t="s">
        <v>477</v>
      </c>
      <c r="Z1452" s="37">
        <v>2000</v>
      </c>
      <c r="AA1452" s="37">
        <v>3000</v>
      </c>
      <c r="AB1452" s="37">
        <v>2200</v>
      </c>
      <c r="AC1452" s="37">
        <v>3280</v>
      </c>
      <c r="AD1452" s="39">
        <v>12</v>
      </c>
      <c r="AE1452" s="39">
        <v>12</v>
      </c>
    </row>
    <row r="1453" spans="1:31" ht="15.75">
      <c r="A1453" s="199"/>
      <c r="B1453" s="48"/>
      <c r="C1453" s="51" t="s">
        <v>155</v>
      </c>
      <c r="D1453">
        <v>460</v>
      </c>
      <c r="E1453">
        <v>505</v>
      </c>
      <c r="F1453">
        <v>548</v>
      </c>
      <c r="G1453">
        <v>519</v>
      </c>
      <c r="H1453">
        <v>501</v>
      </c>
      <c r="I1453">
        <v>397</v>
      </c>
      <c r="J1453">
        <v>484</v>
      </c>
      <c r="K1453">
        <v>528</v>
      </c>
      <c r="L1453">
        <v>495</v>
      </c>
      <c r="M1453" s="50"/>
      <c r="N1453" s="50"/>
      <c r="O1453" s="50"/>
      <c r="P1453" s="50"/>
      <c r="Q1453" s="48"/>
      <c r="R1453" s="48"/>
      <c r="S1453" s="48"/>
      <c r="T1453" s="48"/>
      <c r="U1453" s="48"/>
      <c r="V1453" s="47"/>
      <c r="W1453" s="46"/>
    </row>
    <row r="1454" spans="1:31" ht="24.75" thickBot="1">
      <c r="A1454" s="199"/>
      <c r="B1454" s="61"/>
      <c r="C1454" s="51" t="s">
        <v>154</v>
      </c>
      <c r="D1454" s="24">
        <f t="shared" ref="D1454:L1454" si="479">IF(((D1452="")*AND(D1453="")),"",(D1452-D1453)*4)</f>
        <v>2926.6800000000003</v>
      </c>
      <c r="E1454" s="24">
        <f t="shared" si="479"/>
        <v>2785.08</v>
      </c>
      <c r="F1454" s="24">
        <f t="shared" si="479"/>
        <v>2641.08</v>
      </c>
      <c r="G1454" s="24">
        <f t="shared" si="479"/>
        <v>2679.96</v>
      </c>
      <c r="H1454" s="24">
        <f t="shared" si="479"/>
        <v>2703.7200000000003</v>
      </c>
      <c r="I1454" s="24">
        <f t="shared" si="479"/>
        <v>3170.76</v>
      </c>
      <c r="J1454" s="24">
        <f t="shared" si="479"/>
        <v>2883.24</v>
      </c>
      <c r="K1454" s="24">
        <f t="shared" si="479"/>
        <v>2591.5600000000004</v>
      </c>
      <c r="L1454" s="24">
        <f t="shared" si="479"/>
        <v>2597.04</v>
      </c>
      <c r="M1454" s="24"/>
      <c r="N1454" s="24"/>
      <c r="O1454" s="24"/>
      <c r="P1454" s="24" t="str">
        <f>IF(((P1452="")*AND(P1453="")),"",(P1452-P1453)*4)</f>
        <v/>
      </c>
      <c r="Q1454" s="61"/>
      <c r="R1454" s="61"/>
      <c r="S1454" s="61"/>
      <c r="T1454" s="61"/>
      <c r="U1454" s="61"/>
      <c r="V1454" s="60"/>
      <c r="W1454" s="59"/>
    </row>
    <row r="1455" spans="1:31" ht="15.75">
      <c r="A1455" s="195">
        <v>44047</v>
      </c>
      <c r="B1455" s="57" t="s">
        <v>157</v>
      </c>
      <c r="C1455" s="51" t="s">
        <v>156</v>
      </c>
      <c r="D1455">
        <v>3328.02</v>
      </c>
      <c r="E1455">
        <v>3523.13</v>
      </c>
      <c r="F1455">
        <v>3500.64</v>
      </c>
      <c r="G1455">
        <v>3470.39</v>
      </c>
      <c r="H1455">
        <v>3314.71</v>
      </c>
      <c r="I1455">
        <v>3476.99</v>
      </c>
      <c r="J1455">
        <v>3514.21</v>
      </c>
      <c r="K1455">
        <v>3489.14</v>
      </c>
      <c r="L1455">
        <v>3421.5</v>
      </c>
      <c r="M1455" s="50"/>
      <c r="N1455" s="50"/>
      <c r="O1455" s="50"/>
      <c r="P1455" s="50"/>
      <c r="Q1455" s="57">
        <f>IF((L1456=""),"",MAX(D1457:L1457))</f>
        <v>3672.2799999999997</v>
      </c>
      <c r="R1455" s="57">
        <f>IF(L1456="","",MIN(D1457:L1457))</f>
        <v>3471.2799999999997</v>
      </c>
      <c r="S1455" s="58">
        <f>IF((L1457=""),"",AVERAGE(D1457:L1457))</f>
        <v>3551.2733333333331</v>
      </c>
      <c r="T1455" s="57">
        <f>IF((L1456=""),"",((Q1455-R1455)/(Q1455+R1455))*100)</f>
        <v>2.8137231296440435</v>
      </c>
      <c r="U1455" s="56">
        <f>STDEV(D1455:L1455)</f>
        <v>78.016123618442151</v>
      </c>
      <c r="V1455" s="55" t="str">
        <f>IF(L1456="","",(IF(T1455&lt;7,IF(S1455&gt;2800,IF(S1455&lt;3800,"Pass","Fail"),"Fail"),"Fail")))</f>
        <v>Pass</v>
      </c>
      <c r="W1455" s="54">
        <v>1428</v>
      </c>
      <c r="X1455" t="s">
        <v>477</v>
      </c>
      <c r="Z1455" s="53">
        <v>2800</v>
      </c>
      <c r="AA1455" s="53">
        <v>3800</v>
      </c>
      <c r="AB1455" s="53">
        <v>3100</v>
      </c>
      <c r="AC1455" s="53">
        <v>3760</v>
      </c>
      <c r="AD1455" s="52">
        <v>6</v>
      </c>
      <c r="AE1455" s="52">
        <v>6</v>
      </c>
    </row>
    <row r="1456" spans="1:31" ht="15.75">
      <c r="A1456" s="199"/>
      <c r="B1456" s="48"/>
      <c r="C1456" s="51" t="s">
        <v>155</v>
      </c>
      <c r="D1456">
        <v>1585</v>
      </c>
      <c r="E1456">
        <v>1746</v>
      </c>
      <c r="F1456">
        <v>1765</v>
      </c>
      <c r="G1456">
        <v>1713</v>
      </c>
      <c r="H1456">
        <v>1499</v>
      </c>
      <c r="I1456">
        <v>1700</v>
      </c>
      <c r="J1456">
        <v>1724</v>
      </c>
      <c r="K1456">
        <v>1653</v>
      </c>
      <c r="L1456">
        <v>1673</v>
      </c>
      <c r="M1456" s="50"/>
      <c r="N1456" s="50"/>
      <c r="O1456" s="50"/>
      <c r="P1456" s="50"/>
      <c r="Q1456" s="48"/>
      <c r="R1456" s="48"/>
      <c r="S1456" s="49"/>
      <c r="T1456" s="48"/>
      <c r="U1456" s="48"/>
      <c r="V1456" s="47"/>
      <c r="W1456" s="46"/>
    </row>
    <row r="1457" spans="1:31" ht="24.75" thickBot="1">
      <c r="A1457" s="199"/>
      <c r="B1457" s="42"/>
      <c r="C1457" s="45" t="s">
        <v>154</v>
      </c>
      <c r="D1457" s="44">
        <f t="shared" ref="D1457:L1457" si="480">IF(((D1455="")*AND(D1456="")),"",(D1455-D1456)*2)</f>
        <v>3486.04</v>
      </c>
      <c r="E1457" s="44">
        <f t="shared" si="480"/>
        <v>3554.26</v>
      </c>
      <c r="F1457" s="44">
        <f t="shared" si="480"/>
        <v>3471.2799999999997</v>
      </c>
      <c r="G1457" s="44">
        <f t="shared" si="480"/>
        <v>3514.7799999999997</v>
      </c>
      <c r="H1457" s="44">
        <f t="shared" si="480"/>
        <v>3631.42</v>
      </c>
      <c r="I1457" s="44">
        <f t="shared" si="480"/>
        <v>3553.9799999999996</v>
      </c>
      <c r="J1457" s="44">
        <f t="shared" si="480"/>
        <v>3580.42</v>
      </c>
      <c r="K1457" s="44">
        <f t="shared" si="480"/>
        <v>3672.2799999999997</v>
      </c>
      <c r="L1457" s="44">
        <f t="shared" si="480"/>
        <v>3497</v>
      </c>
      <c r="M1457" s="44"/>
      <c r="N1457" s="44"/>
      <c r="O1457" s="44"/>
      <c r="P1457" s="44"/>
      <c r="Q1457" s="42"/>
      <c r="R1457" s="42"/>
      <c r="S1457" s="43"/>
      <c r="T1457" s="42"/>
      <c r="U1457" s="42"/>
      <c r="V1457" s="41"/>
      <c r="W1457" s="40"/>
    </row>
    <row r="1458" spans="1:31" ht="15.75">
      <c r="A1458" s="195">
        <v>44060</v>
      </c>
      <c r="B1458" s="63" t="s">
        <v>158</v>
      </c>
      <c r="C1458" s="56" t="s">
        <v>156</v>
      </c>
      <c r="D1458">
        <v>1910.39</v>
      </c>
      <c r="E1458">
        <v>1908.8</v>
      </c>
      <c r="F1458">
        <v>1899.45</v>
      </c>
      <c r="G1458">
        <v>1904.11</v>
      </c>
      <c r="H1458">
        <v>1909.84</v>
      </c>
      <c r="I1458">
        <v>1876.19</v>
      </c>
      <c r="J1458">
        <v>1906.41</v>
      </c>
      <c r="K1458">
        <v>2002.64</v>
      </c>
      <c r="L1458">
        <v>1909.54</v>
      </c>
      <c r="M1458" s="62"/>
      <c r="N1458" s="62"/>
      <c r="O1458" s="62"/>
      <c r="P1458" s="62"/>
      <c r="Q1458" s="57">
        <f>IF((L1459=""),"",MAX(D1460:L1460))</f>
        <v>3332.5200000000004</v>
      </c>
      <c r="R1458" s="57">
        <f>IF(L1459="","",MIN(D1460:L1460))</f>
        <v>2776.6400000000003</v>
      </c>
      <c r="S1458" s="58">
        <f>IF((L1460=""),"",AVERAGE(D1460:L1460))</f>
        <v>2958.4622222222224</v>
      </c>
      <c r="T1458" s="57">
        <f>IF((L1459=""),"",((Q1458-R1458)/(Q1458+R1458))*100)</f>
        <v>9.0991232837247686</v>
      </c>
      <c r="U1458" s="56">
        <f>STDEV(D1458:L1458)</f>
        <v>34.876261904691091</v>
      </c>
      <c r="V1458" s="55" t="str">
        <f>IF(L1459="","",(IF(T1458&lt;12,IF(S1458&gt;2200,IF(S1458&lt;3280,"Pass","Fail"),"Fail"),"Fail")))</f>
        <v>Pass</v>
      </c>
      <c r="W1458" s="54">
        <v>102</v>
      </c>
      <c r="X1458" s="1" t="s">
        <v>489</v>
      </c>
      <c r="Z1458" s="37">
        <v>2000</v>
      </c>
      <c r="AA1458" s="37">
        <v>3000</v>
      </c>
      <c r="AB1458" s="37">
        <v>2200</v>
      </c>
      <c r="AC1458" s="37">
        <v>3280</v>
      </c>
      <c r="AD1458" s="39">
        <v>12</v>
      </c>
      <c r="AE1458" s="39">
        <v>12</v>
      </c>
    </row>
    <row r="1459" spans="1:31" ht="15.75">
      <c r="A1459" s="199"/>
      <c r="B1459" s="48"/>
      <c r="C1459" s="51" t="s">
        <v>155</v>
      </c>
      <c r="D1459">
        <v>1176.0899999999999</v>
      </c>
      <c r="E1459">
        <v>1192.47</v>
      </c>
      <c r="F1459">
        <v>1205.29</v>
      </c>
      <c r="G1459">
        <v>1184.4100000000001</v>
      </c>
      <c r="H1459">
        <v>1142.79</v>
      </c>
      <c r="I1459">
        <v>1177.03</v>
      </c>
      <c r="J1459">
        <v>1197.68</v>
      </c>
      <c r="K1459">
        <v>1169.51</v>
      </c>
      <c r="L1459">
        <v>1125.56</v>
      </c>
      <c r="M1459" s="50"/>
      <c r="N1459" s="50"/>
      <c r="O1459" s="50"/>
      <c r="P1459" s="50"/>
      <c r="Q1459" s="48"/>
      <c r="R1459" s="48"/>
      <c r="S1459" s="48"/>
      <c r="T1459" s="48"/>
      <c r="U1459" s="48"/>
      <c r="V1459" s="47"/>
      <c r="W1459" s="46"/>
    </row>
    <row r="1460" spans="1:31" ht="24.75" thickBot="1">
      <c r="A1460" s="199"/>
      <c r="B1460" s="61"/>
      <c r="C1460" s="51" t="s">
        <v>154</v>
      </c>
      <c r="D1460" s="24">
        <f t="shared" ref="D1460:L1460" si="481">IF(((D1458="")*AND(D1459="")),"",(D1458-D1459)*4)</f>
        <v>2937.2000000000007</v>
      </c>
      <c r="E1460" s="24">
        <f t="shared" si="481"/>
        <v>2865.3199999999997</v>
      </c>
      <c r="F1460" s="24">
        <f t="shared" si="481"/>
        <v>2776.6400000000003</v>
      </c>
      <c r="G1460" s="24">
        <f t="shared" si="481"/>
        <v>2878.7999999999993</v>
      </c>
      <c r="H1460" s="24">
        <f t="shared" si="481"/>
        <v>3068.2</v>
      </c>
      <c r="I1460" s="24">
        <f t="shared" si="481"/>
        <v>2796.6400000000003</v>
      </c>
      <c r="J1460" s="24">
        <f t="shared" si="481"/>
        <v>2834.92</v>
      </c>
      <c r="K1460" s="24">
        <f t="shared" si="481"/>
        <v>3332.5200000000004</v>
      </c>
      <c r="L1460" s="24">
        <f t="shared" si="481"/>
        <v>3135.92</v>
      </c>
      <c r="M1460" s="24"/>
      <c r="N1460" s="24"/>
      <c r="O1460" s="24"/>
      <c r="P1460" s="24" t="str">
        <f>IF(((P1458="")*AND(P1459="")),"",(P1458-P1459)*4)</f>
        <v/>
      </c>
      <c r="Q1460" s="61"/>
      <c r="R1460" s="61"/>
      <c r="S1460" s="61"/>
      <c r="T1460" s="61"/>
      <c r="U1460" s="61"/>
      <c r="V1460" s="60"/>
      <c r="W1460" s="59"/>
    </row>
    <row r="1461" spans="1:31" ht="15.75">
      <c r="A1461" s="195">
        <v>44060</v>
      </c>
      <c r="B1461" s="57" t="s">
        <v>157</v>
      </c>
      <c r="C1461" s="51" t="s">
        <v>156</v>
      </c>
      <c r="D1461">
        <v>6583.24</v>
      </c>
      <c r="E1461">
        <v>6776.77</v>
      </c>
      <c r="F1461">
        <v>6749.18</v>
      </c>
      <c r="G1461">
        <v>6691.62</v>
      </c>
      <c r="H1461">
        <v>6588.13</v>
      </c>
      <c r="I1461">
        <v>6727.43</v>
      </c>
      <c r="J1461">
        <v>6776.92</v>
      </c>
      <c r="K1461">
        <v>6746.67</v>
      </c>
      <c r="L1461">
        <v>6683.29</v>
      </c>
      <c r="M1461" s="50"/>
      <c r="N1461" s="50"/>
      <c r="O1461" s="50"/>
      <c r="P1461" s="50"/>
      <c r="Q1461" s="57">
        <f>IF((L1462=""),"",MAX(D1463:L1463))</f>
        <v>3413.76</v>
      </c>
      <c r="R1461" s="57">
        <f>IF(L1462="","",MIN(D1463:L1463))</f>
        <v>3367.66</v>
      </c>
      <c r="S1461" s="58">
        <f>IF((L1463=""),"",AVERAGE(D1463:L1463))</f>
        <v>3393.422222222222</v>
      </c>
      <c r="T1461" s="57">
        <f>IF((L1462=""),"",((Q1461-R1461)/(Q1461+R1461))*100)</f>
        <v>0.67979862624642573</v>
      </c>
      <c r="U1461" s="56">
        <f>STDEV(D1461:L1461)</f>
        <v>73.82129266005218</v>
      </c>
      <c r="V1461" s="55" t="str">
        <f>IF(L1462="","",(IF(T1461&lt;7,IF(S1461&gt;2800,IF(S1461&lt;3800,"Pass","Fail"),"Fail"),"Fail")))</f>
        <v>Pass</v>
      </c>
      <c r="W1461" s="54">
        <v>102</v>
      </c>
      <c r="X1461" s="1" t="s">
        <v>489</v>
      </c>
      <c r="Z1461" s="53">
        <v>2800</v>
      </c>
      <c r="AA1461" s="53">
        <v>3800</v>
      </c>
      <c r="AB1461" s="53">
        <v>3100</v>
      </c>
      <c r="AC1461" s="53">
        <v>3760</v>
      </c>
      <c r="AD1461" s="52">
        <v>6</v>
      </c>
      <c r="AE1461" s="52">
        <v>6</v>
      </c>
    </row>
    <row r="1462" spans="1:31" ht="15.75">
      <c r="A1462" s="199"/>
      <c r="B1462" s="48"/>
      <c r="C1462" s="51" t="s">
        <v>155</v>
      </c>
      <c r="D1462">
        <v>4887.72</v>
      </c>
      <c r="E1462">
        <v>5079.93</v>
      </c>
      <c r="F1462">
        <v>5056.0200000000004</v>
      </c>
      <c r="G1462">
        <v>5007.79</v>
      </c>
      <c r="H1462">
        <v>4881.25</v>
      </c>
      <c r="I1462">
        <v>5032.2</v>
      </c>
      <c r="J1462">
        <v>5076.62</v>
      </c>
      <c r="K1462">
        <v>5046.04</v>
      </c>
      <c r="L1462">
        <v>4985.28</v>
      </c>
      <c r="M1462" s="50"/>
      <c r="N1462" s="50"/>
      <c r="O1462" s="50"/>
      <c r="P1462" s="50"/>
      <c r="Q1462" s="48"/>
      <c r="R1462" s="48"/>
      <c r="S1462" s="49"/>
      <c r="T1462" s="48"/>
      <c r="U1462" s="48"/>
      <c r="V1462" s="47"/>
      <c r="W1462" s="46"/>
    </row>
    <row r="1463" spans="1:31" ht="24.75" thickBot="1">
      <c r="A1463" s="199"/>
      <c r="B1463" s="42"/>
      <c r="C1463" s="45" t="s">
        <v>154</v>
      </c>
      <c r="D1463" s="44">
        <f t="shared" ref="D1463:L1463" si="482">IF(((D1461="")*AND(D1462="")),"",(D1461-D1462)*2)</f>
        <v>3391.0399999999991</v>
      </c>
      <c r="E1463" s="44">
        <f t="shared" si="482"/>
        <v>3393.6800000000003</v>
      </c>
      <c r="F1463" s="44">
        <f t="shared" si="482"/>
        <v>3386.3199999999997</v>
      </c>
      <c r="G1463" s="44">
        <f t="shared" si="482"/>
        <v>3367.66</v>
      </c>
      <c r="H1463" s="44">
        <f t="shared" si="482"/>
        <v>3413.76</v>
      </c>
      <c r="I1463" s="44">
        <f t="shared" si="482"/>
        <v>3390.4600000000009</v>
      </c>
      <c r="J1463" s="44">
        <f t="shared" si="482"/>
        <v>3400.6000000000004</v>
      </c>
      <c r="K1463" s="44">
        <f t="shared" si="482"/>
        <v>3401.26</v>
      </c>
      <c r="L1463" s="44">
        <f t="shared" si="482"/>
        <v>3396.0200000000004</v>
      </c>
      <c r="M1463" s="44"/>
      <c r="N1463" s="44"/>
      <c r="O1463" s="44"/>
      <c r="P1463" s="44"/>
      <c r="Q1463" s="42"/>
      <c r="R1463" s="42"/>
      <c r="S1463" s="43"/>
      <c r="T1463" s="42"/>
      <c r="U1463" s="42"/>
      <c r="V1463" s="41"/>
      <c r="W1463" s="40"/>
    </row>
    <row r="1464" spans="1:31" ht="15.75">
      <c r="A1464" s="195">
        <v>44067</v>
      </c>
      <c r="B1464" s="63" t="s">
        <v>158</v>
      </c>
      <c r="C1464" s="56" t="s">
        <v>156</v>
      </c>
      <c r="D1464" s="279">
        <v>1180.46</v>
      </c>
      <c r="E1464" s="279">
        <v>1192.83</v>
      </c>
      <c r="F1464" s="279">
        <v>1202.32</v>
      </c>
      <c r="G1464" s="279">
        <v>1183.83</v>
      </c>
      <c r="H1464" s="279">
        <v>1141.73</v>
      </c>
      <c r="I1464" s="279">
        <v>1169.04</v>
      </c>
      <c r="J1464" s="279">
        <v>1197.56</v>
      </c>
      <c r="K1464" s="279">
        <v>1168.94</v>
      </c>
      <c r="L1464" s="279">
        <v>1130.3900000000001</v>
      </c>
      <c r="M1464" s="62"/>
      <c r="N1464" s="62"/>
      <c r="O1464" s="62"/>
      <c r="P1464" s="62"/>
      <c r="Q1464" s="57">
        <f>IF((L1465=""),"",MAX(D1466:L1466))</f>
        <v>3044.2400000000007</v>
      </c>
      <c r="R1464" s="57">
        <f>IF(L1465="","",MIN(D1466:L1466))</f>
        <v>2679.24</v>
      </c>
      <c r="S1464" s="58">
        <f>IF((L1466=""),"",AVERAGE(D1466:L1466))</f>
        <v>2808.7688888888888</v>
      </c>
      <c r="T1464" s="57">
        <f>IF((L1465=""),"",((Q1464-R1464)/(Q1464+R1464))*100)</f>
        <v>6.3772390224129536</v>
      </c>
      <c r="U1464" s="56">
        <f>STDEV(D1464:L1464)</f>
        <v>24.605083711386193</v>
      </c>
      <c r="V1464" s="55" t="str">
        <f>IF(L1465="","",(IF(T1464&lt;12,IF(S1464&gt;2200,IF(S1464&lt;3280,"Pass","Fail"),"Fail"),"Fail")))</f>
        <v>Pass</v>
      </c>
      <c r="W1464" s="54">
        <v>121</v>
      </c>
      <c r="X1464" t="s">
        <v>484</v>
      </c>
      <c r="Z1464" s="37">
        <v>2000</v>
      </c>
      <c r="AA1464" s="37">
        <v>3000</v>
      </c>
      <c r="AB1464" s="37">
        <v>2200</v>
      </c>
      <c r="AC1464" s="37">
        <v>3280</v>
      </c>
      <c r="AD1464" s="39">
        <v>12</v>
      </c>
      <c r="AE1464" s="39">
        <v>12</v>
      </c>
    </row>
    <row r="1465" spans="1:31" ht="15.75">
      <c r="A1465" s="199"/>
      <c r="B1465" s="48"/>
      <c r="C1465" s="51" t="s">
        <v>155</v>
      </c>
      <c r="D1465" s="279">
        <v>454.67</v>
      </c>
      <c r="E1465" s="279">
        <v>502.43</v>
      </c>
      <c r="F1465" s="279">
        <v>532.51</v>
      </c>
      <c r="G1465" s="279">
        <v>491.6</v>
      </c>
      <c r="H1465" s="279">
        <v>406.05</v>
      </c>
      <c r="I1465" s="279">
        <v>489.35</v>
      </c>
      <c r="J1465" s="279">
        <v>513.55999999999995</v>
      </c>
      <c r="K1465" s="279">
        <v>487.87</v>
      </c>
      <c r="L1465" s="279">
        <v>369.33</v>
      </c>
      <c r="M1465" s="50"/>
      <c r="N1465" s="50"/>
      <c r="O1465" s="50"/>
      <c r="P1465" s="50"/>
      <c r="Q1465" s="48"/>
      <c r="R1465" s="48"/>
      <c r="S1465" s="48"/>
      <c r="T1465" s="48"/>
      <c r="U1465" s="48"/>
      <c r="V1465" s="47"/>
      <c r="W1465" s="46"/>
    </row>
    <row r="1466" spans="1:31" ht="24.75" thickBot="1">
      <c r="A1466" s="199"/>
      <c r="B1466" s="61"/>
      <c r="C1466" s="51" t="s">
        <v>154</v>
      </c>
      <c r="D1466" s="280">
        <f t="shared" ref="D1466:L1466" si="483">IF(((D1464="")*AND(D1465="")),"",(D1464-D1465)*4)</f>
        <v>2903.16</v>
      </c>
      <c r="E1466" s="280">
        <f t="shared" si="483"/>
        <v>2761.5999999999995</v>
      </c>
      <c r="F1466" s="280">
        <f t="shared" si="483"/>
        <v>2679.24</v>
      </c>
      <c r="G1466" s="280">
        <f t="shared" si="483"/>
        <v>2768.9199999999996</v>
      </c>
      <c r="H1466" s="280">
        <f t="shared" si="483"/>
        <v>2942.7200000000003</v>
      </c>
      <c r="I1466" s="280">
        <f t="shared" si="483"/>
        <v>2718.7599999999998</v>
      </c>
      <c r="J1466" s="280">
        <f t="shared" si="483"/>
        <v>2736</v>
      </c>
      <c r="K1466" s="280">
        <f t="shared" si="483"/>
        <v>2724.28</v>
      </c>
      <c r="L1466" s="280">
        <f t="shared" si="483"/>
        <v>3044.2400000000007</v>
      </c>
      <c r="M1466" s="24"/>
      <c r="N1466" s="24"/>
      <c r="O1466" s="24"/>
      <c r="P1466" s="24" t="str">
        <f>IF(((P1464="")*AND(P1465="")),"",(P1464-P1465)*4)</f>
        <v/>
      </c>
      <c r="Q1466" s="61"/>
      <c r="R1466" s="61"/>
      <c r="S1466" s="61"/>
      <c r="T1466" s="61"/>
      <c r="U1466" s="61"/>
      <c r="V1466" s="60"/>
      <c r="W1466" s="59"/>
    </row>
    <row r="1467" spans="1:31" ht="15.75">
      <c r="A1467" s="195">
        <v>44067</v>
      </c>
      <c r="B1467" s="57" t="s">
        <v>157</v>
      </c>
      <c r="C1467" s="51" t="s">
        <v>156</v>
      </c>
      <c r="D1467" s="279">
        <v>4897.7299999999996</v>
      </c>
      <c r="E1467" s="279">
        <v>5086.68</v>
      </c>
      <c r="F1467" s="279">
        <v>5063.13</v>
      </c>
      <c r="G1467" s="279">
        <v>5016.49</v>
      </c>
      <c r="H1467" s="279">
        <v>4890.79</v>
      </c>
      <c r="I1467" s="279">
        <v>5039.3999999999996</v>
      </c>
      <c r="J1467" s="279">
        <v>5083.49</v>
      </c>
      <c r="K1467" s="279">
        <v>5053.04</v>
      </c>
      <c r="L1467" s="279">
        <v>4993.17</v>
      </c>
      <c r="M1467" s="50"/>
      <c r="N1467" s="50"/>
      <c r="O1467" s="50"/>
      <c r="P1467" s="50"/>
      <c r="Q1467" s="57">
        <f>IF((L1468=""),"",MAX(D1469:L1469))</f>
        <v>3398.88</v>
      </c>
      <c r="R1467" s="57">
        <f>IF(L1468="","",MIN(D1469:L1469))</f>
        <v>3342.16</v>
      </c>
      <c r="S1467" s="58">
        <f>IF((L1469=""),"",AVERAGE(D1469:L1469))</f>
        <v>3370.7444444444441</v>
      </c>
      <c r="T1467" s="57">
        <f>IF((L1468=""),"",((Q1467-R1467)/(Q1467+R1467))*100)</f>
        <v>0.84141319440324125</v>
      </c>
      <c r="U1467" s="56">
        <f>STDEV(D1467:L1467)</f>
        <v>74.021370469022315</v>
      </c>
      <c r="V1467" s="55" t="str">
        <f>IF(L1468="","",(IF(T1467&lt;7,IF(S1467&gt;2800,IF(S1467&lt;3800,"Pass","Fail"),"Fail"),"Fail")))</f>
        <v>Pass</v>
      </c>
      <c r="W1467" s="54">
        <v>121</v>
      </c>
      <c r="X1467" t="s">
        <v>484</v>
      </c>
      <c r="Z1467" s="53">
        <v>2800</v>
      </c>
      <c r="AA1467" s="53">
        <v>3800</v>
      </c>
      <c r="AB1467" s="53">
        <v>3100</v>
      </c>
      <c r="AC1467" s="53">
        <v>3760</v>
      </c>
      <c r="AD1467" s="52">
        <v>6</v>
      </c>
      <c r="AE1467" s="52">
        <v>6</v>
      </c>
    </row>
    <row r="1468" spans="1:31" ht="15.75">
      <c r="A1468" s="199"/>
      <c r="B1468" s="48"/>
      <c r="C1468" s="51" t="s">
        <v>155</v>
      </c>
      <c r="D1468" s="279">
        <v>3207.96</v>
      </c>
      <c r="E1468" s="279">
        <v>3402.56</v>
      </c>
      <c r="F1468" s="279">
        <v>3383.78</v>
      </c>
      <c r="G1468" s="279">
        <v>3345.41</v>
      </c>
      <c r="H1468" s="279">
        <v>3191.35</v>
      </c>
      <c r="I1468" s="279">
        <v>3358.52</v>
      </c>
      <c r="J1468" s="279">
        <v>3395.92</v>
      </c>
      <c r="K1468" s="279">
        <v>3366.23</v>
      </c>
      <c r="L1468" s="279">
        <v>3303.84</v>
      </c>
      <c r="M1468" s="50"/>
      <c r="N1468" s="50"/>
      <c r="O1468" s="50"/>
      <c r="P1468" s="50"/>
      <c r="Q1468" s="48"/>
      <c r="R1468" s="48"/>
      <c r="S1468" s="49"/>
      <c r="T1468" s="48"/>
      <c r="U1468" s="48"/>
      <c r="V1468" s="47"/>
      <c r="W1468" s="46"/>
    </row>
    <row r="1469" spans="1:31" ht="24.75" thickBot="1">
      <c r="A1469" s="199"/>
      <c r="B1469" s="42"/>
      <c r="C1469" s="45" t="s">
        <v>154</v>
      </c>
      <c r="D1469" s="281">
        <f t="shared" ref="D1469:L1469" si="484">IF(((D1467="")*AND(D1468="")),"",(D1467-D1468)*2)</f>
        <v>3379.5399999999991</v>
      </c>
      <c r="E1469" s="281">
        <f t="shared" si="484"/>
        <v>3368.2400000000007</v>
      </c>
      <c r="F1469" s="281">
        <f t="shared" si="484"/>
        <v>3358.7</v>
      </c>
      <c r="G1469" s="281">
        <f t="shared" si="484"/>
        <v>3342.16</v>
      </c>
      <c r="H1469" s="281">
        <f t="shared" si="484"/>
        <v>3398.88</v>
      </c>
      <c r="I1469" s="281">
        <f t="shared" si="484"/>
        <v>3361.7599999999993</v>
      </c>
      <c r="J1469" s="281">
        <f t="shared" si="484"/>
        <v>3375.1399999999994</v>
      </c>
      <c r="K1469" s="281">
        <f t="shared" si="484"/>
        <v>3373.62</v>
      </c>
      <c r="L1469" s="281">
        <f t="shared" si="484"/>
        <v>3378.66</v>
      </c>
      <c r="M1469" s="44"/>
      <c r="N1469" s="44"/>
      <c r="O1469" s="44"/>
      <c r="P1469" s="44"/>
      <c r="Q1469" s="42"/>
      <c r="R1469" s="42"/>
      <c r="S1469" s="43"/>
      <c r="T1469" s="42"/>
      <c r="U1469" s="42"/>
      <c r="V1469" s="41"/>
      <c r="W1469" s="40"/>
    </row>
    <row r="1470" spans="1:31" ht="15.75">
      <c r="A1470" s="195">
        <v>44069</v>
      </c>
      <c r="B1470" s="63" t="s">
        <v>158</v>
      </c>
      <c r="C1470" s="56" t="s">
        <v>156</v>
      </c>
      <c r="D1470">
        <v>1918.02</v>
      </c>
      <c r="E1470">
        <v>1912.81</v>
      </c>
      <c r="F1470">
        <v>1901.67</v>
      </c>
      <c r="G1470">
        <v>1911.07</v>
      </c>
      <c r="H1470">
        <v>1919.48</v>
      </c>
      <c r="I1470">
        <v>1954.33</v>
      </c>
      <c r="J1470">
        <v>1913.23</v>
      </c>
      <c r="K1470">
        <v>1872.85</v>
      </c>
      <c r="L1470">
        <v>1932.96</v>
      </c>
      <c r="M1470" s="62"/>
      <c r="N1470" s="62"/>
      <c r="O1470" s="62"/>
      <c r="P1470" s="62"/>
      <c r="Q1470" s="57">
        <f>IF((L1471=""),"",MAX(D1472:L1472))</f>
        <v>3150.3600000000006</v>
      </c>
      <c r="R1470" s="57">
        <f>IF(L1471="","",MIN(D1472:L1472))</f>
        <v>2758.8799999999992</v>
      </c>
      <c r="S1470" s="58">
        <f>IF((L1472=""),"",AVERAGE(D1472:L1472))</f>
        <v>2911.0888888888894</v>
      </c>
      <c r="T1470" s="57">
        <f>IF((L1471=""),"",((Q1470-R1470)/(Q1470+R1470))*100)</f>
        <v>6.624879003052869</v>
      </c>
      <c r="U1470" s="56">
        <f>STDEV(D1470:L1470)</f>
        <v>22.011538325281542</v>
      </c>
      <c r="V1470" s="55" t="str">
        <f>IF(L1471="","",(IF(T1470&lt;12,IF(S1470&gt;2200,IF(S1470&lt;3280,"Pass","Fail"),"Fail"),"Fail")))</f>
        <v>Pass</v>
      </c>
      <c r="W1470" s="54">
        <v>121</v>
      </c>
      <c r="X1470" t="s">
        <v>491</v>
      </c>
      <c r="Z1470" s="37">
        <v>2000</v>
      </c>
      <c r="AA1470" s="37">
        <v>3000</v>
      </c>
      <c r="AB1470" s="37">
        <v>2200</v>
      </c>
      <c r="AC1470" s="37">
        <v>3280</v>
      </c>
      <c r="AD1470" s="39">
        <v>12</v>
      </c>
      <c r="AE1470" s="39">
        <v>12</v>
      </c>
    </row>
    <row r="1471" spans="1:31" ht="15.75">
      <c r="A1471" s="199"/>
      <c r="B1471" s="48"/>
      <c r="C1471" s="51" t="s">
        <v>155</v>
      </c>
      <c r="D1471">
        <v>1188.8599999999999</v>
      </c>
      <c r="E1471">
        <v>1204.72</v>
      </c>
      <c r="F1471">
        <v>1209.29</v>
      </c>
      <c r="G1471">
        <v>1195.6099999999999</v>
      </c>
      <c r="H1471">
        <v>1161.55</v>
      </c>
      <c r="I1471">
        <v>1188.92</v>
      </c>
      <c r="J1471">
        <v>1209.02</v>
      </c>
      <c r="K1471">
        <v>1183.1300000000001</v>
      </c>
      <c r="L1471">
        <v>1145.3699999999999</v>
      </c>
      <c r="M1471" s="50"/>
      <c r="N1471" s="50"/>
      <c r="O1471" s="50"/>
      <c r="P1471" s="50"/>
      <c r="Q1471" s="48"/>
      <c r="R1471" s="48"/>
      <c r="S1471" s="48"/>
      <c r="T1471" s="48"/>
      <c r="U1471" s="48"/>
      <c r="V1471" s="47"/>
      <c r="W1471" s="46"/>
    </row>
    <row r="1472" spans="1:31" ht="24.75" thickBot="1">
      <c r="A1472" s="199"/>
      <c r="B1472" s="61"/>
      <c r="C1472" s="51" t="s">
        <v>154</v>
      </c>
      <c r="D1472" s="280">
        <f t="shared" ref="D1472:L1472" si="485">IF(((D1470="")*AND(D1471="")),"",(D1470-D1471)*4)</f>
        <v>2916.6400000000003</v>
      </c>
      <c r="E1472" s="280">
        <f t="shared" si="485"/>
        <v>2832.3599999999997</v>
      </c>
      <c r="F1472" s="280">
        <f t="shared" si="485"/>
        <v>2769.5200000000004</v>
      </c>
      <c r="G1472" s="280">
        <f t="shared" si="485"/>
        <v>2861.84</v>
      </c>
      <c r="H1472" s="280">
        <f t="shared" si="485"/>
        <v>3031.7200000000003</v>
      </c>
      <c r="I1472" s="280">
        <f t="shared" si="485"/>
        <v>3061.6399999999994</v>
      </c>
      <c r="J1472" s="280">
        <f t="shared" si="485"/>
        <v>2816.84</v>
      </c>
      <c r="K1472" s="280">
        <f t="shared" si="485"/>
        <v>2758.8799999999992</v>
      </c>
      <c r="L1472" s="280">
        <f t="shared" si="485"/>
        <v>3150.3600000000006</v>
      </c>
      <c r="M1472" s="24"/>
      <c r="N1472" s="24"/>
      <c r="O1472" s="24"/>
      <c r="P1472" s="24" t="str">
        <f>IF(((P1470="")*AND(P1471="")),"",(P1470-P1471)*4)</f>
        <v/>
      </c>
      <c r="Q1472" s="61"/>
      <c r="R1472" s="61"/>
      <c r="S1472" s="61"/>
      <c r="T1472" s="61"/>
      <c r="U1472" s="61"/>
      <c r="V1472" s="60"/>
      <c r="W1472" s="59"/>
    </row>
    <row r="1473" spans="1:31" ht="15.75">
      <c r="A1473" s="195">
        <v>44069</v>
      </c>
      <c r="B1473" s="57" t="s">
        <v>157</v>
      </c>
      <c r="C1473" s="51" t="s">
        <v>156</v>
      </c>
      <c r="D1473">
        <v>6935.31</v>
      </c>
      <c r="E1473">
        <v>7150.33</v>
      </c>
      <c r="F1473">
        <v>7124.14</v>
      </c>
      <c r="G1473">
        <v>7034.23</v>
      </c>
      <c r="H1473">
        <v>6929.23</v>
      </c>
      <c r="I1473">
        <v>7096.33</v>
      </c>
      <c r="J1473">
        <v>7156.32</v>
      </c>
      <c r="K1473">
        <v>7122.05</v>
      </c>
      <c r="L1473">
        <v>7053.06</v>
      </c>
      <c r="M1473" s="50"/>
      <c r="N1473" s="50"/>
      <c r="O1473" s="50"/>
      <c r="P1473" s="50"/>
      <c r="Q1473" s="57">
        <f>IF((L1474=""),"",MAX(D1475:L1475))</f>
        <v>3335.8600000000006</v>
      </c>
      <c r="R1473" s="57">
        <f>IF(L1474="","",MIN(D1475:L1475))</f>
        <v>3238.8999999999996</v>
      </c>
      <c r="S1473" s="58">
        <f>IF((L1475=""),"",AVERAGE(D1475:L1475))</f>
        <v>3302.911111111111</v>
      </c>
      <c r="T1473" s="57">
        <f>IF((L1474=""),"",((Q1473-R1473)/(Q1473+R1473))*100)</f>
        <v>1.4747306365555692</v>
      </c>
      <c r="U1473" s="56">
        <f>STDEV(D1473:L1473)</f>
        <v>86.362798237691109</v>
      </c>
      <c r="V1473" s="55" t="str">
        <f>IF(L1474="","",(IF(T1473&lt;7,IF(S1473&gt;2800,IF(S1473&lt;3800,"Pass","Fail"),"Fail"),"Fail")))</f>
        <v>Pass</v>
      </c>
      <c r="W1473" s="54">
        <v>121</v>
      </c>
      <c r="X1473" t="s">
        <v>491</v>
      </c>
      <c r="Z1473" s="53">
        <v>2800</v>
      </c>
      <c r="AA1473" s="53">
        <v>3800</v>
      </c>
      <c r="AB1473" s="53">
        <v>3100</v>
      </c>
      <c r="AC1473" s="53">
        <v>3760</v>
      </c>
      <c r="AD1473" s="52">
        <v>6</v>
      </c>
      <c r="AE1473" s="52">
        <v>6</v>
      </c>
    </row>
    <row r="1474" spans="1:31" ht="15.75">
      <c r="A1474" s="199"/>
      <c r="B1474" s="48"/>
      <c r="C1474" s="51" t="s">
        <v>155</v>
      </c>
      <c r="D1474">
        <v>5283.7</v>
      </c>
      <c r="E1474">
        <v>5488.4</v>
      </c>
      <c r="F1474">
        <v>5469.06</v>
      </c>
      <c r="G1474">
        <v>5414.78</v>
      </c>
      <c r="H1474">
        <v>5289.31</v>
      </c>
      <c r="I1474">
        <v>5437.02</v>
      </c>
      <c r="J1474">
        <v>5494.53</v>
      </c>
      <c r="K1474">
        <v>5475.97</v>
      </c>
      <c r="L1474">
        <v>5385.13</v>
      </c>
      <c r="M1474" s="50"/>
      <c r="N1474" s="50"/>
      <c r="O1474" s="50"/>
      <c r="P1474" s="50"/>
      <c r="Q1474" s="48"/>
      <c r="R1474" s="48"/>
      <c r="S1474" s="49"/>
      <c r="T1474" s="48"/>
      <c r="U1474" s="48"/>
      <c r="V1474" s="47"/>
      <c r="W1474" s="46"/>
    </row>
    <row r="1475" spans="1:31" ht="24.75" thickBot="1">
      <c r="A1475" s="199"/>
      <c r="B1475" s="42"/>
      <c r="C1475" s="45" t="s">
        <v>154</v>
      </c>
      <c r="D1475" s="281">
        <f t="shared" ref="D1475:L1475" si="486">IF(((D1473="")*AND(D1474="")),"",(D1473-D1474)*2)</f>
        <v>3303.2200000000012</v>
      </c>
      <c r="E1475" s="281">
        <f t="shared" si="486"/>
        <v>3323.8600000000006</v>
      </c>
      <c r="F1475" s="281">
        <f t="shared" si="486"/>
        <v>3310.16</v>
      </c>
      <c r="G1475" s="281">
        <f t="shared" si="486"/>
        <v>3238.8999999999996</v>
      </c>
      <c r="H1475" s="281">
        <f t="shared" si="486"/>
        <v>3279.8399999999983</v>
      </c>
      <c r="I1475" s="281">
        <f t="shared" si="486"/>
        <v>3318.619999999999</v>
      </c>
      <c r="J1475" s="281">
        <f t="shared" si="486"/>
        <v>3323.58</v>
      </c>
      <c r="K1475" s="281">
        <f t="shared" si="486"/>
        <v>3292.16</v>
      </c>
      <c r="L1475" s="281">
        <f t="shared" si="486"/>
        <v>3335.8600000000006</v>
      </c>
      <c r="M1475" s="44"/>
      <c r="N1475" s="44"/>
      <c r="O1475" s="44"/>
      <c r="P1475" s="44"/>
      <c r="Q1475" s="42"/>
      <c r="R1475" s="42"/>
      <c r="S1475" s="43"/>
      <c r="T1475" s="42"/>
      <c r="U1475" s="42"/>
      <c r="V1475" s="41"/>
      <c r="W1475" s="40"/>
    </row>
    <row r="1476" spans="1:31" ht="15.75">
      <c r="A1476" s="195">
        <v>44075</v>
      </c>
      <c r="B1476" s="63" t="s">
        <v>158</v>
      </c>
      <c r="C1476" s="56" t="s">
        <v>156</v>
      </c>
      <c r="D1476">
        <v>1921.55</v>
      </c>
      <c r="E1476">
        <v>1907.24</v>
      </c>
      <c r="F1476">
        <v>1974.16</v>
      </c>
      <c r="G1476">
        <v>1912.59</v>
      </c>
      <c r="H1476">
        <v>1923.22</v>
      </c>
      <c r="I1476">
        <v>1925.96</v>
      </c>
      <c r="J1476">
        <v>1916.62</v>
      </c>
      <c r="K1476">
        <v>1895.32</v>
      </c>
      <c r="L1476">
        <v>1921.45</v>
      </c>
      <c r="M1476" s="62"/>
      <c r="N1476" s="62"/>
      <c r="O1476" s="62"/>
      <c r="P1476" s="62"/>
      <c r="Q1476" s="57">
        <f>IF((L1477=""),"",MAX(D1478:L1478))</f>
        <v>3121.6800000000003</v>
      </c>
      <c r="R1476" s="57">
        <f>IF(L1477="","",MIN(D1478:L1478))</f>
        <v>2820.12</v>
      </c>
      <c r="S1476" s="58">
        <f>IF((L1478=""),"",AVERAGE(D1478:L1478))</f>
        <v>2953.2044444444446</v>
      </c>
      <c r="T1476" s="57">
        <f>IF((L1477=""),"",((Q1476-R1476)/(Q1476+R1476))*100)</f>
        <v>5.0752297283651489</v>
      </c>
      <c r="U1476" s="56">
        <f>STDEV(D1476:L1476)</f>
        <v>21.75290714923149</v>
      </c>
      <c r="V1476" s="55" t="str">
        <f>IF(L1477="","",(IF(T1476&lt;12,IF(S1476&gt;2200,IF(S1476&lt;3280,"Pass","Fail"),"Fail"),"Fail")))</f>
        <v>Pass</v>
      </c>
      <c r="W1476" s="54">
        <v>74</v>
      </c>
      <c r="X1476" s="1" t="s">
        <v>494</v>
      </c>
      <c r="Z1476" s="37">
        <v>2000</v>
      </c>
      <c r="AA1476" s="37">
        <v>3000</v>
      </c>
      <c r="AB1476" s="37">
        <v>2200</v>
      </c>
      <c r="AC1476" s="37">
        <v>3280</v>
      </c>
      <c r="AD1476" s="39">
        <v>12</v>
      </c>
      <c r="AE1476" s="39">
        <v>12</v>
      </c>
    </row>
    <row r="1477" spans="1:31" ht="15.75">
      <c r="A1477" s="199"/>
      <c r="B1477" s="48"/>
      <c r="C1477" s="51" t="s">
        <v>155</v>
      </c>
      <c r="D1477">
        <v>1181.3699999999999</v>
      </c>
      <c r="E1477">
        <v>1202.21</v>
      </c>
      <c r="F1477">
        <v>1205.83</v>
      </c>
      <c r="G1477">
        <v>1193.42</v>
      </c>
      <c r="H1477">
        <v>1157.93</v>
      </c>
      <c r="I1477">
        <v>1186.43</v>
      </c>
      <c r="J1477">
        <v>1210.8599999999999</v>
      </c>
      <c r="K1477">
        <v>1174.32</v>
      </c>
      <c r="L1477">
        <v>1141.03</v>
      </c>
      <c r="M1477" s="50"/>
      <c r="N1477" s="50"/>
      <c r="O1477" s="50"/>
      <c r="P1477" s="50"/>
      <c r="Q1477" s="48"/>
      <c r="R1477" s="48"/>
      <c r="S1477" s="48"/>
      <c r="T1477" s="48"/>
      <c r="U1477" s="48"/>
      <c r="V1477" s="47"/>
      <c r="W1477" s="46"/>
    </row>
    <row r="1478" spans="1:31" ht="24.75" thickBot="1">
      <c r="A1478" s="199"/>
      <c r="B1478" s="61"/>
      <c r="C1478" s="51" t="s">
        <v>154</v>
      </c>
      <c r="D1478" s="280">
        <f t="shared" ref="D1478:L1478" si="487">IF(((D1476="")*AND(D1477="")),"",(D1476-D1477)*4)</f>
        <v>2960.7200000000003</v>
      </c>
      <c r="E1478" s="280">
        <f t="shared" si="487"/>
        <v>2820.12</v>
      </c>
      <c r="F1478" s="280">
        <f t="shared" si="487"/>
        <v>3073.3200000000006</v>
      </c>
      <c r="G1478" s="280">
        <f t="shared" si="487"/>
        <v>2876.6799999999994</v>
      </c>
      <c r="H1478" s="280">
        <f t="shared" si="487"/>
        <v>3061.16</v>
      </c>
      <c r="I1478" s="280">
        <f t="shared" si="487"/>
        <v>2958.12</v>
      </c>
      <c r="J1478" s="280">
        <f t="shared" si="487"/>
        <v>2823.04</v>
      </c>
      <c r="K1478" s="280">
        <f t="shared" si="487"/>
        <v>2884</v>
      </c>
      <c r="L1478" s="280">
        <f t="shared" si="487"/>
        <v>3121.6800000000003</v>
      </c>
      <c r="M1478" s="24"/>
      <c r="N1478" s="24"/>
      <c r="O1478" s="24"/>
      <c r="P1478" s="24" t="str">
        <f>IF(((P1476="")*AND(P1477="")),"",(P1476-P1477)*4)</f>
        <v/>
      </c>
      <c r="Q1478" s="61"/>
      <c r="R1478" s="61"/>
      <c r="S1478" s="61"/>
      <c r="T1478" s="61"/>
      <c r="U1478" s="61"/>
      <c r="V1478" s="60"/>
      <c r="W1478" s="59"/>
    </row>
    <row r="1479" spans="1:31" ht="15.75">
      <c r="A1479" s="195">
        <v>44075</v>
      </c>
      <c r="B1479" s="57" t="s">
        <v>157</v>
      </c>
      <c r="C1479" s="51" t="s">
        <v>156</v>
      </c>
      <c r="D1479">
        <v>6895.35</v>
      </c>
      <c r="E1479">
        <v>7106.41</v>
      </c>
      <c r="F1479">
        <v>7078.55</v>
      </c>
      <c r="G1479">
        <v>6987.24</v>
      </c>
      <c r="H1479">
        <v>6890.34</v>
      </c>
      <c r="I1479">
        <v>7052.01</v>
      </c>
      <c r="J1479">
        <v>7112.73</v>
      </c>
      <c r="K1479">
        <v>7077.38</v>
      </c>
      <c r="L1479">
        <v>7011.37</v>
      </c>
      <c r="M1479" s="50"/>
      <c r="N1479" s="50"/>
      <c r="O1479" s="50"/>
      <c r="P1479" s="50"/>
      <c r="Q1479" s="57">
        <f>IF((L1480=""),"",MAX(D1481:L1481))</f>
        <v>3343.08</v>
      </c>
      <c r="R1479" s="57">
        <f>IF(L1480="","",MIN(D1481:L1481))</f>
        <v>3266.66</v>
      </c>
      <c r="S1479" s="58">
        <f>IF((L1481=""),"",AVERAGE(D1481:L1481))</f>
        <v>3317.1888888888884</v>
      </c>
      <c r="T1479" s="57">
        <f>IF((L1480=""),"",((Q1479-R1479)/(Q1479+R1479))*100)</f>
        <v>1.1561725574682222</v>
      </c>
      <c r="U1479" s="56">
        <f>STDEV(D1479:L1479)</f>
        <v>84.556467079622621</v>
      </c>
      <c r="V1479" s="55" t="str">
        <f>IF(L1480="","",(IF(T1479&lt;7,IF(S1479&gt;2800,IF(S1479&lt;3800,"Pass","Fail"),"Fail"),"Fail")))</f>
        <v>Pass</v>
      </c>
      <c r="W1479" s="54">
        <v>74</v>
      </c>
      <c r="X1479" s="1" t="s">
        <v>494</v>
      </c>
      <c r="Z1479" s="53">
        <v>2800</v>
      </c>
      <c r="AA1479" s="53">
        <v>3800</v>
      </c>
      <c r="AB1479" s="53">
        <v>3100</v>
      </c>
      <c r="AC1479" s="53">
        <v>3760</v>
      </c>
      <c r="AD1479" s="52">
        <v>6</v>
      </c>
      <c r="AE1479" s="52">
        <v>6</v>
      </c>
    </row>
    <row r="1480" spans="1:31" ht="15.75">
      <c r="A1480" s="199"/>
      <c r="B1480" s="48"/>
      <c r="C1480" s="51" t="s">
        <v>155</v>
      </c>
      <c r="D1480">
        <v>5237.51</v>
      </c>
      <c r="E1480">
        <v>5438.47</v>
      </c>
      <c r="F1480">
        <v>5415.6</v>
      </c>
      <c r="G1480">
        <v>5353.91</v>
      </c>
      <c r="H1480">
        <v>5243.86</v>
      </c>
      <c r="I1480">
        <v>5387.21</v>
      </c>
      <c r="J1480">
        <v>5444.93</v>
      </c>
      <c r="K1480">
        <v>5422.71</v>
      </c>
      <c r="L1480">
        <v>5339.83</v>
      </c>
      <c r="M1480" s="50"/>
      <c r="N1480" s="50"/>
      <c r="O1480" s="50"/>
      <c r="P1480" s="50"/>
      <c r="Q1480" s="48"/>
      <c r="R1480" s="48"/>
      <c r="S1480" s="49"/>
      <c r="T1480" s="48"/>
      <c r="U1480" s="48"/>
      <c r="V1480" s="47"/>
      <c r="W1480" s="46"/>
    </row>
    <row r="1481" spans="1:31" ht="24.75" thickBot="1">
      <c r="A1481" s="199"/>
      <c r="B1481" s="42"/>
      <c r="C1481" s="45" t="s">
        <v>154</v>
      </c>
      <c r="D1481" s="281">
        <f t="shared" ref="D1481:L1481" si="488">IF(((D1479="")*AND(D1480="")),"",(D1479-D1480)*2)</f>
        <v>3315.6800000000003</v>
      </c>
      <c r="E1481" s="281">
        <f t="shared" si="488"/>
        <v>3335.8799999999992</v>
      </c>
      <c r="F1481" s="281">
        <f t="shared" si="488"/>
        <v>3325.8999999999996</v>
      </c>
      <c r="G1481" s="281">
        <f t="shared" si="488"/>
        <v>3266.66</v>
      </c>
      <c r="H1481" s="281">
        <f t="shared" si="488"/>
        <v>3292.9600000000009</v>
      </c>
      <c r="I1481" s="281">
        <f t="shared" si="488"/>
        <v>3329.6000000000004</v>
      </c>
      <c r="J1481" s="281">
        <f t="shared" si="488"/>
        <v>3335.5999999999985</v>
      </c>
      <c r="K1481" s="281">
        <f t="shared" si="488"/>
        <v>3309.34</v>
      </c>
      <c r="L1481" s="281">
        <f t="shared" si="488"/>
        <v>3343.08</v>
      </c>
      <c r="M1481" s="44"/>
      <c r="N1481" s="44"/>
      <c r="O1481" s="44"/>
      <c r="P1481" s="44"/>
      <c r="Q1481" s="42"/>
      <c r="R1481" s="42"/>
      <c r="S1481" s="43"/>
      <c r="T1481" s="42"/>
      <c r="U1481" s="42"/>
      <c r="V1481" s="41"/>
      <c r="W1481" s="40"/>
    </row>
    <row r="1482" spans="1:31" ht="15.75">
      <c r="A1482" s="195">
        <v>44079</v>
      </c>
      <c r="B1482" s="63" t="s">
        <v>158</v>
      </c>
      <c r="C1482" s="56" t="s">
        <v>156</v>
      </c>
      <c r="D1482">
        <v>1158.83</v>
      </c>
      <c r="E1482">
        <v>1195.5999999999999</v>
      </c>
      <c r="F1482">
        <v>1198.71</v>
      </c>
      <c r="G1482">
        <v>1201.99</v>
      </c>
      <c r="H1482">
        <v>1183.6400000000001</v>
      </c>
      <c r="I1482">
        <v>1142.27</v>
      </c>
      <c r="J1482">
        <v>1173.27</v>
      </c>
      <c r="K1482">
        <v>1209.8800000000001</v>
      </c>
      <c r="L1482">
        <v>1188.4000000000001</v>
      </c>
      <c r="M1482" s="62"/>
      <c r="N1482" s="62"/>
      <c r="O1482" s="62"/>
      <c r="P1482" s="62"/>
      <c r="Q1482" s="57">
        <f>IF((L1483=""),"",MAX(D1484:L1484))</f>
        <v>3222.0800000000004</v>
      </c>
      <c r="R1482" s="57">
        <f>IF(L1483="","",MIN(D1484:L1484))</f>
        <v>2585.7999999999997</v>
      </c>
      <c r="S1482" s="58">
        <f>IF((L1484=""),"",AVERAGE(D1484:L1484))</f>
        <v>2818.4266666666667</v>
      </c>
      <c r="T1482" s="57">
        <f>IF((L1483=""),"",((Q1482-R1482)/(Q1482+R1482))*100)</f>
        <v>10.955460512269548</v>
      </c>
      <c r="U1482" s="56">
        <f>STDEV(D1482:L1482)</f>
        <v>21.944848167860126</v>
      </c>
      <c r="V1482" s="55" t="str">
        <f>IF(L1483="","",(IF(T1482&lt;12,IF(S1482&gt;2200,IF(S1482&lt;3280,"Pass","Fail"),"Fail"),"Fail")))</f>
        <v>Pass</v>
      </c>
      <c r="W1482" s="54">
        <v>1428</v>
      </c>
      <c r="X1482" s="1"/>
      <c r="Z1482" s="37">
        <v>2000</v>
      </c>
      <c r="AA1482" s="37">
        <v>3000</v>
      </c>
      <c r="AB1482" s="37">
        <v>2200</v>
      </c>
      <c r="AC1482" s="37">
        <v>3280</v>
      </c>
      <c r="AD1482" s="39">
        <v>12</v>
      </c>
      <c r="AE1482" s="39">
        <v>12</v>
      </c>
    </row>
    <row r="1483" spans="1:31" ht="15.75">
      <c r="A1483" s="199"/>
      <c r="B1483" s="48"/>
      <c r="C1483" s="51" t="s">
        <v>155</v>
      </c>
      <c r="D1483">
        <v>461.49</v>
      </c>
      <c r="E1483">
        <v>513.53</v>
      </c>
      <c r="F1483">
        <v>527.72</v>
      </c>
      <c r="G1483">
        <v>502.05</v>
      </c>
      <c r="H1483">
        <v>415.9</v>
      </c>
      <c r="I1483">
        <v>464.81</v>
      </c>
      <c r="J1483">
        <v>526.82000000000005</v>
      </c>
      <c r="K1483">
        <v>515.92999999999995</v>
      </c>
      <c r="L1483">
        <v>382.88</v>
      </c>
      <c r="M1483" s="50"/>
      <c r="N1483" s="50"/>
      <c r="O1483" s="50"/>
      <c r="P1483" s="50"/>
      <c r="Q1483" s="48"/>
      <c r="R1483" s="48"/>
      <c r="S1483" s="48"/>
      <c r="T1483" s="48"/>
      <c r="U1483" s="48"/>
      <c r="V1483" s="47"/>
      <c r="W1483" s="46"/>
    </row>
    <row r="1484" spans="1:31" ht="24.75" thickBot="1">
      <c r="A1484" s="199"/>
      <c r="B1484" s="61"/>
      <c r="C1484" s="51" t="s">
        <v>154</v>
      </c>
      <c r="D1484" s="280">
        <f t="shared" ref="D1484:L1484" si="489">IF(((D1482="")*AND(D1483="")),"",(D1482-D1483)*4)</f>
        <v>2789.3599999999997</v>
      </c>
      <c r="E1484" s="280">
        <f t="shared" si="489"/>
        <v>2728.2799999999997</v>
      </c>
      <c r="F1484" s="280">
        <f t="shared" si="489"/>
        <v>2683.96</v>
      </c>
      <c r="G1484" s="280">
        <f t="shared" si="489"/>
        <v>2799.76</v>
      </c>
      <c r="H1484" s="280">
        <f t="shared" si="489"/>
        <v>3070.9600000000005</v>
      </c>
      <c r="I1484" s="280">
        <f t="shared" si="489"/>
        <v>2709.84</v>
      </c>
      <c r="J1484" s="280">
        <f t="shared" si="489"/>
        <v>2585.7999999999997</v>
      </c>
      <c r="K1484" s="280">
        <f t="shared" si="489"/>
        <v>2775.8000000000006</v>
      </c>
      <c r="L1484" s="280">
        <f t="shared" si="489"/>
        <v>3222.0800000000004</v>
      </c>
      <c r="M1484" s="24"/>
      <c r="N1484" s="24"/>
      <c r="O1484" s="24"/>
      <c r="P1484" s="24" t="str">
        <f>IF(((P1482="")*AND(P1483="")),"",(P1482-P1483)*4)</f>
        <v/>
      </c>
      <c r="Q1484" s="61"/>
      <c r="R1484" s="61"/>
      <c r="S1484" s="61"/>
      <c r="T1484" s="61"/>
      <c r="U1484" s="61"/>
      <c r="V1484" s="60"/>
      <c r="W1484" s="59"/>
    </row>
    <row r="1485" spans="1:31" ht="15.75">
      <c r="A1485" s="195">
        <v>44079</v>
      </c>
      <c r="B1485" s="57" t="s">
        <v>157</v>
      </c>
      <c r="C1485" s="51" t="s">
        <v>156</v>
      </c>
      <c r="D1485">
        <v>5243.33</v>
      </c>
      <c r="E1485">
        <v>5445.67</v>
      </c>
      <c r="F1485">
        <v>5422.66</v>
      </c>
      <c r="G1485">
        <v>5361.28</v>
      </c>
      <c r="H1485">
        <v>5249.97</v>
      </c>
      <c r="I1485">
        <v>5394.06</v>
      </c>
      <c r="J1485">
        <v>5452.41</v>
      </c>
      <c r="K1485">
        <v>5429.77</v>
      </c>
      <c r="L1485">
        <v>5346.49</v>
      </c>
      <c r="M1485" s="50"/>
      <c r="N1485" s="50"/>
      <c r="O1485" s="50"/>
      <c r="P1485" s="50"/>
      <c r="Q1485" s="57">
        <f>IF((L1486=""),"",MAX(D1487:L1487))</f>
        <v>3368.54</v>
      </c>
      <c r="R1485" s="57">
        <f>IF(L1486="","",MIN(D1487:L1487))</f>
        <v>3283.0999999999995</v>
      </c>
      <c r="S1485" s="58">
        <f>IF((L1487=""),"",AVERAGE(D1487:L1487))</f>
        <v>3335.9577777777781</v>
      </c>
      <c r="T1485" s="57">
        <f>IF((L1486=""),"",((Q1485-R1485)/(Q1485+R1485))*100)</f>
        <v>1.284495252298689</v>
      </c>
      <c r="U1485" s="56">
        <f>STDEV(D1485:L1485)</f>
        <v>79.447969259403209</v>
      </c>
      <c r="V1485" s="55" t="str">
        <f>IF(L1486="","",(IF(T1485&lt;7,IF(S1485&gt;2800,IF(S1485&lt;3800,"Pass","Fail"),"Fail"),"Fail")))</f>
        <v>Pass</v>
      </c>
      <c r="W1485" s="54">
        <v>1428</v>
      </c>
      <c r="X1485" s="1"/>
      <c r="Z1485" s="53">
        <v>2800</v>
      </c>
      <c r="AA1485" s="53">
        <v>3800</v>
      </c>
      <c r="AB1485" s="53">
        <v>3100</v>
      </c>
      <c r="AC1485" s="53">
        <v>3760</v>
      </c>
      <c r="AD1485" s="52">
        <v>6</v>
      </c>
      <c r="AE1485" s="52">
        <v>6</v>
      </c>
    </row>
    <row r="1486" spans="1:31" ht="15.75">
      <c r="A1486" s="199"/>
      <c r="B1486" s="48"/>
      <c r="C1486" s="51" t="s">
        <v>155</v>
      </c>
      <c r="D1486">
        <v>3587.35</v>
      </c>
      <c r="E1486">
        <v>3761.62</v>
      </c>
      <c r="F1486">
        <v>3745.94</v>
      </c>
      <c r="G1486">
        <v>3719.73</v>
      </c>
      <c r="H1486">
        <v>3604.31</v>
      </c>
      <c r="I1486">
        <v>3719</v>
      </c>
      <c r="J1486">
        <v>3768.14</v>
      </c>
      <c r="K1486">
        <v>3761.89</v>
      </c>
      <c r="L1486">
        <v>3665.85</v>
      </c>
      <c r="M1486" s="50"/>
      <c r="N1486" s="50"/>
      <c r="O1486" s="50"/>
      <c r="P1486" s="50"/>
      <c r="Q1486" s="48"/>
      <c r="R1486" s="48"/>
      <c r="S1486" s="49"/>
      <c r="T1486" s="48"/>
      <c r="U1486" s="48"/>
      <c r="V1486" s="47"/>
      <c r="W1486" s="46"/>
    </row>
    <row r="1487" spans="1:31" ht="24.75" thickBot="1">
      <c r="A1487" s="199"/>
      <c r="B1487" s="42"/>
      <c r="C1487" s="45" t="s">
        <v>154</v>
      </c>
      <c r="D1487" s="281">
        <f t="shared" ref="D1487:L1487" si="490">IF(((D1485="")*AND(D1486="")),"",(D1485-D1486)*2)</f>
        <v>3311.96</v>
      </c>
      <c r="E1487" s="281">
        <f t="shared" si="490"/>
        <v>3368.1000000000004</v>
      </c>
      <c r="F1487" s="281">
        <f t="shared" si="490"/>
        <v>3353.4399999999996</v>
      </c>
      <c r="G1487" s="281">
        <f t="shared" si="490"/>
        <v>3283.0999999999995</v>
      </c>
      <c r="H1487" s="281">
        <f t="shared" si="490"/>
        <v>3291.3200000000006</v>
      </c>
      <c r="I1487" s="281">
        <f t="shared" si="490"/>
        <v>3350.1200000000008</v>
      </c>
      <c r="J1487" s="281">
        <f t="shared" si="490"/>
        <v>3368.54</v>
      </c>
      <c r="K1487" s="281">
        <f t="shared" si="490"/>
        <v>3335.7600000000011</v>
      </c>
      <c r="L1487" s="281">
        <f t="shared" si="490"/>
        <v>3361.2799999999997</v>
      </c>
      <c r="M1487" s="44"/>
      <c r="N1487" s="44"/>
      <c r="O1487" s="44"/>
      <c r="P1487" s="44"/>
      <c r="Q1487" s="42"/>
      <c r="R1487" s="42"/>
      <c r="S1487" s="43"/>
      <c r="T1487" s="42"/>
      <c r="U1487" s="42"/>
      <c r="V1487" s="41"/>
      <c r="W1487" s="40"/>
    </row>
    <row r="1488" spans="1:31" ht="15.75">
      <c r="A1488" s="195">
        <v>44081</v>
      </c>
      <c r="B1488" s="63" t="s">
        <v>158</v>
      </c>
      <c r="C1488" s="56" t="s">
        <v>156</v>
      </c>
      <c r="D1488">
        <v>2150.9699999999998</v>
      </c>
      <c r="E1488">
        <v>2122.42</v>
      </c>
      <c r="F1488">
        <v>2110.04</v>
      </c>
      <c r="G1488">
        <v>2124.9499999999998</v>
      </c>
      <c r="H1488">
        <v>2156.13</v>
      </c>
      <c r="I1488">
        <v>2147.94</v>
      </c>
      <c r="J1488">
        <v>2121.64</v>
      </c>
      <c r="K1488">
        <v>2120.2399999999998</v>
      </c>
      <c r="L1488">
        <v>2157.6999999999998</v>
      </c>
      <c r="M1488" s="62"/>
      <c r="N1488" s="62"/>
      <c r="O1488" s="62"/>
      <c r="P1488" s="62"/>
      <c r="Q1488" s="57">
        <f>IF((L1489=""),"",MAX(D1490:L1490))</f>
        <v>3354.6399999999994</v>
      </c>
      <c r="R1488" s="57">
        <f>IF(L1489="","",MIN(D1490:L1490))</f>
        <v>2935.2</v>
      </c>
      <c r="S1488" s="58">
        <f>IF((L1490=""),"",AVERAGE(D1490:L1490))</f>
        <v>3111.6311111111108</v>
      </c>
      <c r="T1488" s="57">
        <f>IF((L1489=""),"",((Q1488-R1488)/(Q1488+R1488))*100)</f>
        <v>6.6685321089248646</v>
      </c>
      <c r="U1488" s="56">
        <f>STDEV(D1488:L1488)</f>
        <v>18.241021764172459</v>
      </c>
      <c r="V1488" s="55" t="str">
        <f>IF(L1489="","",(IF(T1488&lt;12,IF(S1488&gt;2200,IF(S1488&lt;3280,"Pass","Fail"),"Fail"),"Fail")))</f>
        <v>Pass</v>
      </c>
      <c r="W1488" s="54">
        <v>1534</v>
      </c>
      <c r="X1488" s="1"/>
      <c r="Z1488" s="37">
        <v>2000</v>
      </c>
      <c r="AA1488" s="37">
        <v>3000</v>
      </c>
      <c r="AB1488" s="37">
        <v>2200</v>
      </c>
      <c r="AC1488" s="37">
        <v>3280</v>
      </c>
      <c r="AD1488" s="39">
        <v>12</v>
      </c>
      <c r="AE1488" s="39">
        <v>12</v>
      </c>
    </row>
    <row r="1489" spans="1:31" ht="15.75">
      <c r="A1489" s="199"/>
      <c r="B1489" s="48"/>
      <c r="C1489" s="51" t="s">
        <v>155</v>
      </c>
      <c r="D1489">
        <v>1351.16</v>
      </c>
      <c r="E1489">
        <v>1368.48</v>
      </c>
      <c r="F1489">
        <v>1376.24</v>
      </c>
      <c r="G1489">
        <v>1366.34</v>
      </c>
      <c r="H1489">
        <v>1334.92</v>
      </c>
      <c r="I1489">
        <v>1354.78</v>
      </c>
      <c r="J1489">
        <v>1375.72</v>
      </c>
      <c r="K1489">
        <v>1364.18</v>
      </c>
      <c r="L1489">
        <v>1319.04</v>
      </c>
      <c r="M1489" s="50"/>
      <c r="N1489" s="50"/>
      <c r="O1489" s="50"/>
      <c r="P1489" s="50"/>
      <c r="Q1489" s="48"/>
      <c r="R1489" s="48"/>
      <c r="S1489" s="48"/>
      <c r="T1489" s="48"/>
      <c r="U1489" s="48"/>
      <c r="V1489" s="47"/>
      <c r="W1489" s="46"/>
    </row>
    <row r="1490" spans="1:31" ht="24.75" thickBot="1">
      <c r="A1490" s="199"/>
      <c r="B1490" s="61"/>
      <c r="C1490" s="51" t="s">
        <v>154</v>
      </c>
      <c r="D1490" s="280">
        <f t="shared" ref="D1490:L1490" si="491">IF(((D1488="")*AND(D1489="")),"",(D1488-D1489)*4)</f>
        <v>3199.2399999999989</v>
      </c>
      <c r="E1490" s="280">
        <f t="shared" si="491"/>
        <v>3015.76</v>
      </c>
      <c r="F1490" s="280">
        <f t="shared" si="491"/>
        <v>2935.2</v>
      </c>
      <c r="G1490" s="280">
        <f t="shared" si="491"/>
        <v>3034.4399999999996</v>
      </c>
      <c r="H1490" s="280">
        <f t="shared" si="491"/>
        <v>3284.84</v>
      </c>
      <c r="I1490" s="280">
        <f t="shared" si="491"/>
        <v>3172.6400000000003</v>
      </c>
      <c r="J1490" s="280">
        <f t="shared" si="491"/>
        <v>2983.6799999999994</v>
      </c>
      <c r="K1490" s="280">
        <f t="shared" si="491"/>
        <v>3024.2399999999989</v>
      </c>
      <c r="L1490" s="280">
        <f t="shared" si="491"/>
        <v>3354.6399999999994</v>
      </c>
      <c r="M1490" s="24"/>
      <c r="N1490" s="24"/>
      <c r="O1490" s="24"/>
      <c r="P1490" s="24" t="str">
        <f>IF(((P1488="")*AND(P1489="")),"",(P1488-P1489)*4)</f>
        <v/>
      </c>
      <c r="Q1490" s="61"/>
      <c r="R1490" s="61"/>
      <c r="S1490" s="61"/>
      <c r="T1490" s="61"/>
      <c r="U1490" s="61"/>
      <c r="V1490" s="60"/>
      <c r="W1490" s="59"/>
    </row>
    <row r="1491" spans="1:31" ht="15.75">
      <c r="A1491" s="195">
        <v>44081</v>
      </c>
      <c r="B1491" s="57" t="s">
        <v>157</v>
      </c>
      <c r="C1491" s="51" t="s">
        <v>156</v>
      </c>
      <c r="D1491">
        <v>3587.35</v>
      </c>
      <c r="E1491">
        <v>3761.62</v>
      </c>
      <c r="F1491">
        <v>3745.94</v>
      </c>
      <c r="G1491">
        <v>3719.73</v>
      </c>
      <c r="H1491">
        <v>3604.31</v>
      </c>
      <c r="I1491">
        <v>3719</v>
      </c>
      <c r="J1491">
        <v>3768.14</v>
      </c>
      <c r="K1491">
        <v>3761.89</v>
      </c>
      <c r="L1491">
        <v>3665.85</v>
      </c>
      <c r="M1491" s="50"/>
      <c r="N1491" s="50"/>
      <c r="O1491" s="50"/>
      <c r="P1491" s="50"/>
      <c r="Q1491" s="57">
        <f>IF((L1492=""),"",MAX(D1493:L1493))</f>
        <v>3349.3199999999997</v>
      </c>
      <c r="R1491" s="57">
        <f>IF(L1492="","",MIN(D1493:L1493))</f>
        <v>3258.6000000000004</v>
      </c>
      <c r="S1491" s="58">
        <f>IF((L1493=""),"",AVERAGE(D1493:L1493))</f>
        <v>3320.0244444444443</v>
      </c>
      <c r="T1491" s="57">
        <f>IF((L1492=""),"",((Q1491-R1491)/(Q1491+R1491))*100)</f>
        <v>1.3728979769730769</v>
      </c>
      <c r="U1491" s="56">
        <f>STDEV(D1491:L1491)</f>
        <v>68.935540986537077</v>
      </c>
      <c r="V1491" s="55" t="str">
        <f>IF(L1492="","",(IF(T1491&lt;7,IF(S1491&gt;2800,IF(S1491&lt;3800,"Pass","Fail"),"Fail"),"Fail")))</f>
        <v>Pass</v>
      </c>
      <c r="W1491" s="54">
        <v>1534</v>
      </c>
      <c r="X1491" s="1"/>
      <c r="Z1491" s="53">
        <v>2800</v>
      </c>
      <c r="AA1491" s="53">
        <v>3800</v>
      </c>
      <c r="AB1491" s="53">
        <v>3100</v>
      </c>
      <c r="AC1491" s="53">
        <v>3760</v>
      </c>
      <c r="AD1491" s="52">
        <v>6</v>
      </c>
      <c r="AE1491" s="52">
        <v>6</v>
      </c>
    </row>
    <row r="1492" spans="1:31" ht="15.75">
      <c r="A1492" s="199"/>
      <c r="B1492" s="48"/>
      <c r="C1492" s="51" t="s">
        <v>155</v>
      </c>
      <c r="D1492">
        <v>1925.52</v>
      </c>
      <c r="E1492">
        <v>2089.23</v>
      </c>
      <c r="F1492">
        <v>2080.0500000000002</v>
      </c>
      <c r="G1492">
        <v>2090.4299999999998</v>
      </c>
      <c r="H1492">
        <v>1954.94</v>
      </c>
      <c r="I1492">
        <v>2052.92</v>
      </c>
      <c r="J1492">
        <v>2097.36</v>
      </c>
      <c r="K1492">
        <v>2112.08</v>
      </c>
      <c r="L1492">
        <v>1991.19</v>
      </c>
      <c r="M1492" s="50"/>
      <c r="N1492" s="50"/>
      <c r="O1492" s="50"/>
      <c r="P1492" s="50"/>
      <c r="Q1492" s="48"/>
      <c r="R1492" s="48"/>
      <c r="S1492" s="49"/>
      <c r="T1492" s="48"/>
      <c r="U1492" s="48"/>
      <c r="V1492" s="47"/>
      <c r="W1492" s="46"/>
    </row>
    <row r="1493" spans="1:31" ht="24.75" thickBot="1">
      <c r="A1493" s="199"/>
      <c r="B1493" s="42"/>
      <c r="C1493" s="45" t="s">
        <v>154</v>
      </c>
      <c r="D1493" s="281">
        <f t="shared" ref="D1493:L1493" si="492">IF(((D1491="")*AND(D1492="")),"",(D1491-D1492)*2)</f>
        <v>3323.66</v>
      </c>
      <c r="E1493" s="281">
        <f t="shared" si="492"/>
        <v>3344.7799999999997</v>
      </c>
      <c r="F1493" s="281">
        <f t="shared" si="492"/>
        <v>3331.7799999999997</v>
      </c>
      <c r="G1493" s="281">
        <f t="shared" si="492"/>
        <v>3258.6000000000004</v>
      </c>
      <c r="H1493" s="281">
        <f t="shared" si="492"/>
        <v>3298.74</v>
      </c>
      <c r="I1493" s="281">
        <f t="shared" si="492"/>
        <v>3332.16</v>
      </c>
      <c r="J1493" s="281">
        <f t="shared" si="492"/>
        <v>3341.5599999999995</v>
      </c>
      <c r="K1493" s="281">
        <f t="shared" si="492"/>
        <v>3299.62</v>
      </c>
      <c r="L1493" s="281">
        <f t="shared" si="492"/>
        <v>3349.3199999999997</v>
      </c>
      <c r="M1493" s="44"/>
      <c r="N1493" s="44"/>
      <c r="O1493" s="44"/>
      <c r="P1493" s="44"/>
      <c r="Q1493" s="42"/>
      <c r="R1493" s="42"/>
      <c r="S1493" s="43"/>
      <c r="T1493" s="42"/>
      <c r="U1493" s="42"/>
      <c r="V1493" s="41"/>
      <c r="W1493" s="40"/>
    </row>
    <row r="1494" spans="1:31" ht="15.75">
      <c r="A1494" s="195">
        <v>44084</v>
      </c>
      <c r="B1494" s="63" t="s">
        <v>158</v>
      </c>
      <c r="C1494" s="56" t="s">
        <v>156</v>
      </c>
      <c r="D1494">
        <v>1353.86</v>
      </c>
      <c r="E1494">
        <v>1369.68</v>
      </c>
      <c r="F1494">
        <v>1379.1</v>
      </c>
      <c r="G1494">
        <v>1368.05</v>
      </c>
      <c r="H1494">
        <v>1336.56</v>
      </c>
      <c r="I1494">
        <v>1356.12</v>
      </c>
      <c r="J1494">
        <v>1376.32</v>
      </c>
      <c r="K1494">
        <v>1364.7</v>
      </c>
      <c r="L1494">
        <v>1321.47</v>
      </c>
      <c r="M1494" s="62"/>
      <c r="N1494" s="62"/>
      <c r="O1494" s="62"/>
      <c r="P1494" s="62"/>
      <c r="Q1494" s="57">
        <f>IF((L1495=""),"",MAX(D1496:L1496))</f>
        <v>3076.4</v>
      </c>
      <c r="R1494" s="57">
        <f>IF(L1495="","",MIN(D1496:L1496))</f>
        <v>2685.28</v>
      </c>
      <c r="S1494" s="58">
        <f>IF((L1496=""),"",AVERAGE(D1496:L1496))</f>
        <v>2858.4844444444443</v>
      </c>
      <c r="T1494" s="57">
        <f>IF((L1495=""),"",((Q1494-R1494)/(Q1494+R1494))*100)</f>
        <v>6.7882978575693187</v>
      </c>
      <c r="U1494" s="56">
        <f>STDEV(D1494:L1494)</f>
        <v>18.961409127772779</v>
      </c>
      <c r="V1494" s="55" t="str">
        <f>IF(L1495="","",(IF(T1494&lt;12,IF(S1494&gt;2200,IF(S1494&lt;3280,"Pass","Fail"),"Fail"),"Fail")))</f>
        <v>Pass</v>
      </c>
      <c r="W1494" s="54">
        <v>1159</v>
      </c>
      <c r="X1494" s="26" t="s">
        <v>499</v>
      </c>
      <c r="Z1494" s="37">
        <v>2000</v>
      </c>
      <c r="AA1494" s="37">
        <v>3000</v>
      </c>
      <c r="AB1494" s="37">
        <v>2200</v>
      </c>
      <c r="AC1494" s="37">
        <v>3280</v>
      </c>
      <c r="AD1494" s="39">
        <v>12</v>
      </c>
      <c r="AE1494" s="39">
        <v>12</v>
      </c>
    </row>
    <row r="1495" spans="1:31" ht="15.75">
      <c r="A1495" s="199"/>
      <c r="B1495" s="48"/>
      <c r="C1495" s="51" t="s">
        <v>155</v>
      </c>
      <c r="D1495">
        <v>614.45000000000005</v>
      </c>
      <c r="E1495">
        <v>676.45</v>
      </c>
      <c r="F1495">
        <v>705.72</v>
      </c>
      <c r="G1495">
        <v>671.36</v>
      </c>
      <c r="H1495">
        <v>579.71</v>
      </c>
      <c r="I1495">
        <v>612.37</v>
      </c>
      <c r="J1495">
        <v>688.46</v>
      </c>
      <c r="K1495">
        <v>693.38</v>
      </c>
      <c r="L1495">
        <v>552.37</v>
      </c>
      <c r="M1495" s="50"/>
      <c r="N1495" s="50"/>
      <c r="O1495" s="50"/>
      <c r="P1495" s="50"/>
      <c r="Q1495" s="48"/>
      <c r="R1495" s="48"/>
      <c r="S1495" s="48"/>
      <c r="T1495" s="48"/>
      <c r="U1495" s="48"/>
      <c r="V1495" s="47"/>
      <c r="W1495" s="46"/>
    </row>
    <row r="1496" spans="1:31" ht="24.75" thickBot="1">
      <c r="A1496" s="199"/>
      <c r="B1496" s="61"/>
      <c r="C1496" s="51" t="s">
        <v>154</v>
      </c>
      <c r="D1496" s="24">
        <f t="shared" ref="D1496:L1496" si="493">IF(((D1494="")*AND(D1495="")),"",(D1494-D1495)*4)</f>
        <v>2957.6399999999994</v>
      </c>
      <c r="E1496" s="24">
        <f t="shared" si="493"/>
        <v>2772.92</v>
      </c>
      <c r="F1496" s="24">
        <f t="shared" si="493"/>
        <v>2693.5199999999995</v>
      </c>
      <c r="G1496" s="24">
        <f t="shared" si="493"/>
        <v>2786.7599999999998</v>
      </c>
      <c r="H1496" s="24">
        <f t="shared" si="493"/>
        <v>3027.3999999999996</v>
      </c>
      <c r="I1496" s="24">
        <f t="shared" si="493"/>
        <v>2974.9999999999995</v>
      </c>
      <c r="J1496" s="24">
        <f t="shared" si="493"/>
        <v>2751.4399999999996</v>
      </c>
      <c r="K1496" s="24">
        <f t="shared" si="493"/>
        <v>2685.28</v>
      </c>
      <c r="L1496" s="24">
        <f t="shared" si="493"/>
        <v>3076.4</v>
      </c>
      <c r="M1496" s="24"/>
      <c r="N1496" s="24"/>
      <c r="O1496" s="24"/>
      <c r="P1496" s="24" t="str">
        <f>IF(((P1494="")*AND(P1495="")),"",(P1494-P1495)*4)</f>
        <v/>
      </c>
      <c r="Q1496" s="61"/>
      <c r="R1496" s="61"/>
      <c r="S1496" s="61"/>
      <c r="T1496" s="61"/>
      <c r="U1496" s="61"/>
      <c r="V1496" s="60"/>
      <c r="W1496" s="59"/>
    </row>
    <row r="1497" spans="1:31" ht="15.75">
      <c r="A1497" s="195">
        <v>44084</v>
      </c>
      <c r="B1497" s="57" t="s">
        <v>157</v>
      </c>
      <c r="C1497" s="51" t="s">
        <v>156</v>
      </c>
      <c r="D1497">
        <v>6914.54</v>
      </c>
      <c r="E1497">
        <v>7105.34</v>
      </c>
      <c r="F1497">
        <v>7085.16</v>
      </c>
      <c r="G1497">
        <v>7018.12</v>
      </c>
      <c r="H1497">
        <v>6926.74</v>
      </c>
      <c r="I1497">
        <v>7061.39</v>
      </c>
      <c r="J1497">
        <v>7111.77</v>
      </c>
      <c r="K1497">
        <v>7098.58</v>
      </c>
      <c r="L1497">
        <v>7014.55</v>
      </c>
      <c r="M1497" s="50"/>
      <c r="N1497" s="50"/>
      <c r="O1497" s="50"/>
      <c r="P1497" s="50"/>
      <c r="Q1497" s="57">
        <f>IF((L1498=""),"",MAX(D1499:L1499))</f>
        <v>3314.9799999999996</v>
      </c>
      <c r="R1497" s="57">
        <f>IF(L1498="","",MIN(D1499:L1499))</f>
        <v>3222.16</v>
      </c>
      <c r="S1497" s="58">
        <f>IF((L1499=""),"",AVERAGE(D1499:L1499))</f>
        <v>3284.6733333333336</v>
      </c>
      <c r="T1497" s="57">
        <f>IF((L1498=""),"",((Q1497-R1497)/(Q1497+R1497))*100)</f>
        <v>1.4198869842163349</v>
      </c>
      <c r="U1497" s="56">
        <f>STDEV(D1497:L1497)</f>
        <v>74.983588222758655</v>
      </c>
      <c r="V1497" s="55" t="str">
        <f>IF(L1498="","",(IF(T1497&lt;7,IF(S1497&gt;2800,IF(S1497&lt;3800,"Pass","Fail"),"Fail"),"Fail")))</f>
        <v>Pass</v>
      </c>
      <c r="W1497" s="54">
        <v>1159</v>
      </c>
      <c r="X1497" s="26" t="s">
        <v>499</v>
      </c>
      <c r="Z1497" s="53">
        <v>2800</v>
      </c>
      <c r="AA1497" s="53">
        <v>3800</v>
      </c>
      <c r="AB1497" s="53">
        <v>3100</v>
      </c>
      <c r="AC1497" s="53">
        <v>3760</v>
      </c>
      <c r="AD1497" s="52">
        <v>6</v>
      </c>
      <c r="AE1497" s="52">
        <v>6</v>
      </c>
    </row>
    <row r="1498" spans="1:31" ht="15.75">
      <c r="A1498" s="199"/>
      <c r="B1498" s="48"/>
      <c r="C1498" s="51" t="s">
        <v>155</v>
      </c>
      <c r="D1498">
        <v>5266.83</v>
      </c>
      <c r="E1498">
        <v>5453.77</v>
      </c>
      <c r="F1498">
        <v>5439.58</v>
      </c>
      <c r="G1498">
        <v>5407.04</v>
      </c>
      <c r="H1498">
        <v>5289.79</v>
      </c>
      <c r="I1498">
        <v>5412.56</v>
      </c>
      <c r="J1498">
        <v>5461.84</v>
      </c>
      <c r="K1498">
        <v>5466.69</v>
      </c>
      <c r="L1498">
        <v>5357.06</v>
      </c>
      <c r="M1498" s="50"/>
      <c r="N1498" s="50"/>
      <c r="O1498" s="50"/>
      <c r="P1498" s="50"/>
      <c r="Q1498" s="48"/>
      <c r="R1498" s="48"/>
      <c r="S1498" s="49"/>
      <c r="T1498" s="48"/>
      <c r="U1498" s="48"/>
      <c r="V1498" s="47"/>
      <c r="W1498" s="46"/>
    </row>
    <row r="1499" spans="1:31" ht="24.75" thickBot="1">
      <c r="A1499" s="199"/>
      <c r="B1499" s="42"/>
      <c r="C1499" s="45" t="s">
        <v>154</v>
      </c>
      <c r="D1499" s="44">
        <f t="shared" ref="D1499:L1499" si="494">IF(((D1497="")*AND(D1498="")),"",(D1497-D1498)*2)</f>
        <v>3295.42</v>
      </c>
      <c r="E1499" s="44">
        <f t="shared" si="494"/>
        <v>3303.1399999999994</v>
      </c>
      <c r="F1499" s="44">
        <f t="shared" si="494"/>
        <v>3291.16</v>
      </c>
      <c r="G1499" s="44">
        <f t="shared" si="494"/>
        <v>3222.16</v>
      </c>
      <c r="H1499" s="44">
        <f t="shared" si="494"/>
        <v>3273.8999999999996</v>
      </c>
      <c r="I1499" s="44">
        <f t="shared" si="494"/>
        <v>3297.66</v>
      </c>
      <c r="J1499" s="44">
        <f t="shared" si="494"/>
        <v>3299.8600000000006</v>
      </c>
      <c r="K1499" s="44">
        <f t="shared" si="494"/>
        <v>3263.7800000000007</v>
      </c>
      <c r="L1499" s="44">
        <f t="shared" si="494"/>
        <v>3314.9799999999996</v>
      </c>
      <c r="M1499" s="44"/>
      <c r="N1499" s="44"/>
      <c r="O1499" s="44"/>
      <c r="P1499" s="44"/>
      <c r="Q1499" s="42"/>
      <c r="R1499" s="42"/>
      <c r="S1499" s="43"/>
      <c r="T1499" s="42"/>
      <c r="U1499" s="42"/>
      <c r="V1499" s="41"/>
      <c r="W1499" s="40"/>
    </row>
    <row r="1500" spans="1:31" ht="15.75">
      <c r="A1500" s="195">
        <v>44095</v>
      </c>
      <c r="B1500" s="63" t="s">
        <v>158</v>
      </c>
      <c r="C1500" s="56" t="s">
        <v>156</v>
      </c>
      <c r="D1500">
        <v>1954.55</v>
      </c>
      <c r="E1500">
        <v>1942.14</v>
      </c>
      <c r="F1500">
        <v>1936.16</v>
      </c>
      <c r="G1500">
        <v>1943.37</v>
      </c>
      <c r="H1500">
        <v>1961.62</v>
      </c>
      <c r="I1500">
        <v>1963.72</v>
      </c>
      <c r="J1500">
        <v>1942.17</v>
      </c>
      <c r="K1500">
        <v>1973.46</v>
      </c>
      <c r="L1500">
        <v>1957.12</v>
      </c>
      <c r="M1500" s="62"/>
      <c r="N1500" s="62"/>
      <c r="O1500" s="62"/>
      <c r="P1500" s="62"/>
      <c r="Q1500" s="57">
        <f>IF((L1501=""),"",MAX(D1502:L1502))</f>
        <v>3278.3199999999997</v>
      </c>
      <c r="R1500" s="57">
        <f>IF(L1501="","",MIN(D1502:L1502))</f>
        <v>2886</v>
      </c>
      <c r="S1500" s="58">
        <f>IF((L1502=""),"",AVERAGE(D1502:L1502))</f>
        <v>3076.5333333333338</v>
      </c>
      <c r="T1500" s="57">
        <f>IF((L1501=""),"",((Q1500-R1500)/(Q1500+R1500))*100)</f>
        <v>6.3643678459262292</v>
      </c>
      <c r="U1500" s="56">
        <f>STDEV(D1500:L1500)</f>
        <v>12.439645739030082</v>
      </c>
      <c r="V1500" s="55" t="str">
        <f>IF(L1501="","",(IF(T1500&lt;12,IF(S1500&gt;2200,IF(S1500&lt;3280,"Pass","Fail"),"Fail"),"Fail")))</f>
        <v>Pass</v>
      </c>
      <c r="W1500" s="54">
        <v>1428</v>
      </c>
      <c r="X1500" s="26" t="s">
        <v>505</v>
      </c>
      <c r="Z1500" s="37">
        <v>2000</v>
      </c>
      <c r="AA1500" s="37">
        <v>3000</v>
      </c>
      <c r="AB1500" s="37">
        <v>2200</v>
      </c>
      <c r="AC1500" s="37">
        <v>3280</v>
      </c>
      <c r="AD1500" s="39">
        <v>12</v>
      </c>
      <c r="AE1500" s="39">
        <v>12</v>
      </c>
    </row>
    <row r="1501" spans="1:31" ht="15.75">
      <c r="A1501" s="199"/>
      <c r="B1501" s="48"/>
      <c r="C1501" s="51" t="s">
        <v>155</v>
      </c>
      <c r="D1501">
        <v>1175.1199999999999</v>
      </c>
      <c r="E1501">
        <v>1198.22</v>
      </c>
      <c r="F1501">
        <v>1214.6600000000001</v>
      </c>
      <c r="G1501">
        <v>1198.24</v>
      </c>
      <c r="H1501">
        <v>1158.29</v>
      </c>
      <c r="I1501">
        <v>1181.6099999999999</v>
      </c>
      <c r="J1501">
        <v>1208.48</v>
      </c>
      <c r="K1501">
        <v>1179.95</v>
      </c>
      <c r="L1501">
        <v>1137.54</v>
      </c>
      <c r="M1501" s="50"/>
      <c r="N1501" s="50"/>
      <c r="O1501" s="50"/>
      <c r="P1501" s="50"/>
      <c r="Q1501" s="48"/>
      <c r="R1501" s="48"/>
      <c r="S1501" s="48"/>
      <c r="T1501" s="48"/>
      <c r="U1501" s="48"/>
      <c r="V1501" s="47"/>
      <c r="W1501" s="46"/>
    </row>
    <row r="1502" spans="1:31" ht="24.75" thickBot="1">
      <c r="A1502" s="199"/>
      <c r="B1502" s="61"/>
      <c r="C1502" s="51" t="s">
        <v>154</v>
      </c>
      <c r="D1502" s="24">
        <f t="shared" ref="D1502:L1502" si="495">IF(((D1500="")*AND(D1501="")),"",(D1500-D1501)*4)</f>
        <v>3117.7200000000003</v>
      </c>
      <c r="E1502" s="24">
        <f t="shared" si="495"/>
        <v>2975.6800000000003</v>
      </c>
      <c r="F1502" s="24">
        <f t="shared" si="495"/>
        <v>2886</v>
      </c>
      <c r="G1502" s="24">
        <f t="shared" si="495"/>
        <v>2980.5199999999995</v>
      </c>
      <c r="H1502" s="24">
        <f t="shared" si="495"/>
        <v>3213.3199999999997</v>
      </c>
      <c r="I1502" s="24">
        <f t="shared" si="495"/>
        <v>3128.4400000000005</v>
      </c>
      <c r="J1502" s="24">
        <f t="shared" si="495"/>
        <v>2934.76</v>
      </c>
      <c r="K1502" s="24">
        <f t="shared" si="495"/>
        <v>3174.04</v>
      </c>
      <c r="L1502" s="24">
        <f t="shared" si="495"/>
        <v>3278.3199999999997</v>
      </c>
      <c r="M1502" s="24"/>
      <c r="N1502" s="24"/>
      <c r="O1502" s="24"/>
      <c r="P1502" s="24" t="str">
        <f>IF(((P1500="")*AND(P1501="")),"",(P1500-P1501)*4)</f>
        <v/>
      </c>
      <c r="Q1502" s="61"/>
      <c r="R1502" s="61"/>
      <c r="S1502" s="61"/>
      <c r="T1502" s="61"/>
      <c r="U1502" s="61"/>
      <c r="V1502" s="60"/>
      <c r="W1502" s="59"/>
    </row>
    <row r="1503" spans="1:31" ht="15.75">
      <c r="A1503" s="195">
        <v>44095</v>
      </c>
      <c r="B1503" s="57" t="s">
        <v>157</v>
      </c>
      <c r="C1503" s="51" t="s">
        <v>156</v>
      </c>
      <c r="D1503">
        <v>5274.1</v>
      </c>
      <c r="E1503">
        <v>5460.73</v>
      </c>
      <c r="F1503">
        <v>5446.72</v>
      </c>
      <c r="G1503">
        <v>5415.22</v>
      </c>
      <c r="H1503">
        <v>5297.62</v>
      </c>
      <c r="I1503">
        <v>5419.69</v>
      </c>
      <c r="J1503">
        <v>5468.66</v>
      </c>
      <c r="K1503">
        <v>5473.05</v>
      </c>
      <c r="L1503">
        <v>5364.15</v>
      </c>
      <c r="M1503" s="50"/>
      <c r="N1503" s="50"/>
      <c r="O1503" s="50"/>
      <c r="P1503" s="50"/>
      <c r="Q1503" s="57">
        <f>IF((L1504=""),"",MAX(D1505:L1505))</f>
        <v>3395.1999999999989</v>
      </c>
      <c r="R1503" s="57">
        <f>IF(L1504="","",MIN(D1505:L1505))</f>
        <v>3306.76</v>
      </c>
      <c r="S1503" s="58">
        <f>IF((L1505=""),"",AVERAGE(D1505:L1505))</f>
        <v>3369.2133333333331</v>
      </c>
      <c r="T1503" s="57">
        <f>IF((L1504=""),"",((Q1503-R1503)/(Q1503+R1503))*100)</f>
        <v>1.3196139636762785</v>
      </c>
      <c r="U1503" s="56">
        <f>STDEV(D1503:L1503)</f>
        <v>74.258208824215814</v>
      </c>
      <c r="V1503" s="55" t="str">
        <f>IF(L1504="","",(IF(T1503&lt;7,IF(S1503&gt;2800,IF(S1503&lt;3800,"Pass","Fail"),"Fail"),"Fail")))</f>
        <v>Pass</v>
      </c>
      <c r="W1503" s="54">
        <v>1428</v>
      </c>
      <c r="X1503" s="26" t="s">
        <v>505</v>
      </c>
      <c r="Z1503" s="53">
        <v>2800</v>
      </c>
      <c r="AA1503" s="53">
        <v>3800</v>
      </c>
      <c r="AB1503" s="53">
        <v>3100</v>
      </c>
      <c r="AC1503" s="53">
        <v>3760</v>
      </c>
      <c r="AD1503" s="52">
        <v>6</v>
      </c>
      <c r="AE1503" s="52">
        <v>6</v>
      </c>
    </row>
    <row r="1504" spans="1:31" ht="15.75">
      <c r="A1504" s="199"/>
      <c r="B1504" s="48"/>
      <c r="C1504" s="51" t="s">
        <v>155</v>
      </c>
      <c r="D1504">
        <v>3587.21</v>
      </c>
      <c r="E1504">
        <v>3765.65</v>
      </c>
      <c r="F1504">
        <v>3758.14</v>
      </c>
      <c r="G1504">
        <v>3761.84</v>
      </c>
      <c r="H1504">
        <v>3621.71</v>
      </c>
      <c r="I1504">
        <v>3728.53</v>
      </c>
      <c r="J1504">
        <v>3774.18</v>
      </c>
      <c r="K1504">
        <v>3794.67</v>
      </c>
      <c r="L1504">
        <v>3666.55</v>
      </c>
      <c r="M1504" s="50"/>
      <c r="N1504" s="50"/>
      <c r="O1504" s="50"/>
      <c r="P1504" s="50"/>
      <c r="Q1504" s="48"/>
      <c r="R1504" s="48"/>
      <c r="S1504" s="49"/>
      <c r="T1504" s="48"/>
      <c r="U1504" s="48"/>
      <c r="V1504" s="47"/>
      <c r="W1504" s="46"/>
    </row>
    <row r="1505" spans="1:31" ht="24.75" thickBot="1">
      <c r="A1505" s="199"/>
      <c r="B1505" s="42"/>
      <c r="C1505" s="45" t="s">
        <v>154</v>
      </c>
      <c r="D1505" s="44">
        <f t="shared" ref="D1505:L1505" si="496">IF(((D1503="")*AND(D1504="")),"",(D1503-D1504)*2)</f>
        <v>3373.7800000000007</v>
      </c>
      <c r="E1505" s="44">
        <f t="shared" si="496"/>
        <v>3390.1599999999989</v>
      </c>
      <c r="F1505" s="44">
        <f t="shared" si="496"/>
        <v>3377.1600000000008</v>
      </c>
      <c r="G1505" s="44">
        <f t="shared" si="496"/>
        <v>3306.76</v>
      </c>
      <c r="H1505" s="44">
        <f t="shared" si="496"/>
        <v>3351.8199999999997</v>
      </c>
      <c r="I1505" s="44">
        <f t="shared" si="496"/>
        <v>3382.3199999999988</v>
      </c>
      <c r="J1505" s="44">
        <f t="shared" si="496"/>
        <v>3388.96</v>
      </c>
      <c r="K1505" s="44">
        <f t="shared" si="496"/>
        <v>3356.76</v>
      </c>
      <c r="L1505" s="44">
        <f t="shared" si="496"/>
        <v>3395.1999999999989</v>
      </c>
      <c r="M1505" s="44"/>
      <c r="N1505" s="44"/>
      <c r="O1505" s="44"/>
      <c r="P1505" s="44"/>
      <c r="Q1505" s="42"/>
      <c r="R1505" s="42"/>
      <c r="S1505" s="43"/>
      <c r="T1505" s="42"/>
      <c r="U1505" s="42"/>
      <c r="V1505" s="41"/>
      <c r="W1505" s="40"/>
    </row>
    <row r="1506" spans="1:31" ht="15.75">
      <c r="A1506" s="195">
        <v>44103</v>
      </c>
      <c r="B1506" s="63" t="s">
        <v>158</v>
      </c>
      <c r="C1506" s="56" t="s">
        <v>156</v>
      </c>
      <c r="D1506">
        <v>1177.3800000000001</v>
      </c>
      <c r="E1506">
        <v>1201.8599999999999</v>
      </c>
      <c r="F1506">
        <v>1219.23</v>
      </c>
      <c r="G1506">
        <v>1201.75</v>
      </c>
      <c r="H1506">
        <v>1159.54</v>
      </c>
      <c r="I1506">
        <v>1186.6400000000001</v>
      </c>
      <c r="J1506">
        <v>1209.8499999999999</v>
      </c>
      <c r="K1506">
        <v>1185.1600000000001</v>
      </c>
      <c r="L1506">
        <v>1141.77</v>
      </c>
      <c r="M1506" s="62"/>
      <c r="N1506" s="62"/>
      <c r="O1506" s="62"/>
      <c r="P1506" s="62"/>
      <c r="Q1506" s="57">
        <f>IF((L1507=""),"",MAX(D1508:L1508))</f>
        <v>2996.3599999999997</v>
      </c>
      <c r="R1506" s="57">
        <f>IF(L1507="","",MIN(D1508:L1508))</f>
        <v>2591.84</v>
      </c>
      <c r="S1506" s="58">
        <f>IF((L1508=""),"",AVERAGE(D1508:L1508))</f>
        <v>2794.1688888888889</v>
      </c>
      <c r="T1506" s="57">
        <f>IF((L1507=""),"",((Q1506-R1506)/(Q1506+R1506))*100)</f>
        <v>7.2388246662610412</v>
      </c>
      <c r="U1506" s="56">
        <f>STDEV(D1506:L1506)</f>
        <v>24.736455890033394</v>
      </c>
      <c r="V1506" s="55" t="str">
        <f>IF(L1507="","",(IF(T1506&lt;12,IF(S1506&gt;2200,IF(S1506&lt;3280,"Pass","Fail"),"Fail"),"Fail")))</f>
        <v>Pass</v>
      </c>
      <c r="W1506" s="54">
        <v>1428</v>
      </c>
      <c r="X1506" s="26" t="s">
        <v>508</v>
      </c>
      <c r="Z1506" s="37">
        <v>2000</v>
      </c>
      <c r="AA1506" s="37">
        <v>3000</v>
      </c>
      <c r="AB1506" s="37">
        <v>2200</v>
      </c>
      <c r="AC1506" s="37">
        <v>3280</v>
      </c>
      <c r="AD1506" s="39">
        <v>12</v>
      </c>
      <c r="AE1506" s="39">
        <v>12</v>
      </c>
    </row>
    <row r="1507" spans="1:31" ht="15.75">
      <c r="A1507" s="199"/>
      <c r="B1507" s="48"/>
      <c r="C1507" s="51" t="s">
        <v>155</v>
      </c>
      <c r="D1507">
        <v>460.83</v>
      </c>
      <c r="E1507">
        <v>515.77</v>
      </c>
      <c r="F1507">
        <v>545.37</v>
      </c>
      <c r="G1507">
        <v>512.64</v>
      </c>
      <c r="H1507">
        <v>431.37</v>
      </c>
      <c r="I1507">
        <v>470.23</v>
      </c>
      <c r="J1507">
        <v>530.21</v>
      </c>
      <c r="K1507">
        <v>537.20000000000005</v>
      </c>
      <c r="L1507">
        <v>392.68</v>
      </c>
      <c r="M1507" s="50"/>
      <c r="N1507" s="50"/>
      <c r="O1507" s="50"/>
      <c r="P1507" s="50"/>
      <c r="Q1507" s="48"/>
      <c r="R1507" s="48"/>
      <c r="S1507" s="48"/>
      <c r="T1507" s="48"/>
      <c r="U1507" s="48"/>
      <c r="V1507" s="47"/>
      <c r="W1507" s="46"/>
    </row>
    <row r="1508" spans="1:31" ht="24.75" thickBot="1">
      <c r="A1508" s="199"/>
      <c r="B1508" s="61"/>
      <c r="C1508" s="51" t="s">
        <v>154</v>
      </c>
      <c r="D1508" s="24">
        <f t="shared" ref="D1508:L1508" si="497">IF(((D1506="")*AND(D1507="")),"",(D1506-D1507)*4)</f>
        <v>2866.2000000000007</v>
      </c>
      <c r="E1508" s="24">
        <f t="shared" si="497"/>
        <v>2744.3599999999997</v>
      </c>
      <c r="F1508" s="24">
        <f t="shared" si="497"/>
        <v>2695.44</v>
      </c>
      <c r="G1508" s="24">
        <f t="shared" si="497"/>
        <v>2756.44</v>
      </c>
      <c r="H1508" s="24">
        <f t="shared" si="497"/>
        <v>2912.68</v>
      </c>
      <c r="I1508" s="24">
        <f t="shared" si="497"/>
        <v>2865.6400000000003</v>
      </c>
      <c r="J1508" s="24">
        <f t="shared" si="497"/>
        <v>2718.5599999999995</v>
      </c>
      <c r="K1508" s="24">
        <f t="shared" si="497"/>
        <v>2591.84</v>
      </c>
      <c r="L1508" s="24">
        <f t="shared" si="497"/>
        <v>2996.3599999999997</v>
      </c>
      <c r="M1508" s="24"/>
      <c r="N1508" s="24"/>
      <c r="O1508" s="24"/>
      <c r="P1508" s="24" t="str">
        <f>IF(((P1506="")*AND(P1507="")),"",(P1506-P1507)*4)</f>
        <v/>
      </c>
      <c r="Q1508" s="61"/>
      <c r="R1508" s="61"/>
      <c r="S1508" s="61"/>
      <c r="T1508" s="61"/>
      <c r="U1508" s="61"/>
      <c r="V1508" s="60"/>
      <c r="W1508" s="59"/>
    </row>
    <row r="1509" spans="1:31" ht="15.75">
      <c r="A1509" s="195">
        <v>44103</v>
      </c>
      <c r="B1509" s="57" t="s">
        <v>157</v>
      </c>
      <c r="C1509" s="51" t="s">
        <v>156</v>
      </c>
      <c r="D1509">
        <v>3598.02</v>
      </c>
      <c r="E1509">
        <v>3775.14</v>
      </c>
      <c r="F1509">
        <v>3768.51</v>
      </c>
      <c r="G1509">
        <v>3771.61</v>
      </c>
      <c r="H1509">
        <v>3633.09</v>
      </c>
      <c r="I1509">
        <v>3738.75</v>
      </c>
      <c r="J1509">
        <v>3783.92</v>
      </c>
      <c r="K1509">
        <v>3803.77</v>
      </c>
      <c r="L1509">
        <v>3677.6</v>
      </c>
      <c r="M1509" s="50"/>
      <c r="N1509" s="50"/>
      <c r="O1509" s="50"/>
      <c r="P1509" s="50"/>
      <c r="Q1509" s="57">
        <f>IF((L1510=""),"",MAX(D1511:L1511))</f>
        <v>3353.8599999999997</v>
      </c>
      <c r="R1509" s="57">
        <f>IF(L1510="","",MIN(D1511:L1511))</f>
        <v>3253.9000000000005</v>
      </c>
      <c r="S1509" s="58">
        <f>IF((L1511=""),"",AVERAGE(D1511:L1511))</f>
        <v>3322.9355555555562</v>
      </c>
      <c r="T1509" s="57">
        <f>IF((L1510=""),"",((Q1509-R1509)/(Q1509+R1509))*100)</f>
        <v>1.5127668075111556</v>
      </c>
      <c r="U1509" s="56">
        <f>STDEV(D1509:L1509)</f>
        <v>73.477344467521007</v>
      </c>
      <c r="V1509" s="55" t="str">
        <f>IF(L1510="","",(IF(T1509&lt;7,IF(S1509&gt;2800,IF(S1509&lt;3800,"Pass","Fail"),"Fail"),"Fail")))</f>
        <v>Pass</v>
      </c>
      <c r="W1509" s="54">
        <v>1428</v>
      </c>
      <c r="X1509" s="26" t="s">
        <v>508</v>
      </c>
      <c r="Z1509" s="53">
        <v>2800</v>
      </c>
      <c r="AA1509" s="53">
        <v>3800</v>
      </c>
      <c r="AB1509" s="53">
        <v>3100</v>
      </c>
      <c r="AC1509" s="53">
        <v>3760</v>
      </c>
      <c r="AD1509" s="52">
        <v>6</v>
      </c>
      <c r="AE1509" s="52">
        <v>6</v>
      </c>
    </row>
    <row r="1510" spans="1:31" ht="15.75">
      <c r="A1510" s="199"/>
      <c r="B1510" s="48"/>
      <c r="C1510" s="51" t="s">
        <v>155</v>
      </c>
      <c r="D1510">
        <v>1929.52</v>
      </c>
      <c r="E1510">
        <v>2104.19</v>
      </c>
      <c r="F1510">
        <v>2104.06</v>
      </c>
      <c r="G1510">
        <v>2144.66</v>
      </c>
      <c r="H1510">
        <v>1979.72</v>
      </c>
      <c r="I1510">
        <v>2073.9699999999998</v>
      </c>
      <c r="J1510">
        <v>2110.9299999999998</v>
      </c>
      <c r="K1510">
        <v>2149.48</v>
      </c>
      <c r="L1510">
        <v>2000.67</v>
      </c>
      <c r="M1510" s="50"/>
      <c r="N1510" s="50"/>
      <c r="O1510" s="50"/>
      <c r="P1510" s="50"/>
      <c r="Q1510" s="48"/>
      <c r="R1510" s="48"/>
      <c r="S1510" s="49"/>
      <c r="T1510" s="48"/>
      <c r="U1510" s="48"/>
      <c r="V1510" s="47"/>
      <c r="W1510" s="46"/>
    </row>
    <row r="1511" spans="1:31" ht="24.75" thickBot="1">
      <c r="A1511" s="199"/>
      <c r="B1511" s="42"/>
      <c r="C1511" s="45" t="s">
        <v>154</v>
      </c>
      <c r="D1511" s="44">
        <f t="shared" ref="D1511:L1511" si="498">IF(((D1509="")*AND(D1510="")),"",(D1509-D1510)*2)</f>
        <v>3337</v>
      </c>
      <c r="E1511" s="44">
        <f t="shared" si="498"/>
        <v>3341.8999999999996</v>
      </c>
      <c r="F1511" s="44">
        <f t="shared" si="498"/>
        <v>3328.9000000000005</v>
      </c>
      <c r="G1511" s="44">
        <f t="shared" si="498"/>
        <v>3253.9000000000005</v>
      </c>
      <c r="H1511" s="44">
        <f t="shared" si="498"/>
        <v>3306.7400000000002</v>
      </c>
      <c r="I1511" s="44">
        <f t="shared" si="498"/>
        <v>3329.5600000000004</v>
      </c>
      <c r="J1511" s="44">
        <f t="shared" si="498"/>
        <v>3345.9800000000005</v>
      </c>
      <c r="K1511" s="44">
        <f t="shared" si="498"/>
        <v>3308.58</v>
      </c>
      <c r="L1511" s="44">
        <f t="shared" si="498"/>
        <v>3353.8599999999997</v>
      </c>
      <c r="M1511" s="44"/>
      <c r="N1511" s="44"/>
      <c r="O1511" s="44"/>
      <c r="P1511" s="44"/>
      <c r="Q1511" s="42"/>
      <c r="R1511" s="42"/>
      <c r="S1511" s="43"/>
      <c r="T1511" s="42"/>
      <c r="U1511" s="42"/>
      <c r="V1511" s="41"/>
      <c r="W1511" s="40"/>
    </row>
    <row r="1512" spans="1:31" ht="15.75">
      <c r="A1512" s="195">
        <v>44137</v>
      </c>
      <c r="B1512" s="63" t="s">
        <v>158</v>
      </c>
      <c r="C1512" s="56" t="s">
        <v>156</v>
      </c>
      <c r="D1512">
        <v>1859.16</v>
      </c>
      <c r="E1512">
        <v>1910.66</v>
      </c>
      <c r="F1512">
        <v>1898.66</v>
      </c>
      <c r="G1512">
        <v>1907.57</v>
      </c>
      <c r="H1512">
        <v>1917.22</v>
      </c>
      <c r="I1512">
        <v>1982.98</v>
      </c>
      <c r="J1512">
        <v>1906.16</v>
      </c>
      <c r="K1512">
        <v>1909.3</v>
      </c>
      <c r="L1512">
        <v>1919.13</v>
      </c>
      <c r="M1512" s="62"/>
      <c r="N1512" s="62"/>
      <c r="O1512" s="62"/>
      <c r="P1512" s="62"/>
      <c r="Q1512" s="57">
        <f>IF((L1513=""),"",MAX(D1514:L1514))</f>
        <v>3222.12</v>
      </c>
      <c r="R1512" s="57">
        <f>IF(L1513="","",MIN(D1514:L1514))</f>
        <v>2624.6400000000003</v>
      </c>
      <c r="S1512" s="58">
        <f>IF((L1514=""),"",AVERAGE(D1514:L1514))</f>
        <v>2930.4755555555557</v>
      </c>
      <c r="T1512" s="57">
        <f>IF((L1513=""),"",((Q1512-R1512)/(Q1512+R1512))*100)</f>
        <v>10.218993083348717</v>
      </c>
      <c r="U1512" s="56">
        <f>STDEV(D1512:L1512)</f>
        <v>31.914312663412492</v>
      </c>
      <c r="V1512" s="55" t="str">
        <f>IF(L1513="","",(IF(T1512&lt;12,IF(S1512&gt;2200,IF(S1512&lt;3280,"Pass","Fail"),"Fail"),"Fail")))</f>
        <v>Pass</v>
      </c>
      <c r="W1512" s="54">
        <v>64</v>
      </c>
      <c r="X1512" s="26" t="s">
        <v>511</v>
      </c>
      <c r="Z1512" s="37">
        <v>2000</v>
      </c>
      <c r="AA1512" s="37">
        <v>3000</v>
      </c>
      <c r="AB1512" s="37">
        <v>2200</v>
      </c>
      <c r="AC1512" s="37">
        <v>3280</v>
      </c>
      <c r="AD1512" s="39">
        <v>12</v>
      </c>
      <c r="AE1512" s="39">
        <v>12</v>
      </c>
    </row>
    <row r="1513" spans="1:31" ht="15.75">
      <c r="A1513" s="199"/>
      <c r="B1513" s="48"/>
      <c r="C1513" s="51" t="s">
        <v>155</v>
      </c>
      <c r="D1513">
        <v>1203</v>
      </c>
      <c r="E1513">
        <v>1198.1400000000001</v>
      </c>
      <c r="F1513">
        <v>1203.56</v>
      </c>
      <c r="G1513">
        <v>1185.76</v>
      </c>
      <c r="H1513">
        <v>1144.95</v>
      </c>
      <c r="I1513">
        <v>1177.45</v>
      </c>
      <c r="J1513">
        <v>1202.6199999999999</v>
      </c>
      <c r="K1513">
        <v>1176.8800000000001</v>
      </c>
      <c r="L1513">
        <v>1124.9100000000001</v>
      </c>
      <c r="M1513" s="50"/>
      <c r="N1513" s="50"/>
      <c r="O1513" s="50"/>
      <c r="P1513" s="50"/>
      <c r="Q1513" s="48"/>
      <c r="R1513" s="48"/>
      <c r="S1513" s="48"/>
      <c r="T1513" s="48"/>
      <c r="U1513" s="48"/>
      <c r="V1513" s="47"/>
      <c r="W1513" s="46"/>
    </row>
    <row r="1514" spans="1:31" ht="24.75" thickBot="1">
      <c r="A1514" s="199"/>
      <c r="B1514" s="61"/>
      <c r="C1514" s="51" t="s">
        <v>154</v>
      </c>
      <c r="D1514" s="24">
        <f t="shared" ref="D1514:L1514" si="499">IF(((D1512="")*AND(D1513="")),"",(D1512-D1513)*4)</f>
        <v>2624.6400000000003</v>
      </c>
      <c r="E1514" s="24">
        <f t="shared" si="499"/>
        <v>2850.08</v>
      </c>
      <c r="F1514" s="24">
        <f t="shared" si="499"/>
        <v>2780.4000000000005</v>
      </c>
      <c r="G1514" s="24">
        <f t="shared" si="499"/>
        <v>2887.24</v>
      </c>
      <c r="H1514" s="24">
        <f t="shared" si="499"/>
        <v>3089.08</v>
      </c>
      <c r="I1514" s="24">
        <f t="shared" si="499"/>
        <v>3222.12</v>
      </c>
      <c r="J1514" s="24">
        <f t="shared" si="499"/>
        <v>2814.1600000000008</v>
      </c>
      <c r="K1514" s="24">
        <f t="shared" si="499"/>
        <v>2929.6799999999994</v>
      </c>
      <c r="L1514" s="24">
        <f t="shared" si="499"/>
        <v>3176.88</v>
      </c>
      <c r="M1514" s="24"/>
      <c r="N1514" s="24"/>
      <c r="O1514" s="24"/>
      <c r="P1514" s="24" t="str">
        <f>IF(((P1512="")*AND(P1513="")),"",(P1512-P1513)*4)</f>
        <v/>
      </c>
      <c r="Q1514" s="61"/>
      <c r="R1514" s="61"/>
      <c r="S1514" s="61"/>
      <c r="T1514" s="61"/>
      <c r="U1514" s="61"/>
      <c r="V1514" s="60"/>
      <c r="W1514" s="59"/>
    </row>
    <row r="1515" spans="1:31" ht="15.75">
      <c r="A1515" s="195">
        <v>44137</v>
      </c>
      <c r="B1515" s="57" t="s">
        <v>157</v>
      </c>
      <c r="C1515" s="51" t="s">
        <v>156</v>
      </c>
      <c r="D1515">
        <v>6774.78</v>
      </c>
      <c r="E1515">
        <v>7007.81</v>
      </c>
      <c r="F1515">
        <v>6998.48</v>
      </c>
      <c r="G1515">
        <v>7061.13</v>
      </c>
      <c r="H1515">
        <v>7061.81</v>
      </c>
      <c r="I1515">
        <v>7017.95</v>
      </c>
      <c r="J1515">
        <v>6916.25</v>
      </c>
      <c r="K1515">
        <v>6798.94</v>
      </c>
      <c r="L1515">
        <v>6890.47</v>
      </c>
      <c r="M1515" s="50"/>
      <c r="N1515" s="50"/>
      <c r="O1515" s="50"/>
      <c r="P1515" s="50"/>
      <c r="Q1515" s="57">
        <f>IF((L1516=""),"",MAX(D1517:L1517))</f>
        <v>3399.1000000000004</v>
      </c>
      <c r="R1515" s="57">
        <f>IF(L1516="","",MIN(D1517:L1517))</f>
        <v>3304.3999999999996</v>
      </c>
      <c r="S1515" s="58">
        <f>IF((L1517=""),"",AVERAGE(D1517:L1517))</f>
        <v>3372.6177777777775</v>
      </c>
      <c r="T1515" s="57">
        <f>IF((L1516=""),"",((Q1515-R1515)/(Q1515+R1515))*100)</f>
        <v>1.4126948608935739</v>
      </c>
      <c r="U1515" s="56">
        <f>STDEV(D1515:L1515)</f>
        <v>107.99841769674177</v>
      </c>
      <c r="V1515" s="55" t="str">
        <f>IF(L1516="","",(IF(T1515&lt;7,IF(S1515&gt;2800,IF(S1515&lt;3800,"Pass","Fail"),"Fail"),"Fail")))</f>
        <v>Pass</v>
      </c>
      <c r="W1515" s="54">
        <v>64</v>
      </c>
      <c r="X1515" s="26" t="s">
        <v>511</v>
      </c>
      <c r="Z1515" s="53">
        <v>2800</v>
      </c>
      <c r="AA1515" s="53">
        <v>3800</v>
      </c>
      <c r="AB1515" s="53">
        <v>3100</v>
      </c>
      <c r="AC1515" s="53">
        <v>3760</v>
      </c>
      <c r="AD1515" s="52">
        <v>6</v>
      </c>
      <c r="AE1515" s="52">
        <v>6</v>
      </c>
    </row>
    <row r="1516" spans="1:31" ht="15.75">
      <c r="A1516" s="199"/>
      <c r="B1516" s="48"/>
      <c r="C1516" s="51" t="s">
        <v>155</v>
      </c>
      <c r="D1516">
        <v>5078.4799999999996</v>
      </c>
      <c r="E1516">
        <v>5318.04</v>
      </c>
      <c r="F1516">
        <v>5310.89</v>
      </c>
      <c r="G1516">
        <v>5408.93</v>
      </c>
      <c r="H1516">
        <v>5382.49</v>
      </c>
      <c r="I1516">
        <v>5328.06</v>
      </c>
      <c r="J1516">
        <v>5223.67</v>
      </c>
      <c r="K1516">
        <v>5109.3599999999997</v>
      </c>
      <c r="L1516">
        <v>5190.92</v>
      </c>
      <c r="M1516" s="50"/>
      <c r="N1516" s="50"/>
      <c r="O1516" s="50"/>
      <c r="P1516" s="50"/>
      <c r="Q1516" s="48"/>
      <c r="R1516" s="48"/>
      <c r="S1516" s="49"/>
      <c r="T1516" s="48"/>
      <c r="U1516" s="48"/>
      <c r="V1516" s="47"/>
      <c r="W1516" s="46"/>
    </row>
    <row r="1517" spans="1:31" ht="24.75" thickBot="1">
      <c r="A1517" s="199"/>
      <c r="B1517" s="42"/>
      <c r="C1517" s="45" t="s">
        <v>154</v>
      </c>
      <c r="D1517" s="44">
        <f t="shared" ref="D1517:L1517" si="500">IF(((D1515="")*AND(D1516="")),"",(D1515-D1516)*2)</f>
        <v>3392.6000000000004</v>
      </c>
      <c r="E1517" s="44">
        <f t="shared" si="500"/>
        <v>3379.5400000000009</v>
      </c>
      <c r="F1517" s="44">
        <f t="shared" si="500"/>
        <v>3375.1799999999985</v>
      </c>
      <c r="G1517" s="44">
        <f t="shared" si="500"/>
        <v>3304.3999999999996</v>
      </c>
      <c r="H1517" s="44">
        <f t="shared" si="500"/>
        <v>3358.6400000000012</v>
      </c>
      <c r="I1517" s="44">
        <f t="shared" si="500"/>
        <v>3379.7799999999988</v>
      </c>
      <c r="J1517" s="44">
        <f t="shared" si="500"/>
        <v>3385.16</v>
      </c>
      <c r="K1517" s="44">
        <f t="shared" si="500"/>
        <v>3379.16</v>
      </c>
      <c r="L1517" s="44">
        <f t="shared" si="500"/>
        <v>3399.1000000000004</v>
      </c>
      <c r="M1517" s="44"/>
      <c r="N1517" s="44"/>
      <c r="O1517" s="44"/>
      <c r="P1517" s="44"/>
      <c r="Q1517" s="42"/>
      <c r="R1517" s="42"/>
      <c r="S1517" s="43"/>
      <c r="T1517" s="42"/>
      <c r="U1517" s="42"/>
      <c r="V1517" s="41"/>
      <c r="W1517" s="40"/>
    </row>
    <row r="1518" spans="1:31" ht="15.75">
      <c r="A1518" s="195">
        <v>44137</v>
      </c>
      <c r="B1518" s="63" t="s">
        <v>158</v>
      </c>
      <c r="C1518" s="56" t="s">
        <v>156</v>
      </c>
      <c r="D1518">
        <v>1179.56</v>
      </c>
      <c r="E1518">
        <v>1200.4100000000001</v>
      </c>
      <c r="F1518">
        <v>1202.9100000000001</v>
      </c>
      <c r="G1518">
        <v>1190.92</v>
      </c>
      <c r="H1518">
        <v>1147.42</v>
      </c>
      <c r="I1518">
        <v>1177.5899999999999</v>
      </c>
      <c r="J1518">
        <v>1206.02</v>
      </c>
      <c r="K1518">
        <v>1178.6099999999999</v>
      </c>
      <c r="L1518">
        <v>1128.98</v>
      </c>
      <c r="M1518" s="62"/>
      <c r="N1518" s="62"/>
      <c r="O1518" s="62"/>
      <c r="P1518" s="62"/>
      <c r="Q1518" s="57">
        <f>IF((L1519=""),"",MAX(D1520:L1520))</f>
        <v>3120.08</v>
      </c>
      <c r="R1518" s="57">
        <f>IF(L1519="","",MIN(D1520:L1520))</f>
        <v>2655.12</v>
      </c>
      <c r="S1518" s="58">
        <f>IF((L1520=""),"",AVERAGE(D1520:L1520))</f>
        <v>2834.0888888888894</v>
      </c>
      <c r="T1518" s="57">
        <f>IF((L1519=""),"",((Q1518-R1518)/(Q1518+R1518))*100)</f>
        <v>8.05097658955534</v>
      </c>
      <c r="U1518" s="56">
        <f>STDEV(D1518:L1518)</f>
        <v>25.989828672852468</v>
      </c>
      <c r="V1518" s="55" t="str">
        <f>IF(L1519="","",(IF(T1518&lt;12,IF(S1518&gt;2200,IF(S1518&lt;3280,"Pass","Fail"),"Fail"),"Fail")))</f>
        <v>Pass</v>
      </c>
      <c r="W1518" s="54">
        <v>1428</v>
      </c>
      <c r="X1518" s="26" t="s">
        <v>532</v>
      </c>
      <c r="Z1518" s="37">
        <v>2000</v>
      </c>
      <c r="AA1518" s="37">
        <v>3000</v>
      </c>
      <c r="AB1518" s="37">
        <v>2200</v>
      </c>
      <c r="AC1518" s="37">
        <v>3280</v>
      </c>
      <c r="AD1518" s="39">
        <v>12</v>
      </c>
      <c r="AE1518" s="39">
        <v>12</v>
      </c>
    </row>
    <row r="1519" spans="1:31" ht="15.75">
      <c r="A1519" s="199"/>
      <c r="B1519" s="48"/>
      <c r="C1519" s="51" t="s">
        <v>155</v>
      </c>
      <c r="D1519">
        <v>441.98</v>
      </c>
      <c r="E1519">
        <v>511.25</v>
      </c>
      <c r="F1519">
        <v>527.29999999999995</v>
      </c>
      <c r="G1519">
        <v>495.02</v>
      </c>
      <c r="H1519">
        <v>398.74</v>
      </c>
      <c r="I1519">
        <v>513.80999999999995</v>
      </c>
      <c r="J1519">
        <v>527.04999999999995</v>
      </c>
      <c r="K1519">
        <v>471.61</v>
      </c>
      <c r="L1519">
        <v>348.96</v>
      </c>
      <c r="M1519" s="50"/>
      <c r="N1519" s="50"/>
      <c r="O1519" s="50"/>
      <c r="P1519" s="50"/>
      <c r="Q1519" s="48"/>
      <c r="R1519" s="48"/>
      <c r="S1519" s="48"/>
      <c r="T1519" s="48"/>
      <c r="U1519" s="48"/>
      <c r="V1519" s="47"/>
      <c r="W1519" s="46"/>
    </row>
    <row r="1520" spans="1:31" ht="24.75" thickBot="1">
      <c r="A1520" s="199"/>
      <c r="B1520" s="61"/>
      <c r="C1520" s="51" t="s">
        <v>154</v>
      </c>
      <c r="D1520" s="24">
        <f t="shared" ref="D1520:L1520" si="501">IF(((D1518="")*AND(D1519="")),"",(D1518-D1519)*4)</f>
        <v>2950.3199999999997</v>
      </c>
      <c r="E1520" s="24">
        <f t="shared" si="501"/>
        <v>2756.6400000000003</v>
      </c>
      <c r="F1520" s="24">
        <f t="shared" si="501"/>
        <v>2702.4400000000005</v>
      </c>
      <c r="G1520" s="24">
        <f t="shared" si="501"/>
        <v>2783.6000000000004</v>
      </c>
      <c r="H1520" s="24">
        <f t="shared" si="501"/>
        <v>2994.7200000000003</v>
      </c>
      <c r="I1520" s="24">
        <f t="shared" si="501"/>
        <v>2655.12</v>
      </c>
      <c r="J1520" s="24">
        <f t="shared" si="501"/>
        <v>2715.88</v>
      </c>
      <c r="K1520" s="24">
        <f t="shared" si="501"/>
        <v>2827.9999999999995</v>
      </c>
      <c r="L1520" s="24">
        <f t="shared" si="501"/>
        <v>3120.08</v>
      </c>
      <c r="M1520" s="24"/>
      <c r="N1520" s="24"/>
      <c r="O1520" s="24"/>
      <c r="P1520" s="24" t="str">
        <f>IF(((P1518="")*AND(P1519="")),"",(P1518-P1519)*4)</f>
        <v/>
      </c>
      <c r="Q1520" s="61"/>
      <c r="R1520" s="61"/>
      <c r="S1520" s="61"/>
      <c r="T1520" s="61"/>
      <c r="U1520" s="61"/>
      <c r="V1520" s="60"/>
      <c r="W1520" s="59"/>
    </row>
    <row r="1521" spans="1:31" ht="15.75">
      <c r="A1521" s="195">
        <v>44137</v>
      </c>
      <c r="B1521" s="57" t="s">
        <v>157</v>
      </c>
      <c r="C1521" s="51" t="s">
        <v>156</v>
      </c>
      <c r="D1521">
        <v>5078.4799999999996</v>
      </c>
      <c r="E1521">
        <v>5318.04</v>
      </c>
      <c r="F1521">
        <v>5310.89</v>
      </c>
      <c r="G1521">
        <v>5408.93</v>
      </c>
      <c r="H1521">
        <v>5382.49</v>
      </c>
      <c r="I1521">
        <v>5328.06</v>
      </c>
      <c r="J1521">
        <v>5223.67</v>
      </c>
      <c r="K1521">
        <v>5109.3599999999997</v>
      </c>
      <c r="L1521">
        <v>5190.92</v>
      </c>
      <c r="M1521" s="50"/>
      <c r="N1521" s="50"/>
      <c r="O1521" s="50"/>
      <c r="P1521" s="50"/>
      <c r="Q1521" s="57">
        <f>IF((L1522=""),"",MAX(D1523:L1523))</f>
        <v>3652.4799999999996</v>
      </c>
      <c r="R1521" s="57">
        <f>IF(L1522="","",MIN(D1523:L1523))</f>
        <v>3219.1799999999994</v>
      </c>
      <c r="S1521" s="58">
        <f>IF((L1523=""),"",AVERAGE(D1523:L1523))</f>
        <v>3397.0933333333328</v>
      </c>
      <c r="T1521" s="57">
        <f>IF((L1522=""),"",((Q1521-R1521)/(Q1521+R1521))*100)</f>
        <v>6.3056088339644312</v>
      </c>
      <c r="U1521" s="56">
        <f>STDEV(D1521:L1521)</f>
        <v>116.99109016406938</v>
      </c>
      <c r="V1521" s="55" t="str">
        <f>IF(L1522="","",(IF(T1521&lt;7,IF(S1521&gt;2800,IF(S1521&lt;3800,"Pass","Fail"),"Fail"),"Fail")))</f>
        <v>Pass</v>
      </c>
      <c r="W1521" s="54">
        <v>1428</v>
      </c>
      <c r="X1521" s="26" t="s">
        <v>532</v>
      </c>
      <c r="Z1521" s="53">
        <v>2800</v>
      </c>
      <c r="AA1521" s="53">
        <v>3800</v>
      </c>
      <c r="AB1521" s="53">
        <v>3100</v>
      </c>
      <c r="AC1521" s="53">
        <v>3760</v>
      </c>
      <c r="AD1521" s="52">
        <v>6</v>
      </c>
      <c r="AE1521" s="52">
        <v>6</v>
      </c>
    </row>
    <row r="1522" spans="1:31" ht="15.75">
      <c r="A1522" s="199"/>
      <c r="B1522" s="48"/>
      <c r="C1522" s="51" t="s">
        <v>155</v>
      </c>
      <c r="D1522">
        <v>3383.9</v>
      </c>
      <c r="E1522">
        <v>3491.8</v>
      </c>
      <c r="F1522">
        <v>3630.11</v>
      </c>
      <c r="G1522">
        <v>3621.5</v>
      </c>
      <c r="H1522">
        <v>3772.9</v>
      </c>
      <c r="I1522">
        <v>3704.8</v>
      </c>
      <c r="J1522">
        <v>3597.8</v>
      </c>
      <c r="K1522">
        <v>3488.4</v>
      </c>
      <c r="L1522">
        <v>3372.71</v>
      </c>
      <c r="M1522" s="50"/>
      <c r="N1522" s="50"/>
      <c r="O1522" s="50"/>
      <c r="P1522" s="50"/>
      <c r="Q1522" s="48"/>
      <c r="R1522" s="48"/>
      <c r="S1522" s="49"/>
      <c r="T1522" s="48"/>
      <c r="U1522" s="48"/>
      <c r="V1522" s="47"/>
      <c r="W1522" s="46"/>
    </row>
    <row r="1523" spans="1:31" ht="24.75" thickBot="1">
      <c r="A1523" s="199"/>
      <c r="B1523" s="42"/>
      <c r="C1523" s="45" t="s">
        <v>154</v>
      </c>
      <c r="D1523" s="44">
        <f t="shared" ref="D1523:L1523" si="502">IF(((D1521="")*AND(D1522="")),"",(D1521-D1522)*2)</f>
        <v>3389.1599999999989</v>
      </c>
      <c r="E1523" s="44">
        <f t="shared" si="502"/>
        <v>3652.4799999999996</v>
      </c>
      <c r="F1523" s="44">
        <f t="shared" si="502"/>
        <v>3361.5600000000004</v>
      </c>
      <c r="G1523" s="44">
        <f t="shared" si="502"/>
        <v>3574.8600000000006</v>
      </c>
      <c r="H1523" s="44">
        <f t="shared" si="502"/>
        <v>3219.1799999999994</v>
      </c>
      <c r="I1523" s="44">
        <f t="shared" si="502"/>
        <v>3246.5200000000004</v>
      </c>
      <c r="J1523" s="44">
        <f t="shared" si="502"/>
        <v>3251.74</v>
      </c>
      <c r="K1523" s="44">
        <f t="shared" si="502"/>
        <v>3241.9199999999992</v>
      </c>
      <c r="L1523" s="44">
        <f t="shared" si="502"/>
        <v>3636.42</v>
      </c>
      <c r="M1523" s="44"/>
      <c r="N1523" s="44"/>
      <c r="O1523" s="44"/>
      <c r="P1523" s="44"/>
      <c r="Q1523" s="42"/>
      <c r="R1523" s="42"/>
      <c r="S1523" s="43"/>
      <c r="T1523" s="42"/>
      <c r="U1523" s="42"/>
      <c r="V1523" s="41"/>
      <c r="W1523" s="40"/>
    </row>
    <row r="1524" spans="1:31" ht="15.75">
      <c r="A1524" s="195">
        <v>44137</v>
      </c>
      <c r="B1524" s="63" t="s">
        <v>158</v>
      </c>
      <c r="C1524" s="56" t="s">
        <v>156</v>
      </c>
      <c r="D1524">
        <v>1903.02</v>
      </c>
      <c r="E1524">
        <v>1907.26</v>
      </c>
      <c r="F1524">
        <v>1900.56</v>
      </c>
      <c r="G1524">
        <v>1905.49</v>
      </c>
      <c r="H1524">
        <v>1912.16</v>
      </c>
      <c r="I1524">
        <v>1904.21</v>
      </c>
      <c r="J1524">
        <v>1907.13</v>
      </c>
      <c r="K1524">
        <v>1907.16</v>
      </c>
      <c r="L1524">
        <v>1912.07</v>
      </c>
      <c r="M1524" s="62"/>
      <c r="N1524" s="62"/>
      <c r="O1524" s="62"/>
      <c r="P1524" s="62"/>
      <c r="Q1524" s="57">
        <f>IF((L1525=""),"",MAX(D1526:L1526))</f>
        <v>3142.6799999999994</v>
      </c>
      <c r="R1524" s="57">
        <f>IF(L1525="","",MIN(D1526:L1526))</f>
        <v>2784.5999999999995</v>
      </c>
      <c r="S1524" s="58">
        <f>IF((L1526=""),"",AVERAGE(D1526:L1526))</f>
        <v>2917.5244444444447</v>
      </c>
      <c r="T1524" s="57">
        <f>IF((L1525=""),"",((Q1524-R1524)/(Q1524+R1524))*100)</f>
        <v>6.0412195813256675</v>
      </c>
      <c r="U1524" s="56">
        <f>STDEV(D1524:L1524)</f>
        <v>3.842101566103961</v>
      </c>
      <c r="V1524" s="55" t="str">
        <f>IF(L1525="","",(IF(T1524&lt;12,IF(S1524&gt;2200,IF(S1524&lt;3280,"Pass","Fail"),"Fail"),"Fail")))</f>
        <v>Pass</v>
      </c>
      <c r="W1524" s="54">
        <v>1428</v>
      </c>
      <c r="X1524" s="26" t="s">
        <v>534</v>
      </c>
      <c r="Z1524" s="37">
        <v>2000</v>
      </c>
      <c r="AA1524" s="37">
        <v>3000</v>
      </c>
      <c r="AB1524" s="37">
        <v>2200</v>
      </c>
      <c r="AC1524" s="37">
        <v>3280</v>
      </c>
      <c r="AD1524" s="39">
        <v>12</v>
      </c>
      <c r="AE1524" s="39">
        <v>12</v>
      </c>
    </row>
    <row r="1525" spans="1:31" ht="15.75">
      <c r="A1525" s="199"/>
      <c r="B1525" s="48"/>
      <c r="C1525" s="51" t="s">
        <v>155</v>
      </c>
      <c r="D1525">
        <v>1175.3</v>
      </c>
      <c r="E1525">
        <v>1194.53</v>
      </c>
      <c r="F1525">
        <v>1204.4100000000001</v>
      </c>
      <c r="G1525">
        <v>1182.82</v>
      </c>
      <c r="H1525">
        <v>1152.02</v>
      </c>
      <c r="I1525">
        <v>1181.24</v>
      </c>
      <c r="J1525">
        <v>1205.05</v>
      </c>
      <c r="K1525">
        <v>1172.8599999999999</v>
      </c>
      <c r="L1525">
        <v>1126.4000000000001</v>
      </c>
      <c r="M1525" s="50"/>
      <c r="N1525" s="50"/>
      <c r="O1525" s="50"/>
      <c r="P1525" s="50"/>
      <c r="Q1525" s="48"/>
      <c r="R1525" s="48"/>
      <c r="S1525" s="48"/>
      <c r="T1525" s="48"/>
      <c r="U1525" s="48"/>
      <c r="V1525" s="47"/>
      <c r="W1525" s="46"/>
    </row>
    <row r="1526" spans="1:31" ht="24.75" thickBot="1">
      <c r="A1526" s="199"/>
      <c r="B1526" s="61"/>
      <c r="C1526" s="51" t="s">
        <v>154</v>
      </c>
      <c r="D1526" s="24">
        <f t="shared" ref="D1526:L1526" si="503">IF(((D1524="")*AND(D1525="")),"",(D1524-D1525)*4)</f>
        <v>2910.88</v>
      </c>
      <c r="E1526" s="24">
        <f t="shared" si="503"/>
        <v>2850.92</v>
      </c>
      <c r="F1526" s="24">
        <f t="shared" si="503"/>
        <v>2784.5999999999995</v>
      </c>
      <c r="G1526" s="24">
        <f t="shared" si="503"/>
        <v>2890.6800000000003</v>
      </c>
      <c r="H1526" s="24">
        <f t="shared" si="503"/>
        <v>3040.5600000000004</v>
      </c>
      <c r="I1526" s="24">
        <f t="shared" si="503"/>
        <v>2891.88</v>
      </c>
      <c r="J1526" s="24">
        <f t="shared" si="503"/>
        <v>2808.3200000000006</v>
      </c>
      <c r="K1526" s="24">
        <f t="shared" si="503"/>
        <v>2937.2000000000007</v>
      </c>
      <c r="L1526" s="24">
        <f t="shared" si="503"/>
        <v>3142.6799999999994</v>
      </c>
      <c r="M1526" s="24"/>
      <c r="N1526" s="24"/>
      <c r="O1526" s="24"/>
      <c r="P1526" s="24" t="str">
        <f>IF(((P1524="")*AND(P1525="")),"",(P1524-P1525)*4)</f>
        <v/>
      </c>
      <c r="Q1526" s="61"/>
      <c r="R1526" s="61"/>
      <c r="S1526" s="61"/>
      <c r="T1526" s="61"/>
      <c r="U1526" s="61"/>
      <c r="V1526" s="60"/>
      <c r="W1526" s="59"/>
    </row>
    <row r="1527" spans="1:31" ht="15.75">
      <c r="A1527" s="195">
        <v>44137</v>
      </c>
      <c r="B1527" s="57" t="s">
        <v>157</v>
      </c>
      <c r="C1527" s="51" t="s">
        <v>156</v>
      </c>
      <c r="D1527">
        <v>3413.11</v>
      </c>
      <c r="E1527">
        <v>3638.89</v>
      </c>
      <c r="F1527">
        <v>3634.69</v>
      </c>
      <c r="G1527">
        <v>3766.97</v>
      </c>
      <c r="H1527">
        <v>3731.42</v>
      </c>
      <c r="I1527">
        <v>3650.39</v>
      </c>
      <c r="J1527">
        <v>3548.43</v>
      </c>
      <c r="K1527">
        <v>3444.49</v>
      </c>
      <c r="L1527">
        <v>3512.05</v>
      </c>
      <c r="M1527" s="50"/>
      <c r="N1527" s="50"/>
      <c r="O1527" s="50"/>
      <c r="P1527" s="50"/>
      <c r="Q1527" s="57">
        <f>IF((L1528=""),"",MAX(D1529:L1529))</f>
        <v>3417.34</v>
      </c>
      <c r="R1527" s="57">
        <f>IF(L1528="","",MIN(D1529:L1529))</f>
        <v>3299.5599999999995</v>
      </c>
      <c r="S1527" s="58">
        <f>IF((L1529=""),"",AVERAGE(D1529:L1529))</f>
        <v>3377.9333333333325</v>
      </c>
      <c r="T1527" s="57">
        <f>IF((L1528=""),"",((Q1527-R1527)/(Q1527+R1527))*100)</f>
        <v>1.753487471899249</v>
      </c>
      <c r="U1527" s="56">
        <f>STDEV(D1527:L1527)</f>
        <v>122.2277190102364</v>
      </c>
      <c r="V1527" s="55" t="str">
        <f>IF(L1528="","",(IF(T1527&lt;7,IF(S1527&gt;2800,IF(S1527&lt;3800,"Pass","Fail"),"Fail"),"Fail")))</f>
        <v>Pass</v>
      </c>
      <c r="W1527" s="54">
        <v>1428</v>
      </c>
      <c r="X1527" s="26" t="s">
        <v>534</v>
      </c>
      <c r="Z1527" s="53">
        <v>2800</v>
      </c>
      <c r="AA1527" s="53">
        <v>3800</v>
      </c>
      <c r="AB1527" s="53">
        <v>3100</v>
      </c>
      <c r="AC1527" s="53">
        <v>3760</v>
      </c>
      <c r="AD1527" s="52">
        <v>6</v>
      </c>
      <c r="AE1527" s="52">
        <v>6</v>
      </c>
    </row>
    <row r="1528" spans="1:31" ht="15.75">
      <c r="A1528" s="199"/>
      <c r="B1528" s="48"/>
      <c r="C1528" s="51" t="s">
        <v>155</v>
      </c>
      <c r="D1528">
        <v>1712.43</v>
      </c>
      <c r="E1528">
        <v>1940.45</v>
      </c>
      <c r="F1528">
        <v>1940.65</v>
      </c>
      <c r="G1528">
        <v>2117.19</v>
      </c>
      <c r="H1528">
        <v>2075.0100000000002</v>
      </c>
      <c r="I1528">
        <v>1955.84</v>
      </c>
      <c r="J1528">
        <v>1845.86</v>
      </c>
      <c r="K1528">
        <v>1748.93</v>
      </c>
      <c r="L1528">
        <v>1803.38</v>
      </c>
      <c r="M1528" s="50"/>
      <c r="N1528" s="50"/>
      <c r="O1528" s="50"/>
      <c r="P1528" s="50"/>
      <c r="Q1528" s="48"/>
      <c r="R1528" s="48"/>
      <c r="S1528" s="49"/>
      <c r="T1528" s="48"/>
      <c r="U1528" s="48"/>
      <c r="V1528" s="47"/>
      <c r="W1528" s="46"/>
    </row>
    <row r="1529" spans="1:31" ht="24.75" thickBot="1">
      <c r="A1529" s="199"/>
      <c r="B1529" s="42"/>
      <c r="C1529" s="45" t="s">
        <v>154</v>
      </c>
      <c r="D1529" s="44">
        <f t="shared" ref="D1529:L1529" si="504">IF(((D1527="")*AND(D1528="")),"",(D1527-D1528)*2)</f>
        <v>3401.36</v>
      </c>
      <c r="E1529" s="44">
        <f t="shared" si="504"/>
        <v>3396.8799999999997</v>
      </c>
      <c r="F1529" s="44">
        <f t="shared" si="504"/>
        <v>3388.08</v>
      </c>
      <c r="G1529" s="44">
        <f t="shared" si="504"/>
        <v>3299.5599999999995</v>
      </c>
      <c r="H1529" s="44">
        <f t="shared" si="504"/>
        <v>3312.8199999999997</v>
      </c>
      <c r="I1529" s="44">
        <f t="shared" si="504"/>
        <v>3389.1</v>
      </c>
      <c r="J1529" s="44">
        <f t="shared" si="504"/>
        <v>3405.14</v>
      </c>
      <c r="K1529" s="44">
        <f t="shared" si="504"/>
        <v>3391.1199999999994</v>
      </c>
      <c r="L1529" s="44">
        <f t="shared" si="504"/>
        <v>3417.34</v>
      </c>
      <c r="M1529" s="44"/>
      <c r="N1529" s="44"/>
      <c r="O1529" s="44"/>
      <c r="P1529" s="44"/>
      <c r="Q1529" s="42"/>
      <c r="R1529" s="42"/>
      <c r="S1529" s="43"/>
      <c r="T1529" s="42"/>
      <c r="U1529" s="42"/>
      <c r="V1529" s="41"/>
      <c r="W1529" s="40"/>
    </row>
    <row r="1530" spans="1:31" ht="15.75">
      <c r="A1530" s="195">
        <v>44151</v>
      </c>
      <c r="B1530" s="63" t="s">
        <v>158</v>
      </c>
      <c r="C1530" s="56" t="s">
        <v>156</v>
      </c>
      <c r="D1530">
        <v>1868.76</v>
      </c>
      <c r="E1530">
        <v>1878.95</v>
      </c>
      <c r="F1530">
        <v>1878.95</v>
      </c>
      <c r="G1530">
        <v>1917.74</v>
      </c>
      <c r="H1530">
        <v>1922.19</v>
      </c>
      <c r="I1530">
        <v>1826.53</v>
      </c>
      <c r="J1530">
        <v>1920.36</v>
      </c>
      <c r="K1530">
        <v>1882.72</v>
      </c>
      <c r="L1530">
        <v>1920.89</v>
      </c>
      <c r="M1530" s="62"/>
      <c r="N1530" s="62"/>
      <c r="O1530" s="62"/>
      <c r="P1530" s="62"/>
      <c r="Q1530" s="57">
        <f>IF((L1531=""),"",MAX(D1532:L1532))</f>
        <v>3169.76</v>
      </c>
      <c r="R1530" s="57">
        <f>IF(L1531="","",MIN(D1532:L1532))</f>
        <v>2594</v>
      </c>
      <c r="S1530" s="58">
        <f>IF((L1532=""),"",AVERAGE(D1532:L1532))</f>
        <v>2890.4844444444443</v>
      </c>
      <c r="T1530" s="57">
        <f>IF((L1531=""),"",((Q1530-R1530)/(Q1530+R1530))*100)</f>
        <v>9.9893125320971077</v>
      </c>
      <c r="U1530" s="56">
        <f>STDEV(D1530:L1530)</f>
        <v>32.505426384601371</v>
      </c>
      <c r="V1530" s="55" t="str">
        <f>IF(L1531="","",(IF(T1530&lt;12,IF(S1530&gt;2200,IF(S1530&lt;3280,"Pass","Fail"),"Fail"),"Fail")))</f>
        <v>Pass</v>
      </c>
      <c r="W1530" s="54">
        <v>1335</v>
      </c>
      <c r="X1530" s="26" t="s">
        <v>537</v>
      </c>
      <c r="Z1530" s="37">
        <v>2000</v>
      </c>
      <c r="AA1530" s="37">
        <v>3000</v>
      </c>
      <c r="AB1530" s="37">
        <v>2200</v>
      </c>
      <c r="AC1530" s="37">
        <v>3280</v>
      </c>
      <c r="AD1530" s="39">
        <v>12</v>
      </c>
      <c r="AE1530" s="39">
        <v>12</v>
      </c>
    </row>
    <row r="1531" spans="1:31" ht="15.75">
      <c r="A1531" s="199"/>
      <c r="B1531" s="48"/>
      <c r="C1531" s="51" t="s">
        <v>155</v>
      </c>
      <c r="D1531">
        <v>1170.21</v>
      </c>
      <c r="E1531">
        <v>1148.06</v>
      </c>
      <c r="F1531">
        <v>1193.6400000000001</v>
      </c>
      <c r="G1531">
        <v>1189.81</v>
      </c>
      <c r="H1531">
        <v>1148.06</v>
      </c>
      <c r="I1531">
        <v>1178.03</v>
      </c>
      <c r="J1531">
        <v>1208.1199999999999</v>
      </c>
      <c r="K1531">
        <v>1149.1199999999999</v>
      </c>
      <c r="L1531">
        <v>1128.45</v>
      </c>
      <c r="M1531" s="50"/>
      <c r="N1531" s="50"/>
      <c r="O1531" s="50"/>
      <c r="P1531" s="50"/>
      <c r="Q1531" s="48"/>
      <c r="R1531" s="48"/>
      <c r="S1531" s="48"/>
      <c r="T1531" s="48"/>
      <c r="U1531" s="48"/>
      <c r="V1531" s="47"/>
      <c r="W1531" s="46"/>
    </row>
    <row r="1532" spans="1:31" ht="24.75" thickBot="1">
      <c r="A1532" s="199"/>
      <c r="B1532" s="61"/>
      <c r="C1532" s="51" t="s">
        <v>154</v>
      </c>
      <c r="D1532" s="24">
        <f t="shared" ref="D1532:L1532" si="505">IF(((D1530="")*AND(D1531="")),"",(D1530-D1531)*4)</f>
        <v>2794.2</v>
      </c>
      <c r="E1532" s="24">
        <f t="shared" si="505"/>
        <v>2923.5600000000004</v>
      </c>
      <c r="F1532" s="24">
        <f t="shared" si="505"/>
        <v>2741.24</v>
      </c>
      <c r="G1532" s="24">
        <f t="shared" si="505"/>
        <v>2911.7200000000003</v>
      </c>
      <c r="H1532" s="24">
        <f t="shared" si="505"/>
        <v>3096.5200000000004</v>
      </c>
      <c r="I1532" s="24">
        <f t="shared" si="505"/>
        <v>2594</v>
      </c>
      <c r="J1532" s="24">
        <f t="shared" si="505"/>
        <v>2848.96</v>
      </c>
      <c r="K1532" s="24">
        <f t="shared" si="505"/>
        <v>2934.4000000000005</v>
      </c>
      <c r="L1532" s="24">
        <f t="shared" si="505"/>
        <v>3169.76</v>
      </c>
      <c r="M1532" s="24"/>
      <c r="N1532" s="24"/>
      <c r="O1532" s="24"/>
      <c r="P1532" s="24" t="str">
        <f>IF(((P1530="")*AND(P1531="")),"",(P1530-P1531)*4)</f>
        <v/>
      </c>
      <c r="Q1532" s="61"/>
      <c r="R1532" s="61"/>
      <c r="S1532" s="61"/>
      <c r="T1532" s="61"/>
      <c r="U1532" s="61"/>
      <c r="V1532" s="60"/>
      <c r="W1532" s="59"/>
    </row>
    <row r="1533" spans="1:31" ht="15.75">
      <c r="A1533" s="195">
        <v>44151</v>
      </c>
      <c r="B1533" s="57" t="s">
        <v>157</v>
      </c>
      <c r="C1533" s="51" t="s">
        <v>156</v>
      </c>
      <c r="D1533">
        <v>6848.29</v>
      </c>
      <c r="E1533">
        <v>7066.04</v>
      </c>
      <c r="F1533">
        <v>7055.47</v>
      </c>
      <c r="G1533">
        <v>7121.41</v>
      </c>
      <c r="H1533">
        <v>7114.63</v>
      </c>
      <c r="I1533">
        <v>7068.56</v>
      </c>
      <c r="J1533">
        <v>6991.02</v>
      </c>
      <c r="K1533">
        <v>6882.07</v>
      </c>
      <c r="L1533">
        <v>6952.07</v>
      </c>
      <c r="M1533" s="50"/>
      <c r="N1533" s="50"/>
      <c r="O1533" s="50"/>
      <c r="P1533" s="50"/>
      <c r="Q1533" s="57">
        <f>IF((L1534=""),"",MAX(D1535:L1535))</f>
        <v>3403.66</v>
      </c>
      <c r="R1533" s="57">
        <f>IF(L1534="","",MIN(D1535:L1535))</f>
        <v>3295.8799999999992</v>
      </c>
      <c r="S1533" s="58">
        <f>IF((L1535=""),"",AVERAGE(D1535:L1535))</f>
        <v>3370.893333333333</v>
      </c>
      <c r="T1533" s="57">
        <f>IF((L1534=""),"",((Q1533-R1533)/(Q1533+R1533))*100)</f>
        <v>1.6087671690892309</v>
      </c>
      <c r="U1533" s="56">
        <f>STDEV(D1533:L1533)</f>
        <v>98.880660745426994</v>
      </c>
      <c r="V1533" s="55" t="str">
        <f>IF(L1534="","",(IF(T1533&lt;7,IF(S1533&gt;2800,IF(S1533&lt;3800,"Pass","Fail"),"Fail"),"Fail")))</f>
        <v>Pass</v>
      </c>
      <c r="W1533" s="54">
        <v>1335</v>
      </c>
      <c r="X1533" s="26" t="s">
        <v>537</v>
      </c>
      <c r="Z1533" s="53">
        <v>2800</v>
      </c>
      <c r="AA1533" s="53">
        <v>3800</v>
      </c>
      <c r="AB1533" s="53">
        <v>3100</v>
      </c>
      <c r="AC1533" s="53">
        <v>3760</v>
      </c>
      <c r="AD1533" s="52">
        <v>6</v>
      </c>
      <c r="AE1533" s="52">
        <v>6</v>
      </c>
    </row>
    <row r="1534" spans="1:31" ht="15.75">
      <c r="A1534" s="199"/>
      <c r="B1534" s="48"/>
      <c r="C1534" s="51" t="s">
        <v>155</v>
      </c>
      <c r="D1534">
        <v>5157.6400000000003</v>
      </c>
      <c r="E1534">
        <v>5371.89</v>
      </c>
      <c r="F1534">
        <v>5363.63</v>
      </c>
      <c r="G1534">
        <v>5473.47</v>
      </c>
      <c r="H1534">
        <v>5451.18</v>
      </c>
      <c r="I1534">
        <v>5375.3</v>
      </c>
      <c r="J1534">
        <v>5294.03</v>
      </c>
      <c r="K1534">
        <v>5193.16</v>
      </c>
      <c r="L1534">
        <v>5250.24</v>
      </c>
      <c r="M1534" s="50"/>
      <c r="N1534" s="50"/>
      <c r="O1534" s="50"/>
      <c r="P1534" s="50"/>
      <c r="Q1534" s="48"/>
      <c r="R1534" s="48"/>
      <c r="S1534" s="49"/>
      <c r="T1534" s="48"/>
      <c r="U1534" s="48"/>
      <c r="V1534" s="47"/>
      <c r="W1534" s="46"/>
    </row>
    <row r="1535" spans="1:31" ht="24.75" thickBot="1">
      <c r="A1535" s="199"/>
      <c r="B1535" s="42"/>
      <c r="C1535" s="45" t="s">
        <v>154</v>
      </c>
      <c r="D1535" s="44">
        <f t="shared" ref="D1535:L1535" si="506">IF(((D1533="")*AND(D1534="")),"",(D1533-D1534)*2)</f>
        <v>3381.2999999999993</v>
      </c>
      <c r="E1535" s="44">
        <f t="shared" si="506"/>
        <v>3388.2999999999993</v>
      </c>
      <c r="F1535" s="44">
        <f t="shared" si="506"/>
        <v>3383.6800000000003</v>
      </c>
      <c r="G1535" s="44">
        <f t="shared" si="506"/>
        <v>3295.8799999999992</v>
      </c>
      <c r="H1535" s="44">
        <f t="shared" si="506"/>
        <v>3326.8999999999996</v>
      </c>
      <c r="I1535" s="44">
        <f t="shared" si="506"/>
        <v>3386.5200000000004</v>
      </c>
      <c r="J1535" s="44">
        <f t="shared" si="506"/>
        <v>3393.9800000000014</v>
      </c>
      <c r="K1535" s="44">
        <f t="shared" si="506"/>
        <v>3377.8199999999997</v>
      </c>
      <c r="L1535" s="44">
        <f t="shared" si="506"/>
        <v>3403.66</v>
      </c>
      <c r="M1535" s="44"/>
      <c r="N1535" s="44"/>
      <c r="O1535" s="44"/>
      <c r="P1535" s="44"/>
      <c r="Q1535" s="42"/>
      <c r="R1535" s="42"/>
      <c r="S1535" s="43"/>
      <c r="T1535" s="42"/>
      <c r="U1535" s="42"/>
      <c r="V1535" s="41"/>
      <c r="W1535" s="40"/>
    </row>
    <row r="1536" spans="1:31" ht="15.75">
      <c r="A1536" s="195">
        <v>44158</v>
      </c>
      <c r="B1536" s="63" t="s">
        <v>158</v>
      </c>
      <c r="C1536" s="56" t="s">
        <v>156</v>
      </c>
      <c r="D1536">
        <v>1175.0999999999999</v>
      </c>
      <c r="E1536">
        <v>1195.72</v>
      </c>
      <c r="F1536">
        <v>1201.1600000000001</v>
      </c>
      <c r="G1536">
        <v>1193.5</v>
      </c>
      <c r="H1536">
        <v>1153.08</v>
      </c>
      <c r="I1536">
        <v>1183.75</v>
      </c>
      <c r="J1536">
        <v>1211.6600000000001</v>
      </c>
      <c r="K1536">
        <v>1178.43</v>
      </c>
      <c r="L1536">
        <v>1132</v>
      </c>
      <c r="M1536" s="62"/>
      <c r="N1536" s="62"/>
      <c r="O1536" s="62"/>
      <c r="P1536" s="62"/>
      <c r="Q1536" s="57">
        <f>IF((L1537=""),"",MAX(D1538:L1538))</f>
        <v>3077.2</v>
      </c>
      <c r="R1536" s="57">
        <f>IF(L1537="","",MIN(D1538:L1538))</f>
        <v>2738.2000000000003</v>
      </c>
      <c r="S1536" s="58">
        <f>IF((L1538=""),"",AVERAGE(D1538:L1538))</f>
        <v>2856.4133333333334</v>
      </c>
      <c r="T1536" s="57">
        <f>IF((L1537=""),"",((Q1536-R1536)/(Q1536+R1536))*100)</f>
        <v>5.8293496578051309</v>
      </c>
      <c r="U1536" s="56">
        <f>STDEV(D1536:L1536)</f>
        <v>24.865996583914821</v>
      </c>
      <c r="V1536" s="55" t="str">
        <f>IF(L1537="","",(IF(T1536&lt;12,IF(S1536&gt;2200,IF(S1536&lt;3280,"Pass","Fail"),"Fail"),"Fail")))</f>
        <v>Pass</v>
      </c>
      <c r="W1536" s="54">
        <v>1428</v>
      </c>
      <c r="X1536" s="26" t="s">
        <v>538</v>
      </c>
      <c r="Z1536" s="37">
        <v>2000</v>
      </c>
      <c r="AA1536" s="37">
        <v>3000</v>
      </c>
      <c r="AB1536" s="37">
        <v>2200</v>
      </c>
      <c r="AC1536" s="37">
        <v>3280</v>
      </c>
      <c r="AD1536" s="39">
        <v>12</v>
      </c>
      <c r="AE1536" s="39">
        <v>12</v>
      </c>
    </row>
    <row r="1537" spans="1:31" ht="15.75">
      <c r="A1537" s="199"/>
      <c r="B1537" s="48"/>
      <c r="C1537" s="51" t="s">
        <v>155</v>
      </c>
      <c r="D1537">
        <v>445.81</v>
      </c>
      <c r="E1537">
        <v>500.76</v>
      </c>
      <c r="F1537">
        <v>516.36</v>
      </c>
      <c r="G1537">
        <v>499.19</v>
      </c>
      <c r="H1537">
        <v>408.82</v>
      </c>
      <c r="I1537">
        <v>466.96</v>
      </c>
      <c r="J1537">
        <v>527.11</v>
      </c>
      <c r="K1537">
        <v>469.76</v>
      </c>
      <c r="L1537">
        <v>362.7</v>
      </c>
      <c r="M1537" s="50"/>
      <c r="N1537" s="50"/>
      <c r="O1537" s="50"/>
      <c r="P1537" s="50"/>
      <c r="Q1537" s="48"/>
      <c r="R1537" s="48"/>
      <c r="S1537" s="48"/>
      <c r="T1537" s="48"/>
      <c r="U1537" s="48"/>
      <c r="V1537" s="47"/>
      <c r="W1537" s="46"/>
    </row>
    <row r="1538" spans="1:31" ht="24.75" thickBot="1">
      <c r="A1538" s="199"/>
      <c r="B1538" s="61"/>
      <c r="C1538" s="51" t="s">
        <v>154</v>
      </c>
      <c r="D1538" s="24">
        <f t="shared" ref="D1538:L1538" si="507">IF(((D1536="")*AND(D1537="")),"",(D1536-D1537)*4)</f>
        <v>2917.16</v>
      </c>
      <c r="E1538" s="24">
        <f t="shared" si="507"/>
        <v>2779.84</v>
      </c>
      <c r="F1538" s="24">
        <f t="shared" si="507"/>
        <v>2739.2000000000003</v>
      </c>
      <c r="G1538" s="24">
        <f t="shared" si="507"/>
        <v>2777.24</v>
      </c>
      <c r="H1538" s="24">
        <f t="shared" si="507"/>
        <v>2977.04</v>
      </c>
      <c r="I1538" s="24">
        <f t="shared" si="507"/>
        <v>2867.16</v>
      </c>
      <c r="J1538" s="24">
        <f t="shared" si="507"/>
        <v>2738.2000000000003</v>
      </c>
      <c r="K1538" s="24">
        <f t="shared" si="507"/>
        <v>2834.6800000000003</v>
      </c>
      <c r="L1538" s="24">
        <f t="shared" si="507"/>
        <v>3077.2</v>
      </c>
      <c r="M1538" s="24"/>
      <c r="N1538" s="24"/>
      <c r="O1538" s="24"/>
      <c r="P1538" s="24" t="str">
        <f>IF(((P1536="")*AND(P1537="")),"",(P1536-P1537)*4)</f>
        <v/>
      </c>
      <c r="Q1538" s="61"/>
      <c r="R1538" s="61"/>
      <c r="S1538" s="61"/>
      <c r="T1538" s="61"/>
      <c r="U1538" s="61"/>
      <c r="V1538" s="60"/>
      <c r="W1538" s="59"/>
    </row>
    <row r="1539" spans="1:31" ht="15.75">
      <c r="A1539" s="195">
        <v>44158</v>
      </c>
      <c r="B1539" s="57" t="s">
        <v>157</v>
      </c>
      <c r="C1539" s="51" t="s">
        <v>156</v>
      </c>
      <c r="D1539">
        <v>5382.37</v>
      </c>
      <c r="E1539">
        <v>5374.06</v>
      </c>
      <c r="F1539">
        <v>5485.66</v>
      </c>
      <c r="G1539">
        <v>5385.85</v>
      </c>
      <c r="H1539">
        <v>5304.45</v>
      </c>
      <c r="I1539">
        <v>5203.2</v>
      </c>
      <c r="J1539">
        <v>5168.3599999999997</v>
      </c>
      <c r="K1539">
        <v>5260.47</v>
      </c>
      <c r="L1539">
        <v>5468.11</v>
      </c>
      <c r="M1539" s="50"/>
      <c r="N1539" s="50"/>
      <c r="O1539" s="50"/>
      <c r="P1539" s="50"/>
      <c r="Q1539" s="57">
        <f>IF((L1540=""),"",MAX(D1541:L1541))</f>
        <v>3411</v>
      </c>
      <c r="R1539" s="57">
        <f>IF(L1540="","",MIN(D1541:L1541))</f>
        <v>3310</v>
      </c>
      <c r="S1539" s="58">
        <f>IF((L1541=""),"",AVERAGE(D1541:L1541))</f>
        <v>3380.6444444444442</v>
      </c>
      <c r="T1539" s="57">
        <f>IF((L1540=""),"",((Q1539-R1539)/(Q1539+R1539))*100)</f>
        <v>1.5027525665823538</v>
      </c>
      <c r="U1539" s="56">
        <f>STDEV(D1539:L1539)</f>
        <v>110.88622499859544</v>
      </c>
      <c r="V1539" s="55" t="str">
        <f>IF(L1540="","",(IF(T1539&lt;7,IF(S1539&gt;2800,IF(S1539&lt;3800,"Pass","Fail"),"Fail"),"Fail")))</f>
        <v>Pass</v>
      </c>
      <c r="W1539" s="54">
        <v>1428</v>
      </c>
      <c r="X1539" s="26" t="s">
        <v>538</v>
      </c>
      <c r="Z1539" s="53">
        <v>2800</v>
      </c>
      <c r="AA1539" s="53">
        <v>3800</v>
      </c>
      <c r="AB1539" s="53">
        <v>3100</v>
      </c>
      <c r="AC1539" s="53">
        <v>3760</v>
      </c>
      <c r="AD1539" s="52">
        <v>6</v>
      </c>
      <c r="AE1539" s="52">
        <v>6</v>
      </c>
    </row>
    <row r="1540" spans="1:31" ht="15.75">
      <c r="A1540" s="199"/>
      <c r="B1540" s="48"/>
      <c r="C1540" s="51" t="s">
        <v>155</v>
      </c>
      <c r="D1540">
        <v>3676.87</v>
      </c>
      <c r="E1540">
        <v>3673.26</v>
      </c>
      <c r="F1540">
        <v>3830.66</v>
      </c>
      <c r="G1540">
        <v>3683.41</v>
      </c>
      <c r="H1540">
        <v>3602.07</v>
      </c>
      <c r="I1540">
        <v>3522.09</v>
      </c>
      <c r="J1540">
        <v>3479.82</v>
      </c>
      <c r="K1540">
        <v>3554.99</v>
      </c>
      <c r="L1540">
        <v>3796.46</v>
      </c>
      <c r="M1540" s="50"/>
      <c r="N1540" s="50"/>
      <c r="O1540" s="50"/>
      <c r="P1540" s="50"/>
      <c r="Q1540" s="48"/>
      <c r="R1540" s="48"/>
      <c r="S1540" s="49"/>
      <c r="T1540" s="48"/>
      <c r="U1540" s="48"/>
      <c r="V1540" s="47"/>
      <c r="W1540" s="46"/>
    </row>
    <row r="1541" spans="1:31" ht="24.75" thickBot="1">
      <c r="A1541" s="199"/>
      <c r="B1541" s="42"/>
      <c r="C1541" s="45" t="s">
        <v>154</v>
      </c>
      <c r="D1541" s="44">
        <f t="shared" ref="D1541:L1541" si="508">IF(((D1539="")*AND(D1540="")),"",(D1539-D1540)*2)</f>
        <v>3411</v>
      </c>
      <c r="E1541" s="44">
        <f t="shared" si="508"/>
        <v>3401.6000000000004</v>
      </c>
      <c r="F1541" s="44">
        <f t="shared" si="508"/>
        <v>3310</v>
      </c>
      <c r="G1541" s="44">
        <f t="shared" si="508"/>
        <v>3404.880000000001</v>
      </c>
      <c r="H1541" s="44">
        <f t="shared" si="508"/>
        <v>3404.7599999999993</v>
      </c>
      <c r="I1541" s="44">
        <f t="shared" si="508"/>
        <v>3362.2199999999993</v>
      </c>
      <c r="J1541" s="44">
        <f t="shared" si="508"/>
        <v>3377.079999999999</v>
      </c>
      <c r="K1541" s="44">
        <f t="shared" si="508"/>
        <v>3410.9600000000009</v>
      </c>
      <c r="L1541" s="44">
        <f t="shared" si="508"/>
        <v>3343.2999999999993</v>
      </c>
      <c r="M1541" s="44"/>
      <c r="N1541" s="44"/>
      <c r="O1541" s="44"/>
      <c r="P1541" s="44"/>
      <c r="Q1541" s="42"/>
      <c r="R1541" s="42"/>
      <c r="S1541" s="43"/>
      <c r="T1541" s="42"/>
      <c r="U1541" s="42"/>
      <c r="V1541" s="41"/>
      <c r="W1541" s="40"/>
    </row>
    <row r="1542" spans="1:31" ht="15.75">
      <c r="A1542" s="195">
        <v>44161</v>
      </c>
      <c r="B1542" s="63" t="s">
        <v>158</v>
      </c>
      <c r="C1542" s="56" t="s">
        <v>156</v>
      </c>
      <c r="D1542">
        <v>1905.99</v>
      </c>
      <c r="E1542">
        <v>1899.41</v>
      </c>
      <c r="F1542">
        <v>1890.01</v>
      </c>
      <c r="G1542">
        <v>1904.47</v>
      </c>
      <c r="H1542">
        <v>1912.11</v>
      </c>
      <c r="I1542">
        <v>1907.71</v>
      </c>
      <c r="J1542">
        <v>1902.67</v>
      </c>
      <c r="K1542">
        <v>1901.53</v>
      </c>
      <c r="L1542">
        <v>1916.43</v>
      </c>
      <c r="M1542" s="62"/>
      <c r="N1542" s="62"/>
      <c r="O1542" s="62"/>
      <c r="P1542" s="62"/>
      <c r="Q1542" s="57">
        <f>IF((L1543=""),"",MAX(D1544:L1544))</f>
        <v>3168.6400000000003</v>
      </c>
      <c r="R1542" s="57">
        <f>IF(L1543="","",MIN(D1544:L1544))</f>
        <v>2790.4399999999996</v>
      </c>
      <c r="S1542" s="58">
        <f>IF((L1544=""),"",AVERAGE(D1544:L1544))</f>
        <v>2936.3422222222225</v>
      </c>
      <c r="T1542" s="57">
        <f>IF((L1543=""),"",((Q1542-R1542)/(Q1542+R1542))*100)</f>
        <v>6.3466172630674649</v>
      </c>
      <c r="U1542" s="56">
        <f>STDEV(D1542:L1542)</f>
        <v>7.5894407639861026</v>
      </c>
      <c r="V1542" s="55" t="str">
        <f>IF(L1543="","",(IF(T1542&lt;12,IF(S1542&gt;2200,IF(S1542&lt;3280,"Pass","Fail"),"Fail"),"Fail")))</f>
        <v>Pass</v>
      </c>
      <c r="W1542" s="54">
        <v>1159</v>
      </c>
      <c r="X1542" s="26" t="s">
        <v>541</v>
      </c>
      <c r="Z1542" s="37">
        <v>2000</v>
      </c>
      <c r="AA1542" s="37">
        <v>3000</v>
      </c>
      <c r="AB1542" s="37">
        <v>2200</v>
      </c>
      <c r="AC1542" s="37">
        <v>3280</v>
      </c>
      <c r="AD1542" s="39">
        <v>12</v>
      </c>
      <c r="AE1542" s="39">
        <v>12</v>
      </c>
    </row>
    <row r="1543" spans="1:31" ht="15.75">
      <c r="A1543" s="199"/>
      <c r="B1543" s="48"/>
      <c r="C1543" s="51" t="s">
        <v>155</v>
      </c>
      <c r="D1543">
        <v>1168.6400000000001</v>
      </c>
      <c r="E1543">
        <v>1186.02</v>
      </c>
      <c r="F1543">
        <v>1192.4000000000001</v>
      </c>
      <c r="G1543">
        <v>1178.1500000000001</v>
      </c>
      <c r="H1543">
        <v>1146.26</v>
      </c>
      <c r="I1543">
        <v>1176.8699999999999</v>
      </c>
      <c r="J1543">
        <v>1197.3</v>
      </c>
      <c r="K1543">
        <v>1163.6500000000001</v>
      </c>
      <c r="L1543">
        <v>1124.27</v>
      </c>
      <c r="M1543" s="50"/>
      <c r="N1543" s="50"/>
      <c r="O1543" s="50"/>
      <c r="P1543" s="50"/>
      <c r="Q1543" s="48"/>
      <c r="R1543" s="48"/>
      <c r="S1543" s="48"/>
      <c r="T1543" s="48"/>
      <c r="U1543" s="48"/>
      <c r="V1543" s="47"/>
      <c r="W1543" s="46"/>
    </row>
    <row r="1544" spans="1:31" ht="24.75" thickBot="1">
      <c r="A1544" s="199"/>
      <c r="B1544" s="61"/>
      <c r="C1544" s="51" t="s">
        <v>154</v>
      </c>
      <c r="D1544" s="24">
        <f t="shared" ref="D1544:L1544" si="509">IF(((D1542="")*AND(D1543="")),"",(D1542-D1543)*4)</f>
        <v>2949.3999999999996</v>
      </c>
      <c r="E1544" s="24">
        <f t="shared" si="509"/>
        <v>2853.5600000000004</v>
      </c>
      <c r="F1544" s="24">
        <f t="shared" si="509"/>
        <v>2790.4399999999996</v>
      </c>
      <c r="G1544" s="24">
        <f t="shared" si="509"/>
        <v>2905.2799999999997</v>
      </c>
      <c r="H1544" s="24">
        <f t="shared" si="509"/>
        <v>3063.3999999999996</v>
      </c>
      <c r="I1544" s="24">
        <f t="shared" si="509"/>
        <v>2923.3600000000006</v>
      </c>
      <c r="J1544" s="24">
        <f t="shared" si="509"/>
        <v>2821.4800000000005</v>
      </c>
      <c r="K1544" s="24">
        <f t="shared" si="509"/>
        <v>2951.5199999999995</v>
      </c>
      <c r="L1544" s="24">
        <f t="shared" si="509"/>
        <v>3168.6400000000003</v>
      </c>
      <c r="M1544" s="24"/>
      <c r="N1544" s="24"/>
      <c r="O1544" s="24"/>
      <c r="P1544" s="24" t="str">
        <f>IF(((P1542="")*AND(P1543="")),"",(P1542-P1543)*4)</f>
        <v/>
      </c>
      <c r="Q1544" s="61"/>
      <c r="R1544" s="61"/>
      <c r="S1544" s="61"/>
      <c r="T1544" s="61"/>
      <c r="U1544" s="61"/>
      <c r="V1544" s="60"/>
      <c r="W1544" s="59"/>
    </row>
    <row r="1545" spans="1:31" ht="15.75">
      <c r="A1545" s="195">
        <v>44161</v>
      </c>
      <c r="B1545" s="57" t="s">
        <v>157</v>
      </c>
      <c r="C1545" s="51" t="s">
        <v>156</v>
      </c>
      <c r="D1545">
        <v>3683.75</v>
      </c>
      <c r="E1545">
        <v>3680.13</v>
      </c>
      <c r="F1545">
        <v>3838.59</v>
      </c>
      <c r="G1545">
        <v>3690.34</v>
      </c>
      <c r="H1545">
        <v>3609.88</v>
      </c>
      <c r="I1545">
        <v>3530.79</v>
      </c>
      <c r="J1545">
        <v>3489.14</v>
      </c>
      <c r="K1545">
        <v>3563.37</v>
      </c>
      <c r="L1545">
        <v>3804.17</v>
      </c>
      <c r="M1545" s="50"/>
      <c r="N1545" s="50"/>
      <c r="O1545" s="50"/>
      <c r="P1545" s="50"/>
      <c r="Q1545" s="57">
        <f>IF((L1546=""),"",MAX(D1547:L1547))</f>
        <v>3407.4199999999996</v>
      </c>
      <c r="R1545" s="57">
        <f>IF(L1546="","",MIN(D1547:L1547))</f>
        <v>3277.76</v>
      </c>
      <c r="S1545" s="58">
        <f>IF((L1547=""),"",AVERAGE(D1547:L1547))</f>
        <v>3365.0111111111109</v>
      </c>
      <c r="T1545" s="57">
        <f>IF((L1546=""),"",((Q1545-R1545)/(Q1545+R1545))*100)</f>
        <v>1.9395139697061172</v>
      </c>
      <c r="U1545" s="56">
        <f>STDEV(D1545:L1545)</f>
        <v>118.33791877264947</v>
      </c>
      <c r="V1545" s="55" t="str">
        <f>IF(L1546="","",(IF(T1545&lt;7,IF(S1545&gt;2800,IF(S1545&lt;3800,"Pass","Fail"),"Fail"),"Fail")))</f>
        <v>Pass</v>
      </c>
      <c r="W1545" s="54">
        <v>1159</v>
      </c>
      <c r="X1545" s="26" t="s">
        <v>541</v>
      </c>
      <c r="Z1545" s="53">
        <v>2800</v>
      </c>
      <c r="AA1545" s="53">
        <v>3800</v>
      </c>
      <c r="AB1545" s="53">
        <v>3100</v>
      </c>
      <c r="AC1545" s="53">
        <v>3760</v>
      </c>
      <c r="AD1545" s="52">
        <v>6</v>
      </c>
      <c r="AE1545" s="52">
        <v>6</v>
      </c>
    </row>
    <row r="1546" spans="1:31" ht="15.75">
      <c r="A1546" s="199"/>
      <c r="B1546" s="48"/>
      <c r="C1546" s="51" t="s">
        <v>155</v>
      </c>
      <c r="D1546">
        <v>1988.13</v>
      </c>
      <c r="E1546">
        <v>1989.12</v>
      </c>
      <c r="F1546">
        <v>2199.71</v>
      </c>
      <c r="G1546">
        <v>2000.91</v>
      </c>
      <c r="H1546">
        <v>1910.17</v>
      </c>
      <c r="I1546">
        <v>1845.14</v>
      </c>
      <c r="J1546">
        <v>1801.15</v>
      </c>
      <c r="K1546">
        <v>1859.66</v>
      </c>
      <c r="L1546">
        <v>2153.62</v>
      </c>
      <c r="M1546" s="50"/>
      <c r="N1546" s="50"/>
      <c r="O1546" s="50"/>
      <c r="P1546" s="50"/>
      <c r="Q1546" s="48"/>
      <c r="R1546" s="48"/>
      <c r="S1546" s="49"/>
      <c r="T1546" s="48"/>
      <c r="U1546" s="48"/>
      <c r="V1546" s="47"/>
      <c r="W1546" s="46"/>
    </row>
    <row r="1547" spans="1:31" ht="24.75" thickBot="1">
      <c r="A1547" s="199"/>
      <c r="B1547" s="42"/>
      <c r="C1547" s="45" t="s">
        <v>154</v>
      </c>
      <c r="D1547" s="44">
        <f t="shared" ref="D1547:L1547" si="510">IF(((D1545="")*AND(D1546="")),"",(D1545-D1546)*2)</f>
        <v>3391.24</v>
      </c>
      <c r="E1547" s="44">
        <f t="shared" si="510"/>
        <v>3382.0200000000004</v>
      </c>
      <c r="F1547" s="44">
        <f t="shared" si="510"/>
        <v>3277.76</v>
      </c>
      <c r="G1547" s="44">
        <f t="shared" si="510"/>
        <v>3378.86</v>
      </c>
      <c r="H1547" s="44">
        <f t="shared" si="510"/>
        <v>3399.42</v>
      </c>
      <c r="I1547" s="44">
        <f t="shared" si="510"/>
        <v>3371.2999999999997</v>
      </c>
      <c r="J1547" s="44">
        <f t="shared" si="510"/>
        <v>3375.9799999999996</v>
      </c>
      <c r="K1547" s="44">
        <f t="shared" si="510"/>
        <v>3407.4199999999996</v>
      </c>
      <c r="L1547" s="44">
        <f t="shared" si="510"/>
        <v>3301.1000000000004</v>
      </c>
      <c r="M1547" s="44"/>
      <c r="N1547" s="44"/>
      <c r="O1547" s="44"/>
      <c r="P1547" s="44"/>
      <c r="Q1547" s="42"/>
      <c r="R1547" s="42"/>
      <c r="S1547" s="43"/>
      <c r="T1547" s="42"/>
      <c r="U1547" s="42"/>
      <c r="V1547" s="41"/>
      <c r="W1547" s="40"/>
    </row>
    <row r="1548" spans="1:31" ht="15.75">
      <c r="A1548" s="195">
        <v>44166</v>
      </c>
      <c r="B1548" s="63" t="s">
        <v>158</v>
      </c>
      <c r="C1548" s="56" t="s">
        <v>156</v>
      </c>
      <c r="D1548">
        <v>1888.27</v>
      </c>
      <c r="E1548">
        <v>1898.31</v>
      </c>
      <c r="F1548">
        <v>1899.36</v>
      </c>
      <c r="G1548">
        <v>1903.51</v>
      </c>
      <c r="H1548">
        <v>1908.54</v>
      </c>
      <c r="I1548">
        <v>1907.11</v>
      </c>
      <c r="J1548">
        <v>1903.3</v>
      </c>
      <c r="K1548">
        <v>1900.7</v>
      </c>
      <c r="L1548">
        <v>1908.57</v>
      </c>
      <c r="M1548" s="62"/>
      <c r="N1548" s="62"/>
      <c r="O1548" s="62"/>
      <c r="P1548" s="62"/>
      <c r="Q1548" s="57">
        <f>IF((L1549=""),"",MAX(D1550:L1550))</f>
        <v>3147.92</v>
      </c>
      <c r="R1548" s="57">
        <f>IF(L1549="","",MIN(D1550:L1550))</f>
        <v>2796.3599999999997</v>
      </c>
      <c r="S1548" s="58">
        <f>IF((L1550=""),"",AVERAGE(D1550:L1550))</f>
        <v>2924.4711111111119</v>
      </c>
      <c r="T1548" s="57">
        <f>IF((L1549=""),"",((Q1548-R1548)/(Q1548+R1548))*100)</f>
        <v>5.9142570672983172</v>
      </c>
      <c r="U1548" s="56">
        <f>STDEV(D1548:L1548)</f>
        <v>6.3913535342093013</v>
      </c>
      <c r="V1548" s="55" t="str">
        <f>IF(L1549="","",(IF(T1548&lt;12,IF(S1548&gt;2200,IF(S1548&lt;3280,"Pass","Fail"),"Fail"),"Fail")))</f>
        <v>Pass</v>
      </c>
      <c r="W1548" s="54">
        <v>1335</v>
      </c>
      <c r="X1548" s="26" t="s">
        <v>543</v>
      </c>
      <c r="Z1548" s="37">
        <v>2000</v>
      </c>
      <c r="AA1548" s="37">
        <v>3000</v>
      </c>
      <c r="AB1548" s="37">
        <v>2200</v>
      </c>
      <c r="AC1548" s="37">
        <v>3280</v>
      </c>
      <c r="AD1548" s="39">
        <v>12</v>
      </c>
      <c r="AE1548" s="39">
        <v>12</v>
      </c>
    </row>
    <row r="1549" spans="1:31" ht="15.75">
      <c r="A1549" s="199"/>
      <c r="B1549" s="48"/>
      <c r="C1549" s="51" t="s">
        <v>155</v>
      </c>
      <c r="D1549">
        <v>1166.94</v>
      </c>
      <c r="E1549">
        <v>1182.5999999999999</v>
      </c>
      <c r="F1549">
        <v>1200.27</v>
      </c>
      <c r="G1549">
        <v>1182.46</v>
      </c>
      <c r="H1549">
        <v>1144.44</v>
      </c>
      <c r="I1549">
        <v>1177.53</v>
      </c>
      <c r="J1549">
        <v>1196.5899999999999</v>
      </c>
      <c r="K1549">
        <v>1165.19</v>
      </c>
      <c r="L1549">
        <v>1121.5899999999999</v>
      </c>
      <c r="M1549" s="50"/>
      <c r="N1549" s="50"/>
      <c r="O1549" s="50"/>
      <c r="P1549" s="50"/>
      <c r="Q1549" s="48"/>
      <c r="R1549" s="48"/>
      <c r="S1549" s="48"/>
      <c r="T1549" s="48"/>
      <c r="U1549" s="48"/>
      <c r="V1549" s="47"/>
      <c r="W1549" s="46"/>
    </row>
    <row r="1550" spans="1:31" ht="24.75" thickBot="1">
      <c r="A1550" s="199"/>
      <c r="B1550" s="61"/>
      <c r="C1550" s="51" t="s">
        <v>154</v>
      </c>
      <c r="D1550" s="24">
        <f t="shared" ref="D1550:L1550" si="511">IF(((D1548="")*AND(D1549="")),"",(D1548-D1549)*4)</f>
        <v>2885.3199999999997</v>
      </c>
      <c r="E1550" s="24">
        <f t="shared" si="511"/>
        <v>2862.84</v>
      </c>
      <c r="F1550" s="24">
        <f t="shared" si="511"/>
        <v>2796.3599999999997</v>
      </c>
      <c r="G1550" s="24">
        <f t="shared" si="511"/>
        <v>2884.2</v>
      </c>
      <c r="H1550" s="24">
        <f t="shared" si="511"/>
        <v>3056.3999999999996</v>
      </c>
      <c r="I1550" s="24">
        <f t="shared" si="511"/>
        <v>2918.3199999999997</v>
      </c>
      <c r="J1550" s="24">
        <f t="shared" si="511"/>
        <v>2826.84</v>
      </c>
      <c r="K1550" s="24">
        <f t="shared" si="511"/>
        <v>2942.04</v>
      </c>
      <c r="L1550" s="24">
        <f t="shared" si="511"/>
        <v>3147.92</v>
      </c>
      <c r="M1550" s="24"/>
      <c r="N1550" s="24"/>
      <c r="O1550" s="24"/>
      <c r="P1550" s="24" t="str">
        <f>IF(((P1548="")*AND(P1549="")),"",(P1548-P1549)*4)</f>
        <v/>
      </c>
      <c r="Q1550" s="61"/>
      <c r="R1550" s="61"/>
      <c r="S1550" s="61"/>
      <c r="T1550" s="61"/>
      <c r="U1550" s="61"/>
      <c r="V1550" s="60"/>
      <c r="W1550" s="59"/>
    </row>
    <row r="1551" spans="1:31" ht="15.75">
      <c r="A1551" s="195">
        <v>44166</v>
      </c>
      <c r="B1551" s="57" t="s">
        <v>157</v>
      </c>
      <c r="C1551" s="51" t="s">
        <v>156</v>
      </c>
      <c r="D1551">
        <v>7077.34</v>
      </c>
      <c r="E1551">
        <v>7066.64</v>
      </c>
      <c r="F1551">
        <v>7140.55</v>
      </c>
      <c r="G1551">
        <v>7083.33</v>
      </c>
      <c r="H1551">
        <v>7009.07</v>
      </c>
      <c r="I1551">
        <v>6925.59</v>
      </c>
      <c r="J1551">
        <v>6894.3</v>
      </c>
      <c r="K1551">
        <v>6976.13</v>
      </c>
      <c r="L1551">
        <v>7149.65</v>
      </c>
      <c r="M1551" s="50"/>
      <c r="N1551" s="50"/>
      <c r="O1551" s="50"/>
      <c r="P1551" s="50"/>
      <c r="Q1551" s="57">
        <f>IF((L1552=""),"",MAX(D1553:L1553))</f>
        <v>3394.0599999999995</v>
      </c>
      <c r="R1551" s="57">
        <f>IF(L1552="","",MIN(D1553:L1553))</f>
        <v>3282.3199999999997</v>
      </c>
      <c r="S1551" s="58">
        <f>IF((L1553=""),"",AVERAGE(D1553:L1553))</f>
        <v>3356.7266666666669</v>
      </c>
      <c r="T1551" s="57">
        <f>IF((L1552=""),"",((Q1551-R1551)/(Q1551+R1551))*100)</f>
        <v>1.6736614752305861</v>
      </c>
      <c r="U1551" s="56">
        <f>STDEV(D1551:L1551)</f>
        <v>90.355991238945336</v>
      </c>
      <c r="V1551" s="55" t="str">
        <f>IF(L1552="","",(IF(T1551&lt;7,IF(S1551&gt;2800,IF(S1551&lt;3800,"Pass","Fail"),"Fail"),"Fail")))</f>
        <v>Pass</v>
      </c>
      <c r="W1551" s="54">
        <v>1335</v>
      </c>
      <c r="X1551" s="26" t="s">
        <v>543</v>
      </c>
      <c r="Z1551" s="53">
        <v>2800</v>
      </c>
      <c r="AA1551" s="53">
        <v>3800</v>
      </c>
      <c r="AB1551" s="53">
        <v>3100</v>
      </c>
      <c r="AC1551" s="53">
        <v>3760</v>
      </c>
      <c r="AD1551" s="52">
        <v>6</v>
      </c>
      <c r="AE1551" s="52">
        <v>6</v>
      </c>
    </row>
    <row r="1552" spans="1:31" ht="15.75">
      <c r="A1552" s="199"/>
      <c r="B1552" s="48"/>
      <c r="C1552" s="51" t="s">
        <v>155</v>
      </c>
      <c r="D1552">
        <v>5389.54</v>
      </c>
      <c r="E1552">
        <v>5380.97</v>
      </c>
      <c r="F1552">
        <v>5499.39</v>
      </c>
      <c r="G1552">
        <v>5396.73</v>
      </c>
      <c r="H1552">
        <v>5319.78</v>
      </c>
      <c r="I1552">
        <v>5246.19</v>
      </c>
      <c r="J1552">
        <v>5212.96</v>
      </c>
      <c r="K1552">
        <v>5279.1</v>
      </c>
      <c r="L1552">
        <v>5492.67</v>
      </c>
      <c r="M1552" s="50"/>
      <c r="N1552" s="50"/>
      <c r="O1552" s="50"/>
      <c r="P1552" s="50"/>
      <c r="Q1552" s="48"/>
      <c r="R1552" s="48"/>
      <c r="S1552" s="49"/>
      <c r="T1552" s="48"/>
      <c r="U1552" s="48"/>
      <c r="V1552" s="47"/>
      <c r="W1552" s="46"/>
    </row>
    <row r="1553" spans="1:31" ht="24.75" thickBot="1">
      <c r="A1553" s="199"/>
      <c r="B1553" s="42"/>
      <c r="C1553" s="45" t="s">
        <v>154</v>
      </c>
      <c r="D1553" s="44">
        <f t="shared" ref="D1553:L1553" si="512">IF(((D1551="")*AND(D1552="")),"",(D1551-D1552)*2)</f>
        <v>3375.6000000000004</v>
      </c>
      <c r="E1553" s="44">
        <f t="shared" si="512"/>
        <v>3371.34</v>
      </c>
      <c r="F1553" s="44">
        <f t="shared" si="512"/>
        <v>3282.3199999999997</v>
      </c>
      <c r="G1553" s="44">
        <f t="shared" si="512"/>
        <v>3373.2000000000007</v>
      </c>
      <c r="H1553" s="44">
        <f t="shared" si="512"/>
        <v>3378.58</v>
      </c>
      <c r="I1553" s="44">
        <f t="shared" si="512"/>
        <v>3358.8000000000011</v>
      </c>
      <c r="J1553" s="44">
        <f t="shared" si="512"/>
        <v>3362.6800000000003</v>
      </c>
      <c r="K1553" s="44">
        <f t="shared" si="512"/>
        <v>3394.0599999999995</v>
      </c>
      <c r="L1553" s="44">
        <f t="shared" si="512"/>
        <v>3313.9599999999991</v>
      </c>
      <c r="M1553" s="44"/>
      <c r="N1553" s="44"/>
      <c r="O1553" s="44"/>
      <c r="P1553" s="44"/>
      <c r="Q1553" s="42"/>
      <c r="R1553" s="42"/>
      <c r="S1553" s="43"/>
      <c r="T1553" s="42"/>
      <c r="U1553" s="42"/>
      <c r="V1553" s="41"/>
      <c r="W1553" s="40"/>
    </row>
    <row r="1554" spans="1:31" ht="15.75">
      <c r="A1554" s="195">
        <v>44172</v>
      </c>
      <c r="B1554" s="63" t="s">
        <v>158</v>
      </c>
      <c r="C1554" s="56" t="s">
        <v>156</v>
      </c>
      <c r="D1554">
        <v>1163.95</v>
      </c>
      <c r="E1554">
        <v>1186.97</v>
      </c>
      <c r="F1554">
        <v>1202.52</v>
      </c>
      <c r="G1554">
        <v>1183.05</v>
      </c>
      <c r="H1554">
        <v>1148.3800000000001</v>
      </c>
      <c r="I1554">
        <v>1178.8399999999999</v>
      </c>
      <c r="J1554">
        <v>1199.93</v>
      </c>
      <c r="K1554">
        <v>1166.03</v>
      </c>
      <c r="L1554">
        <v>1125.99</v>
      </c>
      <c r="M1554" s="62"/>
      <c r="N1554" s="62"/>
      <c r="O1554" s="62"/>
      <c r="P1554" s="62"/>
      <c r="Q1554" s="57">
        <f>IF((L1555=""),"",MAX(D1556:L1556))</f>
        <v>3092.24</v>
      </c>
      <c r="R1554" s="57">
        <f>IF(L1555="","",MIN(D1556:L1556))</f>
        <v>2719.2799999999997</v>
      </c>
      <c r="S1554" s="58">
        <f>IF((L1556=""),"",AVERAGE(D1556:L1556))</f>
        <v>2850.4444444444443</v>
      </c>
      <c r="T1554" s="57">
        <f>IF((L1555=""),"",((Q1554-R1554)/(Q1554+R1554))*100)</f>
        <v>6.4175981498816164</v>
      </c>
      <c r="U1554" s="56">
        <f>STDEV(D1554:L1554)</f>
        <v>24.681199041196898</v>
      </c>
      <c r="V1554" s="55" t="str">
        <f>IF(L1555="","",(IF(T1554&lt;12,IF(S1554&gt;2200,IF(S1554&lt;3280,"Pass","Fail"),"Fail"),"Fail")))</f>
        <v>Pass</v>
      </c>
      <c r="W1554" s="54">
        <v>1335</v>
      </c>
      <c r="X1554" s="26" t="s">
        <v>543</v>
      </c>
      <c r="Z1554" s="37">
        <v>2000</v>
      </c>
      <c r="AA1554" s="37">
        <v>3000</v>
      </c>
      <c r="AB1554" s="37">
        <v>2200</v>
      </c>
      <c r="AC1554" s="37">
        <v>3280</v>
      </c>
      <c r="AD1554" s="39">
        <v>12</v>
      </c>
      <c r="AE1554" s="39">
        <v>12</v>
      </c>
    </row>
    <row r="1555" spans="1:31" ht="15.75">
      <c r="A1555" s="199"/>
      <c r="B1555" s="48"/>
      <c r="C1555" s="51" t="s">
        <v>155</v>
      </c>
      <c r="D1555">
        <v>439.09</v>
      </c>
      <c r="E1555">
        <v>492.01</v>
      </c>
      <c r="F1555">
        <v>522.70000000000005</v>
      </c>
      <c r="G1555">
        <v>487.93</v>
      </c>
      <c r="H1555">
        <v>404.74</v>
      </c>
      <c r="I1555">
        <v>467.58</v>
      </c>
      <c r="J1555">
        <v>516.67999999999995</v>
      </c>
      <c r="K1555">
        <v>458.5</v>
      </c>
      <c r="L1555">
        <v>352.93</v>
      </c>
      <c r="M1555" s="50"/>
      <c r="N1555" s="50"/>
      <c r="O1555" s="50"/>
      <c r="P1555" s="50"/>
      <c r="Q1555" s="48"/>
      <c r="R1555" s="48"/>
      <c r="S1555" s="48"/>
      <c r="T1555" s="48"/>
      <c r="U1555" s="48"/>
      <c r="V1555" s="47"/>
      <c r="W1555" s="46"/>
    </row>
    <row r="1556" spans="1:31" ht="24.75" thickBot="1">
      <c r="A1556" s="199"/>
      <c r="B1556" s="61"/>
      <c r="C1556" s="51" t="s">
        <v>154</v>
      </c>
      <c r="D1556" s="24">
        <f t="shared" ref="D1556:L1556" si="513">IF(((D1554="")*AND(D1555="")),"",(D1554-D1555)*4)</f>
        <v>2899.4400000000005</v>
      </c>
      <c r="E1556" s="24">
        <f t="shared" si="513"/>
        <v>2779.84</v>
      </c>
      <c r="F1556" s="24">
        <f t="shared" si="513"/>
        <v>2719.2799999999997</v>
      </c>
      <c r="G1556" s="24">
        <f t="shared" si="513"/>
        <v>2780.4799999999996</v>
      </c>
      <c r="H1556" s="24">
        <f t="shared" si="513"/>
        <v>2974.5600000000004</v>
      </c>
      <c r="I1556" s="24">
        <f t="shared" si="513"/>
        <v>2845.04</v>
      </c>
      <c r="J1556" s="24">
        <f t="shared" si="513"/>
        <v>2733.0000000000005</v>
      </c>
      <c r="K1556" s="24">
        <f t="shared" si="513"/>
        <v>2830.12</v>
      </c>
      <c r="L1556" s="24">
        <f t="shared" si="513"/>
        <v>3092.24</v>
      </c>
      <c r="M1556" s="24"/>
      <c r="N1556" s="24"/>
      <c r="O1556" s="24"/>
      <c r="P1556" s="24" t="str">
        <f>IF(((P1554="")*AND(P1555="")),"",(P1554-P1555)*4)</f>
        <v/>
      </c>
      <c r="Q1556" s="61"/>
      <c r="R1556" s="61"/>
      <c r="S1556" s="61"/>
      <c r="T1556" s="61"/>
      <c r="U1556" s="61"/>
      <c r="V1556" s="60"/>
      <c r="W1556" s="59"/>
    </row>
    <row r="1557" spans="1:31" ht="15.75">
      <c r="A1557" s="195">
        <v>44172</v>
      </c>
      <c r="B1557" s="57" t="s">
        <v>157</v>
      </c>
      <c r="C1557" s="51" t="s">
        <v>156</v>
      </c>
      <c r="D1557">
        <v>5396.03</v>
      </c>
      <c r="E1557">
        <v>5387.71</v>
      </c>
      <c r="F1557">
        <v>5506.36</v>
      </c>
      <c r="G1557">
        <v>5403.28</v>
      </c>
      <c r="H1557">
        <v>5326.13</v>
      </c>
      <c r="I1557">
        <v>5252.44</v>
      </c>
      <c r="J1557">
        <v>5225.8100000000004</v>
      </c>
      <c r="K1557">
        <v>5285.95</v>
      </c>
      <c r="L1557">
        <v>5499.11</v>
      </c>
      <c r="M1557" s="50"/>
      <c r="N1557" s="50"/>
      <c r="O1557" s="50"/>
      <c r="P1557" s="50"/>
      <c r="Q1557" s="57">
        <f>IF((L1558=""),"",MAX(D1559:L1559))</f>
        <v>3412.74</v>
      </c>
      <c r="R1557" s="57">
        <f>IF(L1558="","",MIN(D1559:L1559))</f>
        <v>3307.0399999999991</v>
      </c>
      <c r="S1557" s="58">
        <f>IF((L1559=""),"",AVERAGE(D1559:L1559))</f>
        <v>3380.0422222222219</v>
      </c>
      <c r="T1557" s="57">
        <f>IF((L1558=""),"",((Q1557-R1557)/(Q1557+R1557))*100)</f>
        <v>1.5729681626481931</v>
      </c>
      <c r="U1557" s="56">
        <f>STDEV(D1557:L1557)</f>
        <v>100.44585989204485</v>
      </c>
      <c r="V1557" s="55" t="str">
        <f>IF(L1558="","",(IF(T1557&lt;7,IF(S1557&gt;2800,IF(S1557&lt;3800,"Pass","Fail"),"Fail"),"Fail")))</f>
        <v>Pass</v>
      </c>
      <c r="W1557" s="54"/>
      <c r="Z1557" s="53">
        <v>2800</v>
      </c>
      <c r="AA1557" s="53">
        <v>3800</v>
      </c>
      <c r="AB1557" s="53">
        <v>3100</v>
      </c>
      <c r="AC1557" s="53">
        <v>3760</v>
      </c>
      <c r="AD1557" s="52">
        <v>6</v>
      </c>
      <c r="AE1557" s="52">
        <v>6</v>
      </c>
    </row>
    <row r="1558" spans="1:31" ht="15.75">
      <c r="A1558" s="199"/>
      <c r="B1558" s="48"/>
      <c r="C1558" s="51" t="s">
        <v>155</v>
      </c>
      <c r="D1558">
        <v>3692.79</v>
      </c>
      <c r="E1558">
        <v>3688.48</v>
      </c>
      <c r="F1558">
        <v>3852.84</v>
      </c>
      <c r="G1558">
        <v>3702.76</v>
      </c>
      <c r="H1558">
        <v>3626.6</v>
      </c>
      <c r="I1558">
        <v>3575.14</v>
      </c>
      <c r="J1558">
        <v>3524.61</v>
      </c>
      <c r="K1558">
        <v>3579.58</v>
      </c>
      <c r="L1558">
        <v>3829.83</v>
      </c>
      <c r="M1558" s="50"/>
      <c r="N1558" s="50"/>
      <c r="O1558" s="50"/>
      <c r="P1558" s="50"/>
      <c r="Q1558" s="48"/>
      <c r="R1558" s="48"/>
      <c r="S1558" s="49"/>
      <c r="T1558" s="48"/>
      <c r="U1558" s="48"/>
      <c r="V1558" s="47"/>
      <c r="W1558" s="46"/>
    </row>
    <row r="1559" spans="1:31" ht="24.75" thickBot="1">
      <c r="A1559" s="199"/>
      <c r="B1559" s="42"/>
      <c r="C1559" s="45" t="s">
        <v>154</v>
      </c>
      <c r="D1559" s="44">
        <f t="shared" ref="D1559:L1559" si="514">IF(((D1557="")*AND(D1558="")),"",(D1557-D1558)*2)</f>
        <v>3406.4799999999996</v>
      </c>
      <c r="E1559" s="44">
        <f t="shared" si="514"/>
        <v>3398.46</v>
      </c>
      <c r="F1559" s="44">
        <f t="shared" si="514"/>
        <v>3307.0399999999991</v>
      </c>
      <c r="G1559" s="44">
        <f t="shared" si="514"/>
        <v>3401.0399999999991</v>
      </c>
      <c r="H1559" s="44">
        <f t="shared" si="514"/>
        <v>3399.0600000000004</v>
      </c>
      <c r="I1559" s="44">
        <f t="shared" si="514"/>
        <v>3354.5999999999995</v>
      </c>
      <c r="J1559" s="44">
        <f t="shared" si="514"/>
        <v>3402.4000000000005</v>
      </c>
      <c r="K1559" s="44">
        <f t="shared" si="514"/>
        <v>3412.74</v>
      </c>
      <c r="L1559" s="44">
        <f t="shared" si="514"/>
        <v>3338.5599999999995</v>
      </c>
      <c r="M1559" s="44"/>
      <c r="N1559" s="44"/>
      <c r="O1559" s="44"/>
      <c r="P1559" s="44"/>
      <c r="Q1559" s="42"/>
      <c r="R1559" s="42"/>
      <c r="S1559" s="43"/>
      <c r="T1559" s="42"/>
      <c r="U1559" s="42"/>
      <c r="V1559" s="41"/>
      <c r="W1559" s="40"/>
    </row>
    <row r="1560" spans="1:31" ht="15.75">
      <c r="A1560" s="195">
        <v>44186</v>
      </c>
      <c r="B1560" s="63" t="s">
        <v>158</v>
      </c>
      <c r="C1560" s="56" t="s">
        <v>156</v>
      </c>
      <c r="D1560">
        <v>1964.86</v>
      </c>
      <c r="E1560">
        <v>1960.43</v>
      </c>
      <c r="F1560">
        <v>1959.58</v>
      </c>
      <c r="G1560">
        <v>1963.92</v>
      </c>
      <c r="H1560">
        <v>1972.54</v>
      </c>
      <c r="I1560">
        <v>1970.54</v>
      </c>
      <c r="J1560">
        <v>1962.37</v>
      </c>
      <c r="K1560">
        <v>2000.46</v>
      </c>
      <c r="L1560">
        <v>1973.76</v>
      </c>
      <c r="M1560" s="62"/>
      <c r="N1560" s="62"/>
      <c r="O1560" s="62"/>
      <c r="P1560" s="62"/>
      <c r="Q1560" s="57">
        <f>IF((L1561=""),"",MAX(D1562:L1562))</f>
        <v>3353.2</v>
      </c>
      <c r="R1560" s="57">
        <f>IF(L1561="","",MIN(D1562:L1562))</f>
        <v>3013.5999999999995</v>
      </c>
      <c r="S1560" s="58">
        <f>IF((L1562=""),"",AVERAGE(D1562:L1562))</f>
        <v>3163.9911111111114</v>
      </c>
      <c r="T1560" s="57">
        <f>IF((L1561=""),"",((Q1560-R1560)/(Q1560+R1560))*100)</f>
        <v>5.3339197084877865</v>
      </c>
      <c r="U1560" s="56">
        <f>STDEV(D1560:L1560)</f>
        <v>12.600560944415697</v>
      </c>
      <c r="V1560" s="55" t="str">
        <f>IF(L1561="","",(IF(T1560&lt;12,IF(S1560&gt;2200,IF(S1560&lt;3280,"Pass","Fail"),"Fail"),"Fail")))</f>
        <v>Pass</v>
      </c>
      <c r="W1560" s="54">
        <v>1159</v>
      </c>
      <c r="X1560" s="26" t="s">
        <v>546</v>
      </c>
      <c r="Z1560" s="37">
        <v>2000</v>
      </c>
      <c r="AA1560" s="37">
        <v>3000</v>
      </c>
      <c r="AB1560" s="37">
        <v>2200</v>
      </c>
      <c r="AC1560" s="37">
        <v>3280</v>
      </c>
      <c r="AD1560" s="39">
        <v>12</v>
      </c>
      <c r="AE1560" s="39">
        <v>12</v>
      </c>
    </row>
    <row r="1561" spans="1:31" ht="15.75">
      <c r="A1561" s="199"/>
      <c r="B1561" s="48"/>
      <c r="C1561" s="51" t="s">
        <v>155</v>
      </c>
      <c r="D1561">
        <v>1179.51</v>
      </c>
      <c r="E1561">
        <v>1189.8900000000001</v>
      </c>
      <c r="F1561">
        <v>1206.18</v>
      </c>
      <c r="G1561">
        <v>1183.56</v>
      </c>
      <c r="H1561">
        <v>1159.58</v>
      </c>
      <c r="I1561">
        <v>1184.79</v>
      </c>
      <c r="J1561">
        <v>1202.48</v>
      </c>
      <c r="K1561">
        <v>1168.03</v>
      </c>
      <c r="L1561">
        <v>1135.46</v>
      </c>
      <c r="M1561" s="50"/>
      <c r="N1561" s="50"/>
      <c r="O1561" s="50"/>
      <c r="P1561" s="50"/>
      <c r="Q1561" s="48"/>
      <c r="R1561" s="48"/>
      <c r="S1561" s="48"/>
      <c r="T1561" s="48"/>
      <c r="U1561" s="48"/>
      <c r="V1561" s="47"/>
      <c r="W1561" s="46"/>
    </row>
    <row r="1562" spans="1:31" ht="24.75" thickBot="1">
      <c r="A1562" s="199"/>
      <c r="B1562" s="61"/>
      <c r="C1562" s="51" t="s">
        <v>154</v>
      </c>
      <c r="D1562" s="24">
        <f t="shared" ref="D1562:L1562" si="515">IF(((D1560="")*AND(D1561="")),"",(D1560-D1561)*4)</f>
        <v>3141.3999999999996</v>
      </c>
      <c r="E1562" s="24">
        <f t="shared" si="515"/>
        <v>3082.16</v>
      </c>
      <c r="F1562" s="24">
        <f t="shared" si="515"/>
        <v>3013.5999999999995</v>
      </c>
      <c r="G1562" s="24">
        <f t="shared" si="515"/>
        <v>3121.4400000000005</v>
      </c>
      <c r="H1562" s="24">
        <f t="shared" si="515"/>
        <v>3251.84</v>
      </c>
      <c r="I1562" s="24">
        <f t="shared" si="515"/>
        <v>3143</v>
      </c>
      <c r="J1562" s="24">
        <f t="shared" si="515"/>
        <v>3039.5599999999995</v>
      </c>
      <c r="K1562" s="24">
        <f t="shared" si="515"/>
        <v>3329.7200000000003</v>
      </c>
      <c r="L1562" s="24">
        <f t="shared" si="515"/>
        <v>3353.2</v>
      </c>
      <c r="M1562" s="24"/>
      <c r="N1562" s="24"/>
      <c r="O1562" s="24"/>
      <c r="P1562" s="24" t="str">
        <f>IF(((P1560="")*AND(P1561="")),"",(P1560-P1561)*4)</f>
        <v/>
      </c>
      <c r="Q1562" s="61"/>
      <c r="R1562" s="61"/>
      <c r="S1562" s="61"/>
      <c r="T1562" s="61"/>
      <c r="U1562" s="61"/>
      <c r="V1562" s="60"/>
      <c r="W1562" s="59"/>
    </row>
    <row r="1563" spans="1:31" ht="15.75">
      <c r="A1563" s="195">
        <v>44186</v>
      </c>
      <c r="B1563" s="57" t="s">
        <v>157</v>
      </c>
      <c r="C1563" s="51" t="s">
        <v>156</v>
      </c>
      <c r="D1563">
        <v>6835.15</v>
      </c>
      <c r="E1563">
        <v>6883.57</v>
      </c>
      <c r="F1563">
        <v>7068.17</v>
      </c>
      <c r="G1563">
        <v>6797.56</v>
      </c>
      <c r="H1563">
        <v>6989.58</v>
      </c>
      <c r="I1563">
        <v>6982.35</v>
      </c>
      <c r="J1563">
        <v>6915.4</v>
      </c>
      <c r="K1563">
        <v>7001.89</v>
      </c>
      <c r="L1563">
        <v>7074.97</v>
      </c>
      <c r="M1563" s="50"/>
      <c r="N1563" s="50"/>
      <c r="O1563" s="50"/>
      <c r="P1563" s="50"/>
      <c r="Q1563" s="57">
        <f>IF((L1564=""),"",MAX(D1565:L1565))</f>
        <v>3406.24</v>
      </c>
      <c r="R1563" s="57">
        <f>IF(L1564="","",MIN(D1565:L1565))</f>
        <v>3292.7199999999993</v>
      </c>
      <c r="S1563" s="58">
        <f>IF((L1565=""),"",AVERAGE(D1565:L1565))</f>
        <v>3365.5422222222219</v>
      </c>
      <c r="T1563" s="57">
        <f>IF((L1564=""),"",((Q1563-R1563)/(Q1563+R1563))*100)</f>
        <v>1.6945913992619817</v>
      </c>
      <c r="U1563" s="56">
        <f>STDEV(D1563:L1563)</f>
        <v>98.059737079511947</v>
      </c>
      <c r="V1563" s="55" t="str">
        <f>IF(L1564="","",(IF(T1563&lt;7,IF(S1563&gt;2800,IF(S1563&lt;3800,"Pass","Fail"),"Fail"),"Fail")))</f>
        <v>Pass</v>
      </c>
      <c r="W1563" s="54">
        <v>1159</v>
      </c>
      <c r="X1563" s="26" t="s">
        <v>546</v>
      </c>
      <c r="Z1563" s="53">
        <v>2800</v>
      </c>
      <c r="AA1563" s="53">
        <v>3800</v>
      </c>
      <c r="AB1563" s="53">
        <v>3100</v>
      </c>
      <c r="AC1563" s="53">
        <v>3760</v>
      </c>
      <c r="AD1563" s="52">
        <v>6</v>
      </c>
      <c r="AE1563" s="52">
        <v>6</v>
      </c>
    </row>
    <row r="1564" spans="1:31" ht="15.75">
      <c r="A1564" s="199"/>
      <c r="B1564" s="48"/>
      <c r="C1564" s="51" t="s">
        <v>155</v>
      </c>
      <c r="D1564">
        <v>5155.47</v>
      </c>
      <c r="E1564">
        <v>5180.45</v>
      </c>
      <c r="F1564">
        <v>5421.81</v>
      </c>
      <c r="G1564">
        <v>5113.1000000000004</v>
      </c>
      <c r="H1564">
        <v>5295.78</v>
      </c>
      <c r="I1564">
        <v>5291.03</v>
      </c>
      <c r="J1564">
        <v>5222.1099999999997</v>
      </c>
      <c r="K1564">
        <v>5307.81</v>
      </c>
      <c r="L1564">
        <v>5416.14</v>
      </c>
      <c r="M1564" s="50"/>
      <c r="N1564" s="50"/>
      <c r="O1564" s="50"/>
      <c r="P1564" s="50"/>
      <c r="Q1564" s="48"/>
      <c r="R1564" s="48"/>
      <c r="S1564" s="49"/>
      <c r="T1564" s="48"/>
      <c r="U1564" s="48"/>
      <c r="V1564" s="47"/>
      <c r="W1564" s="46"/>
    </row>
    <row r="1565" spans="1:31" ht="24.75" thickBot="1">
      <c r="A1565" s="199"/>
      <c r="B1565" s="42"/>
      <c r="C1565" s="45" t="s">
        <v>154</v>
      </c>
      <c r="D1565" s="44">
        <f t="shared" ref="D1565:L1565" si="516">IF(((D1563="")*AND(D1564="")),"",(D1563-D1564)*2)</f>
        <v>3359.3599999999988</v>
      </c>
      <c r="E1565" s="44">
        <f t="shared" si="516"/>
        <v>3406.24</v>
      </c>
      <c r="F1565" s="44">
        <f t="shared" si="516"/>
        <v>3292.7199999999993</v>
      </c>
      <c r="G1565" s="44">
        <f t="shared" si="516"/>
        <v>3368.92</v>
      </c>
      <c r="H1565" s="44">
        <f t="shared" si="516"/>
        <v>3387.6000000000004</v>
      </c>
      <c r="I1565" s="44">
        <f t="shared" si="516"/>
        <v>3382.6400000000012</v>
      </c>
      <c r="J1565" s="44">
        <f t="shared" si="516"/>
        <v>3386.58</v>
      </c>
      <c r="K1565" s="44">
        <f t="shared" si="516"/>
        <v>3388.16</v>
      </c>
      <c r="L1565" s="44">
        <f t="shared" si="516"/>
        <v>3317.66</v>
      </c>
      <c r="M1565" s="44"/>
      <c r="N1565" s="44"/>
      <c r="O1565" s="44"/>
      <c r="P1565" s="44"/>
      <c r="Q1565" s="42"/>
      <c r="R1565" s="42"/>
      <c r="S1565" s="43"/>
      <c r="T1565" s="42"/>
      <c r="U1565" s="42"/>
      <c r="V1565" s="41"/>
      <c r="W1565" s="40"/>
    </row>
    <row r="1566" spans="1:31" ht="15.75">
      <c r="A1566" s="195">
        <v>44197</v>
      </c>
      <c r="B1566" s="63" t="s">
        <v>158</v>
      </c>
      <c r="C1566" s="56" t="s">
        <v>156</v>
      </c>
      <c r="D1566">
        <v>1179.51</v>
      </c>
      <c r="E1566">
        <v>1189.8900000000001</v>
      </c>
      <c r="F1566">
        <v>1206.18</v>
      </c>
      <c r="G1566">
        <v>1183.56</v>
      </c>
      <c r="H1566">
        <v>1159.58</v>
      </c>
      <c r="I1566">
        <v>1184.79</v>
      </c>
      <c r="J1566">
        <v>1202.48</v>
      </c>
      <c r="K1566">
        <v>1168.03</v>
      </c>
      <c r="L1566">
        <v>1135.46</v>
      </c>
      <c r="M1566" s="62"/>
      <c r="N1566" s="62"/>
      <c r="O1566" s="62"/>
      <c r="P1566" s="62"/>
      <c r="Q1566" s="57">
        <f>IF((L1567=""),"",MAX(D1568:L1568))</f>
        <v>3205.2</v>
      </c>
      <c r="R1566" s="57">
        <f>IF(L1567="","",MIN(D1568:L1568))</f>
        <v>2609.3199999999997</v>
      </c>
      <c r="S1566" s="58">
        <f>IF((L1568=""),"",AVERAGE(D1568:L1568))</f>
        <v>2815</v>
      </c>
      <c r="T1566" s="57">
        <f>IF((L1567=""),"",((Q1566-R1566)/(Q1566+R1566))*100)</f>
        <v>10.248137421489654</v>
      </c>
      <c r="U1566" s="56">
        <f>STDEV(D1566:L1566)</f>
        <v>21.95502473492159</v>
      </c>
      <c r="V1566" s="55" t="str">
        <f>IF(L1567="","",(IF(T1566&lt;12,IF(S1566&gt;2200,IF(S1566&lt;3280,"Pass","Fail"),"Fail"),"Fail")))</f>
        <v>Pass</v>
      </c>
      <c r="W1566" s="54">
        <v>1428</v>
      </c>
      <c r="X1566" s="26" t="s">
        <v>548</v>
      </c>
      <c r="Z1566" s="37">
        <v>2000</v>
      </c>
      <c r="AA1566" s="37">
        <v>3000</v>
      </c>
      <c r="AB1566" s="37">
        <v>2200</v>
      </c>
      <c r="AC1566" s="37">
        <v>3280</v>
      </c>
      <c r="AD1566" s="39">
        <v>12</v>
      </c>
      <c r="AE1566" s="39">
        <v>12</v>
      </c>
    </row>
    <row r="1567" spans="1:31" ht="15.75">
      <c r="A1567" s="199"/>
      <c r="B1567" s="48"/>
      <c r="C1567" s="51" t="s">
        <v>155</v>
      </c>
      <c r="D1567">
        <v>432.36</v>
      </c>
      <c r="E1567">
        <v>490.78</v>
      </c>
      <c r="F1567">
        <v>537.47</v>
      </c>
      <c r="G1567">
        <v>498.37</v>
      </c>
      <c r="H1567">
        <v>469.06</v>
      </c>
      <c r="I1567">
        <v>383.49</v>
      </c>
      <c r="J1567">
        <v>469.02</v>
      </c>
      <c r="K1567">
        <v>515.70000000000005</v>
      </c>
      <c r="L1567">
        <v>479.48</v>
      </c>
      <c r="M1567" s="50"/>
      <c r="N1567" s="50"/>
      <c r="O1567" s="50"/>
      <c r="P1567" s="50"/>
      <c r="Q1567" s="48"/>
      <c r="R1567" s="48"/>
      <c r="S1567" s="48"/>
      <c r="T1567" s="48"/>
      <c r="U1567" s="48"/>
      <c r="V1567" s="47"/>
      <c r="W1567" s="46"/>
    </row>
    <row r="1568" spans="1:31" ht="24.75" thickBot="1">
      <c r="A1568" s="199"/>
      <c r="B1568" s="61"/>
      <c r="C1568" s="51" t="s">
        <v>154</v>
      </c>
      <c r="D1568" s="24">
        <f t="shared" ref="D1568:L1568" si="517">IF(((D1566="")*AND(D1567="")),"",(D1566-D1567)*4)</f>
        <v>2988.6</v>
      </c>
      <c r="E1568" s="24">
        <f t="shared" si="517"/>
        <v>2796.4400000000005</v>
      </c>
      <c r="F1568" s="24">
        <f t="shared" si="517"/>
        <v>2674.84</v>
      </c>
      <c r="G1568" s="24">
        <f t="shared" si="517"/>
        <v>2740.7599999999998</v>
      </c>
      <c r="H1568" s="24">
        <f t="shared" si="517"/>
        <v>2762.08</v>
      </c>
      <c r="I1568" s="24">
        <f t="shared" si="517"/>
        <v>3205.2</v>
      </c>
      <c r="J1568" s="24">
        <f t="shared" si="517"/>
        <v>2933.84</v>
      </c>
      <c r="K1568" s="24">
        <f t="shared" si="517"/>
        <v>2609.3199999999997</v>
      </c>
      <c r="L1568" s="24">
        <f t="shared" si="517"/>
        <v>2623.92</v>
      </c>
      <c r="M1568" s="24"/>
      <c r="N1568" s="24"/>
      <c r="O1568" s="24"/>
      <c r="P1568" s="24" t="str">
        <f>IF(((P1566="")*AND(P1567="")),"",(P1566-P1567)*4)</f>
        <v/>
      </c>
      <c r="Q1568" s="61"/>
      <c r="R1568" s="61"/>
      <c r="S1568" s="61"/>
      <c r="T1568" s="61"/>
      <c r="U1568" s="61"/>
      <c r="V1568" s="60"/>
      <c r="W1568" s="59"/>
    </row>
    <row r="1569" spans="1:31" ht="15.75">
      <c r="A1569" s="195">
        <v>44197</v>
      </c>
      <c r="B1569" s="57" t="s">
        <v>157</v>
      </c>
      <c r="C1569" s="51" t="s">
        <v>156</v>
      </c>
      <c r="D1569">
        <v>5155.47</v>
      </c>
      <c r="E1569">
        <v>5180.45</v>
      </c>
      <c r="F1569">
        <v>5228.1000000000004</v>
      </c>
      <c r="G1569">
        <v>5295.78</v>
      </c>
      <c r="H1569">
        <v>5472.5599999999995</v>
      </c>
      <c r="I1569">
        <v>5315.32</v>
      </c>
      <c r="J1569">
        <v>5225.8100000000004</v>
      </c>
      <c r="K1569">
        <v>5285.95</v>
      </c>
      <c r="L1569">
        <v>5135.91</v>
      </c>
      <c r="M1569" s="50"/>
      <c r="N1569" s="50"/>
      <c r="O1569" s="50"/>
      <c r="P1569" s="50"/>
      <c r="Q1569" s="57">
        <f>IF((L1570=""),"",MAX(D1571:L1571))</f>
        <v>3589</v>
      </c>
      <c r="R1569" s="57">
        <f>IF(L1570="","",MIN(D1571:L1571))</f>
        <v>3158.2199999999993</v>
      </c>
      <c r="S1569" s="58">
        <f>IF((L1571=""),"",AVERAGE(D1571:L1571))</f>
        <v>3367.82</v>
      </c>
      <c r="T1569" s="57">
        <f>IF((L1570=""),"",((Q1569-R1569)/(Q1569+R1569))*100)</f>
        <v>6.3845554168976362</v>
      </c>
      <c r="U1569" s="56">
        <f>STDEV(D1569:L1569)</f>
        <v>102.96466073914269</v>
      </c>
      <c r="V1569" s="55" t="str">
        <f>IF(L1570="","",(IF(T1569&lt;7,IF(S1569&gt;2800,IF(S1569&lt;3800,"Pass","Fail"),"Fail"),"Fail")))</f>
        <v>Pass</v>
      </c>
      <c r="W1569" s="54">
        <v>1428</v>
      </c>
      <c r="X1569" s="26" t="s">
        <v>548</v>
      </c>
      <c r="Z1569" s="53">
        <v>2800</v>
      </c>
      <c r="AA1569" s="53">
        <v>3800</v>
      </c>
      <c r="AB1569" s="53">
        <v>3100</v>
      </c>
      <c r="AC1569" s="53">
        <v>3760</v>
      </c>
      <c r="AD1569" s="52">
        <v>6</v>
      </c>
      <c r="AE1569" s="52">
        <v>6</v>
      </c>
    </row>
    <row r="1570" spans="1:31" ht="15.75">
      <c r="A1570" s="199"/>
      <c r="B1570" s="48"/>
      <c r="C1570" s="51" t="s">
        <v>155</v>
      </c>
      <c r="D1570">
        <v>3421.39</v>
      </c>
      <c r="E1570">
        <v>3483.66</v>
      </c>
      <c r="F1570">
        <v>3606</v>
      </c>
      <c r="G1570">
        <v>3600.43</v>
      </c>
      <c r="H1570">
        <v>3792.53</v>
      </c>
      <c r="I1570">
        <v>3736.21</v>
      </c>
      <c r="J1570">
        <v>3579.16</v>
      </c>
      <c r="K1570">
        <v>3491.45</v>
      </c>
      <c r="L1570">
        <v>3429.33</v>
      </c>
      <c r="M1570" s="50"/>
      <c r="N1570" s="50"/>
      <c r="O1570" s="50"/>
      <c r="P1570" s="50"/>
      <c r="Q1570" s="48"/>
      <c r="R1570" s="48"/>
      <c r="S1570" s="49"/>
      <c r="T1570" s="48"/>
      <c r="U1570" s="48"/>
      <c r="V1570" s="47"/>
      <c r="W1570" s="46"/>
    </row>
    <row r="1571" spans="1:31" ht="24.75" thickBot="1">
      <c r="A1571" s="199"/>
      <c r="B1571" s="42"/>
      <c r="C1571" s="45" t="s">
        <v>154</v>
      </c>
      <c r="D1571" s="44">
        <f t="shared" ref="D1571:L1571" si="518">IF(((D1569="")*AND(D1570="")),"",(D1569-D1570)*2)</f>
        <v>3468.1600000000008</v>
      </c>
      <c r="E1571" s="44">
        <f t="shared" si="518"/>
        <v>3393.58</v>
      </c>
      <c r="F1571" s="44">
        <f t="shared" si="518"/>
        <v>3244.2000000000007</v>
      </c>
      <c r="G1571" s="44">
        <f t="shared" si="518"/>
        <v>3390.7</v>
      </c>
      <c r="H1571" s="44">
        <f t="shared" si="518"/>
        <v>3360.0599999999986</v>
      </c>
      <c r="I1571" s="44">
        <f t="shared" si="518"/>
        <v>3158.2199999999993</v>
      </c>
      <c r="J1571" s="44">
        <f t="shared" si="518"/>
        <v>3293.3000000000011</v>
      </c>
      <c r="K1571" s="44">
        <f t="shared" si="518"/>
        <v>3589</v>
      </c>
      <c r="L1571" s="44">
        <f t="shared" si="518"/>
        <v>3413.16</v>
      </c>
      <c r="M1571" s="44"/>
      <c r="N1571" s="44"/>
      <c r="O1571" s="44"/>
      <c r="P1571" s="44"/>
      <c r="Q1571" s="42"/>
      <c r="R1571" s="42"/>
      <c r="S1571" s="43"/>
      <c r="T1571" s="42"/>
      <c r="U1571" s="42"/>
      <c r="V1571" s="41"/>
      <c r="W1571" s="40"/>
    </row>
    <row r="1572" spans="1:31" ht="15.75">
      <c r="A1572" s="195">
        <v>44200</v>
      </c>
      <c r="B1572" s="63" t="s">
        <v>158</v>
      </c>
      <c r="C1572" s="56" t="s">
        <v>156</v>
      </c>
      <c r="D1572">
        <v>1937.15</v>
      </c>
      <c r="E1572">
        <v>1933.8</v>
      </c>
      <c r="F1572">
        <v>1928.96</v>
      </c>
      <c r="G1572">
        <v>1936.57</v>
      </c>
      <c r="H1572">
        <v>1946.21</v>
      </c>
      <c r="I1572">
        <v>1944.87</v>
      </c>
      <c r="J1572">
        <v>1937.57</v>
      </c>
      <c r="K1572">
        <v>1952.6</v>
      </c>
      <c r="L1572">
        <v>1944.11</v>
      </c>
      <c r="M1572" s="62"/>
      <c r="N1572" s="62"/>
      <c r="O1572" s="62"/>
      <c r="P1572" s="62"/>
      <c r="Q1572" s="57">
        <f>IF((L1573=""),"",MAX(D1574:L1574))</f>
        <v>3247.3999999999996</v>
      </c>
      <c r="R1572" s="57">
        <f>IF(L1573="","",MIN(D1574:L1574))</f>
        <v>2937.5599999999995</v>
      </c>
      <c r="S1572" s="58">
        <f>IF((L1574=""),"",AVERAGE(D1574:L1574))</f>
        <v>3059.5422222222219</v>
      </c>
      <c r="T1572" s="57">
        <f>IF((L1573=""),"",((Q1572-R1572)/(Q1572+R1572))*100)</f>
        <v>5.009571605960268</v>
      </c>
      <c r="U1572" s="56">
        <f>STDEV(D1572:L1572)</f>
        <v>7.277283337962241</v>
      </c>
      <c r="V1572" s="55" t="str">
        <f>IF(L1573="","",(IF(T1572&lt;12,IF(S1572&gt;2200,IF(S1572&lt;3280,"Pass","Fail"),"Fail"),"Fail")))</f>
        <v>Pass</v>
      </c>
      <c r="W1572" s="54">
        <v>121</v>
      </c>
      <c r="X1572" s="26" t="s">
        <v>550</v>
      </c>
      <c r="Z1572" s="37">
        <v>2000</v>
      </c>
      <c r="AA1572" s="37">
        <v>3000</v>
      </c>
      <c r="AB1572" s="37">
        <v>2200</v>
      </c>
      <c r="AC1572" s="37">
        <v>3280</v>
      </c>
      <c r="AD1572" s="39">
        <v>12</v>
      </c>
      <c r="AE1572" s="39">
        <v>12</v>
      </c>
    </row>
    <row r="1573" spans="1:31" ht="15.75">
      <c r="A1573" s="199"/>
      <c r="B1573" s="48"/>
      <c r="C1573" s="51" t="s">
        <v>155</v>
      </c>
      <c r="D1573">
        <v>1170.07</v>
      </c>
      <c r="E1573">
        <v>1188</v>
      </c>
      <c r="F1573">
        <v>1194.42</v>
      </c>
      <c r="G1573">
        <v>1187.4100000000001</v>
      </c>
      <c r="H1573">
        <v>1153.3399999999999</v>
      </c>
      <c r="I1573">
        <v>1179.3800000000001</v>
      </c>
      <c r="J1573">
        <v>1203.18</v>
      </c>
      <c r="K1573">
        <v>1169.81</v>
      </c>
      <c r="L1573">
        <v>1132.26</v>
      </c>
      <c r="M1573" s="50"/>
      <c r="N1573" s="50"/>
      <c r="O1573" s="50"/>
      <c r="P1573" s="50"/>
      <c r="Q1573" s="48"/>
      <c r="R1573" s="48"/>
      <c r="S1573" s="48"/>
      <c r="T1573" s="48"/>
      <c r="U1573" s="48"/>
      <c r="V1573" s="47"/>
      <c r="W1573" s="46"/>
    </row>
    <row r="1574" spans="1:31" ht="24.75" thickBot="1">
      <c r="A1574" s="199"/>
      <c r="B1574" s="61"/>
      <c r="C1574" s="51" t="s">
        <v>154</v>
      </c>
      <c r="D1574" s="24">
        <f t="shared" ref="D1574:L1574" si="519">IF(((D1572="")*AND(D1573="")),"",(D1572-D1573)*4)</f>
        <v>3068.3200000000006</v>
      </c>
      <c r="E1574" s="24">
        <f t="shared" si="519"/>
        <v>2983.2</v>
      </c>
      <c r="F1574" s="24">
        <f t="shared" si="519"/>
        <v>2938.16</v>
      </c>
      <c r="G1574" s="24">
        <f t="shared" si="519"/>
        <v>2996.6399999999994</v>
      </c>
      <c r="H1574" s="24">
        <f t="shared" si="519"/>
        <v>3171.4800000000005</v>
      </c>
      <c r="I1574" s="24">
        <f t="shared" si="519"/>
        <v>3061.9599999999991</v>
      </c>
      <c r="J1574" s="24">
        <f t="shared" si="519"/>
        <v>2937.5599999999995</v>
      </c>
      <c r="K1574" s="24">
        <f t="shared" si="519"/>
        <v>3131.16</v>
      </c>
      <c r="L1574" s="24">
        <f t="shared" si="519"/>
        <v>3247.3999999999996</v>
      </c>
      <c r="M1574" s="24"/>
      <c r="N1574" s="24"/>
      <c r="O1574" s="24"/>
      <c r="P1574" s="24" t="str">
        <f>IF(((P1572="")*AND(P1573="")),"",(P1572-P1573)*4)</f>
        <v/>
      </c>
      <c r="Q1574" s="61"/>
      <c r="R1574" s="61"/>
      <c r="S1574" s="61"/>
      <c r="T1574" s="61"/>
      <c r="U1574" s="61"/>
      <c r="V1574" s="60"/>
      <c r="W1574" s="59"/>
    </row>
    <row r="1575" spans="1:31" ht="15.75">
      <c r="A1575" s="195">
        <v>44200</v>
      </c>
      <c r="B1575" s="57" t="s">
        <v>157</v>
      </c>
      <c r="C1575" s="51" t="s">
        <v>156</v>
      </c>
      <c r="D1575">
        <v>3492.08</v>
      </c>
      <c r="E1575">
        <v>3502.11</v>
      </c>
      <c r="F1575">
        <v>3788.49</v>
      </c>
      <c r="G1575">
        <v>3455.94</v>
      </c>
      <c r="H1575">
        <v>3616.52</v>
      </c>
      <c r="I1575">
        <v>3616.16</v>
      </c>
      <c r="J1575">
        <v>3544.48</v>
      </c>
      <c r="K1575">
        <v>3632.08</v>
      </c>
      <c r="L1575">
        <v>3778.19</v>
      </c>
      <c r="M1575" s="50"/>
      <c r="N1575" s="50"/>
      <c r="O1575" s="50"/>
      <c r="P1575" s="50"/>
      <c r="Q1575" s="57">
        <f>IF((L1576=""),"",MAX(D1577:L1577))</f>
        <v>3376.78</v>
      </c>
      <c r="R1575" s="57">
        <f>IF(L1576="","",MIN(D1577:L1577))</f>
        <v>3226.3799999999992</v>
      </c>
      <c r="S1575" s="58">
        <f>IF((L1577=""),"",AVERAGE(D1577:L1577))</f>
        <v>3328.9044444444453</v>
      </c>
      <c r="T1575" s="57">
        <f>IF((L1576=""),"",((Q1575-R1575)/(Q1575+R1575))*100)</f>
        <v>2.277697344907605</v>
      </c>
      <c r="U1575" s="56">
        <f>STDEV(D1575:L1575)</f>
        <v>119.28582838199024</v>
      </c>
      <c r="V1575" s="55" t="str">
        <f>IF(L1576="","",(IF(T1575&lt;7,IF(S1575&gt;2800,IF(S1575&lt;3800,"Pass","Fail"),"Fail"),"Fail")))</f>
        <v>Pass</v>
      </c>
      <c r="W1575" s="54">
        <v>121</v>
      </c>
      <c r="X1575" s="26" t="s">
        <v>550</v>
      </c>
      <c r="Z1575" s="53">
        <v>2800</v>
      </c>
      <c r="AA1575" s="53">
        <v>3800</v>
      </c>
      <c r="AB1575" s="53">
        <v>3100</v>
      </c>
      <c r="AC1575" s="53">
        <v>3760</v>
      </c>
      <c r="AD1575" s="52">
        <v>6</v>
      </c>
      <c r="AE1575" s="52">
        <v>6</v>
      </c>
    </row>
    <row r="1576" spans="1:31" ht="15.75">
      <c r="A1576" s="199"/>
      <c r="B1576" s="48"/>
      <c r="C1576" s="51" t="s">
        <v>155</v>
      </c>
      <c r="D1576">
        <v>1823.12</v>
      </c>
      <c r="E1576">
        <v>1813.72</v>
      </c>
      <c r="F1576">
        <v>2175.3000000000002</v>
      </c>
      <c r="G1576">
        <v>1772.85</v>
      </c>
      <c r="H1576">
        <v>1939.86</v>
      </c>
      <c r="I1576">
        <v>1945.46</v>
      </c>
      <c r="J1576">
        <v>1862.13</v>
      </c>
      <c r="K1576">
        <v>1961.89</v>
      </c>
      <c r="L1576">
        <v>2151.65</v>
      </c>
      <c r="M1576" s="50"/>
      <c r="N1576" s="50"/>
      <c r="O1576" s="50"/>
      <c r="P1576" s="50"/>
      <c r="Q1576" s="48"/>
      <c r="R1576" s="48"/>
      <c r="S1576" s="49"/>
      <c r="T1576" s="48"/>
      <c r="U1576" s="48"/>
      <c r="V1576" s="47"/>
      <c r="W1576" s="46"/>
    </row>
    <row r="1577" spans="1:31" ht="24.75" thickBot="1">
      <c r="A1577" s="199"/>
      <c r="B1577" s="42"/>
      <c r="C1577" s="45" t="s">
        <v>154</v>
      </c>
      <c r="D1577" s="44">
        <f t="shared" ref="D1577:L1577" si="520">IF(((D1575="")*AND(D1576="")),"",(D1575-D1576)*2)</f>
        <v>3337.92</v>
      </c>
      <c r="E1577" s="44">
        <f t="shared" si="520"/>
        <v>3376.78</v>
      </c>
      <c r="F1577" s="44">
        <f t="shared" si="520"/>
        <v>3226.3799999999992</v>
      </c>
      <c r="G1577" s="44">
        <f t="shared" si="520"/>
        <v>3366.1800000000003</v>
      </c>
      <c r="H1577" s="44">
        <f t="shared" si="520"/>
        <v>3353.32</v>
      </c>
      <c r="I1577" s="44">
        <f t="shared" si="520"/>
        <v>3341.3999999999996</v>
      </c>
      <c r="J1577" s="44">
        <f t="shared" si="520"/>
        <v>3364.7</v>
      </c>
      <c r="K1577" s="44">
        <f t="shared" si="520"/>
        <v>3340.3799999999997</v>
      </c>
      <c r="L1577" s="44">
        <f t="shared" si="520"/>
        <v>3253.08</v>
      </c>
      <c r="M1577" s="44"/>
      <c r="N1577" s="44"/>
      <c r="O1577" s="44"/>
      <c r="P1577" s="44"/>
      <c r="Q1577" s="42"/>
      <c r="R1577" s="42"/>
      <c r="S1577" s="43"/>
      <c r="T1577" s="42"/>
      <c r="U1577" s="42"/>
      <c r="V1577" s="41"/>
      <c r="W1577" s="40"/>
    </row>
    <row r="1578" spans="1:31" ht="15.75">
      <c r="A1578" s="195">
        <v>44204</v>
      </c>
      <c r="B1578" s="63" t="s">
        <v>158</v>
      </c>
      <c r="C1578" s="56" t="s">
        <v>156</v>
      </c>
      <c r="D1578">
        <v>1170.07</v>
      </c>
      <c r="E1578">
        <v>1188</v>
      </c>
      <c r="F1578">
        <v>1194.42</v>
      </c>
      <c r="G1578">
        <v>1187.4100000000001</v>
      </c>
      <c r="H1578">
        <v>1153.3399999999999</v>
      </c>
      <c r="I1578">
        <v>1179.3800000000001</v>
      </c>
      <c r="J1578">
        <v>1203.18</v>
      </c>
      <c r="K1578">
        <v>1169.81</v>
      </c>
      <c r="L1578">
        <v>1132.26</v>
      </c>
      <c r="M1578" s="62"/>
      <c r="N1578" s="62"/>
      <c r="O1578" s="62"/>
      <c r="P1578" s="62"/>
      <c r="Q1578" s="57">
        <f>IF((L1579=""),"",MAX(D1580:L1580))</f>
        <v>3002.5199999999995</v>
      </c>
      <c r="R1578" s="57">
        <f>IF(L1579="","",MIN(D1580:L1580))</f>
        <v>2461.9199999999996</v>
      </c>
      <c r="S1578" s="58">
        <f>IF((L1580=""),"",AVERAGE(D1580:L1580))</f>
        <v>2744.6933333333332</v>
      </c>
      <c r="T1578" s="57">
        <f>IF((L1579=""),"",((Q1578-R1578)/(Q1578+R1578))*100)</f>
        <v>9.8930540000439215</v>
      </c>
      <c r="U1578" s="56">
        <f>STDEV(D1578:L1578)</f>
        <v>21.964830664306739</v>
      </c>
      <c r="V1578" s="55" t="str">
        <f>IF(L1579="","",(IF(T1578&lt;12,IF(S1578&gt;2200,IF(S1578&lt;3280,"Pass","Fail"),"Fail"),"Fail")))</f>
        <v>Pass</v>
      </c>
      <c r="W1578" s="54">
        <v>1428</v>
      </c>
      <c r="X1578" s="26" t="s">
        <v>551</v>
      </c>
      <c r="Z1578" s="37">
        <v>2000</v>
      </c>
      <c r="AA1578" s="37">
        <v>3000</v>
      </c>
      <c r="AB1578" s="37">
        <v>2200</v>
      </c>
      <c r="AC1578" s="37">
        <v>3280</v>
      </c>
      <c r="AD1578" s="39">
        <v>12</v>
      </c>
      <c r="AE1578" s="39">
        <v>12</v>
      </c>
    </row>
    <row r="1579" spans="1:31" ht="15.75">
      <c r="A1579" s="199"/>
      <c r="B1579" s="48"/>
      <c r="C1579" s="51" t="s">
        <v>155</v>
      </c>
      <c r="D1579">
        <v>419.44</v>
      </c>
      <c r="E1579">
        <v>460.15</v>
      </c>
      <c r="F1579">
        <v>500.77</v>
      </c>
      <c r="G1579">
        <v>518.96</v>
      </c>
      <c r="H1579">
        <v>537.86</v>
      </c>
      <c r="I1579">
        <v>527.04999999999995</v>
      </c>
      <c r="J1579">
        <v>507.82</v>
      </c>
      <c r="K1579">
        <v>479.23</v>
      </c>
      <c r="L1579">
        <v>451.03</v>
      </c>
      <c r="M1579" s="50"/>
      <c r="N1579" s="50"/>
      <c r="O1579" s="50"/>
      <c r="P1579" s="50"/>
      <c r="Q1579" s="48"/>
      <c r="R1579" s="48"/>
      <c r="S1579" s="48"/>
      <c r="T1579" s="48"/>
      <c r="U1579" s="48"/>
      <c r="V1579" s="47"/>
      <c r="W1579" s="46"/>
    </row>
    <row r="1580" spans="1:31" ht="24.75" thickBot="1">
      <c r="A1580" s="199"/>
      <c r="B1580" s="61"/>
      <c r="C1580" s="51" t="s">
        <v>154</v>
      </c>
      <c r="D1580" s="24">
        <f t="shared" ref="D1580:L1580" si="521">IF(((D1578="")*AND(D1579="")),"",(D1578-D1579)*4)</f>
        <v>3002.5199999999995</v>
      </c>
      <c r="E1580" s="24">
        <f t="shared" si="521"/>
        <v>2911.4</v>
      </c>
      <c r="F1580" s="24">
        <f t="shared" si="521"/>
        <v>2774.6000000000004</v>
      </c>
      <c r="G1580" s="24">
        <f t="shared" si="521"/>
        <v>2673.8</v>
      </c>
      <c r="H1580" s="24">
        <f t="shared" si="521"/>
        <v>2461.9199999999996</v>
      </c>
      <c r="I1580" s="24">
        <f t="shared" si="521"/>
        <v>2609.3200000000006</v>
      </c>
      <c r="J1580" s="24">
        <f t="shared" si="521"/>
        <v>2781.4400000000005</v>
      </c>
      <c r="K1580" s="24">
        <f t="shared" si="521"/>
        <v>2762.3199999999997</v>
      </c>
      <c r="L1580" s="24">
        <f t="shared" si="521"/>
        <v>2724.92</v>
      </c>
      <c r="M1580" s="24"/>
      <c r="N1580" s="24"/>
      <c r="O1580" s="24"/>
      <c r="P1580" s="24" t="str">
        <f>IF(((P1578="")*AND(P1579="")),"",(P1578-P1579)*4)</f>
        <v/>
      </c>
      <c r="Q1580" s="61"/>
      <c r="R1580" s="61"/>
      <c r="S1580" s="61"/>
      <c r="T1580" s="61"/>
      <c r="U1580" s="61"/>
      <c r="V1580" s="60"/>
      <c r="W1580" s="59"/>
    </row>
    <row r="1581" spans="1:31" ht="15.75">
      <c r="A1581" s="195">
        <v>44204</v>
      </c>
      <c r="B1581" s="57" t="s">
        <v>157</v>
      </c>
      <c r="C1581" s="51" t="s">
        <v>156</v>
      </c>
      <c r="D1581">
        <v>6739.33</v>
      </c>
      <c r="E1581">
        <v>6758.24</v>
      </c>
      <c r="F1581">
        <v>6879.53</v>
      </c>
      <c r="G1581">
        <v>6858.22</v>
      </c>
      <c r="H1581">
        <v>6856.63</v>
      </c>
      <c r="I1581">
        <v>6763.73</v>
      </c>
      <c r="J1581">
        <v>6822.02</v>
      </c>
      <c r="K1581">
        <v>6839.81</v>
      </c>
      <c r="L1581">
        <v>6785.71</v>
      </c>
      <c r="M1581" s="50"/>
      <c r="N1581" s="50"/>
      <c r="O1581" s="50"/>
      <c r="P1581" s="50"/>
      <c r="Q1581" s="57">
        <f>IF((L1582=""),"",MAX(D1583:L1583))</f>
        <v>3751.66</v>
      </c>
      <c r="R1581" s="57">
        <f>IF(L1582="","",MIN(D1583:L1583))</f>
        <v>3554.6000000000004</v>
      </c>
      <c r="S1581" s="58">
        <f>IF((L1583=""),"",AVERAGE(D1583:L1583))</f>
        <v>3704.3288888888887</v>
      </c>
      <c r="T1581" s="57">
        <f>IF((L1582=""),"",((Q1581-R1581)/(Q1581+R1581))*100)</f>
        <v>2.6971391655922385</v>
      </c>
      <c r="U1581" s="56">
        <f>STDEV(D1581:L1581)</f>
        <v>50.931212788527993</v>
      </c>
      <c r="V1581" s="55" t="str">
        <f>IF(L1582="","",(IF(T1581&lt;7,IF(S1581&gt;2800,IF(S1581&lt;3800,"Pass","Fail"),"Fail"),"Fail")))</f>
        <v>Pass</v>
      </c>
      <c r="W1581" s="54">
        <v>1428</v>
      </c>
      <c r="X1581" s="26" t="s">
        <v>551</v>
      </c>
      <c r="Z1581" s="53">
        <v>2800</v>
      </c>
      <c r="AA1581" s="53">
        <v>3800</v>
      </c>
      <c r="AB1581" s="53">
        <v>3100</v>
      </c>
      <c r="AC1581" s="53">
        <v>3760</v>
      </c>
      <c r="AD1581" s="52">
        <v>6</v>
      </c>
      <c r="AE1581" s="52">
        <v>6</v>
      </c>
    </row>
    <row r="1582" spans="1:31" ht="15.75">
      <c r="A1582" s="199"/>
      <c r="B1582" s="48"/>
      <c r="C1582" s="51" t="s">
        <v>155</v>
      </c>
      <c r="D1582">
        <v>4879.3599999999997</v>
      </c>
      <c r="E1582">
        <v>4882.41</v>
      </c>
      <c r="F1582">
        <v>5023.0200000000004</v>
      </c>
      <c r="G1582">
        <v>5004.1899999999996</v>
      </c>
      <c r="H1582">
        <v>5079.33</v>
      </c>
      <c r="I1582">
        <v>4923.21</v>
      </c>
      <c r="J1582">
        <v>4956.0600000000004</v>
      </c>
      <c r="K1582">
        <v>4964.17</v>
      </c>
      <c r="L1582">
        <v>4921.99</v>
      </c>
      <c r="M1582" s="50"/>
      <c r="N1582" s="50"/>
      <c r="O1582" s="50"/>
      <c r="P1582" s="50"/>
      <c r="Q1582" s="48"/>
      <c r="R1582" s="48"/>
      <c r="S1582" s="49"/>
      <c r="T1582" s="48"/>
      <c r="U1582" s="48"/>
      <c r="V1582" s="47"/>
      <c r="W1582" s="46"/>
    </row>
    <row r="1583" spans="1:31" ht="24.75" thickBot="1">
      <c r="A1583" s="199"/>
      <c r="B1583" s="42"/>
      <c r="C1583" s="45" t="s">
        <v>154</v>
      </c>
      <c r="D1583" s="44">
        <f t="shared" ref="D1583:L1583" si="522">IF(((D1581="")*AND(D1582="")),"",(D1581-D1582)*2)</f>
        <v>3719.9400000000005</v>
      </c>
      <c r="E1583" s="44">
        <f t="shared" si="522"/>
        <v>3751.66</v>
      </c>
      <c r="F1583" s="44">
        <f t="shared" si="522"/>
        <v>3713.0199999999986</v>
      </c>
      <c r="G1583" s="44">
        <f t="shared" si="522"/>
        <v>3708.0600000000013</v>
      </c>
      <c r="H1583" s="44">
        <f t="shared" si="522"/>
        <v>3554.6000000000004</v>
      </c>
      <c r="I1583" s="44">
        <f t="shared" si="522"/>
        <v>3681.0399999999991</v>
      </c>
      <c r="J1583" s="44">
        <f t="shared" si="522"/>
        <v>3731.92</v>
      </c>
      <c r="K1583" s="44">
        <f t="shared" si="522"/>
        <v>3751.2800000000007</v>
      </c>
      <c r="L1583" s="44">
        <f t="shared" si="522"/>
        <v>3727.4400000000005</v>
      </c>
      <c r="M1583" s="44"/>
      <c r="N1583" s="44"/>
      <c r="O1583" s="44"/>
      <c r="P1583" s="44"/>
      <c r="Q1583" s="42"/>
      <c r="R1583" s="42"/>
      <c r="S1583" s="43"/>
      <c r="T1583" s="42"/>
      <c r="U1583" s="42"/>
      <c r="V1583" s="41"/>
      <c r="W1583" s="40"/>
    </row>
    <row r="1584" spans="1:31" ht="15.75">
      <c r="A1584" s="195">
        <v>44207</v>
      </c>
      <c r="B1584" s="63" t="s">
        <v>158</v>
      </c>
      <c r="C1584" s="56" t="s">
        <v>156</v>
      </c>
      <c r="D1584">
        <v>1937.54</v>
      </c>
      <c r="E1584">
        <v>1933.74</v>
      </c>
      <c r="F1584">
        <v>1922.47</v>
      </c>
      <c r="G1584">
        <v>1930.98</v>
      </c>
      <c r="H1584">
        <v>1938.13</v>
      </c>
      <c r="I1584">
        <v>1940.18</v>
      </c>
      <c r="J1584">
        <v>1936.21</v>
      </c>
      <c r="K1584">
        <v>1981.59</v>
      </c>
      <c r="L1584">
        <v>1939.28</v>
      </c>
      <c r="M1584" s="62"/>
      <c r="N1584" s="62"/>
      <c r="O1584" s="62"/>
      <c r="P1584" s="62"/>
      <c r="Q1584" s="57">
        <f>IF((L1585=""),"",MAX(D1586:L1586))</f>
        <v>3261.24</v>
      </c>
      <c r="R1584" s="57">
        <f>IF(L1585="","",MIN(D1586:L1586))</f>
        <v>2912.4400000000005</v>
      </c>
      <c r="S1584" s="58">
        <f>IF((L1586=""),"",AVERAGE(D1586:L1586))</f>
        <v>3072.2933333333335</v>
      </c>
      <c r="T1584" s="57">
        <f>IF((L1585=""),"",((Q1584-R1584)/(Q1584+R1584))*100)</f>
        <v>5.6497907244949408</v>
      </c>
      <c r="U1584" s="56">
        <f>STDEV(D1584:L1584)</f>
        <v>16.515291399189511</v>
      </c>
      <c r="V1584" s="55" t="str">
        <f>IF(L1585="","",(IF(T1584&lt;12,IF(S1584&gt;2200,IF(S1584&lt;3280,"Pass","Fail"),"Fail"),"Fail")))</f>
        <v>Pass</v>
      </c>
      <c r="W1584" s="54">
        <v>1335</v>
      </c>
      <c r="Z1584" s="37">
        <v>2000</v>
      </c>
      <c r="AA1584" s="37">
        <v>3000</v>
      </c>
      <c r="AB1584" s="37">
        <v>2200</v>
      </c>
      <c r="AC1584" s="37">
        <v>3280</v>
      </c>
      <c r="AD1584" s="39">
        <v>12</v>
      </c>
      <c r="AE1584" s="39">
        <v>12</v>
      </c>
    </row>
    <row r="1585" spans="1:31" ht="15.75">
      <c r="A1585" s="199"/>
      <c r="B1585" s="48"/>
      <c r="C1585" s="51" t="s">
        <v>155</v>
      </c>
      <c r="D1585">
        <v>1160.6400000000001</v>
      </c>
      <c r="E1585">
        <v>1188.8</v>
      </c>
      <c r="F1585">
        <v>1194.3599999999999</v>
      </c>
      <c r="G1585">
        <v>1184.51</v>
      </c>
      <c r="H1585">
        <v>1148.45</v>
      </c>
      <c r="I1585">
        <v>1177</v>
      </c>
      <c r="J1585">
        <v>1199.3599999999999</v>
      </c>
      <c r="K1585">
        <v>1166.28</v>
      </c>
      <c r="L1585">
        <v>1128.06</v>
      </c>
      <c r="M1585" s="50"/>
      <c r="N1585" s="50"/>
      <c r="O1585" s="50"/>
      <c r="P1585" s="50"/>
      <c r="Q1585" s="48"/>
      <c r="R1585" s="48"/>
      <c r="S1585" s="48"/>
      <c r="T1585" s="48"/>
      <c r="U1585" s="48"/>
      <c r="V1585" s="47"/>
      <c r="W1585" s="46"/>
    </row>
    <row r="1586" spans="1:31" ht="24.75" thickBot="1">
      <c r="A1586" s="199"/>
      <c r="B1586" s="61"/>
      <c r="C1586" s="51" t="s">
        <v>154</v>
      </c>
      <c r="D1586" s="24">
        <f t="shared" ref="D1586:L1586" si="523">IF(((D1584="")*AND(D1585="")),"",(D1584-D1585)*4)</f>
        <v>3107.5999999999995</v>
      </c>
      <c r="E1586" s="24">
        <f t="shared" si="523"/>
        <v>2979.76</v>
      </c>
      <c r="F1586" s="24">
        <f t="shared" si="523"/>
        <v>2912.4400000000005</v>
      </c>
      <c r="G1586" s="24">
        <f t="shared" si="523"/>
        <v>2985.88</v>
      </c>
      <c r="H1586" s="24">
        <f t="shared" si="523"/>
        <v>3158.7200000000003</v>
      </c>
      <c r="I1586" s="24">
        <f t="shared" si="523"/>
        <v>3052.7200000000003</v>
      </c>
      <c r="J1586" s="24">
        <f t="shared" si="523"/>
        <v>2947.4000000000005</v>
      </c>
      <c r="K1586" s="24">
        <f t="shared" si="523"/>
        <v>3261.24</v>
      </c>
      <c r="L1586" s="24">
        <f t="shared" si="523"/>
        <v>3244.88</v>
      </c>
      <c r="M1586" s="24"/>
      <c r="N1586" s="24"/>
      <c r="O1586" s="24"/>
      <c r="P1586" s="24" t="str">
        <f>IF(((P1584="")*AND(P1585="")),"",(P1584-P1585)*4)</f>
        <v/>
      </c>
      <c r="Q1586" s="61"/>
      <c r="R1586" s="61"/>
      <c r="S1586" s="61"/>
      <c r="T1586" s="61"/>
      <c r="U1586" s="61"/>
      <c r="V1586" s="60"/>
      <c r="W1586" s="59"/>
    </row>
    <row r="1587" spans="1:31" ht="15.75">
      <c r="A1587" s="195">
        <v>44207</v>
      </c>
      <c r="B1587" s="57" t="s">
        <v>157</v>
      </c>
      <c r="C1587" s="51" t="s">
        <v>156</v>
      </c>
      <c r="D1587">
        <v>6748.64</v>
      </c>
      <c r="E1587">
        <v>6670.36</v>
      </c>
      <c r="F1587">
        <v>6808.59</v>
      </c>
      <c r="G1587">
        <v>6677.04</v>
      </c>
      <c r="H1587">
        <v>6787.53</v>
      </c>
      <c r="I1587">
        <v>6775.14</v>
      </c>
      <c r="J1587">
        <v>6764.03</v>
      </c>
      <c r="K1587">
        <v>6771.89</v>
      </c>
      <c r="L1587">
        <v>6752.48</v>
      </c>
      <c r="M1587" s="50"/>
      <c r="N1587" s="50"/>
      <c r="O1587" s="50"/>
      <c r="P1587" s="50"/>
      <c r="Q1587" s="57">
        <f>IF((L1588=""),"",MAX(D1589:L1589))</f>
        <v>3395.2199999999993</v>
      </c>
      <c r="R1587" s="57">
        <f>IF(L1588="","",MIN(D1589:L1589))</f>
        <v>3293.92</v>
      </c>
      <c r="S1587" s="58">
        <f>IF((L1589=""),"",AVERAGE(D1589:L1589))</f>
        <v>3368.3288888888887</v>
      </c>
      <c r="T1587" s="57">
        <f>IF((L1588=""),"",((Q1587-R1587)/(Q1587+R1587))*100)</f>
        <v>1.5143949745408121</v>
      </c>
      <c r="U1587" s="56">
        <f>STDEV(D1587:L1587)</f>
        <v>47.195607316814396</v>
      </c>
      <c r="V1587" s="55" t="str">
        <f>IF(L1588="","",(IF(T1587&lt;7,IF(S1587&gt;2800,IF(S1587&lt;3800,"Pass","Fail"),"Fail"),"Fail")))</f>
        <v>Pass</v>
      </c>
      <c r="W1587" s="54">
        <v>1335</v>
      </c>
      <c r="Z1587" s="53">
        <v>2800</v>
      </c>
      <c r="AA1587" s="53">
        <v>3800</v>
      </c>
      <c r="AB1587" s="53">
        <v>3100</v>
      </c>
      <c r="AC1587" s="53">
        <v>3760</v>
      </c>
      <c r="AD1587" s="52">
        <v>6</v>
      </c>
      <c r="AE1587" s="52">
        <v>6</v>
      </c>
    </row>
    <row r="1588" spans="1:31" ht="15.75">
      <c r="A1588" s="199"/>
      <c r="B1588" s="48"/>
      <c r="C1588" s="51" t="s">
        <v>155</v>
      </c>
      <c r="D1588">
        <v>5075.88</v>
      </c>
      <c r="E1588">
        <v>4972.75</v>
      </c>
      <c r="F1588">
        <v>5161.63</v>
      </c>
      <c r="G1588">
        <v>4990.5600000000004</v>
      </c>
      <c r="H1588">
        <v>5091.59</v>
      </c>
      <c r="I1588">
        <v>5085.91</v>
      </c>
      <c r="J1588">
        <v>5071.45</v>
      </c>
      <c r="K1588">
        <v>5079.18</v>
      </c>
      <c r="L1588">
        <v>5069.2700000000004</v>
      </c>
      <c r="M1588" s="50"/>
      <c r="N1588" s="50"/>
      <c r="O1588" s="50"/>
      <c r="P1588" s="50"/>
      <c r="Q1588" s="48"/>
      <c r="R1588" s="48"/>
      <c r="S1588" s="49"/>
      <c r="T1588" s="48"/>
      <c r="U1588" s="48"/>
      <c r="V1588" s="47"/>
      <c r="W1588" s="46"/>
    </row>
    <row r="1589" spans="1:31" ht="24.75" thickBot="1">
      <c r="A1589" s="199"/>
      <c r="B1589" s="42"/>
      <c r="C1589" s="45" t="s">
        <v>154</v>
      </c>
      <c r="D1589" s="44">
        <f t="shared" ref="D1589:L1589" si="524">IF(((D1587="")*AND(D1588="")),"",(D1587-D1588)*2)</f>
        <v>3345.5200000000004</v>
      </c>
      <c r="E1589" s="44">
        <f t="shared" si="524"/>
        <v>3395.2199999999993</v>
      </c>
      <c r="F1589" s="44">
        <f t="shared" si="524"/>
        <v>3293.92</v>
      </c>
      <c r="G1589" s="44">
        <f t="shared" si="524"/>
        <v>3372.9599999999991</v>
      </c>
      <c r="H1589" s="44">
        <f t="shared" si="524"/>
        <v>3391.8799999999992</v>
      </c>
      <c r="I1589" s="44">
        <f t="shared" si="524"/>
        <v>3378.4600000000009</v>
      </c>
      <c r="J1589" s="44">
        <f t="shared" si="524"/>
        <v>3385.16</v>
      </c>
      <c r="K1589" s="44">
        <f t="shared" si="524"/>
        <v>3385.42</v>
      </c>
      <c r="L1589" s="44">
        <f t="shared" si="524"/>
        <v>3366.4199999999983</v>
      </c>
      <c r="M1589" s="44"/>
      <c r="N1589" s="44"/>
      <c r="O1589" s="44"/>
      <c r="P1589" s="44"/>
      <c r="Q1589" s="42"/>
      <c r="R1589" s="42"/>
      <c r="S1589" s="43"/>
      <c r="T1589" s="42"/>
      <c r="U1589" s="42"/>
      <c r="V1589" s="41"/>
      <c r="W1589" s="40"/>
    </row>
    <row r="1590" spans="1:31" ht="15.75">
      <c r="A1590" s="195">
        <v>44207</v>
      </c>
      <c r="B1590" s="63" t="s">
        <v>158</v>
      </c>
      <c r="C1590" s="56" t="s">
        <v>156</v>
      </c>
      <c r="D1590">
        <v>1162.1099999999999</v>
      </c>
      <c r="E1590">
        <v>1190.0899999999999</v>
      </c>
      <c r="F1590">
        <v>1201.4100000000001</v>
      </c>
      <c r="G1590">
        <v>1187.56</v>
      </c>
      <c r="H1590">
        <v>1148.97</v>
      </c>
      <c r="I1590">
        <v>1181.31</v>
      </c>
      <c r="J1590">
        <v>1202.48</v>
      </c>
      <c r="K1590">
        <v>1169.06</v>
      </c>
      <c r="L1590">
        <v>1127.0899999999999</v>
      </c>
      <c r="M1590" s="62"/>
      <c r="N1590" s="62"/>
      <c r="O1590" s="62"/>
      <c r="P1590" s="62"/>
      <c r="Q1590" s="57">
        <f>IF((L1591=""),"",MAX(D1592:L1592))</f>
        <v>3077.3599999999997</v>
      </c>
      <c r="R1590" s="57">
        <f>IF(L1591="","",MIN(D1592:L1592))</f>
        <v>2699.6</v>
      </c>
      <c r="S1590" s="58">
        <f>IF((L1592=""),"",AVERAGE(D1592:L1592))</f>
        <v>2832.4444444444439</v>
      </c>
      <c r="T1590" s="57">
        <f>IF((L1591=""),"",((Q1590-R1590)/(Q1590+R1590))*100)</f>
        <v>6.5390793773887967</v>
      </c>
      <c r="U1590" s="56">
        <f>STDEV(D1590:L1590)</f>
        <v>25.123672601759136</v>
      </c>
      <c r="V1590" s="55" t="str">
        <f>IF(L1591="","",(IF(T1590&lt;12,IF(S1590&gt;2200,IF(S1590&lt;3280,"Pass","Fail"),"Fail"),"Fail")))</f>
        <v>Pass</v>
      </c>
      <c r="W1590" s="54">
        <v>121</v>
      </c>
      <c r="X1590" s="26" t="s">
        <v>554</v>
      </c>
      <c r="Z1590" s="37">
        <v>2000</v>
      </c>
      <c r="AA1590" s="37">
        <v>3000</v>
      </c>
      <c r="AB1590" s="37">
        <v>2200</v>
      </c>
      <c r="AC1590" s="37">
        <v>3280</v>
      </c>
      <c r="AD1590" s="39">
        <v>12</v>
      </c>
      <c r="AE1590" s="39">
        <v>12</v>
      </c>
    </row>
    <row r="1591" spans="1:31" ht="15.75">
      <c r="A1591" s="199"/>
      <c r="B1591" s="48"/>
      <c r="C1591" s="51" t="s">
        <v>155</v>
      </c>
      <c r="D1591">
        <v>431.87</v>
      </c>
      <c r="E1591">
        <v>502.89</v>
      </c>
      <c r="F1591">
        <v>525.44000000000005</v>
      </c>
      <c r="G1591">
        <v>497.66</v>
      </c>
      <c r="H1591">
        <v>410.13</v>
      </c>
      <c r="I1591">
        <v>464.99</v>
      </c>
      <c r="J1591">
        <v>527.58000000000004</v>
      </c>
      <c r="K1591">
        <v>478.77</v>
      </c>
      <c r="L1591">
        <v>357.75</v>
      </c>
      <c r="M1591" s="50"/>
      <c r="N1591" s="50"/>
      <c r="O1591" s="50"/>
      <c r="P1591" s="50"/>
      <c r="Q1591" s="48"/>
      <c r="R1591" s="48"/>
      <c r="S1591" s="48"/>
      <c r="T1591" s="48"/>
      <c r="U1591" s="48"/>
      <c r="V1591" s="47"/>
      <c r="W1591" s="46"/>
    </row>
    <row r="1592" spans="1:31" ht="24.75" thickBot="1">
      <c r="A1592" s="199"/>
      <c r="B1592" s="61"/>
      <c r="C1592" s="51" t="s">
        <v>154</v>
      </c>
      <c r="D1592" s="24">
        <f t="shared" ref="D1592:L1592" si="525">IF(((D1590="")*AND(D1591="")),"",(D1590-D1591)*4)</f>
        <v>2920.9599999999996</v>
      </c>
      <c r="E1592" s="24">
        <f t="shared" si="525"/>
        <v>2748.7999999999997</v>
      </c>
      <c r="F1592" s="24">
        <f t="shared" si="525"/>
        <v>2703.88</v>
      </c>
      <c r="G1592" s="24">
        <f t="shared" si="525"/>
        <v>2759.5999999999995</v>
      </c>
      <c r="H1592" s="24">
        <f t="shared" si="525"/>
        <v>2955.36</v>
      </c>
      <c r="I1592" s="24">
        <f t="shared" si="525"/>
        <v>2865.2799999999997</v>
      </c>
      <c r="J1592" s="24">
        <f t="shared" si="525"/>
        <v>2699.6</v>
      </c>
      <c r="K1592" s="24">
        <f t="shared" si="525"/>
        <v>2761.16</v>
      </c>
      <c r="L1592" s="24">
        <f t="shared" si="525"/>
        <v>3077.3599999999997</v>
      </c>
      <c r="M1592" s="24"/>
      <c r="N1592" s="24"/>
      <c r="O1592" s="24"/>
      <c r="P1592" s="24" t="str">
        <f>IF(((P1590="")*AND(P1591="")),"",(P1590-P1591)*4)</f>
        <v/>
      </c>
      <c r="Q1592" s="61"/>
      <c r="R1592" s="61"/>
      <c r="S1592" s="61"/>
      <c r="T1592" s="61"/>
      <c r="U1592" s="61"/>
      <c r="V1592" s="60"/>
      <c r="W1592" s="59"/>
    </row>
    <row r="1593" spans="1:31" ht="15.75">
      <c r="A1593" s="195">
        <v>44207</v>
      </c>
      <c r="B1593" s="57" t="s">
        <v>157</v>
      </c>
      <c r="C1593" s="51" t="s">
        <v>156</v>
      </c>
      <c r="D1593">
        <v>5087.24</v>
      </c>
      <c r="E1593">
        <v>4985.1000000000004</v>
      </c>
      <c r="F1593">
        <v>5171.1099999999997</v>
      </c>
      <c r="G1593">
        <v>5003.8</v>
      </c>
      <c r="H1593">
        <v>5102.87</v>
      </c>
      <c r="I1593">
        <v>5097.22</v>
      </c>
      <c r="J1593">
        <v>5082.79</v>
      </c>
      <c r="K1593">
        <v>5090.46</v>
      </c>
      <c r="L1593">
        <v>5079.62</v>
      </c>
      <c r="M1593" s="50"/>
      <c r="N1593" s="50"/>
      <c r="O1593" s="50"/>
      <c r="P1593" s="50"/>
      <c r="Q1593" s="57">
        <f>IF((L1594=""),"",MAX(D1595:L1595))</f>
        <v>3354.04</v>
      </c>
      <c r="R1593" s="57">
        <f>IF(L1594="","",MIN(D1595:L1595))</f>
        <v>3261.2799999999997</v>
      </c>
      <c r="S1593" s="58">
        <f>IF((L1595=""),"",AVERAGE(D1595:L1595))</f>
        <v>3326.557777777778</v>
      </c>
      <c r="T1593" s="57">
        <f>IF((L1594=""),"",((Q1593-R1593)/(Q1593+R1593))*100)</f>
        <v>1.4021997424160921</v>
      </c>
      <c r="U1593" s="56">
        <f>STDEV(D1593:L1593)</f>
        <v>54.839868126328561</v>
      </c>
      <c r="V1593" s="55" t="str">
        <f>IF(L1594="","",(IF(T1593&lt;7,IF(S1593&gt;2800,IF(S1593&lt;3800,"Pass","Fail"),"Fail"),"Fail")))</f>
        <v>Pass</v>
      </c>
      <c r="W1593" s="54">
        <v>121</v>
      </c>
      <c r="X1593" s="26" t="s">
        <v>554</v>
      </c>
      <c r="Z1593" s="53">
        <v>2800</v>
      </c>
      <c r="AA1593" s="53">
        <v>3800</v>
      </c>
      <c r="AB1593" s="53">
        <v>3100</v>
      </c>
      <c r="AC1593" s="53">
        <v>3760</v>
      </c>
      <c r="AD1593" s="52">
        <v>6</v>
      </c>
      <c r="AE1593" s="52">
        <v>6</v>
      </c>
    </row>
    <row r="1594" spans="1:31" ht="15.75">
      <c r="A1594" s="199"/>
      <c r="B1594" s="48"/>
      <c r="C1594" s="51" t="s">
        <v>155</v>
      </c>
      <c r="D1594">
        <v>3423.26</v>
      </c>
      <c r="E1594">
        <v>3309.08</v>
      </c>
      <c r="F1594">
        <v>3540.47</v>
      </c>
      <c r="G1594">
        <v>3342.59</v>
      </c>
      <c r="H1594">
        <v>3428.56</v>
      </c>
      <c r="I1594">
        <v>3428.41</v>
      </c>
      <c r="J1594">
        <v>3405.77</v>
      </c>
      <c r="K1594">
        <v>3421.37</v>
      </c>
      <c r="L1594">
        <v>3431.19</v>
      </c>
      <c r="M1594" s="50"/>
      <c r="N1594" s="50"/>
      <c r="O1594" s="50"/>
      <c r="P1594" s="50"/>
      <c r="Q1594" s="48"/>
      <c r="R1594" s="48"/>
      <c r="S1594" s="49"/>
      <c r="T1594" s="48"/>
      <c r="U1594" s="48"/>
      <c r="V1594" s="47"/>
      <c r="W1594" s="46"/>
    </row>
    <row r="1595" spans="1:31" ht="24.75" thickBot="1">
      <c r="A1595" s="199"/>
      <c r="B1595" s="42"/>
      <c r="C1595" s="45" t="s">
        <v>154</v>
      </c>
      <c r="D1595" s="44">
        <f t="shared" ref="D1595:L1595" si="526">IF(((D1593="")*AND(D1594="")),"",(D1593-D1594)*2)</f>
        <v>3327.9599999999991</v>
      </c>
      <c r="E1595" s="44">
        <f t="shared" si="526"/>
        <v>3352.0400000000009</v>
      </c>
      <c r="F1595" s="44">
        <f t="shared" si="526"/>
        <v>3261.2799999999997</v>
      </c>
      <c r="G1595" s="44">
        <f t="shared" si="526"/>
        <v>3322.42</v>
      </c>
      <c r="H1595" s="44">
        <f t="shared" si="526"/>
        <v>3348.62</v>
      </c>
      <c r="I1595" s="44">
        <f t="shared" si="526"/>
        <v>3337.6200000000008</v>
      </c>
      <c r="J1595" s="44">
        <f t="shared" si="526"/>
        <v>3354.04</v>
      </c>
      <c r="K1595" s="44">
        <f t="shared" si="526"/>
        <v>3338.1800000000003</v>
      </c>
      <c r="L1595" s="44">
        <f t="shared" si="526"/>
        <v>3296.8599999999997</v>
      </c>
      <c r="M1595" s="44"/>
      <c r="N1595" s="44"/>
      <c r="O1595" s="44"/>
      <c r="P1595" s="44"/>
      <c r="Q1595" s="42"/>
      <c r="R1595" s="42"/>
      <c r="S1595" s="43"/>
      <c r="T1595" s="42"/>
      <c r="U1595" s="42"/>
      <c r="V1595" s="41"/>
      <c r="W1595" s="40"/>
    </row>
    <row r="1596" spans="1:31" ht="15.75">
      <c r="A1596" s="195">
        <v>44221</v>
      </c>
      <c r="B1596" s="63" t="s">
        <v>158</v>
      </c>
      <c r="C1596" s="56" t="s">
        <v>156</v>
      </c>
      <c r="D1596">
        <v>1910.6</v>
      </c>
      <c r="E1596">
        <v>1902.44</v>
      </c>
      <c r="F1596">
        <v>1903.98</v>
      </c>
      <c r="G1596">
        <v>1906.45</v>
      </c>
      <c r="H1596">
        <v>1915.02</v>
      </c>
      <c r="I1596">
        <v>1911.29</v>
      </c>
      <c r="J1596">
        <v>1908.84</v>
      </c>
      <c r="K1596">
        <v>1942.49</v>
      </c>
      <c r="L1596">
        <v>1913.55</v>
      </c>
      <c r="M1596" s="62"/>
      <c r="N1596" s="62"/>
      <c r="O1596" s="62"/>
      <c r="P1596" s="62"/>
      <c r="Q1596" s="57">
        <f>IF((L1597=""),"",MAX(D1598:L1598))</f>
        <v>3122.3199999999997</v>
      </c>
      <c r="R1596" s="57">
        <f>IF(L1597="","",MIN(D1598:L1598))</f>
        <v>2785.16</v>
      </c>
      <c r="S1596" s="58">
        <f>IF((L1598=""),"",AVERAGE(D1598:L1598))</f>
        <v>2937.7377777777779</v>
      </c>
      <c r="T1596" s="57">
        <f>IF((L1597=""),"",((Q1596-R1596)/(Q1596+R1596))*100)</f>
        <v>5.7073405242167539</v>
      </c>
      <c r="U1596" s="56">
        <f>STDEV(D1596:L1596)</f>
        <v>11.912182839418517</v>
      </c>
      <c r="V1596" s="55" t="str">
        <f>IF(L1597="","",(IF(T1596&lt;12,IF(S1596&gt;2200,IF(S1596&lt;3280,"Pass","Fail"),"Fail"),"Fail")))</f>
        <v>Pass</v>
      </c>
      <c r="W1596" s="54">
        <v>1335</v>
      </c>
      <c r="X1596" s="26" t="s">
        <v>555</v>
      </c>
      <c r="Z1596" s="37">
        <v>2000</v>
      </c>
      <c r="AA1596" s="37">
        <v>3000</v>
      </c>
      <c r="AB1596" s="37">
        <v>2200</v>
      </c>
      <c r="AC1596" s="37">
        <v>3280</v>
      </c>
      <c r="AD1596" s="39">
        <v>12</v>
      </c>
      <c r="AE1596" s="39">
        <v>12</v>
      </c>
    </row>
    <row r="1597" spans="1:31" ht="15.75">
      <c r="A1597" s="199"/>
      <c r="B1597" s="48"/>
      <c r="C1597" s="51" t="s">
        <v>155</v>
      </c>
      <c r="D1597">
        <v>1168.8699999999999</v>
      </c>
      <c r="E1597">
        <v>1189.1300000000001</v>
      </c>
      <c r="F1597">
        <v>1207.69</v>
      </c>
      <c r="G1597">
        <v>1189.27</v>
      </c>
      <c r="H1597">
        <v>1158.7</v>
      </c>
      <c r="I1597">
        <v>1185.02</v>
      </c>
      <c r="J1597">
        <v>1203.53</v>
      </c>
      <c r="K1597">
        <v>1169.57</v>
      </c>
      <c r="L1597">
        <v>1132.97</v>
      </c>
      <c r="M1597" s="50"/>
      <c r="N1597" s="50"/>
      <c r="O1597" s="50"/>
      <c r="P1597" s="50"/>
      <c r="Q1597" s="48"/>
      <c r="R1597" s="48"/>
      <c r="S1597" s="48"/>
      <c r="T1597" s="48"/>
      <c r="U1597" s="48"/>
      <c r="V1597" s="47"/>
      <c r="W1597" s="46"/>
    </row>
    <row r="1598" spans="1:31" ht="24.75" thickBot="1">
      <c r="A1598" s="199"/>
      <c r="B1598" s="61"/>
      <c r="C1598" s="51" t="s">
        <v>154</v>
      </c>
      <c r="D1598" s="24">
        <f t="shared" ref="D1598:L1598" si="527">IF(((D1596="")*AND(D1597="")),"",(D1596-D1597)*4)</f>
        <v>2966.92</v>
      </c>
      <c r="E1598" s="24">
        <f t="shared" si="527"/>
        <v>2853.24</v>
      </c>
      <c r="F1598" s="24">
        <f t="shared" si="527"/>
        <v>2785.16</v>
      </c>
      <c r="G1598" s="24">
        <f t="shared" si="527"/>
        <v>2868.7200000000003</v>
      </c>
      <c r="H1598" s="24">
        <f t="shared" si="527"/>
        <v>3025.2799999999997</v>
      </c>
      <c r="I1598" s="24">
        <f t="shared" si="527"/>
        <v>2905.08</v>
      </c>
      <c r="J1598" s="24">
        <f t="shared" si="527"/>
        <v>2821.24</v>
      </c>
      <c r="K1598" s="24">
        <f t="shared" si="527"/>
        <v>3091.6800000000003</v>
      </c>
      <c r="L1598" s="24">
        <f t="shared" si="527"/>
        <v>3122.3199999999997</v>
      </c>
      <c r="M1598" s="24"/>
      <c r="N1598" s="24"/>
      <c r="O1598" s="24"/>
      <c r="P1598" s="24" t="str">
        <f>IF(((P1596="")*AND(P1597="")),"",(P1596-P1597)*4)</f>
        <v/>
      </c>
      <c r="Q1598" s="61"/>
      <c r="R1598" s="61"/>
      <c r="S1598" s="61"/>
      <c r="T1598" s="61"/>
      <c r="U1598" s="61"/>
      <c r="V1598" s="60"/>
      <c r="W1598" s="59"/>
    </row>
    <row r="1599" spans="1:31" ht="15.75">
      <c r="A1599" s="195">
        <v>44221</v>
      </c>
      <c r="B1599" s="57" t="s">
        <v>157</v>
      </c>
      <c r="C1599" s="51" t="s">
        <v>156</v>
      </c>
      <c r="D1599">
        <v>6715.2</v>
      </c>
      <c r="E1599">
        <v>6683.9</v>
      </c>
      <c r="F1599">
        <v>6745.41</v>
      </c>
      <c r="G1599">
        <v>6656.86</v>
      </c>
      <c r="H1599">
        <v>6799.94</v>
      </c>
      <c r="I1599">
        <v>6771.84</v>
      </c>
      <c r="J1599">
        <v>6767.38</v>
      </c>
      <c r="K1599">
        <v>6769.53</v>
      </c>
      <c r="L1599">
        <v>6698.58</v>
      </c>
      <c r="M1599" s="50"/>
      <c r="N1599" s="50"/>
      <c r="O1599" s="50"/>
      <c r="P1599" s="50"/>
      <c r="Q1599" s="57">
        <f>IF((L1600=""),"",MAX(D1601:L1601))</f>
        <v>3391.4399999999987</v>
      </c>
      <c r="R1599" s="57">
        <f>IF(L1600="","",MIN(D1601:L1601))</f>
        <v>3284.08</v>
      </c>
      <c r="S1599" s="58">
        <f>IF((L1601=""),"",AVERAGE(D1601:L1601))</f>
        <v>3358.5399999999991</v>
      </c>
      <c r="T1599" s="57">
        <f>IF((L1600=""),"",((Q1599-R1599)/(Q1599+R1599))*100)</f>
        <v>1.6082642251090369</v>
      </c>
      <c r="U1599" s="56">
        <f>STDEV(D1599:L1599)</f>
        <v>47.899079062250436</v>
      </c>
      <c r="V1599" s="55" t="str">
        <f>IF(L1600="","",(IF(T1599&lt;7,IF(S1599&gt;2800,IF(S1599&lt;3800,"Pass","Fail"),"Fail"),"Fail")))</f>
        <v>Pass</v>
      </c>
      <c r="W1599" s="54">
        <v>1335</v>
      </c>
      <c r="X1599" s="26" t="s">
        <v>555</v>
      </c>
      <c r="Z1599" s="53">
        <v>2800</v>
      </c>
      <c r="AA1599" s="53">
        <v>3800</v>
      </c>
      <c r="AB1599" s="53">
        <v>3100</v>
      </c>
      <c r="AC1599" s="53">
        <v>3760</v>
      </c>
      <c r="AD1599" s="52">
        <v>6</v>
      </c>
      <c r="AE1599" s="52">
        <v>6</v>
      </c>
    </row>
    <row r="1600" spans="1:31" ht="15.75">
      <c r="A1600" s="199"/>
      <c r="B1600" s="48"/>
      <c r="C1600" s="51" t="s">
        <v>155</v>
      </c>
      <c r="D1600">
        <v>5035.2700000000004</v>
      </c>
      <c r="E1600">
        <v>4988.18</v>
      </c>
      <c r="F1600">
        <v>5103.37</v>
      </c>
      <c r="G1600">
        <v>4976.74</v>
      </c>
      <c r="H1600">
        <v>5110.34</v>
      </c>
      <c r="I1600">
        <v>5086</v>
      </c>
      <c r="J1600">
        <v>5078.6899999999996</v>
      </c>
      <c r="K1600">
        <v>5080.34</v>
      </c>
      <c r="L1600">
        <v>5036.28</v>
      </c>
      <c r="M1600" s="50"/>
      <c r="N1600" s="50"/>
      <c r="O1600" s="50"/>
      <c r="P1600" s="50"/>
      <c r="Q1600" s="48"/>
      <c r="R1600" s="48"/>
      <c r="S1600" s="49"/>
      <c r="T1600" s="48"/>
      <c r="U1600" s="48"/>
      <c r="V1600" s="47"/>
      <c r="W1600" s="46"/>
    </row>
    <row r="1601" spans="1:31" ht="24.75" thickBot="1">
      <c r="A1601" s="199"/>
      <c r="B1601" s="42"/>
      <c r="C1601" s="45" t="s">
        <v>154</v>
      </c>
      <c r="D1601" s="44">
        <f t="shared" ref="D1601:L1601" si="528">IF(((D1599="")*AND(D1600="")),"",(D1599-D1600)*2)</f>
        <v>3359.8599999999988</v>
      </c>
      <c r="E1601" s="44">
        <f t="shared" si="528"/>
        <v>3391.4399999999987</v>
      </c>
      <c r="F1601" s="44">
        <f t="shared" si="528"/>
        <v>3284.08</v>
      </c>
      <c r="G1601" s="44">
        <f t="shared" si="528"/>
        <v>3360.24</v>
      </c>
      <c r="H1601" s="44">
        <f t="shared" si="528"/>
        <v>3379.1999999999989</v>
      </c>
      <c r="I1601" s="44">
        <f t="shared" si="528"/>
        <v>3371.6800000000003</v>
      </c>
      <c r="J1601" s="44">
        <f t="shared" si="528"/>
        <v>3377.380000000001</v>
      </c>
      <c r="K1601" s="44">
        <f t="shared" si="528"/>
        <v>3378.3799999999992</v>
      </c>
      <c r="L1601" s="44">
        <f t="shared" si="528"/>
        <v>3324.6000000000004</v>
      </c>
      <c r="M1601" s="44"/>
      <c r="N1601" s="44"/>
      <c r="O1601" s="44"/>
      <c r="P1601" s="44"/>
      <c r="Q1601" s="42"/>
      <c r="R1601" s="42"/>
      <c r="S1601" s="43"/>
      <c r="T1601" s="42"/>
      <c r="U1601" s="42"/>
      <c r="V1601" s="41"/>
      <c r="W1601" s="40"/>
    </row>
    <row r="1602" spans="1:31" ht="15.75">
      <c r="A1602" s="195">
        <v>44227</v>
      </c>
      <c r="B1602" s="63" t="s">
        <v>158</v>
      </c>
      <c r="C1602" s="56" t="s">
        <v>156</v>
      </c>
      <c r="D1602">
        <v>1169.1500000000001</v>
      </c>
      <c r="E1602">
        <v>1190.42</v>
      </c>
      <c r="F1602">
        <v>1204.3699999999999</v>
      </c>
      <c r="G1602">
        <v>1191.95</v>
      </c>
      <c r="H1602">
        <v>1162.32</v>
      </c>
      <c r="I1602">
        <v>1187.03</v>
      </c>
      <c r="J1602">
        <v>1207.48</v>
      </c>
      <c r="K1602">
        <v>1172.4100000000001</v>
      </c>
      <c r="L1602">
        <v>1133.75</v>
      </c>
      <c r="M1602" s="62"/>
      <c r="N1602" s="62"/>
      <c r="O1602" s="62"/>
      <c r="P1602" s="62"/>
      <c r="Q1602" s="57">
        <f>IF((L1603=""),"",MAX(D1604:L1604))</f>
        <v>3083.84</v>
      </c>
      <c r="R1602" s="57">
        <f>IF(L1603="","",MIN(D1604:L1604))</f>
        <v>2705.8799999999997</v>
      </c>
      <c r="S1602" s="58">
        <f>IF((L1604=""),"",AVERAGE(D1604:L1604))</f>
        <v>2829.7288888888888</v>
      </c>
      <c r="T1602" s="57">
        <f>IF((L1603=""),"",((Q1602-R1602)/(Q1602+R1602))*100)</f>
        <v>6.5281222580712122</v>
      </c>
      <c r="U1602" s="56">
        <f>STDEV(D1602:L1602)</f>
        <v>23.121102974942268</v>
      </c>
      <c r="V1602" s="55" t="str">
        <f>IF(L1603="","",(IF(T1602&lt;12,IF(S1602&gt;2200,IF(S1602&lt;3280,"Pass","Fail"),"Fail"),"Fail")))</f>
        <v>Pass</v>
      </c>
      <c r="W1602" s="54">
        <v>1428</v>
      </c>
      <c r="X1602" s="26" t="s">
        <v>556</v>
      </c>
      <c r="Z1602" s="37">
        <v>2000</v>
      </c>
      <c r="AA1602" s="37">
        <v>3000</v>
      </c>
      <c r="AB1602" s="37">
        <v>2200</v>
      </c>
      <c r="AC1602" s="37">
        <v>3280</v>
      </c>
      <c r="AD1602" s="39">
        <v>12</v>
      </c>
      <c r="AE1602" s="39">
        <v>12</v>
      </c>
    </row>
    <row r="1603" spans="1:31" ht="15.75">
      <c r="A1603" s="199"/>
      <c r="B1603" s="48"/>
      <c r="C1603" s="51" t="s">
        <v>155</v>
      </c>
      <c r="D1603">
        <v>448.98</v>
      </c>
      <c r="E1603">
        <v>501.08</v>
      </c>
      <c r="F1603">
        <v>527.9</v>
      </c>
      <c r="G1603">
        <v>496.81</v>
      </c>
      <c r="H1603">
        <v>422.26</v>
      </c>
      <c r="I1603">
        <v>476.14</v>
      </c>
      <c r="J1603">
        <v>526.02</v>
      </c>
      <c r="K1603">
        <v>490.01</v>
      </c>
      <c r="L1603">
        <v>362.79</v>
      </c>
      <c r="M1603" s="50"/>
      <c r="N1603" s="50"/>
      <c r="O1603" s="50"/>
      <c r="P1603" s="50"/>
      <c r="Q1603" s="48"/>
      <c r="R1603" s="48"/>
      <c r="S1603" s="48"/>
      <c r="T1603" s="48"/>
      <c r="U1603" s="48"/>
      <c r="V1603" s="47"/>
      <c r="W1603" s="46"/>
    </row>
    <row r="1604" spans="1:31" ht="24.75" thickBot="1">
      <c r="A1604" s="199"/>
      <c r="B1604" s="61"/>
      <c r="C1604" s="51" t="s">
        <v>154</v>
      </c>
      <c r="D1604" s="24">
        <f t="shared" ref="D1604:L1604" si="529">IF(((D1602="")*AND(D1603="")),"",(D1602-D1603)*4)</f>
        <v>2880.6800000000003</v>
      </c>
      <c r="E1604" s="24">
        <f t="shared" si="529"/>
        <v>2757.3600000000006</v>
      </c>
      <c r="F1604" s="24">
        <f t="shared" si="529"/>
        <v>2705.8799999999997</v>
      </c>
      <c r="G1604" s="24">
        <f t="shared" si="529"/>
        <v>2780.5600000000004</v>
      </c>
      <c r="H1604" s="24">
        <f t="shared" si="529"/>
        <v>2960.24</v>
      </c>
      <c r="I1604" s="24">
        <f t="shared" si="529"/>
        <v>2843.56</v>
      </c>
      <c r="J1604" s="24">
        <f t="shared" si="529"/>
        <v>2725.84</v>
      </c>
      <c r="K1604" s="24">
        <f t="shared" si="529"/>
        <v>2729.6000000000004</v>
      </c>
      <c r="L1604" s="24">
        <f t="shared" si="529"/>
        <v>3083.84</v>
      </c>
      <c r="M1604" s="24"/>
      <c r="N1604" s="24"/>
      <c r="O1604" s="24"/>
      <c r="P1604" s="24" t="str">
        <f>IF(((P1602="")*AND(P1603="")),"",(P1602-P1603)*4)</f>
        <v/>
      </c>
      <c r="Q1604" s="61"/>
      <c r="R1604" s="61"/>
      <c r="S1604" s="61"/>
      <c r="T1604" s="61"/>
      <c r="U1604" s="61"/>
      <c r="V1604" s="60"/>
      <c r="W1604" s="59"/>
    </row>
    <row r="1605" spans="1:31" ht="15.75">
      <c r="A1605" s="195">
        <v>44227</v>
      </c>
      <c r="B1605" s="57" t="s">
        <v>157</v>
      </c>
      <c r="C1605" s="51" t="s">
        <v>156</v>
      </c>
      <c r="D1605">
        <v>5040.99</v>
      </c>
      <c r="E1605">
        <v>4995.3999999999996</v>
      </c>
      <c r="F1605">
        <v>5109.1099999999997</v>
      </c>
      <c r="G1605">
        <v>4977.66</v>
      </c>
      <c r="H1605">
        <v>5115.83</v>
      </c>
      <c r="I1605">
        <v>5091.43</v>
      </c>
      <c r="J1605">
        <v>5083.96</v>
      </c>
      <c r="K1605">
        <v>5085.79</v>
      </c>
      <c r="L1605">
        <v>5041.87</v>
      </c>
      <c r="M1605" s="50"/>
      <c r="N1605" s="50"/>
      <c r="O1605" s="50"/>
      <c r="P1605" s="50"/>
      <c r="Q1605" s="57">
        <f>IF((L1606=""),"",MAX(D1607:L1607))</f>
        <v>3354.8999999999996</v>
      </c>
      <c r="R1605" s="57">
        <f>IF(L1606="","",MIN(D1607:L1607))</f>
        <v>3254.3799999999992</v>
      </c>
      <c r="S1605" s="58">
        <f>IF((L1607=""),"",AVERAGE(D1607:L1607))</f>
        <v>3324.7622222222217</v>
      </c>
      <c r="T1605" s="57">
        <f>IF((L1606=""),"",((Q1605-R1605)/(Q1605+R1605))*100)</f>
        <v>1.5208918369323203</v>
      </c>
      <c r="U1605" s="56">
        <f>STDEV(D1605:L1605)</f>
        <v>49.24236209804539</v>
      </c>
      <c r="V1605" s="55" t="str">
        <f>IF(L1606="","",(IF(T1605&lt;7,IF(S1605&gt;2800,IF(S1605&lt;3800,"Pass","Fail"),"Fail"),"Fail")))</f>
        <v>Pass</v>
      </c>
      <c r="W1605" s="54">
        <v>1428</v>
      </c>
      <c r="X1605" s="26" t="s">
        <v>556</v>
      </c>
      <c r="Z1605" s="53">
        <v>2800</v>
      </c>
      <c r="AA1605" s="53">
        <v>3800</v>
      </c>
      <c r="AB1605" s="53">
        <v>3100</v>
      </c>
      <c r="AC1605" s="53">
        <v>3760</v>
      </c>
      <c r="AD1605" s="52">
        <v>6</v>
      </c>
      <c r="AE1605" s="52">
        <v>6</v>
      </c>
    </row>
    <row r="1606" spans="1:31" ht="15.75">
      <c r="A1606" s="199"/>
      <c r="B1606" s="48"/>
      <c r="C1606" s="51" t="s">
        <v>155</v>
      </c>
      <c r="D1606">
        <v>3374.97</v>
      </c>
      <c r="E1606">
        <v>3317.95</v>
      </c>
      <c r="F1606">
        <v>3481.92</v>
      </c>
      <c r="G1606">
        <v>3313.28</v>
      </c>
      <c r="H1606">
        <v>3443.2</v>
      </c>
      <c r="I1606">
        <v>3422.91</v>
      </c>
      <c r="J1606">
        <v>3409.57</v>
      </c>
      <c r="K1606">
        <v>3416.35</v>
      </c>
      <c r="L1606">
        <v>3400.46</v>
      </c>
      <c r="M1606" s="50"/>
      <c r="N1606" s="50"/>
      <c r="O1606" s="50"/>
      <c r="P1606" s="50"/>
      <c r="Q1606" s="48"/>
      <c r="R1606" s="48"/>
      <c r="S1606" s="49"/>
      <c r="T1606" s="48"/>
      <c r="U1606" s="48"/>
      <c r="V1606" s="47"/>
      <c r="W1606" s="46"/>
    </row>
    <row r="1607" spans="1:31" ht="24.75" thickBot="1">
      <c r="A1607" s="199"/>
      <c r="B1607" s="42"/>
      <c r="C1607" s="45" t="s">
        <v>154</v>
      </c>
      <c r="D1607" s="44">
        <f t="shared" ref="D1607:L1607" si="530">IF(((D1605="")*AND(D1606="")),"",(D1605-D1606)*2)</f>
        <v>3332.04</v>
      </c>
      <c r="E1607" s="44">
        <f t="shared" si="530"/>
        <v>3354.8999999999996</v>
      </c>
      <c r="F1607" s="44">
        <f t="shared" si="530"/>
        <v>3254.3799999999992</v>
      </c>
      <c r="G1607" s="44">
        <f t="shared" si="530"/>
        <v>3328.7599999999993</v>
      </c>
      <c r="H1607" s="44">
        <f t="shared" si="530"/>
        <v>3345.26</v>
      </c>
      <c r="I1607" s="44">
        <f t="shared" si="530"/>
        <v>3337.0400000000009</v>
      </c>
      <c r="J1607" s="44">
        <f t="shared" si="530"/>
        <v>3348.7799999999997</v>
      </c>
      <c r="K1607" s="44">
        <f t="shared" si="530"/>
        <v>3338.88</v>
      </c>
      <c r="L1607" s="44">
        <f t="shared" si="530"/>
        <v>3282.8199999999997</v>
      </c>
      <c r="M1607" s="44"/>
      <c r="N1607" s="44"/>
      <c r="O1607" s="44"/>
      <c r="P1607" s="44"/>
      <c r="Q1607" s="42"/>
      <c r="R1607" s="42"/>
      <c r="S1607" s="43"/>
      <c r="T1607" s="42"/>
      <c r="U1607" s="42"/>
      <c r="V1607" s="41"/>
      <c r="W1607" s="40"/>
    </row>
    <row r="1608" spans="1:31" ht="15.75">
      <c r="A1608" s="195">
        <v>44229</v>
      </c>
      <c r="B1608" s="63" t="s">
        <v>158</v>
      </c>
      <c r="C1608" s="56" t="s">
        <v>156</v>
      </c>
      <c r="D1608">
        <v>1910.25</v>
      </c>
      <c r="E1608">
        <v>1904.03</v>
      </c>
      <c r="F1608">
        <v>1901.03</v>
      </c>
      <c r="G1608">
        <v>1904.84</v>
      </c>
      <c r="H1608">
        <v>1912.86</v>
      </c>
      <c r="I1608">
        <v>1958.26</v>
      </c>
      <c r="J1608">
        <v>1910.33</v>
      </c>
      <c r="K1608">
        <v>1943.41</v>
      </c>
      <c r="L1608">
        <v>1914.82</v>
      </c>
      <c r="M1608" s="62"/>
      <c r="N1608" s="62"/>
      <c r="O1608" s="62"/>
      <c r="P1608" s="62"/>
      <c r="Q1608" s="57">
        <f>IF((L1609=""),"",MAX(D1610:L1610))</f>
        <v>3123.04</v>
      </c>
      <c r="R1608" s="57">
        <f>IF(L1609="","",MIN(D1610:L1610))</f>
        <v>2804.96</v>
      </c>
      <c r="S1608" s="58">
        <f>IF((L1610=""),"",AVERAGE(D1610:L1610))</f>
        <v>2962.6977777777774</v>
      </c>
      <c r="T1608" s="57">
        <f>IF((L1609=""),"",((Q1608-R1608)/(Q1608+R1608))*100)</f>
        <v>5.3657219973009438</v>
      </c>
      <c r="U1608" s="56">
        <f>STDEV(D1608:L1608)</f>
        <v>19.614290991791403</v>
      </c>
      <c r="V1608" s="55" t="str">
        <f>IF(L1609="","",(IF(T1608&lt;12,IF(S1608&gt;2200,IF(S1608&lt;3280,"Pass","Fail"),"Fail"),"Fail")))</f>
        <v>Pass</v>
      </c>
      <c r="W1608" s="54">
        <v>121</v>
      </c>
      <c r="X1608" s="26" t="s">
        <v>559</v>
      </c>
      <c r="Z1608" s="37">
        <v>2000</v>
      </c>
      <c r="AA1608" s="37">
        <v>3000</v>
      </c>
      <c r="AB1608" s="37">
        <v>2200</v>
      </c>
      <c r="AC1608" s="37">
        <v>3280</v>
      </c>
      <c r="AD1608" s="39">
        <v>12</v>
      </c>
      <c r="AE1608" s="39">
        <v>12</v>
      </c>
    </row>
    <row r="1609" spans="1:31" ht="15.75">
      <c r="A1609" s="199"/>
      <c r="B1609" s="48"/>
      <c r="C1609" s="51" t="s">
        <v>155</v>
      </c>
      <c r="D1609">
        <v>1171.1300000000001</v>
      </c>
      <c r="E1609">
        <v>1189.2</v>
      </c>
      <c r="F1609">
        <v>1199.79</v>
      </c>
      <c r="G1609">
        <v>1186.74</v>
      </c>
      <c r="H1609">
        <v>1155.92</v>
      </c>
      <c r="I1609">
        <v>1181.9000000000001</v>
      </c>
      <c r="J1609">
        <v>1203.96</v>
      </c>
      <c r="K1609">
        <v>1171.06</v>
      </c>
      <c r="L1609">
        <v>1134.06</v>
      </c>
      <c r="M1609" s="50"/>
      <c r="N1609" s="50"/>
      <c r="O1609" s="50"/>
      <c r="P1609" s="50"/>
      <c r="Q1609" s="48"/>
      <c r="R1609" s="48"/>
      <c r="S1609" s="48"/>
      <c r="T1609" s="48"/>
      <c r="U1609" s="48"/>
      <c r="V1609" s="47"/>
      <c r="W1609" s="46"/>
    </row>
    <row r="1610" spans="1:31" ht="24.75" thickBot="1">
      <c r="A1610" s="199"/>
      <c r="B1610" s="61"/>
      <c r="C1610" s="51" t="s">
        <v>154</v>
      </c>
      <c r="D1610" s="24">
        <f t="shared" ref="D1610:L1610" si="531">IF(((D1608="")*AND(D1609="")),"",(D1608-D1609)*4)</f>
        <v>2956.4799999999996</v>
      </c>
      <c r="E1610" s="24">
        <f t="shared" si="531"/>
        <v>2859.3199999999997</v>
      </c>
      <c r="F1610" s="24">
        <f t="shared" si="531"/>
        <v>2804.96</v>
      </c>
      <c r="G1610" s="24">
        <f t="shared" si="531"/>
        <v>2872.3999999999996</v>
      </c>
      <c r="H1610" s="24">
        <f t="shared" si="531"/>
        <v>3027.7599999999993</v>
      </c>
      <c r="I1610" s="24">
        <f t="shared" si="531"/>
        <v>3105.4399999999996</v>
      </c>
      <c r="J1610" s="24">
        <f t="shared" si="531"/>
        <v>2825.4799999999996</v>
      </c>
      <c r="K1610" s="24">
        <f t="shared" si="531"/>
        <v>3089.4000000000005</v>
      </c>
      <c r="L1610" s="24">
        <f t="shared" si="531"/>
        <v>3123.04</v>
      </c>
      <c r="M1610" s="24"/>
      <c r="N1610" s="24"/>
      <c r="O1610" s="24"/>
      <c r="P1610" s="24" t="str">
        <f>IF(((P1608="")*AND(P1609="")),"",(P1608-P1609)*4)</f>
        <v/>
      </c>
      <c r="Q1610" s="61"/>
      <c r="R1610" s="61"/>
      <c r="S1610" s="61"/>
      <c r="T1610" s="61"/>
      <c r="U1610" s="61"/>
      <c r="V1610" s="60"/>
      <c r="W1610" s="59"/>
    </row>
    <row r="1611" spans="1:31" ht="15.75">
      <c r="A1611" s="195">
        <v>44229</v>
      </c>
      <c r="B1611" s="57" t="s">
        <v>157</v>
      </c>
      <c r="C1611" s="51" t="s">
        <v>156</v>
      </c>
      <c r="D1611">
        <v>3374.97</v>
      </c>
      <c r="E1611">
        <v>3317.95</v>
      </c>
      <c r="F1611">
        <v>3481.92</v>
      </c>
      <c r="G1611">
        <v>3313.28</v>
      </c>
      <c r="H1611">
        <v>3443.2</v>
      </c>
      <c r="I1611">
        <v>3422.91</v>
      </c>
      <c r="J1611">
        <v>3409.57</v>
      </c>
      <c r="K1611">
        <v>3416.35</v>
      </c>
      <c r="L1611">
        <v>3400.46</v>
      </c>
      <c r="M1611" s="50"/>
      <c r="N1611" s="50"/>
      <c r="O1611" s="50"/>
      <c r="P1611" s="50"/>
      <c r="Q1611" s="57">
        <f>IF((L1612=""),"",MAX(D1613:L1613))</f>
        <v>3336.4799999999996</v>
      </c>
      <c r="R1611" s="57">
        <f>IF(L1612="","",MIN(D1613:L1613))</f>
        <v>3238.84</v>
      </c>
      <c r="S1611" s="58">
        <f>IF((L1613=""),"",AVERAGE(D1613:L1613))</f>
        <v>3305.4999999999995</v>
      </c>
      <c r="T1611" s="57">
        <f>IF((L1612=""),"",((Q1611-R1611)/(Q1611+R1611))*100)</f>
        <v>1.4849467402346872</v>
      </c>
      <c r="U1611" s="56">
        <f>STDEV(D1611:L1611)</f>
        <v>55.11170545159117</v>
      </c>
      <c r="V1611" s="55" t="str">
        <f>IF(L1612="","",(IF(T1611&lt;7,IF(S1611&gt;2800,IF(S1611&lt;3800,"Pass","Fail"),"Fail"),"Fail")))</f>
        <v>Pass</v>
      </c>
      <c r="W1611" s="54">
        <v>121</v>
      </c>
      <c r="X1611" s="26" t="s">
        <v>559</v>
      </c>
      <c r="Z1611" s="53">
        <v>2800</v>
      </c>
      <c r="AA1611" s="53">
        <v>3800</v>
      </c>
      <c r="AB1611" s="53">
        <v>3100</v>
      </c>
      <c r="AC1611" s="53">
        <v>3760</v>
      </c>
      <c r="AD1611" s="52">
        <v>6</v>
      </c>
      <c r="AE1611" s="52">
        <v>6</v>
      </c>
    </row>
    <row r="1612" spans="1:31" ht="15.75">
      <c r="A1612" s="199"/>
      <c r="B1612" s="48"/>
      <c r="C1612" s="51" t="s">
        <v>155</v>
      </c>
      <c r="D1612">
        <v>1719.49</v>
      </c>
      <c r="E1612">
        <v>1649.71</v>
      </c>
      <c r="F1612">
        <v>1862.5</v>
      </c>
      <c r="G1612">
        <v>1656.23</v>
      </c>
      <c r="H1612">
        <v>1782.79</v>
      </c>
      <c r="I1612">
        <v>1765.73</v>
      </c>
      <c r="J1612">
        <v>1745.98</v>
      </c>
      <c r="K1612">
        <v>1757.86</v>
      </c>
      <c r="L1612">
        <v>1765.57</v>
      </c>
      <c r="M1612" s="50"/>
      <c r="N1612" s="50"/>
      <c r="O1612" s="50"/>
      <c r="P1612" s="50"/>
      <c r="Q1612" s="48"/>
      <c r="R1612" s="48"/>
      <c r="S1612" s="49"/>
      <c r="T1612" s="48"/>
      <c r="U1612" s="48"/>
      <c r="V1612" s="47"/>
      <c r="W1612" s="46"/>
    </row>
    <row r="1613" spans="1:31" ht="24.75" thickBot="1">
      <c r="A1613" s="199"/>
      <c r="B1613" s="42"/>
      <c r="C1613" s="45" t="s">
        <v>154</v>
      </c>
      <c r="D1613" s="44">
        <f t="shared" ref="D1613:L1613" si="532">IF(((D1611="")*AND(D1612="")),"",(D1611-D1612)*2)</f>
        <v>3310.9599999999996</v>
      </c>
      <c r="E1613" s="44">
        <f t="shared" si="532"/>
        <v>3336.4799999999996</v>
      </c>
      <c r="F1613" s="44">
        <f t="shared" si="532"/>
        <v>3238.84</v>
      </c>
      <c r="G1613" s="44">
        <f t="shared" si="532"/>
        <v>3314.1000000000004</v>
      </c>
      <c r="H1613" s="44">
        <f t="shared" si="532"/>
        <v>3320.8199999999997</v>
      </c>
      <c r="I1613" s="44">
        <f t="shared" si="532"/>
        <v>3314.3599999999997</v>
      </c>
      <c r="J1613" s="44">
        <f t="shared" si="532"/>
        <v>3327.1800000000003</v>
      </c>
      <c r="K1613" s="44">
        <f t="shared" si="532"/>
        <v>3316.98</v>
      </c>
      <c r="L1613" s="44">
        <f t="shared" si="532"/>
        <v>3269.78</v>
      </c>
      <c r="M1613" s="44"/>
      <c r="N1613" s="44"/>
      <c r="O1613" s="44"/>
      <c r="P1613" s="44"/>
      <c r="Q1613" s="42"/>
      <c r="R1613" s="42"/>
      <c r="S1613" s="43"/>
      <c r="T1613" s="42"/>
      <c r="U1613" s="42"/>
      <c r="V1613" s="41"/>
      <c r="W1613" s="40"/>
    </row>
    <row r="1614" spans="1:31" ht="15.75">
      <c r="A1614" s="195">
        <v>44234</v>
      </c>
      <c r="B1614" s="63" t="s">
        <v>158</v>
      </c>
      <c r="C1614" s="56" t="s">
        <v>156</v>
      </c>
      <c r="D1614">
        <v>1171.24</v>
      </c>
      <c r="E1614">
        <v>1189.52</v>
      </c>
      <c r="F1614">
        <v>1203.01</v>
      </c>
      <c r="G1614">
        <v>1188.21</v>
      </c>
      <c r="H1614">
        <v>1156.1600000000001</v>
      </c>
      <c r="I1614">
        <v>1179.46</v>
      </c>
      <c r="J1614">
        <v>1207.97</v>
      </c>
      <c r="K1614">
        <v>1170.8399999999999</v>
      </c>
      <c r="L1614">
        <v>1137.3900000000001</v>
      </c>
      <c r="M1614" s="62"/>
      <c r="N1614" s="62"/>
      <c r="O1614" s="62"/>
      <c r="P1614" s="62"/>
      <c r="Q1614" s="57">
        <f>IF((L1615=""),"",MAX(D1616:L1616))</f>
        <v>3022.76</v>
      </c>
      <c r="R1614" s="57">
        <f>IF(L1615="","",MIN(D1616:L1616))</f>
        <v>2662.2799999999997</v>
      </c>
      <c r="S1614" s="58">
        <f>IF((L1616=""),"",AVERAGE(D1616:L1616))</f>
        <v>2796.8177777777778</v>
      </c>
      <c r="T1614" s="57">
        <f>IF((L1615=""),"",((Q1614-R1614)/(Q1614+R1614))*100)</f>
        <v>6.3408524830080433</v>
      </c>
      <c r="U1614" s="56">
        <f>STDEV(D1614:L1614)</f>
        <v>22.320248654535302</v>
      </c>
      <c r="V1614" s="55" t="str">
        <f>IF(L1615="","",(IF(T1614&lt;12,IF(S1614&gt;2200,IF(S1614&lt;3280,"Pass","Fail"),"Fail"),"Fail")))</f>
        <v>Pass</v>
      </c>
      <c r="W1614" s="54">
        <v>121</v>
      </c>
      <c r="X1614" s="26" t="s">
        <v>563</v>
      </c>
      <c r="Z1614" s="37">
        <v>2000</v>
      </c>
      <c r="AA1614" s="37">
        <v>3000</v>
      </c>
      <c r="AB1614" s="37">
        <v>2200</v>
      </c>
      <c r="AC1614" s="37">
        <v>3280</v>
      </c>
      <c r="AD1614" s="39">
        <v>12</v>
      </c>
      <c r="AE1614" s="39">
        <v>12</v>
      </c>
    </row>
    <row r="1615" spans="1:31" ht="15.75">
      <c r="A1615" s="199"/>
      <c r="B1615" s="48"/>
      <c r="C1615" s="51" t="s">
        <v>155</v>
      </c>
      <c r="D1615">
        <v>452.96</v>
      </c>
      <c r="E1615">
        <v>501.55</v>
      </c>
      <c r="F1615">
        <v>537.44000000000005</v>
      </c>
      <c r="G1615">
        <v>501.35</v>
      </c>
      <c r="H1615">
        <v>428.8</v>
      </c>
      <c r="I1615">
        <v>496.85</v>
      </c>
      <c r="J1615">
        <v>531.16999999999996</v>
      </c>
      <c r="K1615">
        <v>479.14</v>
      </c>
      <c r="L1615">
        <v>381.7</v>
      </c>
      <c r="M1615" s="50"/>
      <c r="N1615" s="50"/>
      <c r="O1615" s="50"/>
      <c r="P1615" s="50"/>
      <c r="Q1615" s="48"/>
      <c r="R1615" s="48"/>
      <c r="S1615" s="48"/>
      <c r="T1615" s="48"/>
      <c r="U1615" s="48"/>
      <c r="V1615" s="47"/>
      <c r="W1615" s="46"/>
    </row>
    <row r="1616" spans="1:31" ht="24.75" thickBot="1">
      <c r="A1616" s="199"/>
      <c r="B1616" s="61"/>
      <c r="C1616" s="51" t="s">
        <v>154</v>
      </c>
      <c r="D1616" s="24">
        <f t="shared" ref="D1616:L1616" si="533">IF(((D1614="")*AND(D1615="")),"",(D1614-D1615)*4)</f>
        <v>2873.12</v>
      </c>
      <c r="E1616" s="24">
        <f t="shared" si="533"/>
        <v>2751.88</v>
      </c>
      <c r="F1616" s="24">
        <f t="shared" si="533"/>
        <v>2662.2799999999997</v>
      </c>
      <c r="G1616" s="24">
        <f t="shared" si="533"/>
        <v>2747.44</v>
      </c>
      <c r="H1616" s="24">
        <f t="shared" si="533"/>
        <v>2909.4400000000005</v>
      </c>
      <c r="I1616" s="24">
        <f t="shared" si="533"/>
        <v>2730.44</v>
      </c>
      <c r="J1616" s="24">
        <f t="shared" si="533"/>
        <v>2707.2000000000003</v>
      </c>
      <c r="K1616" s="24">
        <f t="shared" si="533"/>
        <v>2766.7999999999997</v>
      </c>
      <c r="L1616" s="24">
        <f t="shared" si="533"/>
        <v>3022.76</v>
      </c>
      <c r="M1616" s="24"/>
      <c r="N1616" s="24"/>
      <c r="O1616" s="24"/>
      <c r="P1616" s="24" t="str">
        <f>IF(((P1614="")*AND(P1615="")),"",(P1614-P1615)*4)</f>
        <v/>
      </c>
      <c r="Q1616" s="61"/>
      <c r="R1616" s="61"/>
      <c r="S1616" s="61"/>
      <c r="T1616" s="61"/>
      <c r="U1616" s="61"/>
      <c r="V1616" s="60"/>
      <c r="W1616" s="59"/>
    </row>
    <row r="1617" spans="1:31" ht="15.75">
      <c r="A1617" s="195">
        <v>44234</v>
      </c>
      <c r="B1617" s="57" t="s">
        <v>157</v>
      </c>
      <c r="C1617" s="51" t="s">
        <v>156</v>
      </c>
      <c r="D1617">
        <v>6736.97</v>
      </c>
      <c r="E1617">
        <v>6655.28</v>
      </c>
      <c r="F1617">
        <v>6794.12</v>
      </c>
      <c r="G1617">
        <v>6664.44</v>
      </c>
      <c r="H1617">
        <v>6768.83</v>
      </c>
      <c r="I1617">
        <v>6756.64</v>
      </c>
      <c r="J1617">
        <v>6744.22</v>
      </c>
      <c r="K1617">
        <v>6755.55</v>
      </c>
      <c r="L1617">
        <v>6742.89</v>
      </c>
      <c r="M1617" s="50"/>
      <c r="N1617" s="50"/>
      <c r="O1617" s="50"/>
      <c r="P1617" s="50"/>
      <c r="Q1617" s="57">
        <f>IF((L1618=""),"",MAX(D1619:L1619))</f>
        <v>3391</v>
      </c>
      <c r="R1617" s="57">
        <f>IF(L1618="","",MIN(D1619:L1619))</f>
        <v>3303.2999999999993</v>
      </c>
      <c r="S1617" s="58">
        <f>IF((L1619=""),"",AVERAGE(D1619:L1619))</f>
        <v>3365.8955555555563</v>
      </c>
      <c r="T1617" s="57">
        <f>IF((L1618=""),"",((Q1617-R1617)/(Q1617+R1617))*100)</f>
        <v>1.3100697608413239</v>
      </c>
      <c r="U1617" s="56">
        <f>STDEV(D1617:L1617)</f>
        <v>46.11621726075429</v>
      </c>
      <c r="V1617" s="55" t="str">
        <f>IF(L1618="","",(IF(T1617&lt;7,IF(S1617&gt;2800,IF(S1617&lt;3800,"Pass","Fail"),"Fail"),"Fail")))</f>
        <v>Pass</v>
      </c>
      <c r="W1617" s="54">
        <v>121</v>
      </c>
      <c r="X1617" s="26" t="s">
        <v>563</v>
      </c>
      <c r="Z1617" s="53">
        <v>2800</v>
      </c>
      <c r="AA1617" s="53">
        <v>3800</v>
      </c>
      <c r="AB1617" s="53">
        <v>3100</v>
      </c>
      <c r="AC1617" s="53">
        <v>3760</v>
      </c>
      <c r="AD1617" s="52">
        <v>6</v>
      </c>
      <c r="AE1617" s="52">
        <v>6</v>
      </c>
    </row>
    <row r="1618" spans="1:31" ht="15.75">
      <c r="A1618" s="199"/>
      <c r="B1618" s="48"/>
      <c r="C1618" s="51" t="s">
        <v>155</v>
      </c>
      <c r="D1618">
        <v>5051.51</v>
      </c>
      <c r="E1618">
        <v>4959.78</v>
      </c>
      <c r="F1618">
        <v>5142.47</v>
      </c>
      <c r="G1618">
        <v>4981.04</v>
      </c>
      <c r="H1618">
        <v>5076.32</v>
      </c>
      <c r="I1618">
        <v>5066.76</v>
      </c>
      <c r="J1618">
        <v>5051.53</v>
      </c>
      <c r="K1618">
        <v>5063.7299999999996</v>
      </c>
      <c r="L1618">
        <v>5079.2700000000004</v>
      </c>
      <c r="M1618" s="50"/>
      <c r="N1618" s="50"/>
      <c r="O1618" s="50"/>
      <c r="P1618" s="50"/>
      <c r="Q1618" s="48"/>
      <c r="R1618" s="48"/>
      <c r="S1618" s="49"/>
      <c r="T1618" s="48"/>
      <c r="U1618" s="48"/>
      <c r="V1618" s="47"/>
      <c r="W1618" s="46"/>
    </row>
    <row r="1619" spans="1:31" ht="24.75" thickBot="1">
      <c r="A1619" s="199"/>
      <c r="B1619" s="42"/>
      <c r="C1619" s="45" t="s">
        <v>154</v>
      </c>
      <c r="D1619" s="44">
        <f t="shared" ref="D1619:L1619" si="534">IF(((D1617="")*AND(D1618="")),"",(D1617-D1618)*2)</f>
        <v>3370.92</v>
      </c>
      <c r="E1619" s="44">
        <f t="shared" si="534"/>
        <v>3391</v>
      </c>
      <c r="F1619" s="44">
        <f t="shared" si="534"/>
        <v>3303.2999999999993</v>
      </c>
      <c r="G1619" s="44">
        <f t="shared" si="534"/>
        <v>3366.7999999999993</v>
      </c>
      <c r="H1619" s="44">
        <f t="shared" si="534"/>
        <v>3385.0200000000004</v>
      </c>
      <c r="I1619" s="44">
        <f t="shared" si="534"/>
        <v>3379.76</v>
      </c>
      <c r="J1619" s="44">
        <f t="shared" si="534"/>
        <v>3385.380000000001</v>
      </c>
      <c r="K1619" s="44">
        <f t="shared" si="534"/>
        <v>3383.6400000000012</v>
      </c>
      <c r="L1619" s="44">
        <f t="shared" si="534"/>
        <v>3327.24</v>
      </c>
      <c r="M1619" s="44"/>
      <c r="N1619" s="44"/>
      <c r="O1619" s="44"/>
      <c r="P1619" s="44"/>
      <c r="Q1619" s="42"/>
      <c r="R1619" s="42"/>
      <c r="S1619" s="43"/>
      <c r="T1619" s="42"/>
      <c r="U1619" s="42"/>
      <c r="V1619" s="41"/>
      <c r="W1619" s="40"/>
    </row>
    <row r="1620" spans="1:31" ht="15.75">
      <c r="A1620" s="195">
        <v>44249</v>
      </c>
      <c r="B1620" s="63" t="s">
        <v>158</v>
      </c>
      <c r="C1620" s="56" t="s">
        <v>156</v>
      </c>
      <c r="D1620">
        <v>1940.77</v>
      </c>
      <c r="E1620">
        <v>1950.33</v>
      </c>
      <c r="F1620">
        <v>1936.9</v>
      </c>
      <c r="G1620">
        <v>1950.12</v>
      </c>
      <c r="H1620">
        <v>1968.45</v>
      </c>
      <c r="I1620">
        <v>1962.34</v>
      </c>
      <c r="J1620">
        <v>1954.78</v>
      </c>
      <c r="K1620">
        <v>1955.41</v>
      </c>
      <c r="L1620">
        <v>1979.73</v>
      </c>
      <c r="M1620" s="62"/>
      <c r="N1620" s="62"/>
      <c r="O1620" s="62"/>
      <c r="P1620" s="62"/>
      <c r="Q1620" s="57">
        <f>IF((L1621=""),"",MAX(D1622:L1622))</f>
        <v>3335.92</v>
      </c>
      <c r="R1620" s="57">
        <f>IF(L1621="","",MIN(D1622:L1622))</f>
        <v>2937.8</v>
      </c>
      <c r="S1620" s="58">
        <f>IF((L1622=""),"",AVERAGE(D1622:L1622))</f>
        <v>3085.3377777777778</v>
      </c>
      <c r="T1620" s="57">
        <f>IF((L1621=""),"",((Q1620-R1620)/(Q1620+R1620))*100)</f>
        <v>6.3458362821420131</v>
      </c>
      <c r="U1620" s="56">
        <f>STDEV(D1620:L1620)</f>
        <v>13.32602633110662</v>
      </c>
      <c r="V1620" s="55" t="str">
        <f>IF(L1621="","",(IF(T1620&lt;12,IF(S1620&gt;2200,IF(S1620&lt;3280,"Pass","Fail"),"Fail"),"Fail")))</f>
        <v>Pass</v>
      </c>
      <c r="W1620" s="54">
        <v>102</v>
      </c>
      <c r="X1620" s="26" t="s">
        <v>568</v>
      </c>
      <c r="Z1620" s="37">
        <v>2000</v>
      </c>
      <c r="AA1620" s="37">
        <v>3000</v>
      </c>
      <c r="AB1620" s="37">
        <v>2200</v>
      </c>
      <c r="AC1620" s="37">
        <v>3280</v>
      </c>
      <c r="AD1620" s="39">
        <v>12</v>
      </c>
      <c r="AE1620" s="39">
        <v>12</v>
      </c>
    </row>
    <row r="1621" spans="1:31" ht="15.75">
      <c r="A1621" s="199"/>
      <c r="B1621" s="48"/>
      <c r="C1621" s="51" t="s">
        <v>155</v>
      </c>
      <c r="D1621">
        <v>1178.83</v>
      </c>
      <c r="E1621">
        <v>1198.74</v>
      </c>
      <c r="F1621">
        <v>1202.45</v>
      </c>
      <c r="G1621">
        <v>1191.98</v>
      </c>
      <c r="H1621">
        <v>1159.5999999999999</v>
      </c>
      <c r="I1621">
        <v>1188.42</v>
      </c>
      <c r="J1621">
        <v>1211.31</v>
      </c>
      <c r="K1621">
        <v>1179.74</v>
      </c>
      <c r="L1621">
        <v>1145.75</v>
      </c>
      <c r="M1621" s="50"/>
      <c r="N1621" s="50"/>
      <c r="O1621" s="50"/>
      <c r="P1621" s="50"/>
      <c r="Q1621" s="48"/>
      <c r="R1621" s="48"/>
      <c r="S1621" s="48"/>
      <c r="T1621" s="48"/>
      <c r="U1621" s="48"/>
      <c r="V1621" s="47"/>
      <c r="W1621" s="46"/>
    </row>
    <row r="1622" spans="1:31" ht="24.75" thickBot="1">
      <c r="A1622" s="199"/>
      <c r="B1622" s="61"/>
      <c r="C1622" s="51" t="s">
        <v>154</v>
      </c>
      <c r="D1622" s="24">
        <f t="shared" ref="D1622:L1622" si="535">IF(((D1620="")*AND(D1621="")),"",(D1620-D1621)*4)</f>
        <v>3047.76</v>
      </c>
      <c r="E1622" s="24">
        <f t="shared" si="535"/>
        <v>3006.3599999999997</v>
      </c>
      <c r="F1622" s="24">
        <f t="shared" si="535"/>
        <v>2937.8</v>
      </c>
      <c r="G1622" s="24">
        <f t="shared" si="535"/>
        <v>3032.5599999999995</v>
      </c>
      <c r="H1622" s="24">
        <f t="shared" si="535"/>
        <v>3235.4000000000005</v>
      </c>
      <c r="I1622" s="24">
        <f t="shared" si="535"/>
        <v>3095.6799999999994</v>
      </c>
      <c r="J1622" s="24">
        <f t="shared" si="535"/>
        <v>2973.88</v>
      </c>
      <c r="K1622" s="24">
        <f t="shared" si="535"/>
        <v>3102.6800000000003</v>
      </c>
      <c r="L1622" s="24">
        <f t="shared" si="535"/>
        <v>3335.92</v>
      </c>
      <c r="M1622" s="24"/>
      <c r="N1622" s="24"/>
      <c r="O1622" s="24"/>
      <c r="P1622" s="24" t="str">
        <f>IF(((P1620="")*AND(P1621="")),"",(P1620-P1621)*4)</f>
        <v/>
      </c>
      <c r="Q1622" s="61"/>
      <c r="R1622" s="61"/>
      <c r="S1622" s="61"/>
      <c r="T1622" s="61"/>
      <c r="U1622" s="61"/>
      <c r="V1622" s="60"/>
      <c r="W1622" s="59"/>
    </row>
    <row r="1623" spans="1:31" ht="15.75">
      <c r="A1623" s="195">
        <v>44249</v>
      </c>
      <c r="B1623" s="57" t="s">
        <v>157</v>
      </c>
      <c r="C1623" s="51" t="s">
        <v>156</v>
      </c>
      <c r="D1623">
        <v>5062.45</v>
      </c>
      <c r="E1623">
        <v>4973.1499999999996</v>
      </c>
      <c r="F1623">
        <v>5151.33</v>
      </c>
      <c r="G1623">
        <v>4998.6000000000004</v>
      </c>
      <c r="H1623">
        <v>5087.42</v>
      </c>
      <c r="I1623">
        <v>5076.8999999999996</v>
      </c>
      <c r="J1623">
        <v>5061.8999999999996</v>
      </c>
      <c r="K1623">
        <v>5074.3500000000004</v>
      </c>
      <c r="L1623">
        <v>5088.2700000000004</v>
      </c>
      <c r="M1623" s="50"/>
      <c r="N1623" s="50"/>
      <c r="O1623" s="50"/>
      <c r="P1623" s="50"/>
      <c r="Q1623" s="57">
        <f>IF((L1624=""),"",MAX(D1625:L1625))</f>
        <v>3368.4799999999996</v>
      </c>
      <c r="R1623" s="57">
        <f>IF(L1624="","",MIN(D1625:L1625))</f>
        <v>3267.42</v>
      </c>
      <c r="S1623" s="58">
        <f>IF((L1625=""),"",AVERAGE(D1625:L1625))</f>
        <v>3337.2644444444441</v>
      </c>
      <c r="T1623" s="57">
        <f>IF((L1624=""),"",((Q1623-R1623)/(Q1623+R1623))*100)</f>
        <v>1.5229283141698864</v>
      </c>
      <c r="U1623" s="56">
        <f>STDEV(D1623:L1623)</f>
        <v>51.93143374795563</v>
      </c>
      <c r="V1623" s="55" t="str">
        <f>IF(L1624="","",(IF(T1623&lt;7,IF(S1623&gt;2800,IF(S1623&lt;3800,"Pass","Fail"),"Fail"),"Fail")))</f>
        <v>Pass</v>
      </c>
      <c r="W1623" s="54">
        <v>102</v>
      </c>
      <c r="X1623" s="26" t="s">
        <v>568</v>
      </c>
      <c r="Z1623" s="53">
        <v>2800</v>
      </c>
      <c r="AA1623" s="53">
        <v>3800</v>
      </c>
      <c r="AB1623" s="53">
        <v>3100</v>
      </c>
      <c r="AC1623" s="53">
        <v>3760</v>
      </c>
      <c r="AD1623" s="52">
        <v>6</v>
      </c>
      <c r="AE1623" s="52">
        <v>6</v>
      </c>
    </row>
    <row r="1624" spans="1:31" ht="15.75">
      <c r="A1624" s="199"/>
      <c r="B1624" s="48"/>
      <c r="C1624" s="51" t="s">
        <v>155</v>
      </c>
      <c r="D1624">
        <v>3391</v>
      </c>
      <c r="E1624">
        <v>3288.91</v>
      </c>
      <c r="F1624">
        <v>3517.62</v>
      </c>
      <c r="G1624">
        <v>3327.3</v>
      </c>
      <c r="H1624">
        <v>3409.8</v>
      </c>
      <c r="I1624">
        <v>3402.67</v>
      </c>
      <c r="J1624">
        <v>3381.57</v>
      </c>
      <c r="K1624">
        <v>3399.19</v>
      </c>
      <c r="L1624">
        <v>3438.62</v>
      </c>
      <c r="M1624" s="50"/>
      <c r="N1624" s="50"/>
      <c r="O1624" s="50"/>
      <c r="P1624" s="50"/>
      <c r="Q1624" s="48"/>
      <c r="R1624" s="48"/>
      <c r="S1624" s="49"/>
      <c r="T1624" s="48"/>
      <c r="U1624" s="48"/>
      <c r="V1624" s="47"/>
      <c r="W1624" s="46"/>
    </row>
    <row r="1625" spans="1:31" ht="24.75" thickBot="1">
      <c r="A1625" s="199"/>
      <c r="B1625" s="42"/>
      <c r="C1625" s="45" t="s">
        <v>154</v>
      </c>
      <c r="D1625" s="44">
        <f t="shared" ref="D1625:L1625" si="536">IF(((D1623="")*AND(D1624="")),"",(D1623-D1624)*2)</f>
        <v>3342.8999999999996</v>
      </c>
      <c r="E1625" s="44">
        <f t="shared" si="536"/>
        <v>3368.4799999999996</v>
      </c>
      <c r="F1625" s="44">
        <f t="shared" si="536"/>
        <v>3267.42</v>
      </c>
      <c r="G1625" s="44">
        <f t="shared" si="536"/>
        <v>3342.6000000000004</v>
      </c>
      <c r="H1625" s="44">
        <f t="shared" si="536"/>
        <v>3355.24</v>
      </c>
      <c r="I1625" s="44">
        <f t="shared" si="536"/>
        <v>3348.4599999999991</v>
      </c>
      <c r="J1625" s="44">
        <f t="shared" si="536"/>
        <v>3360.6599999999989</v>
      </c>
      <c r="K1625" s="44">
        <f t="shared" si="536"/>
        <v>3350.3200000000006</v>
      </c>
      <c r="L1625" s="44">
        <f t="shared" si="536"/>
        <v>3299.3000000000011</v>
      </c>
      <c r="M1625" s="44"/>
      <c r="N1625" s="44"/>
      <c r="O1625" s="44"/>
      <c r="P1625" s="44"/>
      <c r="Q1625" s="42"/>
      <c r="R1625" s="42"/>
      <c r="S1625" s="43"/>
      <c r="T1625" s="42"/>
      <c r="U1625" s="42"/>
      <c r="V1625" s="41"/>
      <c r="W1625" s="40"/>
    </row>
    <row r="1626" spans="1:31" ht="15.75">
      <c r="A1626" s="195">
        <v>44253</v>
      </c>
      <c r="B1626" s="63" t="s">
        <v>158</v>
      </c>
      <c r="C1626" s="56" t="s">
        <v>156</v>
      </c>
      <c r="D1626">
        <v>1178.83</v>
      </c>
      <c r="E1626">
        <v>1198.74</v>
      </c>
      <c r="F1626">
        <v>1202.45</v>
      </c>
      <c r="G1626">
        <v>1191.98</v>
      </c>
      <c r="H1626">
        <v>1159.5999999999999</v>
      </c>
      <c r="I1626">
        <v>1188.42</v>
      </c>
      <c r="J1626">
        <v>1211.31</v>
      </c>
      <c r="K1626">
        <v>1179.74</v>
      </c>
      <c r="L1626">
        <v>1145.75</v>
      </c>
      <c r="M1626" s="62"/>
      <c r="N1626" s="62"/>
      <c r="O1626" s="62"/>
      <c r="P1626" s="62"/>
      <c r="Q1626" s="57">
        <f>IF((L1627=""),"",MAX(D1628:L1628))</f>
        <v>2971</v>
      </c>
      <c r="R1626" s="57">
        <f>IF(L1627="","",MIN(D1628:L1628))</f>
        <v>2628.1600000000003</v>
      </c>
      <c r="S1626" s="58">
        <f>IF((L1628=""),"",AVERAGE(D1628:L1628))</f>
        <v>2752.2711111111112</v>
      </c>
      <c r="T1626" s="57">
        <f>IF((L1627=""),"",((Q1626-R1626)/(Q1626+R1626))*100)</f>
        <v>6.1230613163403032</v>
      </c>
      <c r="U1626" s="56">
        <f>STDEV(D1626:L1626)</f>
        <v>20.886440843557157</v>
      </c>
      <c r="V1626" s="55" t="str">
        <f>IF(L1627="","",(IF(T1626&lt;12,IF(S1626&gt;2200,IF(S1626&lt;3280,"Pass","Fail"),"Fail"),"Fail")))</f>
        <v>Pass</v>
      </c>
      <c r="W1626" s="54">
        <v>121</v>
      </c>
      <c r="X1626" s="26" t="s">
        <v>570</v>
      </c>
      <c r="Z1626" s="37">
        <v>2000</v>
      </c>
      <c r="AA1626" s="37">
        <v>3000</v>
      </c>
      <c r="AB1626" s="37">
        <v>2200</v>
      </c>
      <c r="AC1626" s="37">
        <v>3280</v>
      </c>
      <c r="AD1626" s="39">
        <v>12</v>
      </c>
      <c r="AE1626" s="39">
        <v>12</v>
      </c>
    </row>
    <row r="1627" spans="1:31" ht="15.75">
      <c r="A1627" s="199"/>
      <c r="B1627" s="48"/>
      <c r="C1627" s="51" t="s">
        <v>155</v>
      </c>
      <c r="D1627">
        <v>471.58</v>
      </c>
      <c r="E1627">
        <v>525.92999999999995</v>
      </c>
      <c r="F1627">
        <v>545.41</v>
      </c>
      <c r="G1627">
        <v>516.49</v>
      </c>
      <c r="H1627">
        <v>440.38</v>
      </c>
      <c r="I1627">
        <v>503.04</v>
      </c>
      <c r="J1627">
        <v>544.05999999999995</v>
      </c>
      <c r="K1627">
        <v>514.32000000000005</v>
      </c>
      <c r="L1627">
        <v>403</v>
      </c>
      <c r="M1627" s="50"/>
      <c r="N1627" s="50"/>
      <c r="O1627" s="50"/>
      <c r="P1627" s="50"/>
      <c r="Q1627" s="48"/>
      <c r="R1627" s="48"/>
      <c r="S1627" s="48"/>
      <c r="T1627" s="48"/>
      <c r="U1627" s="48"/>
      <c r="V1627" s="47"/>
      <c r="W1627" s="46"/>
    </row>
    <row r="1628" spans="1:31" ht="24.75" thickBot="1">
      <c r="A1628" s="199"/>
      <c r="B1628" s="61"/>
      <c r="C1628" s="51" t="s">
        <v>154</v>
      </c>
      <c r="D1628" s="24">
        <f t="shared" ref="D1628:L1628" si="537">IF(((D1626="")*AND(D1627="")),"",(D1626-D1627)*4)</f>
        <v>2829</v>
      </c>
      <c r="E1628" s="24">
        <f t="shared" si="537"/>
        <v>2691.2400000000002</v>
      </c>
      <c r="F1628" s="24">
        <f t="shared" si="537"/>
        <v>2628.1600000000003</v>
      </c>
      <c r="G1628" s="24">
        <f t="shared" si="537"/>
        <v>2701.96</v>
      </c>
      <c r="H1628" s="24">
        <f t="shared" si="537"/>
        <v>2876.8799999999997</v>
      </c>
      <c r="I1628" s="24">
        <f t="shared" si="537"/>
        <v>2741.5200000000004</v>
      </c>
      <c r="J1628" s="24">
        <f t="shared" si="537"/>
        <v>2669</v>
      </c>
      <c r="K1628" s="24">
        <f t="shared" si="537"/>
        <v>2661.68</v>
      </c>
      <c r="L1628" s="24">
        <f t="shared" si="537"/>
        <v>2971</v>
      </c>
      <c r="M1628" s="24"/>
      <c r="N1628" s="24"/>
      <c r="O1628" s="24"/>
      <c r="P1628" s="24" t="str">
        <f>IF(((P1626="")*AND(P1627="")),"",(P1626-P1627)*4)</f>
        <v/>
      </c>
      <c r="Q1628" s="61"/>
      <c r="R1628" s="61"/>
      <c r="S1628" s="61"/>
      <c r="T1628" s="61"/>
      <c r="U1628" s="61"/>
      <c r="V1628" s="60"/>
      <c r="W1628" s="59"/>
    </row>
    <row r="1629" spans="1:31" ht="15.75">
      <c r="A1629" s="195">
        <v>44253</v>
      </c>
      <c r="B1629" s="57" t="s">
        <v>157</v>
      </c>
      <c r="C1629" s="51" t="s">
        <v>156</v>
      </c>
      <c r="D1629">
        <v>3391</v>
      </c>
      <c r="E1629">
        <v>3288.91</v>
      </c>
      <c r="F1629">
        <v>3517.62</v>
      </c>
      <c r="G1629">
        <v>3327.3</v>
      </c>
      <c r="H1629">
        <v>3409.8</v>
      </c>
      <c r="I1629">
        <v>3402.67</v>
      </c>
      <c r="J1629">
        <v>3381.57</v>
      </c>
      <c r="K1629">
        <v>3399.19</v>
      </c>
      <c r="L1629">
        <v>3438.62</v>
      </c>
      <c r="M1629" s="50"/>
      <c r="N1629" s="50"/>
      <c r="O1629" s="50"/>
      <c r="P1629" s="50"/>
      <c r="Q1629" s="57">
        <f>IF((L1630=""),"",MAX(D1631:L1631))</f>
        <v>3352.9599999999996</v>
      </c>
      <c r="R1629" s="57">
        <f>IF(L1630="","",MIN(D1631:L1631))</f>
        <v>3242.12</v>
      </c>
      <c r="S1629" s="58">
        <f>IF((L1631=""),"",AVERAGE(D1631:L1631))</f>
        <v>3317.7422222222222</v>
      </c>
      <c r="T1629" s="57">
        <f>IF((L1630=""),"",((Q1629-R1629)/(Q1629+R1629))*100)</f>
        <v>1.6806467851792504</v>
      </c>
      <c r="U1629" s="56">
        <f>STDEV(D1629:L1629)</f>
        <v>64.486649005887145</v>
      </c>
      <c r="V1629" s="55" t="str">
        <f>IF(L1630="","",(IF(T1629&lt;7,IF(S1629&gt;2800,IF(S1629&lt;3800,"Pass","Fail"),"Fail"),"Fail")))</f>
        <v>Pass</v>
      </c>
      <c r="W1629" s="54">
        <v>121</v>
      </c>
      <c r="X1629" s="26" t="s">
        <v>570</v>
      </c>
      <c r="Z1629" s="53">
        <v>2800</v>
      </c>
      <c r="AA1629" s="53">
        <v>3800</v>
      </c>
      <c r="AB1629" s="53">
        <v>3100</v>
      </c>
      <c r="AC1629" s="53">
        <v>3760</v>
      </c>
      <c r="AD1629" s="52">
        <v>6</v>
      </c>
      <c r="AE1629" s="52">
        <v>6</v>
      </c>
    </row>
    <row r="1630" spans="1:31" ht="15.75">
      <c r="A1630" s="199"/>
      <c r="B1630" s="48"/>
      <c r="C1630" s="51" t="s">
        <v>155</v>
      </c>
      <c r="D1630">
        <v>1730.52</v>
      </c>
      <c r="E1630">
        <v>1612.43</v>
      </c>
      <c r="F1630">
        <v>1896.56</v>
      </c>
      <c r="G1630">
        <v>1658.87</v>
      </c>
      <c r="H1630">
        <v>1743.07</v>
      </c>
      <c r="I1630">
        <v>1739.85</v>
      </c>
      <c r="J1630">
        <v>1712.21</v>
      </c>
      <c r="K1630">
        <v>1735.42</v>
      </c>
      <c r="L1630">
        <v>1797.91</v>
      </c>
      <c r="M1630" s="50"/>
      <c r="N1630" s="50"/>
      <c r="O1630" s="50"/>
      <c r="P1630" s="50"/>
      <c r="Q1630" s="48"/>
      <c r="R1630" s="48"/>
      <c r="S1630" s="49"/>
      <c r="T1630" s="48"/>
      <c r="U1630" s="48"/>
      <c r="V1630" s="47"/>
      <c r="W1630" s="46"/>
    </row>
    <row r="1631" spans="1:31" ht="24.75" thickBot="1">
      <c r="A1631" s="199"/>
      <c r="B1631" s="42"/>
      <c r="C1631" s="45" t="s">
        <v>154</v>
      </c>
      <c r="D1631" s="44">
        <f t="shared" ref="D1631:L1631" si="538">IF(((D1629="")*AND(D1630="")),"",(D1629-D1630)*2)</f>
        <v>3320.96</v>
      </c>
      <c r="E1631" s="44">
        <f t="shared" si="538"/>
        <v>3352.9599999999996</v>
      </c>
      <c r="F1631" s="44">
        <f t="shared" si="538"/>
        <v>3242.12</v>
      </c>
      <c r="G1631" s="44">
        <f t="shared" si="538"/>
        <v>3336.8600000000006</v>
      </c>
      <c r="H1631" s="44">
        <f t="shared" si="538"/>
        <v>3333.4600000000005</v>
      </c>
      <c r="I1631" s="44">
        <f t="shared" si="538"/>
        <v>3325.6400000000003</v>
      </c>
      <c r="J1631" s="44">
        <f t="shared" si="538"/>
        <v>3338.7200000000003</v>
      </c>
      <c r="K1631" s="44">
        <f t="shared" si="538"/>
        <v>3327.54</v>
      </c>
      <c r="L1631" s="44">
        <f t="shared" si="538"/>
        <v>3281.4199999999996</v>
      </c>
      <c r="M1631" s="44"/>
      <c r="N1631" s="44"/>
      <c r="O1631" s="44"/>
      <c r="P1631" s="44"/>
      <c r="Q1631" s="42"/>
      <c r="R1631" s="42"/>
      <c r="S1631" s="43"/>
      <c r="T1631" s="42"/>
      <c r="U1631" s="42"/>
      <c r="V1631" s="41"/>
      <c r="W1631" s="40"/>
    </row>
    <row r="1632" spans="1:31" ht="15.75">
      <c r="A1632" s="195">
        <v>44256</v>
      </c>
      <c r="B1632" s="63" t="s">
        <v>158</v>
      </c>
      <c r="C1632" s="56" t="s">
        <v>156</v>
      </c>
      <c r="D1632">
        <v>1891.97</v>
      </c>
      <c r="E1632">
        <v>1915.32</v>
      </c>
      <c r="F1632">
        <v>1911.51</v>
      </c>
      <c r="G1632">
        <v>1917.79</v>
      </c>
      <c r="H1632">
        <v>1923.5</v>
      </c>
      <c r="I1632">
        <v>1936.25</v>
      </c>
      <c r="J1632">
        <v>1919.52</v>
      </c>
      <c r="K1632">
        <v>1944.34</v>
      </c>
      <c r="L1632">
        <v>1926.79</v>
      </c>
      <c r="M1632" s="62"/>
      <c r="N1632" s="62"/>
      <c r="O1632" s="62"/>
      <c r="P1632" s="62"/>
      <c r="Q1632" s="57">
        <f>IF((L1633=""),"",MAX(D1634:L1634))</f>
        <v>3138.92</v>
      </c>
      <c r="R1632" s="57">
        <f>IF(L1633="","",MIN(D1634:L1634))</f>
        <v>2829.4399999999996</v>
      </c>
      <c r="S1632" s="58">
        <f>IF((L1634=""),"",AVERAGE(D1634:L1634))</f>
        <v>2967.3022222222226</v>
      </c>
      <c r="T1632" s="57">
        <f>IF((L1633=""),"",((Q1632-R1632)/(Q1632+R1632))*100)</f>
        <v>5.1853440476110766</v>
      </c>
      <c r="U1632" s="56">
        <f>STDEV(D1632:L1632)</f>
        <v>14.975818842344506</v>
      </c>
      <c r="V1632" s="55" t="str">
        <f>IF(L1633="","",(IF(T1632&lt;12,IF(S1632&gt;2200,IF(S1632&lt;3280,"Pass","Fail"),"Fail"),"Fail")))</f>
        <v>Pass</v>
      </c>
      <c r="W1632" s="54">
        <v>1428</v>
      </c>
      <c r="X1632" s="26" t="s">
        <v>572</v>
      </c>
      <c r="Z1632" s="37">
        <v>2000</v>
      </c>
      <c r="AA1632" s="37">
        <v>3000</v>
      </c>
      <c r="AB1632" s="37">
        <v>2200</v>
      </c>
      <c r="AC1632" s="37">
        <v>3280</v>
      </c>
      <c r="AD1632" s="39">
        <v>12</v>
      </c>
      <c r="AE1632" s="39">
        <v>12</v>
      </c>
    </row>
    <row r="1633" spans="1:31" ht="15.75">
      <c r="A1633" s="199"/>
      <c r="B1633" s="48"/>
      <c r="C1633" s="51" t="s">
        <v>155</v>
      </c>
      <c r="D1633">
        <v>1166.55</v>
      </c>
      <c r="E1633">
        <v>1190.6199999999999</v>
      </c>
      <c r="F1633">
        <v>1204.1500000000001</v>
      </c>
      <c r="G1633">
        <v>1191.05</v>
      </c>
      <c r="H1633">
        <v>1157.0899999999999</v>
      </c>
      <c r="I1633">
        <v>1181.0999999999999</v>
      </c>
      <c r="J1633">
        <v>1204.55</v>
      </c>
      <c r="K1633">
        <v>1173.3900000000001</v>
      </c>
      <c r="L1633">
        <v>1142.06</v>
      </c>
      <c r="M1633" s="50"/>
      <c r="N1633" s="50"/>
      <c r="O1633" s="50"/>
      <c r="P1633" s="50"/>
      <c r="Q1633" s="48"/>
      <c r="R1633" s="48"/>
      <c r="S1633" s="48"/>
      <c r="T1633" s="48"/>
      <c r="U1633" s="48"/>
      <c r="V1633" s="47"/>
      <c r="W1633" s="46"/>
    </row>
    <row r="1634" spans="1:31" ht="24.75" thickBot="1">
      <c r="A1634" s="199"/>
      <c r="B1634" s="61"/>
      <c r="C1634" s="51" t="s">
        <v>154</v>
      </c>
      <c r="D1634" s="24">
        <f t="shared" ref="D1634:L1634" si="539">IF(((D1632="")*AND(D1633="")),"",(D1632-D1633)*4)</f>
        <v>2901.6800000000003</v>
      </c>
      <c r="E1634" s="24">
        <f t="shared" si="539"/>
        <v>2898.8</v>
      </c>
      <c r="F1634" s="24">
        <f t="shared" si="539"/>
        <v>2829.4399999999996</v>
      </c>
      <c r="G1634" s="24">
        <f t="shared" si="539"/>
        <v>2906.96</v>
      </c>
      <c r="H1634" s="24">
        <f t="shared" si="539"/>
        <v>3065.6400000000003</v>
      </c>
      <c r="I1634" s="24">
        <f t="shared" si="539"/>
        <v>3020.6000000000004</v>
      </c>
      <c r="J1634" s="24">
        <f t="shared" si="539"/>
        <v>2859.88</v>
      </c>
      <c r="K1634" s="24">
        <f t="shared" si="539"/>
        <v>3083.7999999999993</v>
      </c>
      <c r="L1634" s="24">
        <f t="shared" si="539"/>
        <v>3138.92</v>
      </c>
      <c r="M1634" s="24"/>
      <c r="N1634" s="24"/>
      <c r="O1634" s="24"/>
      <c r="P1634" s="24" t="str">
        <f>IF(((P1632="")*AND(P1633="")),"",(P1632-P1633)*4)</f>
        <v/>
      </c>
      <c r="Q1634" s="61"/>
      <c r="R1634" s="61"/>
      <c r="S1634" s="61"/>
      <c r="T1634" s="61"/>
      <c r="U1634" s="61"/>
      <c r="V1634" s="60"/>
      <c r="W1634" s="59"/>
    </row>
    <row r="1635" spans="1:31" ht="15.75">
      <c r="A1635" s="195">
        <v>44256</v>
      </c>
      <c r="B1635" s="57" t="s">
        <v>157</v>
      </c>
      <c r="C1635" s="51" t="s">
        <v>156</v>
      </c>
      <c r="D1635">
        <v>6618.29</v>
      </c>
      <c r="E1635">
        <v>6603.6</v>
      </c>
      <c r="F1635">
        <v>6625.8</v>
      </c>
      <c r="G1635">
        <v>6584.87</v>
      </c>
      <c r="H1635">
        <v>6642.76</v>
      </c>
      <c r="I1635">
        <v>6652.99</v>
      </c>
      <c r="J1635">
        <v>6635.69</v>
      </c>
      <c r="K1635">
        <v>6637.17</v>
      </c>
      <c r="L1635">
        <v>6621.38</v>
      </c>
      <c r="M1635" s="50"/>
      <c r="N1635" s="50"/>
      <c r="O1635" s="50"/>
      <c r="P1635" s="50"/>
      <c r="Q1635" s="57">
        <f>IF((L1636=""),"",MAX(D1637:L1637))</f>
        <v>3347.9000000000015</v>
      </c>
      <c r="R1635" s="57">
        <f>IF(L1636="","",MIN(D1637:L1637))</f>
        <v>3267.92</v>
      </c>
      <c r="S1635" s="58">
        <f>IF((L1637=""),"",AVERAGE(D1637:L1637))</f>
        <v>3320.7044444444441</v>
      </c>
      <c r="T1635" s="57">
        <f>IF((L1636=""),"",((Q1635-R1635)/(Q1635+R1635))*100)</f>
        <v>1.2089204361666637</v>
      </c>
      <c r="U1635" s="56">
        <f>STDEV(D1635:L1635)</f>
        <v>20.879778362041641</v>
      </c>
      <c r="V1635" s="55" t="str">
        <f>IF(L1636="","",(IF(T1635&lt;7,IF(S1635&gt;2800,IF(S1635&lt;3800,"Pass","Fail"),"Fail"),"Fail")))</f>
        <v>Pass</v>
      </c>
      <c r="W1635" s="54">
        <v>1428</v>
      </c>
      <c r="X1635" s="26" t="s">
        <v>572</v>
      </c>
      <c r="Z1635" s="53">
        <v>2800</v>
      </c>
      <c r="AA1635" s="53">
        <v>3800</v>
      </c>
      <c r="AB1635" s="53">
        <v>3100</v>
      </c>
      <c r="AC1635" s="53">
        <v>3760</v>
      </c>
      <c r="AD1635" s="52">
        <v>6</v>
      </c>
      <c r="AE1635" s="52">
        <v>6</v>
      </c>
    </row>
    <row r="1636" spans="1:31" ht="15.75">
      <c r="A1636" s="199"/>
      <c r="B1636" s="48"/>
      <c r="C1636" s="51" t="s">
        <v>155</v>
      </c>
      <c r="D1636">
        <v>4954.68</v>
      </c>
      <c r="E1636">
        <v>4929.6499999999996</v>
      </c>
      <c r="F1636">
        <v>4991.84</v>
      </c>
      <c r="G1636">
        <v>4927.43</v>
      </c>
      <c r="H1636">
        <v>4973.97</v>
      </c>
      <c r="I1636">
        <v>4986.32</v>
      </c>
      <c r="J1636">
        <v>4965.8500000000004</v>
      </c>
      <c r="K1636">
        <v>4968.5600000000004</v>
      </c>
      <c r="L1636">
        <v>4981.08</v>
      </c>
      <c r="M1636" s="50"/>
      <c r="N1636" s="50"/>
      <c r="O1636" s="50"/>
      <c r="P1636" s="50"/>
      <c r="Q1636" s="48"/>
      <c r="R1636" s="48"/>
      <c r="S1636" s="49"/>
      <c r="T1636" s="48"/>
      <c r="U1636" s="48"/>
      <c r="V1636" s="47"/>
      <c r="W1636" s="46"/>
    </row>
    <row r="1637" spans="1:31" ht="24.75" thickBot="1">
      <c r="A1637" s="199"/>
      <c r="B1637" s="42"/>
      <c r="C1637" s="45" t="s">
        <v>154</v>
      </c>
      <c r="D1637" s="44">
        <f t="shared" ref="D1637:L1637" si="540">IF(((D1635="")*AND(D1636="")),"",(D1635-D1636)*2)</f>
        <v>3327.2199999999993</v>
      </c>
      <c r="E1637" s="44">
        <f t="shared" si="540"/>
        <v>3347.9000000000015</v>
      </c>
      <c r="F1637" s="44">
        <f t="shared" si="540"/>
        <v>3267.92</v>
      </c>
      <c r="G1637" s="44">
        <f t="shared" si="540"/>
        <v>3314.8799999999992</v>
      </c>
      <c r="H1637" s="44">
        <f t="shared" si="540"/>
        <v>3337.58</v>
      </c>
      <c r="I1637" s="44">
        <f t="shared" si="540"/>
        <v>3333.34</v>
      </c>
      <c r="J1637" s="44">
        <f t="shared" si="540"/>
        <v>3339.6799999999985</v>
      </c>
      <c r="K1637" s="44">
        <f t="shared" si="540"/>
        <v>3337.2199999999993</v>
      </c>
      <c r="L1637" s="44">
        <f t="shared" si="540"/>
        <v>3280.6000000000004</v>
      </c>
      <c r="M1637" s="44"/>
      <c r="N1637" s="44"/>
      <c r="O1637" s="44"/>
      <c r="P1637" s="44"/>
      <c r="Q1637" s="42"/>
      <c r="R1637" s="42"/>
      <c r="S1637" s="43"/>
      <c r="T1637" s="42"/>
      <c r="U1637" s="42"/>
      <c r="V1637" s="41"/>
      <c r="W1637" s="40"/>
    </row>
  </sheetData>
  <autoFilter ref="A13:AE1493"/>
  <mergeCells count="10">
    <mergeCell ref="X887:X892"/>
    <mergeCell ref="C8:P8"/>
    <mergeCell ref="A803:A805"/>
    <mergeCell ref="X803:X808"/>
    <mergeCell ref="A806:A808"/>
    <mergeCell ref="A809:A811"/>
    <mergeCell ref="X809:X814"/>
    <mergeCell ref="A812:A814"/>
    <mergeCell ref="B9:B10"/>
    <mergeCell ref="B11:B12"/>
  </mergeCells>
  <conditionalFormatting sqref="J1482:L1482">
    <cfRule type="cellIs" dxfId="9290" priority="9285" stopIfTrue="1" operator="equal">
      <formula>"Pass"</formula>
    </cfRule>
    <cfRule type="cellIs" dxfId="9289" priority="9286" stopIfTrue="1" operator="equal">
      <formula>"Fail"</formula>
    </cfRule>
  </conditionalFormatting>
  <conditionalFormatting sqref="I1482">
    <cfRule type="cellIs" dxfId="9288" priority="9283" stopIfTrue="1" operator="equal">
      <formula>"Pass"</formula>
    </cfRule>
    <cfRule type="cellIs" dxfId="9287" priority="9284" stopIfTrue="1" operator="equal">
      <formula>"Fail"</formula>
    </cfRule>
  </conditionalFormatting>
  <conditionalFormatting sqref="I1482:L1482">
    <cfRule type="cellIs" dxfId="9286" priority="9281" stopIfTrue="1" operator="equal">
      <formula>"Pass"</formula>
    </cfRule>
    <cfRule type="cellIs" dxfId="9285" priority="9282" stopIfTrue="1" operator="equal">
      <formula>"Fail"</formula>
    </cfRule>
  </conditionalFormatting>
  <conditionalFormatting sqref="J1482:L1482">
    <cfRule type="cellIs" dxfId="9284" priority="9279" stopIfTrue="1" operator="equal">
      <formula>"Pass"</formula>
    </cfRule>
    <cfRule type="cellIs" dxfId="9283" priority="9280" stopIfTrue="1" operator="equal">
      <formula>"Fail"</formula>
    </cfRule>
  </conditionalFormatting>
  <conditionalFormatting sqref="I1482">
    <cfRule type="cellIs" dxfId="9282" priority="9277" stopIfTrue="1" operator="equal">
      <formula>"Pass"</formula>
    </cfRule>
    <cfRule type="cellIs" dxfId="9281" priority="9278" stopIfTrue="1" operator="equal">
      <formula>"Fail"</formula>
    </cfRule>
  </conditionalFormatting>
  <conditionalFormatting sqref="I1482:L1482">
    <cfRule type="cellIs" dxfId="9280" priority="9275" stopIfTrue="1" operator="equal">
      <formula>"Pass"</formula>
    </cfRule>
    <cfRule type="cellIs" dxfId="9279" priority="9276" stopIfTrue="1" operator="equal">
      <formula>"Fail"</formula>
    </cfRule>
  </conditionalFormatting>
  <conditionalFormatting sqref="J1482:L1482">
    <cfRule type="cellIs" dxfId="9278" priority="9273" stopIfTrue="1" operator="equal">
      <formula>"Pass"</formula>
    </cfRule>
    <cfRule type="cellIs" dxfId="9277" priority="9274" stopIfTrue="1" operator="equal">
      <formula>"Fail"</formula>
    </cfRule>
  </conditionalFormatting>
  <conditionalFormatting sqref="I1482">
    <cfRule type="cellIs" dxfId="9276" priority="9271" stopIfTrue="1" operator="equal">
      <formula>"Pass"</formula>
    </cfRule>
    <cfRule type="cellIs" dxfId="9275" priority="9272" stopIfTrue="1" operator="equal">
      <formula>"Fail"</formula>
    </cfRule>
  </conditionalFormatting>
  <conditionalFormatting sqref="I1482:L1482">
    <cfRule type="cellIs" dxfId="9274" priority="9269" stopIfTrue="1" operator="equal">
      <formula>"Pass"</formula>
    </cfRule>
    <cfRule type="cellIs" dxfId="9273" priority="9270" stopIfTrue="1" operator="equal">
      <formula>"Fail"</formula>
    </cfRule>
  </conditionalFormatting>
  <conditionalFormatting sqref="J1482:L1482">
    <cfRule type="cellIs" dxfId="9272" priority="9267" stopIfTrue="1" operator="equal">
      <formula>"Pass"</formula>
    </cfRule>
    <cfRule type="cellIs" dxfId="9271" priority="9268" stopIfTrue="1" operator="equal">
      <formula>"Fail"</formula>
    </cfRule>
  </conditionalFormatting>
  <conditionalFormatting sqref="I1482">
    <cfRule type="cellIs" dxfId="9270" priority="9265" stopIfTrue="1" operator="equal">
      <formula>"Pass"</formula>
    </cfRule>
    <cfRule type="cellIs" dxfId="9269" priority="9266" stopIfTrue="1" operator="equal">
      <formula>"Fail"</formula>
    </cfRule>
  </conditionalFormatting>
  <conditionalFormatting sqref="I1482:L1482">
    <cfRule type="cellIs" dxfId="9268" priority="9263" stopIfTrue="1" operator="equal">
      <formula>"Pass"</formula>
    </cfRule>
    <cfRule type="cellIs" dxfId="9267" priority="9264" stopIfTrue="1" operator="equal">
      <formula>"Fail"</formula>
    </cfRule>
  </conditionalFormatting>
  <conditionalFormatting sqref="J1482:L1482">
    <cfRule type="cellIs" dxfId="9266" priority="9261" stopIfTrue="1" operator="equal">
      <formula>"Pass"</formula>
    </cfRule>
    <cfRule type="cellIs" dxfId="9265" priority="9262" stopIfTrue="1" operator="equal">
      <formula>"Fail"</formula>
    </cfRule>
  </conditionalFormatting>
  <conditionalFormatting sqref="I1482">
    <cfRule type="cellIs" dxfId="9264" priority="9259" stopIfTrue="1" operator="equal">
      <formula>"Pass"</formula>
    </cfRule>
    <cfRule type="cellIs" dxfId="9263" priority="9260" stopIfTrue="1" operator="equal">
      <formula>"Fail"</formula>
    </cfRule>
  </conditionalFormatting>
  <conditionalFormatting sqref="I1482:L1482">
    <cfRule type="cellIs" dxfId="9262" priority="9257" stopIfTrue="1" operator="equal">
      <formula>"Pass"</formula>
    </cfRule>
    <cfRule type="cellIs" dxfId="9261" priority="9258" stopIfTrue="1" operator="equal">
      <formula>"Fail"</formula>
    </cfRule>
  </conditionalFormatting>
  <conditionalFormatting sqref="J1482:L1482">
    <cfRule type="cellIs" dxfId="9260" priority="9255" stopIfTrue="1" operator="equal">
      <formula>"Pass"</formula>
    </cfRule>
    <cfRule type="cellIs" dxfId="9259" priority="9256" stopIfTrue="1" operator="equal">
      <formula>"Fail"</formula>
    </cfRule>
  </conditionalFormatting>
  <conditionalFormatting sqref="I1482">
    <cfRule type="cellIs" dxfId="9258" priority="9253" stopIfTrue="1" operator="equal">
      <formula>"Pass"</formula>
    </cfRule>
    <cfRule type="cellIs" dxfId="9257" priority="9254" stopIfTrue="1" operator="equal">
      <formula>"Fail"</formula>
    </cfRule>
  </conditionalFormatting>
  <conditionalFormatting sqref="I1482:L1482">
    <cfRule type="cellIs" dxfId="9256" priority="9251" stopIfTrue="1" operator="equal">
      <formula>"Pass"</formula>
    </cfRule>
    <cfRule type="cellIs" dxfId="9255" priority="9252" stopIfTrue="1" operator="equal">
      <formula>"Fail"</formula>
    </cfRule>
  </conditionalFormatting>
  <conditionalFormatting sqref="J1482:L1482">
    <cfRule type="cellIs" dxfId="9254" priority="9249" stopIfTrue="1" operator="equal">
      <formula>"Pass"</formula>
    </cfRule>
    <cfRule type="cellIs" dxfId="9253" priority="9250" stopIfTrue="1" operator="equal">
      <formula>"Fail"</formula>
    </cfRule>
  </conditionalFormatting>
  <conditionalFormatting sqref="I1482">
    <cfRule type="cellIs" dxfId="9252" priority="9247" stopIfTrue="1" operator="equal">
      <formula>"Pass"</formula>
    </cfRule>
    <cfRule type="cellIs" dxfId="9251" priority="9248" stopIfTrue="1" operator="equal">
      <formula>"Fail"</formula>
    </cfRule>
  </conditionalFormatting>
  <conditionalFormatting sqref="I1482:L1482">
    <cfRule type="cellIs" dxfId="9250" priority="9245" stopIfTrue="1" operator="equal">
      <formula>"Pass"</formula>
    </cfRule>
    <cfRule type="cellIs" dxfId="9249" priority="9246" stopIfTrue="1" operator="equal">
      <formula>"Fail"</formula>
    </cfRule>
  </conditionalFormatting>
  <conditionalFormatting sqref="J1482:L1482">
    <cfRule type="cellIs" dxfId="9248" priority="9243" stopIfTrue="1" operator="equal">
      <formula>"Pass"</formula>
    </cfRule>
    <cfRule type="cellIs" dxfId="9247" priority="9244" stopIfTrue="1" operator="equal">
      <formula>"Fail"</formula>
    </cfRule>
  </conditionalFormatting>
  <conditionalFormatting sqref="I1482">
    <cfRule type="cellIs" dxfId="9246" priority="9241" stopIfTrue="1" operator="equal">
      <formula>"Pass"</formula>
    </cfRule>
    <cfRule type="cellIs" dxfId="9245" priority="9242" stopIfTrue="1" operator="equal">
      <formula>"Fail"</formula>
    </cfRule>
  </conditionalFormatting>
  <conditionalFormatting sqref="I1482:L1482">
    <cfRule type="cellIs" dxfId="9244" priority="9239" stopIfTrue="1" operator="equal">
      <formula>"Pass"</formula>
    </cfRule>
    <cfRule type="cellIs" dxfId="9243" priority="9240" stopIfTrue="1" operator="equal">
      <formula>"Fail"</formula>
    </cfRule>
  </conditionalFormatting>
  <conditionalFormatting sqref="J1482:L1482">
    <cfRule type="cellIs" dxfId="9242" priority="9237" stopIfTrue="1" operator="equal">
      <formula>"Pass"</formula>
    </cfRule>
    <cfRule type="cellIs" dxfId="9241" priority="9238" stopIfTrue="1" operator="equal">
      <formula>"Fail"</formula>
    </cfRule>
  </conditionalFormatting>
  <conditionalFormatting sqref="I1482">
    <cfRule type="cellIs" dxfId="9240" priority="9235" stopIfTrue="1" operator="equal">
      <formula>"Pass"</formula>
    </cfRule>
    <cfRule type="cellIs" dxfId="9239" priority="9236" stopIfTrue="1" operator="equal">
      <formula>"Fail"</formula>
    </cfRule>
  </conditionalFormatting>
  <conditionalFormatting sqref="I1482:L1482">
    <cfRule type="cellIs" dxfId="9238" priority="9233" stopIfTrue="1" operator="equal">
      <formula>"Pass"</formula>
    </cfRule>
    <cfRule type="cellIs" dxfId="9237" priority="9234" stopIfTrue="1" operator="equal">
      <formula>"Fail"</formula>
    </cfRule>
  </conditionalFormatting>
  <conditionalFormatting sqref="J1482:L1482">
    <cfRule type="cellIs" dxfId="9236" priority="9231" stopIfTrue="1" operator="equal">
      <formula>"Pass"</formula>
    </cfRule>
    <cfRule type="cellIs" dxfId="9235" priority="9232" stopIfTrue="1" operator="equal">
      <formula>"Fail"</formula>
    </cfRule>
  </conditionalFormatting>
  <conditionalFormatting sqref="I1482">
    <cfRule type="cellIs" dxfId="9234" priority="9229" stopIfTrue="1" operator="equal">
      <formula>"Pass"</formula>
    </cfRule>
    <cfRule type="cellIs" dxfId="9233" priority="9230" stopIfTrue="1" operator="equal">
      <formula>"Fail"</formula>
    </cfRule>
  </conditionalFormatting>
  <conditionalFormatting sqref="I1482:L1482">
    <cfRule type="cellIs" dxfId="9232" priority="9227" stopIfTrue="1" operator="equal">
      <formula>"Pass"</formula>
    </cfRule>
    <cfRule type="cellIs" dxfId="9231" priority="9228" stopIfTrue="1" operator="equal">
      <formula>"Fail"</formula>
    </cfRule>
  </conditionalFormatting>
  <conditionalFormatting sqref="J1482:L1482">
    <cfRule type="cellIs" dxfId="9230" priority="9225" stopIfTrue="1" operator="equal">
      <formula>"Pass"</formula>
    </cfRule>
    <cfRule type="cellIs" dxfId="9229" priority="9226" stopIfTrue="1" operator="equal">
      <formula>"Fail"</formula>
    </cfRule>
  </conditionalFormatting>
  <conditionalFormatting sqref="I1482">
    <cfRule type="cellIs" dxfId="9228" priority="9223" stopIfTrue="1" operator="equal">
      <formula>"Pass"</formula>
    </cfRule>
    <cfRule type="cellIs" dxfId="9227" priority="9224" stopIfTrue="1" operator="equal">
      <formula>"Fail"</formula>
    </cfRule>
  </conditionalFormatting>
  <conditionalFormatting sqref="I1482:L1482">
    <cfRule type="cellIs" dxfId="9226" priority="9221" stopIfTrue="1" operator="equal">
      <formula>"Pass"</formula>
    </cfRule>
    <cfRule type="cellIs" dxfId="9225" priority="9222" stopIfTrue="1" operator="equal">
      <formula>"Fail"</formula>
    </cfRule>
  </conditionalFormatting>
  <conditionalFormatting sqref="J1482:L1482">
    <cfRule type="cellIs" dxfId="9224" priority="9219" stopIfTrue="1" operator="equal">
      <formula>"Pass"</formula>
    </cfRule>
    <cfRule type="cellIs" dxfId="9223" priority="9220" stopIfTrue="1" operator="equal">
      <formula>"Fail"</formula>
    </cfRule>
  </conditionalFormatting>
  <conditionalFormatting sqref="I1482">
    <cfRule type="cellIs" dxfId="9222" priority="9217" stopIfTrue="1" operator="equal">
      <formula>"Pass"</formula>
    </cfRule>
    <cfRule type="cellIs" dxfId="9221" priority="9218" stopIfTrue="1" operator="equal">
      <formula>"Fail"</formula>
    </cfRule>
  </conditionalFormatting>
  <conditionalFormatting sqref="I1482:L1482">
    <cfRule type="cellIs" dxfId="9220" priority="9215" stopIfTrue="1" operator="equal">
      <formula>"Pass"</formula>
    </cfRule>
    <cfRule type="cellIs" dxfId="9219" priority="9216" stopIfTrue="1" operator="equal">
      <formula>"Fail"</formula>
    </cfRule>
  </conditionalFormatting>
  <conditionalFormatting sqref="J1482:L1482">
    <cfRule type="cellIs" dxfId="9218" priority="9213" stopIfTrue="1" operator="equal">
      <formula>"Pass"</formula>
    </cfRule>
    <cfRule type="cellIs" dxfId="9217" priority="9214" stopIfTrue="1" operator="equal">
      <formula>"Fail"</formula>
    </cfRule>
  </conditionalFormatting>
  <conditionalFormatting sqref="I1482">
    <cfRule type="cellIs" dxfId="9216" priority="9211" stopIfTrue="1" operator="equal">
      <formula>"Pass"</formula>
    </cfRule>
    <cfRule type="cellIs" dxfId="9215" priority="9212" stopIfTrue="1" operator="equal">
      <formula>"Fail"</formula>
    </cfRule>
  </conditionalFormatting>
  <conditionalFormatting sqref="I1482:L1482">
    <cfRule type="cellIs" dxfId="9214" priority="9209" stopIfTrue="1" operator="equal">
      <formula>"Pass"</formula>
    </cfRule>
    <cfRule type="cellIs" dxfId="9213" priority="9210" stopIfTrue="1" operator="equal">
      <formula>"Fail"</formula>
    </cfRule>
  </conditionalFormatting>
  <conditionalFormatting sqref="J1482:L1482">
    <cfRule type="cellIs" dxfId="9212" priority="9207" stopIfTrue="1" operator="equal">
      <formula>"Pass"</formula>
    </cfRule>
    <cfRule type="cellIs" dxfId="9211" priority="9208" stopIfTrue="1" operator="equal">
      <formula>"Fail"</formula>
    </cfRule>
  </conditionalFormatting>
  <conditionalFormatting sqref="I1482">
    <cfRule type="cellIs" dxfId="9210" priority="9205" stopIfTrue="1" operator="equal">
      <formula>"Pass"</formula>
    </cfRule>
    <cfRule type="cellIs" dxfId="9209" priority="9206" stopIfTrue="1" operator="equal">
      <formula>"Fail"</formula>
    </cfRule>
  </conditionalFormatting>
  <conditionalFormatting sqref="I1482:L1482">
    <cfRule type="cellIs" dxfId="9208" priority="9203" stopIfTrue="1" operator="equal">
      <formula>"Pass"</formula>
    </cfRule>
    <cfRule type="cellIs" dxfId="9207" priority="9204" stopIfTrue="1" operator="equal">
      <formula>"Fail"</formula>
    </cfRule>
  </conditionalFormatting>
  <conditionalFormatting sqref="J1482:L1482">
    <cfRule type="cellIs" dxfId="9206" priority="9201" stopIfTrue="1" operator="equal">
      <formula>"Pass"</formula>
    </cfRule>
    <cfRule type="cellIs" dxfId="9205" priority="9202" stopIfTrue="1" operator="equal">
      <formula>"Fail"</formula>
    </cfRule>
  </conditionalFormatting>
  <conditionalFormatting sqref="I1482">
    <cfRule type="cellIs" dxfId="9204" priority="9199" stopIfTrue="1" operator="equal">
      <formula>"Pass"</formula>
    </cfRule>
    <cfRule type="cellIs" dxfId="9203" priority="9200" stopIfTrue="1" operator="equal">
      <formula>"Fail"</formula>
    </cfRule>
  </conditionalFormatting>
  <conditionalFormatting sqref="I1482:L1482">
    <cfRule type="cellIs" dxfId="9202" priority="9197" stopIfTrue="1" operator="equal">
      <formula>"Pass"</formula>
    </cfRule>
    <cfRule type="cellIs" dxfId="9201" priority="9198" stopIfTrue="1" operator="equal">
      <formula>"Fail"</formula>
    </cfRule>
  </conditionalFormatting>
  <conditionalFormatting sqref="J1482:L1482">
    <cfRule type="cellIs" dxfId="9200" priority="9195" stopIfTrue="1" operator="equal">
      <formula>"Pass"</formula>
    </cfRule>
    <cfRule type="cellIs" dxfId="9199" priority="9196" stopIfTrue="1" operator="equal">
      <formula>"Fail"</formula>
    </cfRule>
  </conditionalFormatting>
  <conditionalFormatting sqref="I1482">
    <cfRule type="cellIs" dxfId="9198" priority="9193" stopIfTrue="1" operator="equal">
      <formula>"Pass"</formula>
    </cfRule>
    <cfRule type="cellIs" dxfId="9197" priority="9194" stopIfTrue="1" operator="equal">
      <formula>"Fail"</formula>
    </cfRule>
  </conditionalFormatting>
  <conditionalFormatting sqref="I1482:L1482">
    <cfRule type="cellIs" dxfId="9196" priority="9191" stopIfTrue="1" operator="equal">
      <formula>"Pass"</formula>
    </cfRule>
    <cfRule type="cellIs" dxfId="9195" priority="9192" stopIfTrue="1" operator="equal">
      <formula>"Fail"</formula>
    </cfRule>
  </conditionalFormatting>
  <conditionalFormatting sqref="K1482:L1482">
    <cfRule type="cellIs" dxfId="9194" priority="9189" stopIfTrue="1" operator="equal">
      <formula>"Pass"</formula>
    </cfRule>
    <cfRule type="cellIs" dxfId="9193" priority="9190" stopIfTrue="1" operator="equal">
      <formula>"Fail"</formula>
    </cfRule>
  </conditionalFormatting>
  <conditionalFormatting sqref="K1482:L1482">
    <cfRule type="cellIs" dxfId="9192" priority="9187" stopIfTrue="1" operator="equal">
      <formula>"Pass"</formula>
    </cfRule>
    <cfRule type="cellIs" dxfId="9191" priority="9188" stopIfTrue="1" operator="equal">
      <formula>"Fail"</formula>
    </cfRule>
  </conditionalFormatting>
  <conditionalFormatting sqref="K1482:L1482">
    <cfRule type="cellIs" dxfId="9190" priority="9185" stopIfTrue="1" operator="equal">
      <formula>"Pass"</formula>
    </cfRule>
    <cfRule type="cellIs" dxfId="9189" priority="9186" stopIfTrue="1" operator="equal">
      <formula>"Fail"</formula>
    </cfRule>
  </conditionalFormatting>
  <conditionalFormatting sqref="K1482:L1482">
    <cfRule type="cellIs" dxfId="9188" priority="9183" stopIfTrue="1" operator="equal">
      <formula>"Pass"</formula>
    </cfRule>
    <cfRule type="cellIs" dxfId="9187" priority="9184" stopIfTrue="1" operator="equal">
      <formula>"Fail"</formula>
    </cfRule>
  </conditionalFormatting>
  <conditionalFormatting sqref="K1482:L1482">
    <cfRule type="cellIs" dxfId="9186" priority="9181" stopIfTrue="1" operator="equal">
      <formula>"Pass"</formula>
    </cfRule>
    <cfRule type="cellIs" dxfId="9185" priority="9182" stopIfTrue="1" operator="equal">
      <formula>"Fail"</formula>
    </cfRule>
  </conditionalFormatting>
  <conditionalFormatting sqref="K1482:L1482">
    <cfRule type="cellIs" dxfId="9184" priority="9179" stopIfTrue="1" operator="equal">
      <formula>"Pass"</formula>
    </cfRule>
    <cfRule type="cellIs" dxfId="9183" priority="9180" stopIfTrue="1" operator="equal">
      <formula>"Fail"</formula>
    </cfRule>
  </conditionalFormatting>
  <conditionalFormatting sqref="K1482:L1482">
    <cfRule type="cellIs" dxfId="9182" priority="9177" stopIfTrue="1" operator="equal">
      <formula>"Pass"</formula>
    </cfRule>
    <cfRule type="cellIs" dxfId="9181" priority="9178" stopIfTrue="1" operator="equal">
      <formula>"Fail"</formula>
    </cfRule>
  </conditionalFormatting>
  <conditionalFormatting sqref="K1482:L1482">
    <cfRule type="cellIs" dxfId="9180" priority="9175" stopIfTrue="1" operator="equal">
      <formula>"Pass"</formula>
    </cfRule>
    <cfRule type="cellIs" dxfId="9179" priority="9176" stopIfTrue="1" operator="equal">
      <formula>"Fail"</formula>
    </cfRule>
  </conditionalFormatting>
  <conditionalFormatting sqref="J1482:L1482">
    <cfRule type="cellIs" dxfId="9178" priority="9173" stopIfTrue="1" operator="equal">
      <formula>"Pass"</formula>
    </cfRule>
    <cfRule type="cellIs" dxfId="9177" priority="9174" stopIfTrue="1" operator="equal">
      <formula>"Fail"</formula>
    </cfRule>
  </conditionalFormatting>
  <conditionalFormatting sqref="I1482">
    <cfRule type="cellIs" dxfId="9176" priority="9171" stopIfTrue="1" operator="equal">
      <formula>"Pass"</formula>
    </cfRule>
    <cfRule type="cellIs" dxfId="9175" priority="9172" stopIfTrue="1" operator="equal">
      <formula>"Fail"</formula>
    </cfRule>
  </conditionalFormatting>
  <conditionalFormatting sqref="I1482:L1482">
    <cfRule type="cellIs" dxfId="9174" priority="9169" stopIfTrue="1" operator="equal">
      <formula>"Pass"</formula>
    </cfRule>
    <cfRule type="cellIs" dxfId="9173" priority="9170" stopIfTrue="1" operator="equal">
      <formula>"Fail"</formula>
    </cfRule>
  </conditionalFormatting>
  <conditionalFormatting sqref="J1482:L1482">
    <cfRule type="cellIs" dxfId="9172" priority="9167" stopIfTrue="1" operator="equal">
      <formula>"Pass"</formula>
    </cfRule>
    <cfRule type="cellIs" dxfId="9171" priority="9168" stopIfTrue="1" operator="equal">
      <formula>"Fail"</formula>
    </cfRule>
  </conditionalFormatting>
  <conditionalFormatting sqref="I1482">
    <cfRule type="cellIs" dxfId="9170" priority="9165" stopIfTrue="1" operator="equal">
      <formula>"Pass"</formula>
    </cfRule>
    <cfRule type="cellIs" dxfId="9169" priority="9166" stopIfTrue="1" operator="equal">
      <formula>"Fail"</formula>
    </cfRule>
  </conditionalFormatting>
  <conditionalFormatting sqref="I1482:L1482">
    <cfRule type="cellIs" dxfId="9168" priority="9163" stopIfTrue="1" operator="equal">
      <formula>"Pass"</formula>
    </cfRule>
    <cfRule type="cellIs" dxfId="9167" priority="9164" stopIfTrue="1" operator="equal">
      <formula>"Fail"</formula>
    </cfRule>
  </conditionalFormatting>
  <conditionalFormatting sqref="J1482:L1482">
    <cfRule type="cellIs" dxfId="9166" priority="9161" stopIfTrue="1" operator="equal">
      <formula>"Pass"</formula>
    </cfRule>
    <cfRule type="cellIs" dxfId="9165" priority="9162" stopIfTrue="1" operator="equal">
      <formula>"Fail"</formula>
    </cfRule>
  </conditionalFormatting>
  <conditionalFormatting sqref="I1482">
    <cfRule type="cellIs" dxfId="9164" priority="9159" stopIfTrue="1" operator="equal">
      <formula>"Pass"</formula>
    </cfRule>
    <cfRule type="cellIs" dxfId="9163" priority="9160" stopIfTrue="1" operator="equal">
      <formula>"Fail"</formula>
    </cfRule>
  </conditionalFormatting>
  <conditionalFormatting sqref="I1482:L1482">
    <cfRule type="cellIs" dxfId="9162" priority="9157" stopIfTrue="1" operator="equal">
      <formula>"Pass"</formula>
    </cfRule>
    <cfRule type="cellIs" dxfId="9161" priority="9158" stopIfTrue="1" operator="equal">
      <formula>"Fail"</formula>
    </cfRule>
  </conditionalFormatting>
  <conditionalFormatting sqref="J1482:L1482">
    <cfRule type="cellIs" dxfId="9160" priority="9155" stopIfTrue="1" operator="equal">
      <formula>"Pass"</formula>
    </cfRule>
    <cfRule type="cellIs" dxfId="9159" priority="9156" stopIfTrue="1" operator="equal">
      <formula>"Fail"</formula>
    </cfRule>
  </conditionalFormatting>
  <conditionalFormatting sqref="I1482">
    <cfRule type="cellIs" dxfId="9158" priority="9153" stopIfTrue="1" operator="equal">
      <formula>"Pass"</formula>
    </cfRule>
    <cfRule type="cellIs" dxfId="9157" priority="9154" stopIfTrue="1" operator="equal">
      <formula>"Fail"</formula>
    </cfRule>
  </conditionalFormatting>
  <conditionalFormatting sqref="I1482:L1482">
    <cfRule type="cellIs" dxfId="9156" priority="9151" stopIfTrue="1" operator="equal">
      <formula>"Pass"</formula>
    </cfRule>
    <cfRule type="cellIs" dxfId="9155" priority="9152" stopIfTrue="1" operator="equal">
      <formula>"Fail"</formula>
    </cfRule>
  </conditionalFormatting>
  <conditionalFormatting sqref="J1482:L1482">
    <cfRule type="cellIs" dxfId="9154" priority="9149" stopIfTrue="1" operator="equal">
      <formula>"Pass"</formula>
    </cfRule>
    <cfRule type="cellIs" dxfId="9153" priority="9150" stopIfTrue="1" operator="equal">
      <formula>"Fail"</formula>
    </cfRule>
  </conditionalFormatting>
  <conditionalFormatting sqref="I1482">
    <cfRule type="cellIs" dxfId="9152" priority="9147" stopIfTrue="1" operator="equal">
      <formula>"Pass"</formula>
    </cfRule>
    <cfRule type="cellIs" dxfId="9151" priority="9148" stopIfTrue="1" operator="equal">
      <formula>"Fail"</formula>
    </cfRule>
  </conditionalFormatting>
  <conditionalFormatting sqref="I1482:L1482">
    <cfRule type="cellIs" dxfId="9150" priority="9145" stopIfTrue="1" operator="equal">
      <formula>"Pass"</formula>
    </cfRule>
    <cfRule type="cellIs" dxfId="9149" priority="9146" stopIfTrue="1" operator="equal">
      <formula>"Fail"</formula>
    </cfRule>
  </conditionalFormatting>
  <conditionalFormatting sqref="J1482:L1482">
    <cfRule type="cellIs" dxfId="9148" priority="9143" stopIfTrue="1" operator="equal">
      <formula>"Pass"</formula>
    </cfRule>
    <cfRule type="cellIs" dxfId="9147" priority="9144" stopIfTrue="1" operator="equal">
      <formula>"Fail"</formula>
    </cfRule>
  </conditionalFormatting>
  <conditionalFormatting sqref="I1482">
    <cfRule type="cellIs" dxfId="9146" priority="9141" stopIfTrue="1" operator="equal">
      <formula>"Pass"</formula>
    </cfRule>
    <cfRule type="cellIs" dxfId="9145" priority="9142" stopIfTrue="1" operator="equal">
      <formula>"Fail"</formula>
    </cfRule>
  </conditionalFormatting>
  <conditionalFormatting sqref="I1482:L1482">
    <cfRule type="cellIs" dxfId="9144" priority="9139" stopIfTrue="1" operator="equal">
      <formula>"Pass"</formula>
    </cfRule>
    <cfRule type="cellIs" dxfId="9143" priority="9140" stopIfTrue="1" operator="equal">
      <formula>"Fail"</formula>
    </cfRule>
  </conditionalFormatting>
  <conditionalFormatting sqref="J1482:L1482">
    <cfRule type="cellIs" dxfId="9142" priority="9137" stopIfTrue="1" operator="equal">
      <formula>"Pass"</formula>
    </cfRule>
    <cfRule type="cellIs" dxfId="9141" priority="9138" stopIfTrue="1" operator="equal">
      <formula>"Fail"</formula>
    </cfRule>
  </conditionalFormatting>
  <conditionalFormatting sqref="I1482">
    <cfRule type="cellIs" dxfId="9140" priority="9135" stopIfTrue="1" operator="equal">
      <formula>"Pass"</formula>
    </cfRule>
    <cfRule type="cellIs" dxfId="9139" priority="9136" stopIfTrue="1" operator="equal">
      <formula>"Fail"</formula>
    </cfRule>
  </conditionalFormatting>
  <conditionalFormatting sqref="I1482:L1482">
    <cfRule type="cellIs" dxfId="9138" priority="9133" stopIfTrue="1" operator="equal">
      <formula>"Pass"</formula>
    </cfRule>
    <cfRule type="cellIs" dxfId="9137" priority="9134" stopIfTrue="1" operator="equal">
      <formula>"Fail"</formula>
    </cfRule>
  </conditionalFormatting>
  <conditionalFormatting sqref="J1482:L1482">
    <cfRule type="cellIs" dxfId="9136" priority="9131" stopIfTrue="1" operator="equal">
      <formula>"Pass"</formula>
    </cfRule>
    <cfRule type="cellIs" dxfId="9135" priority="9132" stopIfTrue="1" operator="equal">
      <formula>"Fail"</formula>
    </cfRule>
  </conditionalFormatting>
  <conditionalFormatting sqref="I1482">
    <cfRule type="cellIs" dxfId="9134" priority="9129" stopIfTrue="1" operator="equal">
      <formula>"Pass"</formula>
    </cfRule>
    <cfRule type="cellIs" dxfId="9133" priority="9130" stopIfTrue="1" operator="equal">
      <formula>"Fail"</formula>
    </cfRule>
  </conditionalFormatting>
  <conditionalFormatting sqref="I1482:L1482">
    <cfRule type="cellIs" dxfId="9132" priority="9127" stopIfTrue="1" operator="equal">
      <formula>"Pass"</formula>
    </cfRule>
    <cfRule type="cellIs" dxfId="9131" priority="9128" stopIfTrue="1" operator="equal">
      <formula>"Fail"</formula>
    </cfRule>
  </conditionalFormatting>
  <conditionalFormatting sqref="J1482:L1482">
    <cfRule type="cellIs" dxfId="9130" priority="9125" stopIfTrue="1" operator="equal">
      <formula>"Pass"</formula>
    </cfRule>
    <cfRule type="cellIs" dxfId="9129" priority="9126" stopIfTrue="1" operator="equal">
      <formula>"Fail"</formula>
    </cfRule>
  </conditionalFormatting>
  <conditionalFormatting sqref="I1482">
    <cfRule type="cellIs" dxfId="9128" priority="9123" stopIfTrue="1" operator="equal">
      <formula>"Pass"</formula>
    </cfRule>
    <cfRule type="cellIs" dxfId="9127" priority="9124" stopIfTrue="1" operator="equal">
      <formula>"Fail"</formula>
    </cfRule>
  </conditionalFormatting>
  <conditionalFormatting sqref="I1482:L1482">
    <cfRule type="cellIs" dxfId="9126" priority="9121" stopIfTrue="1" operator="equal">
      <formula>"Pass"</formula>
    </cfRule>
    <cfRule type="cellIs" dxfId="9125" priority="9122" stopIfTrue="1" operator="equal">
      <formula>"Fail"</formula>
    </cfRule>
  </conditionalFormatting>
  <conditionalFormatting sqref="J1482:L1482">
    <cfRule type="cellIs" dxfId="9124" priority="9119" stopIfTrue="1" operator="equal">
      <formula>"Pass"</formula>
    </cfRule>
    <cfRule type="cellIs" dxfId="9123" priority="9120" stopIfTrue="1" operator="equal">
      <formula>"Fail"</formula>
    </cfRule>
  </conditionalFormatting>
  <conditionalFormatting sqref="I1482">
    <cfRule type="cellIs" dxfId="9122" priority="9117" stopIfTrue="1" operator="equal">
      <formula>"Pass"</formula>
    </cfRule>
    <cfRule type="cellIs" dxfId="9121" priority="9118" stopIfTrue="1" operator="equal">
      <formula>"Fail"</formula>
    </cfRule>
  </conditionalFormatting>
  <conditionalFormatting sqref="I1482:L1482">
    <cfRule type="cellIs" dxfId="9120" priority="9115" stopIfTrue="1" operator="equal">
      <formula>"Pass"</formula>
    </cfRule>
    <cfRule type="cellIs" dxfId="9119" priority="9116" stopIfTrue="1" operator="equal">
      <formula>"Fail"</formula>
    </cfRule>
  </conditionalFormatting>
  <conditionalFormatting sqref="J1482:L1482">
    <cfRule type="cellIs" dxfId="9118" priority="9113" stopIfTrue="1" operator="equal">
      <formula>"Pass"</formula>
    </cfRule>
    <cfRule type="cellIs" dxfId="9117" priority="9114" stopIfTrue="1" operator="equal">
      <formula>"Fail"</formula>
    </cfRule>
  </conditionalFormatting>
  <conditionalFormatting sqref="I1482">
    <cfRule type="cellIs" dxfId="9116" priority="9111" stopIfTrue="1" operator="equal">
      <formula>"Pass"</formula>
    </cfRule>
    <cfRule type="cellIs" dxfId="9115" priority="9112" stopIfTrue="1" operator="equal">
      <formula>"Fail"</formula>
    </cfRule>
  </conditionalFormatting>
  <conditionalFormatting sqref="I1482:L1482">
    <cfRule type="cellIs" dxfId="9114" priority="9109" stopIfTrue="1" operator="equal">
      <formula>"Pass"</formula>
    </cfRule>
    <cfRule type="cellIs" dxfId="9113" priority="9110" stopIfTrue="1" operator="equal">
      <formula>"Fail"</formula>
    </cfRule>
  </conditionalFormatting>
  <conditionalFormatting sqref="J1482:L1482">
    <cfRule type="cellIs" dxfId="9112" priority="9107" stopIfTrue="1" operator="equal">
      <formula>"Pass"</formula>
    </cfRule>
    <cfRule type="cellIs" dxfId="9111" priority="9108" stopIfTrue="1" operator="equal">
      <formula>"Fail"</formula>
    </cfRule>
  </conditionalFormatting>
  <conditionalFormatting sqref="I1482">
    <cfRule type="cellIs" dxfId="9110" priority="9105" stopIfTrue="1" operator="equal">
      <formula>"Pass"</formula>
    </cfRule>
    <cfRule type="cellIs" dxfId="9109" priority="9106" stopIfTrue="1" operator="equal">
      <formula>"Fail"</formula>
    </cfRule>
  </conditionalFormatting>
  <conditionalFormatting sqref="I1482:L1482">
    <cfRule type="cellIs" dxfId="9108" priority="9103" stopIfTrue="1" operator="equal">
      <formula>"Pass"</formula>
    </cfRule>
    <cfRule type="cellIs" dxfId="9107" priority="9104" stopIfTrue="1" operator="equal">
      <formula>"Fail"</formula>
    </cfRule>
  </conditionalFormatting>
  <conditionalFormatting sqref="I1482:L1482">
    <cfRule type="cellIs" dxfId="9106" priority="9101" stopIfTrue="1" operator="equal">
      <formula>"Pass"</formula>
    </cfRule>
    <cfRule type="cellIs" dxfId="9105" priority="9102" stopIfTrue="1" operator="equal">
      <formula>"Fail"</formula>
    </cfRule>
  </conditionalFormatting>
  <conditionalFormatting sqref="I1482:L1482">
    <cfRule type="cellIs" dxfId="9104" priority="9099" stopIfTrue="1" operator="equal">
      <formula>"Pass"</formula>
    </cfRule>
    <cfRule type="cellIs" dxfId="9103" priority="9100" stopIfTrue="1" operator="equal">
      <formula>"Fail"</formula>
    </cfRule>
  </conditionalFormatting>
  <conditionalFormatting sqref="I1482:L1482">
    <cfRule type="cellIs" dxfId="9102" priority="9097" stopIfTrue="1" operator="equal">
      <formula>"Pass"</formula>
    </cfRule>
    <cfRule type="cellIs" dxfId="9101" priority="9098" stopIfTrue="1" operator="equal">
      <formula>"Fail"</formula>
    </cfRule>
  </conditionalFormatting>
  <conditionalFormatting sqref="J1482:L1482">
    <cfRule type="cellIs" dxfId="9100" priority="9095" stopIfTrue="1" operator="equal">
      <formula>"Pass"</formula>
    </cfRule>
    <cfRule type="cellIs" dxfId="9099" priority="9096" stopIfTrue="1" operator="equal">
      <formula>"Fail"</formula>
    </cfRule>
  </conditionalFormatting>
  <conditionalFormatting sqref="I1482">
    <cfRule type="cellIs" dxfId="9098" priority="9093" stopIfTrue="1" operator="equal">
      <formula>"Pass"</formula>
    </cfRule>
    <cfRule type="cellIs" dxfId="9097" priority="9094" stopIfTrue="1" operator="equal">
      <formula>"Fail"</formula>
    </cfRule>
  </conditionalFormatting>
  <conditionalFormatting sqref="I1482:L1482">
    <cfRule type="cellIs" dxfId="9096" priority="9091" stopIfTrue="1" operator="equal">
      <formula>"Pass"</formula>
    </cfRule>
    <cfRule type="cellIs" dxfId="9095" priority="9092" stopIfTrue="1" operator="equal">
      <formula>"Fail"</formula>
    </cfRule>
  </conditionalFormatting>
  <conditionalFormatting sqref="J1482:L1482">
    <cfRule type="cellIs" dxfId="9094" priority="9089" stopIfTrue="1" operator="equal">
      <formula>"Pass"</formula>
    </cfRule>
    <cfRule type="cellIs" dxfId="9093" priority="9090" stopIfTrue="1" operator="equal">
      <formula>"Fail"</formula>
    </cfRule>
  </conditionalFormatting>
  <conditionalFormatting sqref="I1482">
    <cfRule type="cellIs" dxfId="9092" priority="9087" stopIfTrue="1" operator="equal">
      <formula>"Pass"</formula>
    </cfRule>
    <cfRule type="cellIs" dxfId="9091" priority="9088" stopIfTrue="1" operator="equal">
      <formula>"Fail"</formula>
    </cfRule>
  </conditionalFormatting>
  <conditionalFormatting sqref="I1482:L1482">
    <cfRule type="cellIs" dxfId="9090" priority="9085" stopIfTrue="1" operator="equal">
      <formula>"Pass"</formula>
    </cfRule>
    <cfRule type="cellIs" dxfId="9089" priority="9086" stopIfTrue="1" operator="equal">
      <formula>"Fail"</formula>
    </cfRule>
  </conditionalFormatting>
  <conditionalFormatting sqref="J1482:L1482">
    <cfRule type="cellIs" dxfId="9088" priority="9083" stopIfTrue="1" operator="equal">
      <formula>"Pass"</formula>
    </cfRule>
    <cfRule type="cellIs" dxfId="9087" priority="9084" stopIfTrue="1" operator="equal">
      <formula>"Fail"</formula>
    </cfRule>
  </conditionalFormatting>
  <conditionalFormatting sqref="I1482">
    <cfRule type="cellIs" dxfId="9086" priority="9081" stopIfTrue="1" operator="equal">
      <formula>"Pass"</formula>
    </cfRule>
    <cfRule type="cellIs" dxfId="9085" priority="9082" stopIfTrue="1" operator="equal">
      <formula>"Fail"</formula>
    </cfRule>
  </conditionalFormatting>
  <conditionalFormatting sqref="I1482:L1482">
    <cfRule type="cellIs" dxfId="9084" priority="9079" stopIfTrue="1" operator="equal">
      <formula>"Pass"</formula>
    </cfRule>
    <cfRule type="cellIs" dxfId="9083" priority="9080" stopIfTrue="1" operator="equal">
      <formula>"Fail"</formula>
    </cfRule>
  </conditionalFormatting>
  <conditionalFormatting sqref="J1482:L1482">
    <cfRule type="cellIs" dxfId="9082" priority="9077" stopIfTrue="1" operator="equal">
      <formula>"Pass"</formula>
    </cfRule>
    <cfRule type="cellIs" dxfId="9081" priority="9078" stopIfTrue="1" operator="equal">
      <formula>"Fail"</formula>
    </cfRule>
  </conditionalFormatting>
  <conditionalFormatting sqref="I1482">
    <cfRule type="cellIs" dxfId="9080" priority="9075" stopIfTrue="1" operator="equal">
      <formula>"Pass"</formula>
    </cfRule>
    <cfRule type="cellIs" dxfId="9079" priority="9076" stopIfTrue="1" operator="equal">
      <formula>"Fail"</formula>
    </cfRule>
  </conditionalFormatting>
  <conditionalFormatting sqref="I1482:L1482">
    <cfRule type="cellIs" dxfId="9078" priority="9073" stopIfTrue="1" operator="equal">
      <formula>"Pass"</formula>
    </cfRule>
    <cfRule type="cellIs" dxfId="9077" priority="9074" stopIfTrue="1" operator="equal">
      <formula>"Fail"</formula>
    </cfRule>
  </conditionalFormatting>
  <conditionalFormatting sqref="I1482:L1482">
    <cfRule type="cellIs" dxfId="9076" priority="9071" stopIfTrue="1" operator="equal">
      <formula>"Pass"</formula>
    </cfRule>
    <cfRule type="cellIs" dxfId="9075" priority="9072" stopIfTrue="1" operator="equal">
      <formula>"Fail"</formula>
    </cfRule>
  </conditionalFormatting>
  <conditionalFormatting sqref="I1482:L1482">
    <cfRule type="cellIs" dxfId="9074" priority="9069" stopIfTrue="1" operator="equal">
      <formula>"Pass"</formula>
    </cfRule>
    <cfRule type="cellIs" dxfId="9073" priority="9070" stopIfTrue="1" operator="equal">
      <formula>"Fail"</formula>
    </cfRule>
  </conditionalFormatting>
  <conditionalFormatting sqref="I1482:L1482">
    <cfRule type="cellIs" dxfId="9072" priority="9067" stopIfTrue="1" operator="equal">
      <formula>"Pass"</formula>
    </cfRule>
    <cfRule type="cellIs" dxfId="9071" priority="9068" stopIfTrue="1" operator="equal">
      <formula>"Fail"</formula>
    </cfRule>
  </conditionalFormatting>
  <conditionalFormatting sqref="J1482:L1482">
    <cfRule type="cellIs" dxfId="9070" priority="9065" stopIfTrue="1" operator="equal">
      <formula>"Pass"</formula>
    </cfRule>
    <cfRule type="cellIs" dxfId="9069" priority="9066" stopIfTrue="1" operator="equal">
      <formula>"Fail"</formula>
    </cfRule>
  </conditionalFormatting>
  <conditionalFormatting sqref="I1482">
    <cfRule type="cellIs" dxfId="9068" priority="9063" stopIfTrue="1" operator="equal">
      <formula>"Pass"</formula>
    </cfRule>
    <cfRule type="cellIs" dxfId="9067" priority="9064" stopIfTrue="1" operator="equal">
      <formula>"Fail"</formula>
    </cfRule>
  </conditionalFormatting>
  <conditionalFormatting sqref="I1482:L1482">
    <cfRule type="cellIs" dxfId="9066" priority="9061" stopIfTrue="1" operator="equal">
      <formula>"Pass"</formula>
    </cfRule>
    <cfRule type="cellIs" dxfId="9065" priority="9062" stopIfTrue="1" operator="equal">
      <formula>"Fail"</formula>
    </cfRule>
  </conditionalFormatting>
  <conditionalFormatting sqref="J1482:L1482">
    <cfRule type="cellIs" dxfId="9064" priority="9059" stopIfTrue="1" operator="equal">
      <formula>"Pass"</formula>
    </cfRule>
    <cfRule type="cellIs" dxfId="9063" priority="9060" stopIfTrue="1" operator="equal">
      <formula>"Fail"</formula>
    </cfRule>
  </conditionalFormatting>
  <conditionalFormatting sqref="I1482">
    <cfRule type="cellIs" dxfId="9062" priority="9057" stopIfTrue="1" operator="equal">
      <formula>"Pass"</formula>
    </cfRule>
    <cfRule type="cellIs" dxfId="9061" priority="9058" stopIfTrue="1" operator="equal">
      <formula>"Fail"</formula>
    </cfRule>
  </conditionalFormatting>
  <conditionalFormatting sqref="I1482:L1482">
    <cfRule type="cellIs" dxfId="9060" priority="9055" stopIfTrue="1" operator="equal">
      <formula>"Pass"</formula>
    </cfRule>
    <cfRule type="cellIs" dxfId="9059" priority="9056" stopIfTrue="1" operator="equal">
      <formula>"Fail"</formula>
    </cfRule>
  </conditionalFormatting>
  <conditionalFormatting sqref="J1482:L1482">
    <cfRule type="cellIs" dxfId="9058" priority="9053" stopIfTrue="1" operator="equal">
      <formula>"Pass"</formula>
    </cfRule>
    <cfRule type="cellIs" dxfId="9057" priority="9054" stopIfTrue="1" operator="equal">
      <formula>"Fail"</formula>
    </cfRule>
  </conditionalFormatting>
  <conditionalFormatting sqref="I1482">
    <cfRule type="cellIs" dxfId="9056" priority="9051" stopIfTrue="1" operator="equal">
      <formula>"Pass"</formula>
    </cfRule>
    <cfRule type="cellIs" dxfId="9055" priority="9052" stopIfTrue="1" operator="equal">
      <formula>"Fail"</formula>
    </cfRule>
  </conditionalFormatting>
  <conditionalFormatting sqref="I1482:L1482">
    <cfRule type="cellIs" dxfId="9054" priority="9049" stopIfTrue="1" operator="equal">
      <formula>"Pass"</formula>
    </cfRule>
    <cfRule type="cellIs" dxfId="9053" priority="9050" stopIfTrue="1" operator="equal">
      <formula>"Fail"</formula>
    </cfRule>
  </conditionalFormatting>
  <conditionalFormatting sqref="J1482:L1482">
    <cfRule type="cellIs" dxfId="9052" priority="9047" stopIfTrue="1" operator="equal">
      <formula>"Pass"</formula>
    </cfRule>
    <cfRule type="cellIs" dxfId="9051" priority="9048" stopIfTrue="1" operator="equal">
      <formula>"Fail"</formula>
    </cfRule>
  </conditionalFormatting>
  <conditionalFormatting sqref="I1482">
    <cfRule type="cellIs" dxfId="9050" priority="9045" stopIfTrue="1" operator="equal">
      <formula>"Pass"</formula>
    </cfRule>
    <cfRule type="cellIs" dxfId="9049" priority="9046" stopIfTrue="1" operator="equal">
      <formula>"Fail"</formula>
    </cfRule>
  </conditionalFormatting>
  <conditionalFormatting sqref="I1482:L1482">
    <cfRule type="cellIs" dxfId="9048" priority="9043" stopIfTrue="1" operator="equal">
      <formula>"Pass"</formula>
    </cfRule>
    <cfRule type="cellIs" dxfId="9047" priority="9044" stopIfTrue="1" operator="equal">
      <formula>"Fail"</formula>
    </cfRule>
  </conditionalFormatting>
  <conditionalFormatting sqref="I1482:L1482">
    <cfRule type="cellIs" dxfId="9046" priority="9041" stopIfTrue="1" operator="equal">
      <formula>"Pass"</formula>
    </cfRule>
    <cfRule type="cellIs" dxfId="9045" priority="9042" stopIfTrue="1" operator="equal">
      <formula>"Fail"</formula>
    </cfRule>
  </conditionalFormatting>
  <conditionalFormatting sqref="I1482:L1482">
    <cfRule type="cellIs" dxfId="9044" priority="9039" stopIfTrue="1" operator="equal">
      <formula>"Pass"</formula>
    </cfRule>
    <cfRule type="cellIs" dxfId="9043" priority="9040" stopIfTrue="1" operator="equal">
      <formula>"Fail"</formula>
    </cfRule>
  </conditionalFormatting>
  <conditionalFormatting sqref="I1482:L1482">
    <cfRule type="cellIs" dxfId="9042" priority="9037" stopIfTrue="1" operator="equal">
      <formula>"Pass"</formula>
    </cfRule>
    <cfRule type="cellIs" dxfId="9041" priority="9038" stopIfTrue="1" operator="equal">
      <formula>"Fail"</formula>
    </cfRule>
  </conditionalFormatting>
  <conditionalFormatting sqref="J1482:L1482">
    <cfRule type="cellIs" dxfId="9040" priority="9035" stopIfTrue="1" operator="equal">
      <formula>"Pass"</formula>
    </cfRule>
    <cfRule type="cellIs" dxfId="9039" priority="9036" stopIfTrue="1" operator="equal">
      <formula>"Fail"</formula>
    </cfRule>
  </conditionalFormatting>
  <conditionalFormatting sqref="I1482">
    <cfRule type="cellIs" dxfId="9038" priority="9033" stopIfTrue="1" operator="equal">
      <formula>"Pass"</formula>
    </cfRule>
    <cfRule type="cellIs" dxfId="9037" priority="9034" stopIfTrue="1" operator="equal">
      <formula>"Fail"</formula>
    </cfRule>
  </conditionalFormatting>
  <conditionalFormatting sqref="I1482:L1482">
    <cfRule type="cellIs" dxfId="9036" priority="9031" stopIfTrue="1" operator="equal">
      <formula>"Pass"</formula>
    </cfRule>
    <cfRule type="cellIs" dxfId="9035" priority="9032" stopIfTrue="1" operator="equal">
      <formula>"Fail"</formula>
    </cfRule>
  </conditionalFormatting>
  <conditionalFormatting sqref="J1482:L1482">
    <cfRule type="cellIs" dxfId="9034" priority="9029" stopIfTrue="1" operator="equal">
      <formula>"Pass"</formula>
    </cfRule>
    <cfRule type="cellIs" dxfId="9033" priority="9030" stopIfTrue="1" operator="equal">
      <formula>"Fail"</formula>
    </cfRule>
  </conditionalFormatting>
  <conditionalFormatting sqref="I1482">
    <cfRule type="cellIs" dxfId="9032" priority="9027" stopIfTrue="1" operator="equal">
      <formula>"Pass"</formula>
    </cfRule>
    <cfRule type="cellIs" dxfId="9031" priority="9028" stopIfTrue="1" operator="equal">
      <formula>"Fail"</formula>
    </cfRule>
  </conditionalFormatting>
  <conditionalFormatting sqref="I1482:L1482">
    <cfRule type="cellIs" dxfId="9030" priority="9025" stopIfTrue="1" operator="equal">
      <formula>"Pass"</formula>
    </cfRule>
    <cfRule type="cellIs" dxfId="9029" priority="9026" stopIfTrue="1" operator="equal">
      <formula>"Fail"</formula>
    </cfRule>
  </conditionalFormatting>
  <conditionalFormatting sqref="J1482:L1482">
    <cfRule type="cellIs" dxfId="9028" priority="9023" stopIfTrue="1" operator="equal">
      <formula>"Pass"</formula>
    </cfRule>
    <cfRule type="cellIs" dxfId="9027" priority="9024" stopIfTrue="1" operator="equal">
      <formula>"Fail"</formula>
    </cfRule>
  </conditionalFormatting>
  <conditionalFormatting sqref="I1482">
    <cfRule type="cellIs" dxfId="9026" priority="9021" stopIfTrue="1" operator="equal">
      <formula>"Pass"</formula>
    </cfRule>
    <cfRule type="cellIs" dxfId="9025" priority="9022" stopIfTrue="1" operator="equal">
      <formula>"Fail"</formula>
    </cfRule>
  </conditionalFormatting>
  <conditionalFormatting sqref="I1482:L1482">
    <cfRule type="cellIs" dxfId="9024" priority="9019" stopIfTrue="1" operator="equal">
      <formula>"Pass"</formula>
    </cfRule>
    <cfRule type="cellIs" dxfId="9023" priority="9020" stopIfTrue="1" operator="equal">
      <formula>"Fail"</formula>
    </cfRule>
  </conditionalFormatting>
  <conditionalFormatting sqref="J1482:L1482">
    <cfRule type="cellIs" dxfId="9022" priority="9017" stopIfTrue="1" operator="equal">
      <formula>"Pass"</formula>
    </cfRule>
    <cfRule type="cellIs" dxfId="9021" priority="9018" stopIfTrue="1" operator="equal">
      <formula>"Fail"</formula>
    </cfRule>
  </conditionalFormatting>
  <conditionalFormatting sqref="I1482">
    <cfRule type="cellIs" dxfId="9020" priority="9015" stopIfTrue="1" operator="equal">
      <formula>"Pass"</formula>
    </cfRule>
    <cfRule type="cellIs" dxfId="9019" priority="9016" stopIfTrue="1" operator="equal">
      <formula>"Fail"</formula>
    </cfRule>
  </conditionalFormatting>
  <conditionalFormatting sqref="I1482:L1482">
    <cfRule type="cellIs" dxfId="9018" priority="9013" stopIfTrue="1" operator="equal">
      <formula>"Pass"</formula>
    </cfRule>
    <cfRule type="cellIs" dxfId="9017" priority="9014" stopIfTrue="1" operator="equal">
      <formula>"Fail"</formula>
    </cfRule>
  </conditionalFormatting>
  <conditionalFormatting sqref="I1482:L1482">
    <cfRule type="cellIs" dxfId="9016" priority="9011" stopIfTrue="1" operator="equal">
      <formula>"Pass"</formula>
    </cfRule>
    <cfRule type="cellIs" dxfId="9015" priority="9012" stopIfTrue="1" operator="equal">
      <formula>"Fail"</formula>
    </cfRule>
  </conditionalFormatting>
  <conditionalFormatting sqref="I1482:L1482">
    <cfRule type="cellIs" dxfId="9014" priority="9009" stopIfTrue="1" operator="equal">
      <formula>"Pass"</formula>
    </cfRule>
    <cfRule type="cellIs" dxfId="9013" priority="9010" stopIfTrue="1" operator="equal">
      <formula>"Fail"</formula>
    </cfRule>
  </conditionalFormatting>
  <conditionalFormatting sqref="I1482:L1482">
    <cfRule type="cellIs" dxfId="9012" priority="9007" stopIfTrue="1" operator="equal">
      <formula>"Pass"</formula>
    </cfRule>
    <cfRule type="cellIs" dxfId="9011" priority="9008" stopIfTrue="1" operator="equal">
      <formula>"Fail"</formula>
    </cfRule>
  </conditionalFormatting>
  <conditionalFormatting sqref="J1482:L1482">
    <cfRule type="cellIs" dxfId="9010" priority="9005" stopIfTrue="1" operator="equal">
      <formula>"Pass"</formula>
    </cfRule>
    <cfRule type="cellIs" dxfId="9009" priority="9006" stopIfTrue="1" operator="equal">
      <formula>"Fail"</formula>
    </cfRule>
  </conditionalFormatting>
  <conditionalFormatting sqref="I1482">
    <cfRule type="cellIs" dxfId="9008" priority="9003" stopIfTrue="1" operator="equal">
      <formula>"Pass"</formula>
    </cfRule>
    <cfRule type="cellIs" dxfId="9007" priority="9004" stopIfTrue="1" operator="equal">
      <formula>"Fail"</formula>
    </cfRule>
  </conditionalFormatting>
  <conditionalFormatting sqref="I1482:L1482">
    <cfRule type="cellIs" dxfId="9006" priority="9001" stopIfTrue="1" operator="equal">
      <formula>"Pass"</formula>
    </cfRule>
    <cfRule type="cellIs" dxfId="9005" priority="9002" stopIfTrue="1" operator="equal">
      <formula>"Fail"</formula>
    </cfRule>
  </conditionalFormatting>
  <conditionalFormatting sqref="J1482:L1482">
    <cfRule type="cellIs" dxfId="9004" priority="8999" stopIfTrue="1" operator="equal">
      <formula>"Pass"</formula>
    </cfRule>
    <cfRule type="cellIs" dxfId="9003" priority="9000" stopIfTrue="1" operator="equal">
      <formula>"Fail"</formula>
    </cfRule>
  </conditionalFormatting>
  <conditionalFormatting sqref="I1482">
    <cfRule type="cellIs" dxfId="9002" priority="8997" stopIfTrue="1" operator="equal">
      <formula>"Pass"</formula>
    </cfRule>
    <cfRule type="cellIs" dxfId="9001" priority="8998" stopIfTrue="1" operator="equal">
      <formula>"Fail"</formula>
    </cfRule>
  </conditionalFormatting>
  <conditionalFormatting sqref="I1482:L1482">
    <cfRule type="cellIs" dxfId="9000" priority="8995" stopIfTrue="1" operator="equal">
      <formula>"Pass"</formula>
    </cfRule>
    <cfRule type="cellIs" dxfId="8999" priority="8996" stopIfTrue="1" operator="equal">
      <formula>"Fail"</formula>
    </cfRule>
  </conditionalFormatting>
  <conditionalFormatting sqref="J1482:L1482">
    <cfRule type="cellIs" dxfId="8998" priority="8993" stopIfTrue="1" operator="equal">
      <formula>"Pass"</formula>
    </cfRule>
    <cfRule type="cellIs" dxfId="8997" priority="8994" stopIfTrue="1" operator="equal">
      <formula>"Fail"</formula>
    </cfRule>
  </conditionalFormatting>
  <conditionalFormatting sqref="I1482">
    <cfRule type="cellIs" dxfId="8996" priority="8991" stopIfTrue="1" operator="equal">
      <formula>"Pass"</formula>
    </cfRule>
    <cfRule type="cellIs" dxfId="8995" priority="8992" stopIfTrue="1" operator="equal">
      <formula>"Fail"</formula>
    </cfRule>
  </conditionalFormatting>
  <conditionalFormatting sqref="I1482:L1482">
    <cfRule type="cellIs" dxfId="8994" priority="8989" stopIfTrue="1" operator="equal">
      <formula>"Pass"</formula>
    </cfRule>
    <cfRule type="cellIs" dxfId="8993" priority="8990" stopIfTrue="1" operator="equal">
      <formula>"Fail"</formula>
    </cfRule>
  </conditionalFormatting>
  <conditionalFormatting sqref="J1482:L1482">
    <cfRule type="cellIs" dxfId="8992" priority="8987" stopIfTrue="1" operator="equal">
      <formula>"Pass"</formula>
    </cfRule>
    <cfRule type="cellIs" dxfId="8991" priority="8988" stopIfTrue="1" operator="equal">
      <formula>"Fail"</formula>
    </cfRule>
  </conditionalFormatting>
  <conditionalFormatting sqref="I1482">
    <cfRule type="cellIs" dxfId="8990" priority="8985" stopIfTrue="1" operator="equal">
      <formula>"Pass"</formula>
    </cfRule>
    <cfRule type="cellIs" dxfId="8989" priority="8986" stopIfTrue="1" operator="equal">
      <formula>"Fail"</formula>
    </cfRule>
  </conditionalFormatting>
  <conditionalFormatting sqref="I1482:L1482">
    <cfRule type="cellIs" dxfId="8988" priority="8983" stopIfTrue="1" operator="equal">
      <formula>"Pass"</formula>
    </cfRule>
    <cfRule type="cellIs" dxfId="8987" priority="8984" stopIfTrue="1" operator="equal">
      <formula>"Fail"</formula>
    </cfRule>
  </conditionalFormatting>
  <conditionalFormatting sqref="I1482:L1482">
    <cfRule type="cellIs" dxfId="8986" priority="8981" stopIfTrue="1" operator="equal">
      <formula>"Pass"</formula>
    </cfRule>
    <cfRule type="cellIs" dxfId="8985" priority="8982" stopIfTrue="1" operator="equal">
      <formula>"Fail"</formula>
    </cfRule>
  </conditionalFormatting>
  <conditionalFormatting sqref="I1482:L1482">
    <cfRule type="cellIs" dxfId="8984" priority="8979" stopIfTrue="1" operator="equal">
      <formula>"Pass"</formula>
    </cfRule>
    <cfRule type="cellIs" dxfId="8983" priority="8980" stopIfTrue="1" operator="equal">
      <formula>"Fail"</formula>
    </cfRule>
  </conditionalFormatting>
  <conditionalFormatting sqref="I1482:L1482">
    <cfRule type="cellIs" dxfId="8982" priority="8977" stopIfTrue="1" operator="equal">
      <formula>"Pass"</formula>
    </cfRule>
    <cfRule type="cellIs" dxfId="8981" priority="8978" stopIfTrue="1" operator="equal">
      <formula>"Fail"</formula>
    </cfRule>
  </conditionalFormatting>
  <conditionalFormatting sqref="J1482:L1482">
    <cfRule type="cellIs" dxfId="8980" priority="8975" stopIfTrue="1" operator="equal">
      <formula>"Pass"</formula>
    </cfRule>
    <cfRule type="cellIs" dxfId="8979" priority="8976" stopIfTrue="1" operator="equal">
      <formula>"Fail"</formula>
    </cfRule>
  </conditionalFormatting>
  <conditionalFormatting sqref="I1482">
    <cfRule type="cellIs" dxfId="8978" priority="8973" stopIfTrue="1" operator="equal">
      <formula>"Pass"</formula>
    </cfRule>
    <cfRule type="cellIs" dxfId="8977" priority="8974" stopIfTrue="1" operator="equal">
      <formula>"Fail"</formula>
    </cfRule>
  </conditionalFormatting>
  <conditionalFormatting sqref="I1482:L1482">
    <cfRule type="cellIs" dxfId="8976" priority="8971" stopIfTrue="1" operator="equal">
      <formula>"Pass"</formula>
    </cfRule>
    <cfRule type="cellIs" dxfId="8975" priority="8972" stopIfTrue="1" operator="equal">
      <formula>"Fail"</formula>
    </cfRule>
  </conditionalFormatting>
  <conditionalFormatting sqref="J1482:L1482">
    <cfRule type="cellIs" dxfId="8974" priority="8969" stopIfTrue="1" operator="equal">
      <formula>"Pass"</formula>
    </cfRule>
    <cfRule type="cellIs" dxfId="8973" priority="8970" stopIfTrue="1" operator="equal">
      <formula>"Fail"</formula>
    </cfRule>
  </conditionalFormatting>
  <conditionalFormatting sqref="I1482">
    <cfRule type="cellIs" dxfId="8972" priority="8967" stopIfTrue="1" operator="equal">
      <formula>"Pass"</formula>
    </cfRule>
    <cfRule type="cellIs" dxfId="8971" priority="8968" stopIfTrue="1" operator="equal">
      <formula>"Fail"</formula>
    </cfRule>
  </conditionalFormatting>
  <conditionalFormatting sqref="I1482:L1482">
    <cfRule type="cellIs" dxfId="8970" priority="8965" stopIfTrue="1" operator="equal">
      <formula>"Pass"</formula>
    </cfRule>
    <cfRule type="cellIs" dxfId="8969" priority="8966" stopIfTrue="1" operator="equal">
      <formula>"Fail"</formula>
    </cfRule>
  </conditionalFormatting>
  <conditionalFormatting sqref="J1482:L1482">
    <cfRule type="cellIs" dxfId="8968" priority="8963" stopIfTrue="1" operator="equal">
      <formula>"Pass"</formula>
    </cfRule>
    <cfRule type="cellIs" dxfId="8967" priority="8964" stopIfTrue="1" operator="equal">
      <formula>"Fail"</formula>
    </cfRule>
  </conditionalFormatting>
  <conditionalFormatting sqref="I1482">
    <cfRule type="cellIs" dxfId="8966" priority="8961" stopIfTrue="1" operator="equal">
      <formula>"Pass"</formula>
    </cfRule>
    <cfRule type="cellIs" dxfId="8965" priority="8962" stopIfTrue="1" operator="equal">
      <formula>"Fail"</formula>
    </cfRule>
  </conditionalFormatting>
  <conditionalFormatting sqref="I1482:L1482">
    <cfRule type="cellIs" dxfId="8964" priority="8959" stopIfTrue="1" operator="equal">
      <formula>"Pass"</formula>
    </cfRule>
    <cfRule type="cellIs" dxfId="8963" priority="8960" stopIfTrue="1" operator="equal">
      <formula>"Fail"</formula>
    </cfRule>
  </conditionalFormatting>
  <conditionalFormatting sqref="J1482:L1482">
    <cfRule type="cellIs" dxfId="8962" priority="8957" stopIfTrue="1" operator="equal">
      <formula>"Pass"</formula>
    </cfRule>
    <cfRule type="cellIs" dxfId="8961" priority="8958" stopIfTrue="1" operator="equal">
      <formula>"Fail"</formula>
    </cfRule>
  </conditionalFormatting>
  <conditionalFormatting sqref="I1482">
    <cfRule type="cellIs" dxfId="8960" priority="8955" stopIfTrue="1" operator="equal">
      <formula>"Pass"</formula>
    </cfRule>
    <cfRule type="cellIs" dxfId="8959" priority="8956" stopIfTrue="1" operator="equal">
      <formula>"Fail"</formula>
    </cfRule>
  </conditionalFormatting>
  <conditionalFormatting sqref="I1482:L1482">
    <cfRule type="cellIs" dxfId="8958" priority="8953" stopIfTrue="1" operator="equal">
      <formula>"Pass"</formula>
    </cfRule>
    <cfRule type="cellIs" dxfId="8957" priority="8954" stopIfTrue="1" operator="equal">
      <formula>"Fail"</formula>
    </cfRule>
  </conditionalFormatting>
  <conditionalFormatting sqref="I1482:L1482">
    <cfRule type="cellIs" dxfId="8956" priority="8951" stopIfTrue="1" operator="equal">
      <formula>"Pass"</formula>
    </cfRule>
    <cfRule type="cellIs" dxfId="8955" priority="8952" stopIfTrue="1" operator="equal">
      <formula>"Fail"</formula>
    </cfRule>
  </conditionalFormatting>
  <conditionalFormatting sqref="I1482:L1482">
    <cfRule type="cellIs" dxfId="8954" priority="8949" stopIfTrue="1" operator="equal">
      <formula>"Pass"</formula>
    </cfRule>
    <cfRule type="cellIs" dxfId="8953" priority="8950" stopIfTrue="1" operator="equal">
      <formula>"Fail"</formula>
    </cfRule>
  </conditionalFormatting>
  <conditionalFormatting sqref="I1482:L1482">
    <cfRule type="cellIs" dxfId="8952" priority="8947" stopIfTrue="1" operator="equal">
      <formula>"Pass"</formula>
    </cfRule>
    <cfRule type="cellIs" dxfId="8951" priority="8948" stopIfTrue="1" operator="equal">
      <formula>"Fail"</formula>
    </cfRule>
  </conditionalFormatting>
  <conditionalFormatting sqref="I1482:L1482">
    <cfRule type="cellIs" dxfId="8950" priority="8945" stopIfTrue="1" operator="equal">
      <formula>"Pass"</formula>
    </cfRule>
    <cfRule type="cellIs" dxfId="8949" priority="8946" stopIfTrue="1" operator="equal">
      <formula>"Fail"</formula>
    </cfRule>
  </conditionalFormatting>
  <conditionalFormatting sqref="I1482:L1482">
    <cfRule type="cellIs" dxfId="8948" priority="8943" stopIfTrue="1" operator="equal">
      <formula>"Pass"</formula>
    </cfRule>
    <cfRule type="cellIs" dxfId="8947" priority="8944" stopIfTrue="1" operator="equal">
      <formula>"Fail"</formula>
    </cfRule>
  </conditionalFormatting>
  <conditionalFormatting sqref="I1482:L1482">
    <cfRule type="cellIs" dxfId="8946" priority="8941" stopIfTrue="1" operator="equal">
      <formula>"Pass"</formula>
    </cfRule>
    <cfRule type="cellIs" dxfId="8945" priority="8942" stopIfTrue="1" operator="equal">
      <formula>"Fail"</formula>
    </cfRule>
  </conditionalFormatting>
  <conditionalFormatting sqref="J1482:L1482">
    <cfRule type="cellIs" dxfId="8944" priority="8939" stopIfTrue="1" operator="equal">
      <formula>"Pass"</formula>
    </cfRule>
    <cfRule type="cellIs" dxfId="8943" priority="8940" stopIfTrue="1" operator="equal">
      <formula>"Fail"</formula>
    </cfRule>
  </conditionalFormatting>
  <conditionalFormatting sqref="I1482">
    <cfRule type="cellIs" dxfId="8942" priority="8937" stopIfTrue="1" operator="equal">
      <formula>"Pass"</formula>
    </cfRule>
    <cfRule type="cellIs" dxfId="8941" priority="8938" stopIfTrue="1" operator="equal">
      <formula>"Fail"</formula>
    </cfRule>
  </conditionalFormatting>
  <conditionalFormatting sqref="I1482:L1482">
    <cfRule type="cellIs" dxfId="8940" priority="8935" stopIfTrue="1" operator="equal">
      <formula>"Pass"</formula>
    </cfRule>
    <cfRule type="cellIs" dxfId="8939" priority="8936" stopIfTrue="1" operator="equal">
      <formula>"Fail"</formula>
    </cfRule>
  </conditionalFormatting>
  <conditionalFormatting sqref="J1482:L1482">
    <cfRule type="cellIs" dxfId="8938" priority="8933" stopIfTrue="1" operator="equal">
      <formula>"Pass"</formula>
    </cfRule>
    <cfRule type="cellIs" dxfId="8937" priority="8934" stopIfTrue="1" operator="equal">
      <formula>"Fail"</formula>
    </cfRule>
  </conditionalFormatting>
  <conditionalFormatting sqref="I1482">
    <cfRule type="cellIs" dxfId="8936" priority="8931" stopIfTrue="1" operator="equal">
      <formula>"Pass"</formula>
    </cfRule>
    <cfRule type="cellIs" dxfId="8935" priority="8932" stopIfTrue="1" operator="equal">
      <formula>"Fail"</formula>
    </cfRule>
  </conditionalFormatting>
  <conditionalFormatting sqref="I1482:L1482">
    <cfRule type="cellIs" dxfId="8934" priority="8929" stopIfTrue="1" operator="equal">
      <formula>"Pass"</formula>
    </cfRule>
    <cfRule type="cellIs" dxfId="8933" priority="8930" stopIfTrue="1" operator="equal">
      <formula>"Fail"</formula>
    </cfRule>
  </conditionalFormatting>
  <conditionalFormatting sqref="J1482:L1482">
    <cfRule type="cellIs" dxfId="8932" priority="8927" stopIfTrue="1" operator="equal">
      <formula>"Pass"</formula>
    </cfRule>
    <cfRule type="cellIs" dxfId="8931" priority="8928" stopIfTrue="1" operator="equal">
      <formula>"Fail"</formula>
    </cfRule>
  </conditionalFormatting>
  <conditionalFormatting sqref="I1482">
    <cfRule type="cellIs" dxfId="8930" priority="8925" stopIfTrue="1" operator="equal">
      <formula>"Pass"</formula>
    </cfRule>
    <cfRule type="cellIs" dxfId="8929" priority="8926" stopIfTrue="1" operator="equal">
      <formula>"Fail"</formula>
    </cfRule>
  </conditionalFormatting>
  <conditionalFormatting sqref="I1482:L1482">
    <cfRule type="cellIs" dxfId="8928" priority="8923" stopIfTrue="1" operator="equal">
      <formula>"Pass"</formula>
    </cfRule>
    <cfRule type="cellIs" dxfId="8927" priority="8924" stopIfTrue="1" operator="equal">
      <formula>"Fail"</formula>
    </cfRule>
  </conditionalFormatting>
  <conditionalFormatting sqref="J1482:L1482">
    <cfRule type="cellIs" dxfId="8926" priority="8921" stopIfTrue="1" operator="equal">
      <formula>"Pass"</formula>
    </cfRule>
    <cfRule type="cellIs" dxfId="8925" priority="8922" stopIfTrue="1" operator="equal">
      <formula>"Fail"</formula>
    </cfRule>
  </conditionalFormatting>
  <conditionalFormatting sqref="I1482">
    <cfRule type="cellIs" dxfId="8924" priority="8919" stopIfTrue="1" operator="equal">
      <formula>"Pass"</formula>
    </cfRule>
    <cfRule type="cellIs" dxfId="8923" priority="8920" stopIfTrue="1" operator="equal">
      <formula>"Fail"</formula>
    </cfRule>
  </conditionalFormatting>
  <conditionalFormatting sqref="I1482:L1482">
    <cfRule type="cellIs" dxfId="8922" priority="8917" stopIfTrue="1" operator="equal">
      <formula>"Pass"</formula>
    </cfRule>
    <cfRule type="cellIs" dxfId="8921" priority="8918" stopIfTrue="1" operator="equal">
      <formula>"Fail"</formula>
    </cfRule>
  </conditionalFormatting>
  <conditionalFormatting sqref="I1482:L1482">
    <cfRule type="cellIs" dxfId="8920" priority="8915" stopIfTrue="1" operator="equal">
      <formula>"Pass"</formula>
    </cfRule>
    <cfRule type="cellIs" dxfId="8919" priority="8916" stopIfTrue="1" operator="equal">
      <formula>"Fail"</formula>
    </cfRule>
  </conditionalFormatting>
  <conditionalFormatting sqref="I1482:L1482">
    <cfRule type="cellIs" dxfId="8918" priority="8913" stopIfTrue="1" operator="equal">
      <formula>"Pass"</formula>
    </cfRule>
    <cfRule type="cellIs" dxfId="8917" priority="8914" stopIfTrue="1" operator="equal">
      <formula>"Fail"</formula>
    </cfRule>
  </conditionalFormatting>
  <conditionalFormatting sqref="I1482:L1482">
    <cfRule type="cellIs" dxfId="8916" priority="8911" stopIfTrue="1" operator="equal">
      <formula>"Pass"</formula>
    </cfRule>
    <cfRule type="cellIs" dxfId="8915" priority="8912" stopIfTrue="1" operator="equal">
      <formula>"Fail"</formula>
    </cfRule>
  </conditionalFormatting>
  <conditionalFormatting sqref="I1482:L1482">
    <cfRule type="cellIs" dxfId="8914" priority="8909" stopIfTrue="1" operator="equal">
      <formula>"Pass"</formula>
    </cfRule>
    <cfRule type="cellIs" dxfId="8913" priority="8910" stopIfTrue="1" operator="equal">
      <formula>"Fail"</formula>
    </cfRule>
  </conditionalFormatting>
  <conditionalFormatting sqref="I1482:L1482">
    <cfRule type="cellIs" dxfId="8912" priority="8907" stopIfTrue="1" operator="equal">
      <formula>"Pass"</formula>
    </cfRule>
    <cfRule type="cellIs" dxfId="8911" priority="8908" stopIfTrue="1" operator="equal">
      <formula>"Fail"</formula>
    </cfRule>
  </conditionalFormatting>
  <conditionalFormatting sqref="I1482:L1482">
    <cfRule type="cellIs" dxfId="8910" priority="8905" stopIfTrue="1" operator="equal">
      <formula>"Pass"</formula>
    </cfRule>
    <cfRule type="cellIs" dxfId="8909" priority="8906" stopIfTrue="1" operator="equal">
      <formula>"Fail"</formula>
    </cfRule>
  </conditionalFormatting>
  <conditionalFormatting sqref="J1482:L1482">
    <cfRule type="cellIs" dxfId="8908" priority="8903" stopIfTrue="1" operator="equal">
      <formula>"Pass"</formula>
    </cfRule>
    <cfRule type="cellIs" dxfId="8907" priority="8904" stopIfTrue="1" operator="equal">
      <formula>"Fail"</formula>
    </cfRule>
  </conditionalFormatting>
  <conditionalFormatting sqref="I1482">
    <cfRule type="cellIs" dxfId="8906" priority="8901" stopIfTrue="1" operator="equal">
      <formula>"Pass"</formula>
    </cfRule>
    <cfRule type="cellIs" dxfId="8905" priority="8902" stopIfTrue="1" operator="equal">
      <formula>"Fail"</formula>
    </cfRule>
  </conditionalFormatting>
  <conditionalFormatting sqref="I1482:L1482">
    <cfRule type="cellIs" dxfId="8904" priority="8899" stopIfTrue="1" operator="equal">
      <formula>"Pass"</formula>
    </cfRule>
    <cfRule type="cellIs" dxfId="8903" priority="8900" stopIfTrue="1" operator="equal">
      <formula>"Fail"</formula>
    </cfRule>
  </conditionalFormatting>
  <conditionalFormatting sqref="J1482:L1482">
    <cfRule type="cellIs" dxfId="8902" priority="8897" stopIfTrue="1" operator="equal">
      <formula>"Pass"</formula>
    </cfRule>
    <cfRule type="cellIs" dxfId="8901" priority="8898" stopIfTrue="1" operator="equal">
      <formula>"Fail"</formula>
    </cfRule>
  </conditionalFormatting>
  <conditionalFormatting sqref="I1482">
    <cfRule type="cellIs" dxfId="8900" priority="8895" stopIfTrue="1" operator="equal">
      <formula>"Pass"</formula>
    </cfRule>
    <cfRule type="cellIs" dxfId="8899" priority="8896" stopIfTrue="1" operator="equal">
      <formula>"Fail"</formula>
    </cfRule>
  </conditionalFormatting>
  <conditionalFormatting sqref="I1482:L1482">
    <cfRule type="cellIs" dxfId="8898" priority="8893" stopIfTrue="1" operator="equal">
      <formula>"Pass"</formula>
    </cfRule>
    <cfRule type="cellIs" dxfId="8897" priority="8894" stopIfTrue="1" operator="equal">
      <formula>"Fail"</formula>
    </cfRule>
  </conditionalFormatting>
  <conditionalFormatting sqref="J1482:L1482">
    <cfRule type="cellIs" dxfId="8896" priority="8891" stopIfTrue="1" operator="equal">
      <formula>"Pass"</formula>
    </cfRule>
    <cfRule type="cellIs" dxfId="8895" priority="8892" stopIfTrue="1" operator="equal">
      <formula>"Fail"</formula>
    </cfRule>
  </conditionalFormatting>
  <conditionalFormatting sqref="I1482">
    <cfRule type="cellIs" dxfId="8894" priority="8889" stopIfTrue="1" operator="equal">
      <formula>"Pass"</formula>
    </cfRule>
    <cfRule type="cellIs" dxfId="8893" priority="8890" stopIfTrue="1" operator="equal">
      <formula>"Fail"</formula>
    </cfRule>
  </conditionalFormatting>
  <conditionalFormatting sqref="I1482:L1482">
    <cfRule type="cellIs" dxfId="8892" priority="8887" stopIfTrue="1" operator="equal">
      <formula>"Pass"</formula>
    </cfRule>
    <cfRule type="cellIs" dxfId="8891" priority="8888" stopIfTrue="1" operator="equal">
      <formula>"Fail"</formula>
    </cfRule>
  </conditionalFormatting>
  <conditionalFormatting sqref="J1482:L1482">
    <cfRule type="cellIs" dxfId="8890" priority="8885" stopIfTrue="1" operator="equal">
      <formula>"Pass"</formula>
    </cfRule>
    <cfRule type="cellIs" dxfId="8889" priority="8886" stopIfTrue="1" operator="equal">
      <formula>"Fail"</formula>
    </cfRule>
  </conditionalFormatting>
  <conditionalFormatting sqref="I1482">
    <cfRule type="cellIs" dxfId="8888" priority="8883" stopIfTrue="1" operator="equal">
      <formula>"Pass"</formula>
    </cfRule>
    <cfRule type="cellIs" dxfId="8887" priority="8884" stopIfTrue="1" operator="equal">
      <formula>"Fail"</formula>
    </cfRule>
  </conditionalFormatting>
  <conditionalFormatting sqref="I1482:L1482">
    <cfRule type="cellIs" dxfId="8886" priority="8881" stopIfTrue="1" operator="equal">
      <formula>"Pass"</formula>
    </cfRule>
    <cfRule type="cellIs" dxfId="8885" priority="8882" stopIfTrue="1" operator="equal">
      <formula>"Fail"</formula>
    </cfRule>
  </conditionalFormatting>
  <conditionalFormatting sqref="I1482:L1482">
    <cfRule type="cellIs" dxfId="8884" priority="8879" stopIfTrue="1" operator="equal">
      <formula>"Pass"</formula>
    </cfRule>
    <cfRule type="cellIs" dxfId="8883" priority="8880" stopIfTrue="1" operator="equal">
      <formula>"Fail"</formula>
    </cfRule>
  </conditionalFormatting>
  <conditionalFormatting sqref="I1482:L1482">
    <cfRule type="cellIs" dxfId="8882" priority="8877" stopIfTrue="1" operator="equal">
      <formula>"Pass"</formula>
    </cfRule>
    <cfRule type="cellIs" dxfId="8881" priority="8878" stopIfTrue="1" operator="equal">
      <formula>"Fail"</formula>
    </cfRule>
  </conditionalFormatting>
  <conditionalFormatting sqref="I1482:L1482">
    <cfRule type="cellIs" dxfId="8880" priority="8875" stopIfTrue="1" operator="equal">
      <formula>"Pass"</formula>
    </cfRule>
    <cfRule type="cellIs" dxfId="8879" priority="8876" stopIfTrue="1" operator="equal">
      <formula>"Fail"</formula>
    </cfRule>
  </conditionalFormatting>
  <conditionalFormatting sqref="I1482:L1482">
    <cfRule type="cellIs" dxfId="8878" priority="8873" stopIfTrue="1" operator="equal">
      <formula>"Pass"</formula>
    </cfRule>
    <cfRule type="cellIs" dxfId="8877" priority="8874" stopIfTrue="1" operator="equal">
      <formula>"Fail"</formula>
    </cfRule>
  </conditionalFormatting>
  <conditionalFormatting sqref="I1482:L1482">
    <cfRule type="cellIs" dxfId="8876" priority="8871" stopIfTrue="1" operator="equal">
      <formula>"Pass"</formula>
    </cfRule>
    <cfRule type="cellIs" dxfId="8875" priority="8872" stopIfTrue="1" operator="equal">
      <formula>"Fail"</formula>
    </cfRule>
  </conditionalFormatting>
  <conditionalFormatting sqref="I1482:L1482">
    <cfRule type="cellIs" dxfId="8874" priority="8869" stopIfTrue="1" operator="equal">
      <formula>"Pass"</formula>
    </cfRule>
    <cfRule type="cellIs" dxfId="8873" priority="8870" stopIfTrue="1" operator="equal">
      <formula>"Fail"</formula>
    </cfRule>
  </conditionalFormatting>
  <conditionalFormatting sqref="J1482:L1482">
    <cfRule type="cellIs" dxfId="8872" priority="8867" stopIfTrue="1" operator="equal">
      <formula>"Pass"</formula>
    </cfRule>
    <cfRule type="cellIs" dxfId="8871" priority="8868" stopIfTrue="1" operator="equal">
      <formula>"Fail"</formula>
    </cfRule>
  </conditionalFormatting>
  <conditionalFormatting sqref="I1482">
    <cfRule type="cellIs" dxfId="8870" priority="8865" stopIfTrue="1" operator="equal">
      <formula>"Pass"</formula>
    </cfRule>
    <cfRule type="cellIs" dxfId="8869" priority="8866" stopIfTrue="1" operator="equal">
      <formula>"Fail"</formula>
    </cfRule>
  </conditionalFormatting>
  <conditionalFormatting sqref="I1482:L1482">
    <cfRule type="cellIs" dxfId="8868" priority="8863" stopIfTrue="1" operator="equal">
      <formula>"Pass"</formula>
    </cfRule>
    <cfRule type="cellIs" dxfId="8867" priority="8864" stopIfTrue="1" operator="equal">
      <formula>"Fail"</formula>
    </cfRule>
  </conditionalFormatting>
  <conditionalFormatting sqref="J1482:L1482">
    <cfRule type="cellIs" dxfId="8866" priority="8861" stopIfTrue="1" operator="equal">
      <formula>"Pass"</formula>
    </cfRule>
    <cfRule type="cellIs" dxfId="8865" priority="8862" stopIfTrue="1" operator="equal">
      <formula>"Fail"</formula>
    </cfRule>
  </conditionalFormatting>
  <conditionalFormatting sqref="I1482">
    <cfRule type="cellIs" dxfId="8864" priority="8859" stopIfTrue="1" operator="equal">
      <formula>"Pass"</formula>
    </cfRule>
    <cfRule type="cellIs" dxfId="8863" priority="8860" stopIfTrue="1" operator="equal">
      <formula>"Fail"</formula>
    </cfRule>
  </conditionalFormatting>
  <conditionalFormatting sqref="I1482:L1482">
    <cfRule type="cellIs" dxfId="8862" priority="8857" stopIfTrue="1" operator="equal">
      <formula>"Pass"</formula>
    </cfRule>
    <cfRule type="cellIs" dxfId="8861" priority="8858" stopIfTrue="1" operator="equal">
      <formula>"Fail"</formula>
    </cfRule>
  </conditionalFormatting>
  <conditionalFormatting sqref="J1482:L1482">
    <cfRule type="cellIs" dxfId="8860" priority="8855" stopIfTrue="1" operator="equal">
      <formula>"Pass"</formula>
    </cfRule>
    <cfRule type="cellIs" dxfId="8859" priority="8856" stopIfTrue="1" operator="equal">
      <formula>"Fail"</formula>
    </cfRule>
  </conditionalFormatting>
  <conditionalFormatting sqref="I1482">
    <cfRule type="cellIs" dxfId="8858" priority="8853" stopIfTrue="1" operator="equal">
      <formula>"Pass"</formula>
    </cfRule>
    <cfRule type="cellIs" dxfId="8857" priority="8854" stopIfTrue="1" operator="equal">
      <formula>"Fail"</formula>
    </cfRule>
  </conditionalFormatting>
  <conditionalFormatting sqref="I1482:L1482">
    <cfRule type="cellIs" dxfId="8856" priority="8851" stopIfTrue="1" operator="equal">
      <formula>"Pass"</formula>
    </cfRule>
    <cfRule type="cellIs" dxfId="8855" priority="8852" stopIfTrue="1" operator="equal">
      <formula>"Fail"</formula>
    </cfRule>
  </conditionalFormatting>
  <conditionalFormatting sqref="J1482:L1482">
    <cfRule type="cellIs" dxfId="8854" priority="8849" stopIfTrue="1" operator="equal">
      <formula>"Pass"</formula>
    </cfRule>
    <cfRule type="cellIs" dxfId="8853" priority="8850" stopIfTrue="1" operator="equal">
      <formula>"Fail"</formula>
    </cfRule>
  </conditionalFormatting>
  <conditionalFormatting sqref="I1482">
    <cfRule type="cellIs" dxfId="8852" priority="8847" stopIfTrue="1" operator="equal">
      <formula>"Pass"</formula>
    </cfRule>
    <cfRule type="cellIs" dxfId="8851" priority="8848" stopIfTrue="1" operator="equal">
      <formula>"Fail"</formula>
    </cfRule>
  </conditionalFormatting>
  <conditionalFormatting sqref="I1482:L1482">
    <cfRule type="cellIs" dxfId="8850" priority="8845" stopIfTrue="1" operator="equal">
      <formula>"Pass"</formula>
    </cfRule>
    <cfRule type="cellIs" dxfId="8849" priority="8846" stopIfTrue="1" operator="equal">
      <formula>"Fail"</formula>
    </cfRule>
  </conditionalFormatting>
  <conditionalFormatting sqref="I1482:L1482">
    <cfRule type="cellIs" dxfId="8848" priority="8843" stopIfTrue="1" operator="equal">
      <formula>"Pass"</formula>
    </cfRule>
    <cfRule type="cellIs" dxfId="8847" priority="8844" stopIfTrue="1" operator="equal">
      <formula>"Fail"</formula>
    </cfRule>
  </conditionalFormatting>
  <conditionalFormatting sqref="H1482">
    <cfRule type="cellIs" dxfId="8846" priority="8841" stopIfTrue="1" operator="equal">
      <formula>"Pass"</formula>
    </cfRule>
    <cfRule type="cellIs" dxfId="8845" priority="8842" stopIfTrue="1" operator="equal">
      <formula>"Fail"</formula>
    </cfRule>
  </conditionalFormatting>
  <conditionalFormatting sqref="H1482">
    <cfRule type="cellIs" dxfId="8844" priority="8839" stopIfTrue="1" operator="equal">
      <formula>"Pass"</formula>
    </cfRule>
    <cfRule type="cellIs" dxfId="8843" priority="8840" stopIfTrue="1" operator="equal">
      <formula>"Fail"</formula>
    </cfRule>
  </conditionalFormatting>
  <conditionalFormatting sqref="H1482">
    <cfRule type="cellIs" dxfId="8842" priority="8837" stopIfTrue="1" operator="equal">
      <formula>"Pass"</formula>
    </cfRule>
    <cfRule type="cellIs" dxfId="8841" priority="8838" stopIfTrue="1" operator="equal">
      <formula>"Fail"</formula>
    </cfRule>
  </conditionalFormatting>
  <conditionalFormatting sqref="I1482:L1482">
    <cfRule type="cellIs" dxfId="8840" priority="8835" stopIfTrue="1" operator="equal">
      <formula>"Pass"</formula>
    </cfRule>
    <cfRule type="cellIs" dxfId="8839" priority="8836" stopIfTrue="1" operator="equal">
      <formula>"Fail"</formula>
    </cfRule>
  </conditionalFormatting>
  <conditionalFormatting sqref="I1482:L1482">
    <cfRule type="cellIs" dxfId="8838" priority="8833" stopIfTrue="1" operator="equal">
      <formula>"Pass"</formula>
    </cfRule>
    <cfRule type="cellIs" dxfId="8837" priority="8834" stopIfTrue="1" operator="equal">
      <formula>"Fail"</formula>
    </cfRule>
  </conditionalFormatting>
  <conditionalFormatting sqref="I1482:L1482">
    <cfRule type="cellIs" dxfId="8836" priority="8831" stopIfTrue="1" operator="equal">
      <formula>"Pass"</formula>
    </cfRule>
    <cfRule type="cellIs" dxfId="8835" priority="8832" stopIfTrue="1" operator="equal">
      <formula>"Fail"</formula>
    </cfRule>
  </conditionalFormatting>
  <conditionalFormatting sqref="I1482:L1482">
    <cfRule type="cellIs" dxfId="8834" priority="8829" stopIfTrue="1" operator="equal">
      <formula>"Pass"</formula>
    </cfRule>
    <cfRule type="cellIs" dxfId="8833" priority="8830" stopIfTrue="1" operator="equal">
      <formula>"Fail"</formula>
    </cfRule>
  </conditionalFormatting>
  <conditionalFormatting sqref="I1482:L1482">
    <cfRule type="cellIs" dxfId="8832" priority="8827" stopIfTrue="1" operator="equal">
      <formula>"Pass"</formula>
    </cfRule>
    <cfRule type="cellIs" dxfId="8831" priority="8828" stopIfTrue="1" operator="equal">
      <formula>"Fail"</formula>
    </cfRule>
  </conditionalFormatting>
  <conditionalFormatting sqref="I1482:L1482">
    <cfRule type="cellIs" dxfId="8830" priority="8825" stopIfTrue="1" operator="equal">
      <formula>"Pass"</formula>
    </cfRule>
    <cfRule type="cellIs" dxfId="8829" priority="8826" stopIfTrue="1" operator="equal">
      <formula>"Fail"</formula>
    </cfRule>
  </conditionalFormatting>
  <conditionalFormatting sqref="J1482:L1482">
    <cfRule type="cellIs" dxfId="8828" priority="8823" stopIfTrue="1" operator="equal">
      <formula>"Pass"</formula>
    </cfRule>
    <cfRule type="cellIs" dxfId="8827" priority="8824" stopIfTrue="1" operator="equal">
      <formula>"Fail"</formula>
    </cfRule>
  </conditionalFormatting>
  <conditionalFormatting sqref="I1482">
    <cfRule type="cellIs" dxfId="8826" priority="8821" stopIfTrue="1" operator="equal">
      <formula>"Pass"</formula>
    </cfRule>
    <cfRule type="cellIs" dxfId="8825" priority="8822" stopIfTrue="1" operator="equal">
      <formula>"Fail"</formula>
    </cfRule>
  </conditionalFormatting>
  <conditionalFormatting sqref="I1482:L1482">
    <cfRule type="cellIs" dxfId="8824" priority="8819" stopIfTrue="1" operator="equal">
      <formula>"Pass"</formula>
    </cfRule>
    <cfRule type="cellIs" dxfId="8823" priority="8820" stopIfTrue="1" operator="equal">
      <formula>"Fail"</formula>
    </cfRule>
  </conditionalFormatting>
  <conditionalFormatting sqref="J1482:L1482">
    <cfRule type="cellIs" dxfId="8822" priority="8817" stopIfTrue="1" operator="equal">
      <formula>"Pass"</formula>
    </cfRule>
    <cfRule type="cellIs" dxfId="8821" priority="8818" stopIfTrue="1" operator="equal">
      <formula>"Fail"</formula>
    </cfRule>
  </conditionalFormatting>
  <conditionalFormatting sqref="I1482">
    <cfRule type="cellIs" dxfId="8820" priority="8815" stopIfTrue="1" operator="equal">
      <formula>"Pass"</formula>
    </cfRule>
    <cfRule type="cellIs" dxfId="8819" priority="8816" stopIfTrue="1" operator="equal">
      <formula>"Fail"</formula>
    </cfRule>
  </conditionalFormatting>
  <conditionalFormatting sqref="I1482:L1482">
    <cfRule type="cellIs" dxfId="8818" priority="8813" stopIfTrue="1" operator="equal">
      <formula>"Pass"</formula>
    </cfRule>
    <cfRule type="cellIs" dxfId="8817" priority="8814" stopIfTrue="1" operator="equal">
      <formula>"Fail"</formula>
    </cfRule>
  </conditionalFormatting>
  <conditionalFormatting sqref="J1482:L1482">
    <cfRule type="cellIs" dxfId="8816" priority="8811" stopIfTrue="1" operator="equal">
      <formula>"Pass"</formula>
    </cfRule>
    <cfRule type="cellIs" dxfId="8815" priority="8812" stopIfTrue="1" operator="equal">
      <formula>"Fail"</formula>
    </cfRule>
  </conditionalFormatting>
  <conditionalFormatting sqref="I1482">
    <cfRule type="cellIs" dxfId="8814" priority="8809" stopIfTrue="1" operator="equal">
      <formula>"Pass"</formula>
    </cfRule>
    <cfRule type="cellIs" dxfId="8813" priority="8810" stopIfTrue="1" operator="equal">
      <formula>"Fail"</formula>
    </cfRule>
  </conditionalFormatting>
  <conditionalFormatting sqref="I1482:L1482">
    <cfRule type="cellIs" dxfId="8812" priority="8807" stopIfTrue="1" operator="equal">
      <formula>"Pass"</formula>
    </cfRule>
    <cfRule type="cellIs" dxfId="8811" priority="8808" stopIfTrue="1" operator="equal">
      <formula>"Fail"</formula>
    </cfRule>
  </conditionalFormatting>
  <conditionalFormatting sqref="J1482:L1482">
    <cfRule type="cellIs" dxfId="8810" priority="8805" stopIfTrue="1" operator="equal">
      <formula>"Pass"</formula>
    </cfRule>
    <cfRule type="cellIs" dxfId="8809" priority="8806" stopIfTrue="1" operator="equal">
      <formula>"Fail"</formula>
    </cfRule>
  </conditionalFormatting>
  <conditionalFormatting sqref="I1482">
    <cfRule type="cellIs" dxfId="8808" priority="8803" stopIfTrue="1" operator="equal">
      <formula>"Pass"</formula>
    </cfRule>
    <cfRule type="cellIs" dxfId="8807" priority="8804" stopIfTrue="1" operator="equal">
      <formula>"Fail"</formula>
    </cfRule>
  </conditionalFormatting>
  <conditionalFormatting sqref="I1482:L1482">
    <cfRule type="cellIs" dxfId="8806" priority="8801" stopIfTrue="1" operator="equal">
      <formula>"Pass"</formula>
    </cfRule>
    <cfRule type="cellIs" dxfId="8805" priority="8802" stopIfTrue="1" operator="equal">
      <formula>"Fail"</formula>
    </cfRule>
  </conditionalFormatting>
  <conditionalFormatting sqref="I1482:L1482">
    <cfRule type="cellIs" dxfId="8804" priority="8799" stopIfTrue="1" operator="equal">
      <formula>"Pass"</formula>
    </cfRule>
    <cfRule type="cellIs" dxfId="8803" priority="8800" stopIfTrue="1" operator="equal">
      <formula>"Fail"</formula>
    </cfRule>
  </conditionalFormatting>
  <conditionalFormatting sqref="H1482">
    <cfRule type="cellIs" dxfId="8802" priority="8797" stopIfTrue="1" operator="equal">
      <formula>"Pass"</formula>
    </cfRule>
    <cfRule type="cellIs" dxfId="8801" priority="8798" stopIfTrue="1" operator="equal">
      <formula>"Fail"</formula>
    </cfRule>
  </conditionalFormatting>
  <conditionalFormatting sqref="H1482">
    <cfRule type="cellIs" dxfId="8800" priority="8795" stopIfTrue="1" operator="equal">
      <formula>"Pass"</formula>
    </cfRule>
    <cfRule type="cellIs" dxfId="8799" priority="8796" stopIfTrue="1" operator="equal">
      <formula>"Fail"</formula>
    </cfRule>
  </conditionalFormatting>
  <conditionalFormatting sqref="H1482">
    <cfRule type="cellIs" dxfId="8798" priority="8793" stopIfTrue="1" operator="equal">
      <formula>"Pass"</formula>
    </cfRule>
    <cfRule type="cellIs" dxfId="8797" priority="8794" stopIfTrue="1" operator="equal">
      <formula>"Fail"</formula>
    </cfRule>
  </conditionalFormatting>
  <conditionalFormatting sqref="I1482:L1482">
    <cfRule type="cellIs" dxfId="8796" priority="8791" stopIfTrue="1" operator="equal">
      <formula>"Pass"</formula>
    </cfRule>
    <cfRule type="cellIs" dxfId="8795" priority="8792" stopIfTrue="1" operator="equal">
      <formula>"Fail"</formula>
    </cfRule>
  </conditionalFormatting>
  <conditionalFormatting sqref="I1482:L1482">
    <cfRule type="cellIs" dxfId="8794" priority="8789" stopIfTrue="1" operator="equal">
      <formula>"Pass"</formula>
    </cfRule>
    <cfRule type="cellIs" dxfId="8793" priority="8790" stopIfTrue="1" operator="equal">
      <formula>"Fail"</formula>
    </cfRule>
  </conditionalFormatting>
  <conditionalFormatting sqref="I1482:L1482">
    <cfRule type="cellIs" dxfId="8792" priority="8787" stopIfTrue="1" operator="equal">
      <formula>"Pass"</formula>
    </cfRule>
    <cfRule type="cellIs" dxfId="8791" priority="8788" stopIfTrue="1" operator="equal">
      <formula>"Fail"</formula>
    </cfRule>
  </conditionalFormatting>
  <conditionalFormatting sqref="I1482:L1482">
    <cfRule type="cellIs" dxfId="8790" priority="8785" stopIfTrue="1" operator="equal">
      <formula>"Pass"</formula>
    </cfRule>
    <cfRule type="cellIs" dxfId="8789" priority="8786" stopIfTrue="1" operator="equal">
      <formula>"Fail"</formula>
    </cfRule>
  </conditionalFormatting>
  <conditionalFormatting sqref="I1482:L1482">
    <cfRule type="cellIs" dxfId="8788" priority="8783" stopIfTrue="1" operator="equal">
      <formula>"Pass"</formula>
    </cfRule>
    <cfRule type="cellIs" dxfId="8787" priority="8784" stopIfTrue="1" operator="equal">
      <formula>"Fail"</formula>
    </cfRule>
  </conditionalFormatting>
  <conditionalFormatting sqref="I1482:L1482">
    <cfRule type="cellIs" dxfId="8786" priority="8781" stopIfTrue="1" operator="equal">
      <formula>"Pass"</formula>
    </cfRule>
    <cfRule type="cellIs" dxfId="8785" priority="8782" stopIfTrue="1" operator="equal">
      <formula>"Fail"</formula>
    </cfRule>
  </conditionalFormatting>
  <conditionalFormatting sqref="J1482:L1482">
    <cfRule type="cellIs" dxfId="8784" priority="8779" stopIfTrue="1" operator="equal">
      <formula>"Pass"</formula>
    </cfRule>
    <cfRule type="cellIs" dxfId="8783" priority="8780" stopIfTrue="1" operator="equal">
      <formula>"Fail"</formula>
    </cfRule>
  </conditionalFormatting>
  <conditionalFormatting sqref="I1482">
    <cfRule type="cellIs" dxfId="8782" priority="8777" stopIfTrue="1" operator="equal">
      <formula>"Pass"</formula>
    </cfRule>
    <cfRule type="cellIs" dxfId="8781" priority="8778" stopIfTrue="1" operator="equal">
      <formula>"Fail"</formula>
    </cfRule>
  </conditionalFormatting>
  <conditionalFormatting sqref="I1482:L1482">
    <cfRule type="cellIs" dxfId="8780" priority="8775" stopIfTrue="1" operator="equal">
      <formula>"Pass"</formula>
    </cfRule>
    <cfRule type="cellIs" dxfId="8779" priority="8776" stopIfTrue="1" operator="equal">
      <formula>"Fail"</formula>
    </cfRule>
  </conditionalFormatting>
  <conditionalFormatting sqref="J1482:L1482">
    <cfRule type="cellIs" dxfId="8778" priority="8773" stopIfTrue="1" operator="equal">
      <formula>"Pass"</formula>
    </cfRule>
    <cfRule type="cellIs" dxfId="8777" priority="8774" stopIfTrue="1" operator="equal">
      <formula>"Fail"</formula>
    </cfRule>
  </conditionalFormatting>
  <conditionalFormatting sqref="I1482">
    <cfRule type="cellIs" dxfId="8776" priority="8771" stopIfTrue="1" operator="equal">
      <formula>"Pass"</formula>
    </cfRule>
    <cfRule type="cellIs" dxfId="8775" priority="8772" stopIfTrue="1" operator="equal">
      <formula>"Fail"</formula>
    </cfRule>
  </conditionalFormatting>
  <conditionalFormatting sqref="I1482:L1482">
    <cfRule type="cellIs" dxfId="8774" priority="8769" stopIfTrue="1" operator="equal">
      <formula>"Pass"</formula>
    </cfRule>
    <cfRule type="cellIs" dxfId="8773" priority="8770" stopIfTrue="1" operator="equal">
      <formula>"Fail"</formula>
    </cfRule>
  </conditionalFormatting>
  <conditionalFormatting sqref="J1482:L1482">
    <cfRule type="cellIs" dxfId="8772" priority="8767" stopIfTrue="1" operator="equal">
      <formula>"Pass"</formula>
    </cfRule>
    <cfRule type="cellIs" dxfId="8771" priority="8768" stopIfTrue="1" operator="equal">
      <formula>"Fail"</formula>
    </cfRule>
  </conditionalFormatting>
  <conditionalFormatting sqref="I1482">
    <cfRule type="cellIs" dxfId="8770" priority="8765" stopIfTrue="1" operator="equal">
      <formula>"Pass"</formula>
    </cfRule>
    <cfRule type="cellIs" dxfId="8769" priority="8766" stopIfTrue="1" operator="equal">
      <formula>"Fail"</formula>
    </cfRule>
  </conditionalFormatting>
  <conditionalFormatting sqref="I1482:L1482">
    <cfRule type="cellIs" dxfId="8768" priority="8763" stopIfTrue="1" operator="equal">
      <formula>"Pass"</formula>
    </cfRule>
    <cfRule type="cellIs" dxfId="8767" priority="8764" stopIfTrue="1" operator="equal">
      <formula>"Fail"</formula>
    </cfRule>
  </conditionalFormatting>
  <conditionalFormatting sqref="J1482:L1482">
    <cfRule type="cellIs" dxfId="8766" priority="8761" stopIfTrue="1" operator="equal">
      <formula>"Pass"</formula>
    </cfRule>
    <cfRule type="cellIs" dxfId="8765" priority="8762" stopIfTrue="1" operator="equal">
      <formula>"Fail"</formula>
    </cfRule>
  </conditionalFormatting>
  <conditionalFormatting sqref="I1482">
    <cfRule type="cellIs" dxfId="8764" priority="8759" stopIfTrue="1" operator="equal">
      <formula>"Pass"</formula>
    </cfRule>
    <cfRule type="cellIs" dxfId="8763" priority="8760" stopIfTrue="1" operator="equal">
      <formula>"Fail"</formula>
    </cfRule>
  </conditionalFormatting>
  <conditionalFormatting sqref="I1482:L1482">
    <cfRule type="cellIs" dxfId="8762" priority="8757" stopIfTrue="1" operator="equal">
      <formula>"Pass"</formula>
    </cfRule>
    <cfRule type="cellIs" dxfId="8761" priority="8758" stopIfTrue="1" operator="equal">
      <formula>"Fail"</formula>
    </cfRule>
  </conditionalFormatting>
  <conditionalFormatting sqref="I1482:L1482">
    <cfRule type="cellIs" dxfId="8760" priority="8755" stopIfTrue="1" operator="equal">
      <formula>"Pass"</formula>
    </cfRule>
    <cfRule type="cellIs" dxfId="8759" priority="8756" stopIfTrue="1" operator="equal">
      <formula>"Fail"</formula>
    </cfRule>
  </conditionalFormatting>
  <conditionalFormatting sqref="I1482">
    <cfRule type="cellIs" dxfId="8758" priority="8753" stopIfTrue="1" operator="equal">
      <formula>"Pass"</formula>
    </cfRule>
    <cfRule type="cellIs" dxfId="8757" priority="8754" stopIfTrue="1" operator="equal">
      <formula>"Fail"</formula>
    </cfRule>
  </conditionalFormatting>
  <conditionalFormatting sqref="I1482">
    <cfRule type="cellIs" dxfId="8756" priority="8751" stopIfTrue="1" operator="equal">
      <formula>"Pass"</formula>
    </cfRule>
    <cfRule type="cellIs" dxfId="8755" priority="8752" stopIfTrue="1" operator="equal">
      <formula>"Fail"</formula>
    </cfRule>
  </conditionalFormatting>
  <conditionalFormatting sqref="H1482:L1482">
    <cfRule type="cellIs" dxfId="8754" priority="8749" stopIfTrue="1" operator="equal">
      <formula>"Pass"</formula>
    </cfRule>
    <cfRule type="cellIs" dxfId="8753" priority="8750" stopIfTrue="1" operator="equal">
      <formula>"Fail"</formula>
    </cfRule>
  </conditionalFormatting>
  <conditionalFormatting sqref="H1482:L1482">
    <cfRule type="cellIs" dxfId="8752" priority="8747" stopIfTrue="1" operator="equal">
      <formula>"Pass"</formula>
    </cfRule>
    <cfRule type="cellIs" dxfId="8751" priority="8748" stopIfTrue="1" operator="equal">
      <formula>"Fail"</formula>
    </cfRule>
  </conditionalFormatting>
  <conditionalFormatting sqref="H1482:L1482">
    <cfRule type="cellIs" dxfId="8750" priority="8745" stopIfTrue="1" operator="equal">
      <formula>"Pass"</formula>
    </cfRule>
    <cfRule type="cellIs" dxfId="8749" priority="8746" stopIfTrue="1" operator="equal">
      <formula>"Fail"</formula>
    </cfRule>
  </conditionalFormatting>
  <conditionalFormatting sqref="H1482:L1482">
    <cfRule type="cellIs" dxfId="8748" priority="8743" stopIfTrue="1" operator="equal">
      <formula>"Pass"</formula>
    </cfRule>
    <cfRule type="cellIs" dxfId="8747" priority="8744" stopIfTrue="1" operator="equal">
      <formula>"Fail"</formula>
    </cfRule>
  </conditionalFormatting>
  <conditionalFormatting sqref="H1482:L1482">
    <cfRule type="cellIs" dxfId="8746" priority="8741" stopIfTrue="1" operator="equal">
      <formula>"Pass"</formula>
    </cfRule>
    <cfRule type="cellIs" dxfId="8745" priority="8742" stopIfTrue="1" operator="equal">
      <formula>"Fail"</formula>
    </cfRule>
  </conditionalFormatting>
  <conditionalFormatting sqref="H1482:L1482">
    <cfRule type="cellIs" dxfId="8744" priority="8739" stopIfTrue="1" operator="equal">
      <formula>"Pass"</formula>
    </cfRule>
    <cfRule type="cellIs" dxfId="8743" priority="8740" stopIfTrue="1" operator="equal">
      <formula>"Fail"</formula>
    </cfRule>
  </conditionalFormatting>
  <conditionalFormatting sqref="J1482:L1482">
    <cfRule type="cellIs" dxfId="8742" priority="8737" stopIfTrue="1" operator="equal">
      <formula>"Pass"</formula>
    </cfRule>
    <cfRule type="cellIs" dxfId="8741" priority="8738" stopIfTrue="1" operator="equal">
      <formula>"Fail"</formula>
    </cfRule>
  </conditionalFormatting>
  <conditionalFormatting sqref="I1482">
    <cfRule type="cellIs" dxfId="8740" priority="8735" stopIfTrue="1" operator="equal">
      <formula>"Pass"</formula>
    </cfRule>
    <cfRule type="cellIs" dxfId="8739" priority="8736" stopIfTrue="1" operator="equal">
      <formula>"Fail"</formula>
    </cfRule>
  </conditionalFormatting>
  <conditionalFormatting sqref="I1482:L1482">
    <cfRule type="cellIs" dxfId="8738" priority="8733" stopIfTrue="1" operator="equal">
      <formula>"Pass"</formula>
    </cfRule>
    <cfRule type="cellIs" dxfId="8737" priority="8734" stopIfTrue="1" operator="equal">
      <formula>"Fail"</formula>
    </cfRule>
  </conditionalFormatting>
  <conditionalFormatting sqref="J1482:L1482">
    <cfRule type="cellIs" dxfId="8736" priority="8731" stopIfTrue="1" operator="equal">
      <formula>"Pass"</formula>
    </cfRule>
    <cfRule type="cellIs" dxfId="8735" priority="8732" stopIfTrue="1" operator="equal">
      <formula>"Fail"</formula>
    </cfRule>
  </conditionalFormatting>
  <conditionalFormatting sqref="I1482">
    <cfRule type="cellIs" dxfId="8734" priority="8729" stopIfTrue="1" operator="equal">
      <formula>"Pass"</formula>
    </cfRule>
    <cfRule type="cellIs" dxfId="8733" priority="8730" stopIfTrue="1" operator="equal">
      <formula>"Fail"</formula>
    </cfRule>
  </conditionalFormatting>
  <conditionalFormatting sqref="I1482:L1482">
    <cfRule type="cellIs" dxfId="8732" priority="8727" stopIfTrue="1" operator="equal">
      <formula>"Pass"</formula>
    </cfRule>
    <cfRule type="cellIs" dxfId="8731" priority="8728" stopIfTrue="1" operator="equal">
      <formula>"Fail"</formula>
    </cfRule>
  </conditionalFormatting>
  <conditionalFormatting sqref="J1482:L1482">
    <cfRule type="cellIs" dxfId="8730" priority="8725" stopIfTrue="1" operator="equal">
      <formula>"Pass"</formula>
    </cfRule>
    <cfRule type="cellIs" dxfId="8729" priority="8726" stopIfTrue="1" operator="equal">
      <formula>"Fail"</formula>
    </cfRule>
  </conditionalFormatting>
  <conditionalFormatting sqref="I1482">
    <cfRule type="cellIs" dxfId="8728" priority="8723" stopIfTrue="1" operator="equal">
      <formula>"Pass"</formula>
    </cfRule>
    <cfRule type="cellIs" dxfId="8727" priority="8724" stopIfTrue="1" operator="equal">
      <formula>"Fail"</formula>
    </cfRule>
  </conditionalFormatting>
  <conditionalFormatting sqref="I1482:L1482">
    <cfRule type="cellIs" dxfId="8726" priority="8721" stopIfTrue="1" operator="equal">
      <formula>"Pass"</formula>
    </cfRule>
    <cfRule type="cellIs" dxfId="8725" priority="8722" stopIfTrue="1" operator="equal">
      <formula>"Fail"</formula>
    </cfRule>
  </conditionalFormatting>
  <conditionalFormatting sqref="J1482:L1482">
    <cfRule type="cellIs" dxfId="8724" priority="8719" stopIfTrue="1" operator="equal">
      <formula>"Pass"</formula>
    </cfRule>
    <cfRule type="cellIs" dxfId="8723" priority="8720" stopIfTrue="1" operator="equal">
      <formula>"Fail"</formula>
    </cfRule>
  </conditionalFormatting>
  <conditionalFormatting sqref="I1482">
    <cfRule type="cellIs" dxfId="8722" priority="8717" stopIfTrue="1" operator="equal">
      <formula>"Pass"</formula>
    </cfRule>
    <cfRule type="cellIs" dxfId="8721" priority="8718" stopIfTrue="1" operator="equal">
      <formula>"Fail"</formula>
    </cfRule>
  </conditionalFormatting>
  <conditionalFormatting sqref="I1482:L1482">
    <cfRule type="cellIs" dxfId="8720" priority="8715" stopIfTrue="1" operator="equal">
      <formula>"Pass"</formula>
    </cfRule>
    <cfRule type="cellIs" dxfId="8719" priority="8716" stopIfTrue="1" operator="equal">
      <formula>"Fail"</formula>
    </cfRule>
  </conditionalFormatting>
  <conditionalFormatting sqref="J1482:L1482">
    <cfRule type="cellIs" dxfId="8718" priority="8713" stopIfTrue="1" operator="equal">
      <formula>"Pass"</formula>
    </cfRule>
    <cfRule type="cellIs" dxfId="8717" priority="8714" stopIfTrue="1" operator="equal">
      <formula>"Fail"</formula>
    </cfRule>
  </conditionalFormatting>
  <conditionalFormatting sqref="I1482">
    <cfRule type="cellIs" dxfId="8716" priority="8711" stopIfTrue="1" operator="equal">
      <formula>"Pass"</formula>
    </cfRule>
    <cfRule type="cellIs" dxfId="8715" priority="8712" stopIfTrue="1" operator="equal">
      <formula>"Fail"</formula>
    </cfRule>
  </conditionalFormatting>
  <conditionalFormatting sqref="I1482:L1482">
    <cfRule type="cellIs" dxfId="8714" priority="8709" stopIfTrue="1" operator="equal">
      <formula>"Pass"</formula>
    </cfRule>
    <cfRule type="cellIs" dxfId="8713" priority="8710" stopIfTrue="1" operator="equal">
      <formula>"Fail"</formula>
    </cfRule>
  </conditionalFormatting>
  <conditionalFormatting sqref="J1482:L1482">
    <cfRule type="cellIs" dxfId="8712" priority="8707" stopIfTrue="1" operator="equal">
      <formula>"Pass"</formula>
    </cfRule>
    <cfRule type="cellIs" dxfId="8711" priority="8708" stopIfTrue="1" operator="equal">
      <formula>"Fail"</formula>
    </cfRule>
  </conditionalFormatting>
  <conditionalFormatting sqref="I1482">
    <cfRule type="cellIs" dxfId="8710" priority="8705" stopIfTrue="1" operator="equal">
      <formula>"Pass"</formula>
    </cfRule>
    <cfRule type="cellIs" dxfId="8709" priority="8706" stopIfTrue="1" operator="equal">
      <formula>"Fail"</formula>
    </cfRule>
  </conditionalFormatting>
  <conditionalFormatting sqref="I1482:L1482">
    <cfRule type="cellIs" dxfId="8708" priority="8703" stopIfTrue="1" operator="equal">
      <formula>"Pass"</formula>
    </cfRule>
    <cfRule type="cellIs" dxfId="8707" priority="8704" stopIfTrue="1" operator="equal">
      <formula>"Fail"</formula>
    </cfRule>
  </conditionalFormatting>
  <conditionalFormatting sqref="J1482:L1482">
    <cfRule type="cellIs" dxfId="8706" priority="8701" stopIfTrue="1" operator="equal">
      <formula>"Pass"</formula>
    </cfRule>
    <cfRule type="cellIs" dxfId="8705" priority="8702" stopIfTrue="1" operator="equal">
      <formula>"Fail"</formula>
    </cfRule>
  </conditionalFormatting>
  <conditionalFormatting sqref="I1482">
    <cfRule type="cellIs" dxfId="8704" priority="8699" stopIfTrue="1" operator="equal">
      <formula>"Pass"</formula>
    </cfRule>
    <cfRule type="cellIs" dxfId="8703" priority="8700" stopIfTrue="1" operator="equal">
      <formula>"Fail"</formula>
    </cfRule>
  </conditionalFormatting>
  <conditionalFormatting sqref="I1482:L1482">
    <cfRule type="cellIs" dxfId="8702" priority="8697" stopIfTrue="1" operator="equal">
      <formula>"Pass"</formula>
    </cfRule>
    <cfRule type="cellIs" dxfId="8701" priority="8698" stopIfTrue="1" operator="equal">
      <formula>"Fail"</formula>
    </cfRule>
  </conditionalFormatting>
  <conditionalFormatting sqref="J1482:L1482">
    <cfRule type="cellIs" dxfId="8700" priority="8695" stopIfTrue="1" operator="equal">
      <formula>"Pass"</formula>
    </cfRule>
    <cfRule type="cellIs" dxfId="8699" priority="8696" stopIfTrue="1" operator="equal">
      <formula>"Fail"</formula>
    </cfRule>
  </conditionalFormatting>
  <conditionalFormatting sqref="I1482">
    <cfRule type="cellIs" dxfId="8698" priority="8693" stopIfTrue="1" operator="equal">
      <formula>"Pass"</formula>
    </cfRule>
    <cfRule type="cellIs" dxfId="8697" priority="8694" stopIfTrue="1" operator="equal">
      <formula>"Fail"</formula>
    </cfRule>
  </conditionalFormatting>
  <conditionalFormatting sqref="I1482:L1482">
    <cfRule type="cellIs" dxfId="8696" priority="8691" stopIfTrue="1" operator="equal">
      <formula>"Pass"</formula>
    </cfRule>
    <cfRule type="cellIs" dxfId="8695" priority="8692" stopIfTrue="1" operator="equal">
      <formula>"Fail"</formula>
    </cfRule>
  </conditionalFormatting>
  <conditionalFormatting sqref="J1482:L1482">
    <cfRule type="cellIs" dxfId="8694" priority="8689" stopIfTrue="1" operator="equal">
      <formula>"Pass"</formula>
    </cfRule>
    <cfRule type="cellIs" dxfId="8693" priority="8690" stopIfTrue="1" operator="equal">
      <formula>"Fail"</formula>
    </cfRule>
  </conditionalFormatting>
  <conditionalFormatting sqref="I1482">
    <cfRule type="cellIs" dxfId="8692" priority="8687" stopIfTrue="1" operator="equal">
      <formula>"Pass"</formula>
    </cfRule>
    <cfRule type="cellIs" dxfId="8691" priority="8688" stopIfTrue="1" operator="equal">
      <formula>"Fail"</formula>
    </cfRule>
  </conditionalFormatting>
  <conditionalFormatting sqref="I1482:L1482">
    <cfRule type="cellIs" dxfId="8690" priority="8685" stopIfTrue="1" operator="equal">
      <formula>"Pass"</formula>
    </cfRule>
    <cfRule type="cellIs" dxfId="8689" priority="8686" stopIfTrue="1" operator="equal">
      <formula>"Fail"</formula>
    </cfRule>
  </conditionalFormatting>
  <conditionalFormatting sqref="J1482:L1482">
    <cfRule type="cellIs" dxfId="8688" priority="8683" stopIfTrue="1" operator="equal">
      <formula>"Pass"</formula>
    </cfRule>
    <cfRule type="cellIs" dxfId="8687" priority="8684" stopIfTrue="1" operator="equal">
      <formula>"Fail"</formula>
    </cfRule>
  </conditionalFormatting>
  <conditionalFormatting sqref="I1482">
    <cfRule type="cellIs" dxfId="8686" priority="8681" stopIfTrue="1" operator="equal">
      <formula>"Pass"</formula>
    </cfRule>
    <cfRule type="cellIs" dxfId="8685" priority="8682" stopIfTrue="1" operator="equal">
      <formula>"Fail"</formula>
    </cfRule>
  </conditionalFormatting>
  <conditionalFormatting sqref="I1482:L1482">
    <cfRule type="cellIs" dxfId="8684" priority="8679" stopIfTrue="1" operator="equal">
      <formula>"Pass"</formula>
    </cfRule>
    <cfRule type="cellIs" dxfId="8683" priority="8680" stopIfTrue="1" operator="equal">
      <formula>"Fail"</formula>
    </cfRule>
  </conditionalFormatting>
  <conditionalFormatting sqref="J1482:L1482">
    <cfRule type="cellIs" dxfId="8682" priority="8677" stopIfTrue="1" operator="equal">
      <formula>"Pass"</formula>
    </cfRule>
    <cfRule type="cellIs" dxfId="8681" priority="8678" stopIfTrue="1" operator="equal">
      <formula>"Fail"</formula>
    </cfRule>
  </conditionalFormatting>
  <conditionalFormatting sqref="I1482">
    <cfRule type="cellIs" dxfId="8680" priority="8675" stopIfTrue="1" operator="equal">
      <formula>"Pass"</formula>
    </cfRule>
    <cfRule type="cellIs" dxfId="8679" priority="8676" stopIfTrue="1" operator="equal">
      <formula>"Fail"</formula>
    </cfRule>
  </conditionalFormatting>
  <conditionalFormatting sqref="I1482:L1482">
    <cfRule type="cellIs" dxfId="8678" priority="8673" stopIfTrue="1" operator="equal">
      <formula>"Pass"</formula>
    </cfRule>
    <cfRule type="cellIs" dxfId="8677" priority="8674" stopIfTrue="1" operator="equal">
      <formula>"Fail"</formula>
    </cfRule>
  </conditionalFormatting>
  <conditionalFormatting sqref="J1482:L1482">
    <cfRule type="cellIs" dxfId="8676" priority="8671" stopIfTrue="1" operator="equal">
      <formula>"Pass"</formula>
    </cfRule>
    <cfRule type="cellIs" dxfId="8675" priority="8672" stopIfTrue="1" operator="equal">
      <formula>"Fail"</formula>
    </cfRule>
  </conditionalFormatting>
  <conditionalFormatting sqref="I1482">
    <cfRule type="cellIs" dxfId="8674" priority="8669" stopIfTrue="1" operator="equal">
      <formula>"Pass"</formula>
    </cfRule>
    <cfRule type="cellIs" dxfId="8673" priority="8670" stopIfTrue="1" operator="equal">
      <formula>"Fail"</formula>
    </cfRule>
  </conditionalFormatting>
  <conditionalFormatting sqref="I1482:L1482">
    <cfRule type="cellIs" dxfId="8672" priority="8667" stopIfTrue="1" operator="equal">
      <formula>"Pass"</formula>
    </cfRule>
    <cfRule type="cellIs" dxfId="8671" priority="8668" stopIfTrue="1" operator="equal">
      <formula>"Fail"</formula>
    </cfRule>
  </conditionalFormatting>
  <conditionalFormatting sqref="J1482:L1482">
    <cfRule type="cellIs" dxfId="8670" priority="8665" stopIfTrue="1" operator="equal">
      <formula>"Pass"</formula>
    </cfRule>
    <cfRule type="cellIs" dxfId="8669" priority="8666" stopIfTrue="1" operator="equal">
      <formula>"Fail"</formula>
    </cfRule>
  </conditionalFormatting>
  <conditionalFormatting sqref="I1482">
    <cfRule type="cellIs" dxfId="8668" priority="8663" stopIfTrue="1" operator="equal">
      <formula>"Pass"</formula>
    </cfRule>
    <cfRule type="cellIs" dxfId="8667" priority="8664" stopIfTrue="1" operator="equal">
      <formula>"Fail"</formula>
    </cfRule>
  </conditionalFormatting>
  <conditionalFormatting sqref="I1482:L1482">
    <cfRule type="cellIs" dxfId="8666" priority="8661" stopIfTrue="1" operator="equal">
      <formula>"Pass"</formula>
    </cfRule>
    <cfRule type="cellIs" dxfId="8665" priority="8662" stopIfTrue="1" operator="equal">
      <formula>"Fail"</formula>
    </cfRule>
  </conditionalFormatting>
  <conditionalFormatting sqref="J1482:L1482">
    <cfRule type="cellIs" dxfId="8664" priority="8659" stopIfTrue="1" operator="equal">
      <formula>"Pass"</formula>
    </cfRule>
    <cfRule type="cellIs" dxfId="8663" priority="8660" stopIfTrue="1" operator="equal">
      <formula>"Fail"</formula>
    </cfRule>
  </conditionalFormatting>
  <conditionalFormatting sqref="I1482">
    <cfRule type="cellIs" dxfId="8662" priority="8657" stopIfTrue="1" operator="equal">
      <formula>"Pass"</formula>
    </cfRule>
    <cfRule type="cellIs" dxfId="8661" priority="8658" stopIfTrue="1" operator="equal">
      <formula>"Fail"</formula>
    </cfRule>
  </conditionalFormatting>
  <conditionalFormatting sqref="I1482:L1482">
    <cfRule type="cellIs" dxfId="8660" priority="8655" stopIfTrue="1" operator="equal">
      <formula>"Pass"</formula>
    </cfRule>
    <cfRule type="cellIs" dxfId="8659" priority="8656" stopIfTrue="1" operator="equal">
      <formula>"Fail"</formula>
    </cfRule>
  </conditionalFormatting>
  <conditionalFormatting sqref="J1482:L1482">
    <cfRule type="cellIs" dxfId="8658" priority="8653" stopIfTrue="1" operator="equal">
      <formula>"Pass"</formula>
    </cfRule>
    <cfRule type="cellIs" dxfId="8657" priority="8654" stopIfTrue="1" operator="equal">
      <formula>"Fail"</formula>
    </cfRule>
  </conditionalFormatting>
  <conditionalFormatting sqref="I1482">
    <cfRule type="cellIs" dxfId="8656" priority="8651" stopIfTrue="1" operator="equal">
      <formula>"Pass"</formula>
    </cfRule>
    <cfRule type="cellIs" dxfId="8655" priority="8652" stopIfTrue="1" operator="equal">
      <formula>"Fail"</formula>
    </cfRule>
  </conditionalFormatting>
  <conditionalFormatting sqref="I1482:L1482">
    <cfRule type="cellIs" dxfId="8654" priority="8649" stopIfTrue="1" operator="equal">
      <formula>"Pass"</formula>
    </cfRule>
    <cfRule type="cellIs" dxfId="8653" priority="8650" stopIfTrue="1" operator="equal">
      <formula>"Fail"</formula>
    </cfRule>
  </conditionalFormatting>
  <conditionalFormatting sqref="J1482:L1482">
    <cfRule type="cellIs" dxfId="8652" priority="8647" stopIfTrue="1" operator="equal">
      <formula>"Pass"</formula>
    </cfRule>
    <cfRule type="cellIs" dxfId="8651" priority="8648" stopIfTrue="1" operator="equal">
      <formula>"Fail"</formula>
    </cfRule>
  </conditionalFormatting>
  <conditionalFormatting sqref="I1482">
    <cfRule type="cellIs" dxfId="8650" priority="8645" stopIfTrue="1" operator="equal">
      <formula>"Pass"</formula>
    </cfRule>
    <cfRule type="cellIs" dxfId="8649" priority="8646" stopIfTrue="1" operator="equal">
      <formula>"Fail"</formula>
    </cfRule>
  </conditionalFormatting>
  <conditionalFormatting sqref="I1482:L1482">
    <cfRule type="cellIs" dxfId="8648" priority="8643" stopIfTrue="1" operator="equal">
      <formula>"Pass"</formula>
    </cfRule>
    <cfRule type="cellIs" dxfId="8647" priority="8644" stopIfTrue="1" operator="equal">
      <formula>"Fail"</formula>
    </cfRule>
  </conditionalFormatting>
  <conditionalFormatting sqref="K1482:L1482">
    <cfRule type="cellIs" dxfId="8646" priority="8641" stopIfTrue="1" operator="equal">
      <formula>"Pass"</formula>
    </cfRule>
    <cfRule type="cellIs" dxfId="8645" priority="8642" stopIfTrue="1" operator="equal">
      <formula>"Fail"</formula>
    </cfRule>
  </conditionalFormatting>
  <conditionalFormatting sqref="K1482:L1482">
    <cfRule type="cellIs" dxfId="8644" priority="8639" stopIfTrue="1" operator="equal">
      <formula>"Pass"</formula>
    </cfRule>
    <cfRule type="cellIs" dxfId="8643" priority="8640" stopIfTrue="1" operator="equal">
      <formula>"Fail"</formula>
    </cfRule>
  </conditionalFormatting>
  <conditionalFormatting sqref="K1482:L1482">
    <cfRule type="cellIs" dxfId="8642" priority="8637" stopIfTrue="1" operator="equal">
      <formula>"Pass"</formula>
    </cfRule>
    <cfRule type="cellIs" dxfId="8641" priority="8638" stopIfTrue="1" operator="equal">
      <formula>"Fail"</formula>
    </cfRule>
  </conditionalFormatting>
  <conditionalFormatting sqref="K1482:L1482">
    <cfRule type="cellIs" dxfId="8640" priority="8635" stopIfTrue="1" operator="equal">
      <formula>"Pass"</formula>
    </cfRule>
    <cfRule type="cellIs" dxfId="8639" priority="8636" stopIfTrue="1" operator="equal">
      <formula>"Fail"</formula>
    </cfRule>
  </conditionalFormatting>
  <conditionalFormatting sqref="K1482:L1482">
    <cfRule type="cellIs" dxfId="8638" priority="8633" stopIfTrue="1" operator="equal">
      <formula>"Pass"</formula>
    </cfRule>
    <cfRule type="cellIs" dxfId="8637" priority="8634" stopIfTrue="1" operator="equal">
      <formula>"Fail"</formula>
    </cfRule>
  </conditionalFormatting>
  <conditionalFormatting sqref="K1482:L1482">
    <cfRule type="cellIs" dxfId="8636" priority="8631" stopIfTrue="1" operator="equal">
      <formula>"Pass"</formula>
    </cfRule>
    <cfRule type="cellIs" dxfId="8635" priority="8632" stopIfTrue="1" operator="equal">
      <formula>"Fail"</formula>
    </cfRule>
  </conditionalFormatting>
  <conditionalFormatting sqref="K1482:L1482">
    <cfRule type="cellIs" dxfId="8634" priority="8629" stopIfTrue="1" operator="equal">
      <formula>"Pass"</formula>
    </cfRule>
    <cfRule type="cellIs" dxfId="8633" priority="8630" stopIfTrue="1" operator="equal">
      <formula>"Fail"</formula>
    </cfRule>
  </conditionalFormatting>
  <conditionalFormatting sqref="K1482:L1482">
    <cfRule type="cellIs" dxfId="8632" priority="8627" stopIfTrue="1" operator="equal">
      <formula>"Pass"</formula>
    </cfRule>
    <cfRule type="cellIs" dxfId="8631" priority="8628" stopIfTrue="1" operator="equal">
      <formula>"Fail"</formula>
    </cfRule>
  </conditionalFormatting>
  <conditionalFormatting sqref="J1482:L1482">
    <cfRule type="cellIs" dxfId="8630" priority="8625" stopIfTrue="1" operator="equal">
      <formula>"Pass"</formula>
    </cfRule>
    <cfRule type="cellIs" dxfId="8629" priority="8626" stopIfTrue="1" operator="equal">
      <formula>"Fail"</formula>
    </cfRule>
  </conditionalFormatting>
  <conditionalFormatting sqref="I1482">
    <cfRule type="cellIs" dxfId="8628" priority="8623" stopIfTrue="1" operator="equal">
      <formula>"Pass"</formula>
    </cfRule>
    <cfRule type="cellIs" dxfId="8627" priority="8624" stopIfTrue="1" operator="equal">
      <formula>"Fail"</formula>
    </cfRule>
  </conditionalFormatting>
  <conditionalFormatting sqref="I1482:L1482">
    <cfRule type="cellIs" dxfId="8626" priority="8621" stopIfTrue="1" operator="equal">
      <formula>"Pass"</formula>
    </cfRule>
    <cfRule type="cellIs" dxfId="8625" priority="8622" stopIfTrue="1" operator="equal">
      <formula>"Fail"</formula>
    </cfRule>
  </conditionalFormatting>
  <conditionalFormatting sqref="J1482:L1482">
    <cfRule type="cellIs" dxfId="8624" priority="8619" stopIfTrue="1" operator="equal">
      <formula>"Pass"</formula>
    </cfRule>
    <cfRule type="cellIs" dxfId="8623" priority="8620" stopIfTrue="1" operator="equal">
      <formula>"Fail"</formula>
    </cfRule>
  </conditionalFormatting>
  <conditionalFormatting sqref="I1482">
    <cfRule type="cellIs" dxfId="8622" priority="8617" stopIfTrue="1" operator="equal">
      <formula>"Pass"</formula>
    </cfRule>
    <cfRule type="cellIs" dxfId="8621" priority="8618" stopIfTrue="1" operator="equal">
      <formula>"Fail"</formula>
    </cfRule>
  </conditionalFormatting>
  <conditionalFormatting sqref="I1482:L1482">
    <cfRule type="cellIs" dxfId="8620" priority="8615" stopIfTrue="1" operator="equal">
      <formula>"Pass"</formula>
    </cfRule>
    <cfRule type="cellIs" dxfId="8619" priority="8616" stopIfTrue="1" operator="equal">
      <formula>"Fail"</formula>
    </cfRule>
  </conditionalFormatting>
  <conditionalFormatting sqref="J1482:L1482">
    <cfRule type="cellIs" dxfId="8618" priority="8613" stopIfTrue="1" operator="equal">
      <formula>"Pass"</formula>
    </cfRule>
    <cfRule type="cellIs" dxfId="8617" priority="8614" stopIfTrue="1" operator="equal">
      <formula>"Fail"</formula>
    </cfRule>
  </conditionalFormatting>
  <conditionalFormatting sqref="I1482">
    <cfRule type="cellIs" dxfId="8616" priority="8611" stopIfTrue="1" operator="equal">
      <formula>"Pass"</formula>
    </cfRule>
    <cfRule type="cellIs" dxfId="8615" priority="8612" stopIfTrue="1" operator="equal">
      <formula>"Fail"</formula>
    </cfRule>
  </conditionalFormatting>
  <conditionalFormatting sqref="I1482:L1482">
    <cfRule type="cellIs" dxfId="8614" priority="8609" stopIfTrue="1" operator="equal">
      <formula>"Pass"</formula>
    </cfRule>
    <cfRule type="cellIs" dxfId="8613" priority="8610" stopIfTrue="1" operator="equal">
      <formula>"Fail"</formula>
    </cfRule>
  </conditionalFormatting>
  <conditionalFormatting sqref="J1482:L1482">
    <cfRule type="cellIs" dxfId="8612" priority="8607" stopIfTrue="1" operator="equal">
      <formula>"Pass"</formula>
    </cfRule>
    <cfRule type="cellIs" dxfId="8611" priority="8608" stopIfTrue="1" operator="equal">
      <formula>"Fail"</formula>
    </cfRule>
  </conditionalFormatting>
  <conditionalFormatting sqref="I1482">
    <cfRule type="cellIs" dxfId="8610" priority="8605" stopIfTrue="1" operator="equal">
      <formula>"Pass"</formula>
    </cfRule>
    <cfRule type="cellIs" dxfId="8609" priority="8606" stopIfTrue="1" operator="equal">
      <formula>"Fail"</formula>
    </cfRule>
  </conditionalFormatting>
  <conditionalFormatting sqref="I1482:L1482">
    <cfRule type="cellIs" dxfId="8608" priority="8603" stopIfTrue="1" operator="equal">
      <formula>"Pass"</formula>
    </cfRule>
    <cfRule type="cellIs" dxfId="8607" priority="8604" stopIfTrue="1" operator="equal">
      <formula>"Fail"</formula>
    </cfRule>
  </conditionalFormatting>
  <conditionalFormatting sqref="J1482:L1482">
    <cfRule type="cellIs" dxfId="8606" priority="8601" stopIfTrue="1" operator="equal">
      <formula>"Pass"</formula>
    </cfRule>
    <cfRule type="cellIs" dxfId="8605" priority="8602" stopIfTrue="1" operator="equal">
      <formula>"Fail"</formula>
    </cfRule>
  </conditionalFormatting>
  <conditionalFormatting sqref="I1482">
    <cfRule type="cellIs" dxfId="8604" priority="8599" stopIfTrue="1" operator="equal">
      <formula>"Pass"</formula>
    </cfRule>
    <cfRule type="cellIs" dxfId="8603" priority="8600" stopIfTrue="1" operator="equal">
      <formula>"Fail"</formula>
    </cfRule>
  </conditionalFormatting>
  <conditionalFormatting sqref="I1482:L1482">
    <cfRule type="cellIs" dxfId="8602" priority="8597" stopIfTrue="1" operator="equal">
      <formula>"Pass"</formula>
    </cfRule>
    <cfRule type="cellIs" dxfId="8601" priority="8598" stopIfTrue="1" operator="equal">
      <formula>"Fail"</formula>
    </cfRule>
  </conditionalFormatting>
  <conditionalFormatting sqref="J1482:L1482">
    <cfRule type="cellIs" dxfId="8600" priority="8595" stopIfTrue="1" operator="equal">
      <formula>"Pass"</formula>
    </cfRule>
    <cfRule type="cellIs" dxfId="8599" priority="8596" stopIfTrue="1" operator="equal">
      <formula>"Fail"</formula>
    </cfRule>
  </conditionalFormatting>
  <conditionalFormatting sqref="I1482">
    <cfRule type="cellIs" dxfId="8598" priority="8593" stopIfTrue="1" operator="equal">
      <formula>"Pass"</formula>
    </cfRule>
    <cfRule type="cellIs" dxfId="8597" priority="8594" stopIfTrue="1" operator="equal">
      <formula>"Fail"</formula>
    </cfRule>
  </conditionalFormatting>
  <conditionalFormatting sqref="I1482:L1482">
    <cfRule type="cellIs" dxfId="8596" priority="8591" stopIfTrue="1" operator="equal">
      <formula>"Pass"</formula>
    </cfRule>
    <cfRule type="cellIs" dxfId="8595" priority="8592" stopIfTrue="1" operator="equal">
      <formula>"Fail"</formula>
    </cfRule>
  </conditionalFormatting>
  <conditionalFormatting sqref="J1482:L1482">
    <cfRule type="cellIs" dxfId="8594" priority="8589" stopIfTrue="1" operator="equal">
      <formula>"Pass"</formula>
    </cfRule>
    <cfRule type="cellIs" dxfId="8593" priority="8590" stopIfTrue="1" operator="equal">
      <formula>"Fail"</formula>
    </cfRule>
  </conditionalFormatting>
  <conditionalFormatting sqref="I1482">
    <cfRule type="cellIs" dxfId="8592" priority="8587" stopIfTrue="1" operator="equal">
      <formula>"Pass"</formula>
    </cfRule>
    <cfRule type="cellIs" dxfId="8591" priority="8588" stopIfTrue="1" operator="equal">
      <formula>"Fail"</formula>
    </cfRule>
  </conditionalFormatting>
  <conditionalFormatting sqref="I1482:L1482">
    <cfRule type="cellIs" dxfId="8590" priority="8585" stopIfTrue="1" operator="equal">
      <formula>"Pass"</formula>
    </cfRule>
    <cfRule type="cellIs" dxfId="8589" priority="8586" stopIfTrue="1" operator="equal">
      <formula>"Fail"</formula>
    </cfRule>
  </conditionalFormatting>
  <conditionalFormatting sqref="J1482:L1482">
    <cfRule type="cellIs" dxfId="8588" priority="8583" stopIfTrue="1" operator="equal">
      <formula>"Pass"</formula>
    </cfRule>
    <cfRule type="cellIs" dxfId="8587" priority="8584" stopIfTrue="1" operator="equal">
      <formula>"Fail"</formula>
    </cfRule>
  </conditionalFormatting>
  <conditionalFormatting sqref="I1482">
    <cfRule type="cellIs" dxfId="8586" priority="8581" stopIfTrue="1" operator="equal">
      <formula>"Pass"</formula>
    </cfRule>
    <cfRule type="cellIs" dxfId="8585" priority="8582" stopIfTrue="1" operator="equal">
      <formula>"Fail"</formula>
    </cfRule>
  </conditionalFormatting>
  <conditionalFormatting sqref="I1482:L1482">
    <cfRule type="cellIs" dxfId="8584" priority="8579" stopIfTrue="1" operator="equal">
      <formula>"Pass"</formula>
    </cfRule>
    <cfRule type="cellIs" dxfId="8583" priority="8580" stopIfTrue="1" operator="equal">
      <formula>"Fail"</formula>
    </cfRule>
  </conditionalFormatting>
  <conditionalFormatting sqref="J1482:L1482">
    <cfRule type="cellIs" dxfId="8582" priority="8577" stopIfTrue="1" operator="equal">
      <formula>"Pass"</formula>
    </cfRule>
    <cfRule type="cellIs" dxfId="8581" priority="8578" stopIfTrue="1" operator="equal">
      <formula>"Fail"</formula>
    </cfRule>
  </conditionalFormatting>
  <conditionalFormatting sqref="I1482">
    <cfRule type="cellIs" dxfId="8580" priority="8575" stopIfTrue="1" operator="equal">
      <formula>"Pass"</formula>
    </cfRule>
    <cfRule type="cellIs" dxfId="8579" priority="8576" stopIfTrue="1" operator="equal">
      <formula>"Fail"</formula>
    </cfRule>
  </conditionalFormatting>
  <conditionalFormatting sqref="I1482:L1482">
    <cfRule type="cellIs" dxfId="8578" priority="8573" stopIfTrue="1" operator="equal">
      <formula>"Pass"</formula>
    </cfRule>
    <cfRule type="cellIs" dxfId="8577" priority="8574" stopIfTrue="1" operator="equal">
      <formula>"Fail"</formula>
    </cfRule>
  </conditionalFormatting>
  <conditionalFormatting sqref="J1482:L1482">
    <cfRule type="cellIs" dxfId="8576" priority="8571" stopIfTrue="1" operator="equal">
      <formula>"Pass"</formula>
    </cfRule>
    <cfRule type="cellIs" dxfId="8575" priority="8572" stopIfTrue="1" operator="equal">
      <formula>"Fail"</formula>
    </cfRule>
  </conditionalFormatting>
  <conditionalFormatting sqref="I1482">
    <cfRule type="cellIs" dxfId="8574" priority="8569" stopIfTrue="1" operator="equal">
      <formula>"Pass"</formula>
    </cfRule>
    <cfRule type="cellIs" dxfId="8573" priority="8570" stopIfTrue="1" operator="equal">
      <formula>"Fail"</formula>
    </cfRule>
  </conditionalFormatting>
  <conditionalFormatting sqref="I1482:L1482">
    <cfRule type="cellIs" dxfId="8572" priority="8567" stopIfTrue="1" operator="equal">
      <formula>"Pass"</formula>
    </cfRule>
    <cfRule type="cellIs" dxfId="8571" priority="8568" stopIfTrue="1" operator="equal">
      <formula>"Fail"</formula>
    </cfRule>
  </conditionalFormatting>
  <conditionalFormatting sqref="J1482:L1482">
    <cfRule type="cellIs" dxfId="8570" priority="8565" stopIfTrue="1" operator="equal">
      <formula>"Pass"</formula>
    </cfRule>
    <cfRule type="cellIs" dxfId="8569" priority="8566" stopIfTrue="1" operator="equal">
      <formula>"Fail"</formula>
    </cfRule>
  </conditionalFormatting>
  <conditionalFormatting sqref="I1482">
    <cfRule type="cellIs" dxfId="8568" priority="8563" stopIfTrue="1" operator="equal">
      <formula>"Pass"</formula>
    </cfRule>
    <cfRule type="cellIs" dxfId="8567" priority="8564" stopIfTrue="1" operator="equal">
      <formula>"Fail"</formula>
    </cfRule>
  </conditionalFormatting>
  <conditionalFormatting sqref="I1482:L1482">
    <cfRule type="cellIs" dxfId="8566" priority="8561" stopIfTrue="1" operator="equal">
      <formula>"Pass"</formula>
    </cfRule>
    <cfRule type="cellIs" dxfId="8565" priority="8562" stopIfTrue="1" operator="equal">
      <formula>"Fail"</formula>
    </cfRule>
  </conditionalFormatting>
  <conditionalFormatting sqref="J1482:L1482">
    <cfRule type="cellIs" dxfId="8564" priority="8559" stopIfTrue="1" operator="equal">
      <formula>"Pass"</formula>
    </cfRule>
    <cfRule type="cellIs" dxfId="8563" priority="8560" stopIfTrue="1" operator="equal">
      <formula>"Fail"</formula>
    </cfRule>
  </conditionalFormatting>
  <conditionalFormatting sqref="I1482">
    <cfRule type="cellIs" dxfId="8562" priority="8557" stopIfTrue="1" operator="equal">
      <formula>"Pass"</formula>
    </cfRule>
    <cfRule type="cellIs" dxfId="8561" priority="8558" stopIfTrue="1" operator="equal">
      <formula>"Fail"</formula>
    </cfRule>
  </conditionalFormatting>
  <conditionalFormatting sqref="I1482:L1482">
    <cfRule type="cellIs" dxfId="8560" priority="8555" stopIfTrue="1" operator="equal">
      <formula>"Pass"</formula>
    </cfRule>
    <cfRule type="cellIs" dxfId="8559" priority="8556" stopIfTrue="1" operator="equal">
      <formula>"Fail"</formula>
    </cfRule>
  </conditionalFormatting>
  <conditionalFormatting sqref="I1482:L1482">
    <cfRule type="cellIs" dxfId="8558" priority="8553" stopIfTrue="1" operator="equal">
      <formula>"Pass"</formula>
    </cfRule>
    <cfRule type="cellIs" dxfId="8557" priority="8554" stopIfTrue="1" operator="equal">
      <formula>"Fail"</formula>
    </cfRule>
  </conditionalFormatting>
  <conditionalFormatting sqref="I1482:L1482">
    <cfRule type="cellIs" dxfId="8556" priority="8551" stopIfTrue="1" operator="equal">
      <formula>"Pass"</formula>
    </cfRule>
    <cfRule type="cellIs" dxfId="8555" priority="8552" stopIfTrue="1" operator="equal">
      <formula>"Fail"</formula>
    </cfRule>
  </conditionalFormatting>
  <conditionalFormatting sqref="I1482:L1482">
    <cfRule type="cellIs" dxfId="8554" priority="8549" stopIfTrue="1" operator="equal">
      <formula>"Pass"</formula>
    </cfRule>
    <cfRule type="cellIs" dxfId="8553" priority="8550" stopIfTrue="1" operator="equal">
      <formula>"Fail"</formula>
    </cfRule>
  </conditionalFormatting>
  <conditionalFormatting sqref="J1482:L1482">
    <cfRule type="cellIs" dxfId="8552" priority="8547" stopIfTrue="1" operator="equal">
      <formula>"Pass"</formula>
    </cfRule>
    <cfRule type="cellIs" dxfId="8551" priority="8548" stopIfTrue="1" operator="equal">
      <formula>"Fail"</formula>
    </cfRule>
  </conditionalFormatting>
  <conditionalFormatting sqref="I1482">
    <cfRule type="cellIs" dxfId="8550" priority="8545" stopIfTrue="1" operator="equal">
      <formula>"Pass"</formula>
    </cfRule>
    <cfRule type="cellIs" dxfId="8549" priority="8546" stopIfTrue="1" operator="equal">
      <formula>"Fail"</formula>
    </cfRule>
  </conditionalFormatting>
  <conditionalFormatting sqref="I1482:L1482">
    <cfRule type="cellIs" dxfId="8548" priority="8543" stopIfTrue="1" operator="equal">
      <formula>"Pass"</formula>
    </cfRule>
    <cfRule type="cellIs" dxfId="8547" priority="8544" stopIfTrue="1" operator="equal">
      <formula>"Fail"</formula>
    </cfRule>
  </conditionalFormatting>
  <conditionalFormatting sqref="J1482:L1482">
    <cfRule type="cellIs" dxfId="8546" priority="8541" stopIfTrue="1" operator="equal">
      <formula>"Pass"</formula>
    </cfRule>
    <cfRule type="cellIs" dxfId="8545" priority="8542" stopIfTrue="1" operator="equal">
      <formula>"Fail"</formula>
    </cfRule>
  </conditionalFormatting>
  <conditionalFormatting sqref="I1482">
    <cfRule type="cellIs" dxfId="8544" priority="8539" stopIfTrue="1" operator="equal">
      <formula>"Pass"</formula>
    </cfRule>
    <cfRule type="cellIs" dxfId="8543" priority="8540" stopIfTrue="1" operator="equal">
      <formula>"Fail"</formula>
    </cfRule>
  </conditionalFormatting>
  <conditionalFormatting sqref="I1482:L1482">
    <cfRule type="cellIs" dxfId="8542" priority="8537" stopIfTrue="1" operator="equal">
      <formula>"Pass"</formula>
    </cfRule>
    <cfRule type="cellIs" dxfId="8541" priority="8538" stopIfTrue="1" operator="equal">
      <formula>"Fail"</formula>
    </cfRule>
  </conditionalFormatting>
  <conditionalFormatting sqref="J1482:L1482">
    <cfRule type="cellIs" dxfId="8540" priority="8535" stopIfTrue="1" operator="equal">
      <formula>"Pass"</formula>
    </cfRule>
    <cfRule type="cellIs" dxfId="8539" priority="8536" stopIfTrue="1" operator="equal">
      <formula>"Fail"</formula>
    </cfRule>
  </conditionalFormatting>
  <conditionalFormatting sqref="I1482">
    <cfRule type="cellIs" dxfId="8538" priority="8533" stopIfTrue="1" operator="equal">
      <formula>"Pass"</formula>
    </cfRule>
    <cfRule type="cellIs" dxfId="8537" priority="8534" stopIfTrue="1" operator="equal">
      <formula>"Fail"</formula>
    </cfRule>
  </conditionalFormatting>
  <conditionalFormatting sqref="I1482:L1482">
    <cfRule type="cellIs" dxfId="8536" priority="8531" stopIfTrue="1" operator="equal">
      <formula>"Pass"</formula>
    </cfRule>
    <cfRule type="cellIs" dxfId="8535" priority="8532" stopIfTrue="1" operator="equal">
      <formula>"Fail"</formula>
    </cfRule>
  </conditionalFormatting>
  <conditionalFormatting sqref="J1482:L1482">
    <cfRule type="cellIs" dxfId="8534" priority="8529" stopIfTrue="1" operator="equal">
      <formula>"Pass"</formula>
    </cfRule>
    <cfRule type="cellIs" dxfId="8533" priority="8530" stopIfTrue="1" operator="equal">
      <formula>"Fail"</formula>
    </cfRule>
  </conditionalFormatting>
  <conditionalFormatting sqref="I1482">
    <cfRule type="cellIs" dxfId="8532" priority="8527" stopIfTrue="1" operator="equal">
      <formula>"Pass"</formula>
    </cfRule>
    <cfRule type="cellIs" dxfId="8531" priority="8528" stopIfTrue="1" operator="equal">
      <formula>"Fail"</formula>
    </cfRule>
  </conditionalFormatting>
  <conditionalFormatting sqref="I1482:L1482">
    <cfRule type="cellIs" dxfId="8530" priority="8525" stopIfTrue="1" operator="equal">
      <formula>"Pass"</formula>
    </cfRule>
    <cfRule type="cellIs" dxfId="8529" priority="8526" stopIfTrue="1" operator="equal">
      <formula>"Fail"</formula>
    </cfRule>
  </conditionalFormatting>
  <conditionalFormatting sqref="I1482:L1482">
    <cfRule type="cellIs" dxfId="8528" priority="8523" stopIfTrue="1" operator="equal">
      <formula>"Pass"</formula>
    </cfRule>
    <cfRule type="cellIs" dxfId="8527" priority="8524" stopIfTrue="1" operator="equal">
      <formula>"Fail"</formula>
    </cfRule>
  </conditionalFormatting>
  <conditionalFormatting sqref="I1482:L1482">
    <cfRule type="cellIs" dxfId="8526" priority="8521" stopIfTrue="1" operator="equal">
      <formula>"Pass"</formula>
    </cfRule>
    <cfRule type="cellIs" dxfId="8525" priority="8522" stopIfTrue="1" operator="equal">
      <formula>"Fail"</formula>
    </cfRule>
  </conditionalFormatting>
  <conditionalFormatting sqref="I1482:L1482">
    <cfRule type="cellIs" dxfId="8524" priority="8519" stopIfTrue="1" operator="equal">
      <formula>"Pass"</formula>
    </cfRule>
    <cfRule type="cellIs" dxfId="8523" priority="8520" stopIfTrue="1" operator="equal">
      <formula>"Fail"</formula>
    </cfRule>
  </conditionalFormatting>
  <conditionalFormatting sqref="J1482:L1482">
    <cfRule type="cellIs" dxfId="8522" priority="8517" stopIfTrue="1" operator="equal">
      <formula>"Pass"</formula>
    </cfRule>
    <cfRule type="cellIs" dxfId="8521" priority="8518" stopIfTrue="1" operator="equal">
      <formula>"Fail"</formula>
    </cfRule>
  </conditionalFormatting>
  <conditionalFormatting sqref="I1482">
    <cfRule type="cellIs" dxfId="8520" priority="8515" stopIfTrue="1" operator="equal">
      <formula>"Pass"</formula>
    </cfRule>
    <cfRule type="cellIs" dxfId="8519" priority="8516" stopIfTrue="1" operator="equal">
      <formula>"Fail"</formula>
    </cfRule>
  </conditionalFormatting>
  <conditionalFormatting sqref="I1482:L1482">
    <cfRule type="cellIs" dxfId="8518" priority="8513" stopIfTrue="1" operator="equal">
      <formula>"Pass"</formula>
    </cfRule>
    <cfRule type="cellIs" dxfId="8517" priority="8514" stopIfTrue="1" operator="equal">
      <formula>"Fail"</formula>
    </cfRule>
  </conditionalFormatting>
  <conditionalFormatting sqref="J1482:L1482">
    <cfRule type="cellIs" dxfId="8516" priority="8511" stopIfTrue="1" operator="equal">
      <formula>"Pass"</formula>
    </cfRule>
    <cfRule type="cellIs" dxfId="8515" priority="8512" stopIfTrue="1" operator="equal">
      <formula>"Fail"</formula>
    </cfRule>
  </conditionalFormatting>
  <conditionalFormatting sqref="I1482">
    <cfRule type="cellIs" dxfId="8514" priority="8509" stopIfTrue="1" operator="equal">
      <formula>"Pass"</formula>
    </cfRule>
    <cfRule type="cellIs" dxfId="8513" priority="8510" stopIfTrue="1" operator="equal">
      <formula>"Fail"</formula>
    </cfRule>
  </conditionalFormatting>
  <conditionalFormatting sqref="I1482:L1482">
    <cfRule type="cellIs" dxfId="8512" priority="8507" stopIfTrue="1" operator="equal">
      <formula>"Pass"</formula>
    </cfRule>
    <cfRule type="cellIs" dxfId="8511" priority="8508" stopIfTrue="1" operator="equal">
      <formula>"Fail"</formula>
    </cfRule>
  </conditionalFormatting>
  <conditionalFormatting sqref="J1482:L1482">
    <cfRule type="cellIs" dxfId="8510" priority="8505" stopIfTrue="1" operator="equal">
      <formula>"Pass"</formula>
    </cfRule>
    <cfRule type="cellIs" dxfId="8509" priority="8506" stopIfTrue="1" operator="equal">
      <formula>"Fail"</formula>
    </cfRule>
  </conditionalFormatting>
  <conditionalFormatting sqref="I1482">
    <cfRule type="cellIs" dxfId="8508" priority="8503" stopIfTrue="1" operator="equal">
      <formula>"Pass"</formula>
    </cfRule>
    <cfRule type="cellIs" dxfId="8507" priority="8504" stopIfTrue="1" operator="equal">
      <formula>"Fail"</formula>
    </cfRule>
  </conditionalFormatting>
  <conditionalFormatting sqref="I1482:L1482">
    <cfRule type="cellIs" dxfId="8506" priority="8501" stopIfTrue="1" operator="equal">
      <formula>"Pass"</formula>
    </cfRule>
    <cfRule type="cellIs" dxfId="8505" priority="8502" stopIfTrue="1" operator="equal">
      <formula>"Fail"</formula>
    </cfRule>
  </conditionalFormatting>
  <conditionalFormatting sqref="J1482:L1482">
    <cfRule type="cellIs" dxfId="8504" priority="8499" stopIfTrue="1" operator="equal">
      <formula>"Pass"</formula>
    </cfRule>
    <cfRule type="cellIs" dxfId="8503" priority="8500" stopIfTrue="1" operator="equal">
      <formula>"Fail"</formula>
    </cfRule>
  </conditionalFormatting>
  <conditionalFormatting sqref="I1482">
    <cfRule type="cellIs" dxfId="8502" priority="8497" stopIfTrue="1" operator="equal">
      <formula>"Pass"</formula>
    </cfRule>
    <cfRule type="cellIs" dxfId="8501" priority="8498" stopIfTrue="1" operator="equal">
      <formula>"Fail"</formula>
    </cfRule>
  </conditionalFormatting>
  <conditionalFormatting sqref="I1482:L1482">
    <cfRule type="cellIs" dxfId="8500" priority="8495" stopIfTrue="1" operator="equal">
      <formula>"Pass"</formula>
    </cfRule>
    <cfRule type="cellIs" dxfId="8499" priority="8496" stopIfTrue="1" operator="equal">
      <formula>"Fail"</formula>
    </cfRule>
  </conditionalFormatting>
  <conditionalFormatting sqref="I1482:L1482">
    <cfRule type="cellIs" dxfId="8498" priority="8493" stopIfTrue="1" operator="equal">
      <formula>"Pass"</formula>
    </cfRule>
    <cfRule type="cellIs" dxfId="8497" priority="8494" stopIfTrue="1" operator="equal">
      <formula>"Fail"</formula>
    </cfRule>
  </conditionalFormatting>
  <conditionalFormatting sqref="I1482:L1482">
    <cfRule type="cellIs" dxfId="8496" priority="8491" stopIfTrue="1" operator="equal">
      <formula>"Pass"</formula>
    </cfRule>
    <cfRule type="cellIs" dxfId="8495" priority="8492" stopIfTrue="1" operator="equal">
      <formula>"Fail"</formula>
    </cfRule>
  </conditionalFormatting>
  <conditionalFormatting sqref="I1482:L1482">
    <cfRule type="cellIs" dxfId="8494" priority="8489" stopIfTrue="1" operator="equal">
      <formula>"Pass"</formula>
    </cfRule>
    <cfRule type="cellIs" dxfId="8493" priority="8490" stopIfTrue="1" operator="equal">
      <formula>"Fail"</formula>
    </cfRule>
  </conditionalFormatting>
  <conditionalFormatting sqref="J1482:L1482">
    <cfRule type="cellIs" dxfId="8492" priority="8487" stopIfTrue="1" operator="equal">
      <formula>"Pass"</formula>
    </cfRule>
    <cfRule type="cellIs" dxfId="8491" priority="8488" stopIfTrue="1" operator="equal">
      <formula>"Fail"</formula>
    </cfRule>
  </conditionalFormatting>
  <conditionalFormatting sqref="I1482">
    <cfRule type="cellIs" dxfId="8490" priority="8485" stopIfTrue="1" operator="equal">
      <formula>"Pass"</formula>
    </cfRule>
    <cfRule type="cellIs" dxfId="8489" priority="8486" stopIfTrue="1" operator="equal">
      <formula>"Fail"</formula>
    </cfRule>
  </conditionalFormatting>
  <conditionalFormatting sqref="I1482:L1482">
    <cfRule type="cellIs" dxfId="8488" priority="8483" stopIfTrue="1" operator="equal">
      <formula>"Pass"</formula>
    </cfRule>
    <cfRule type="cellIs" dxfId="8487" priority="8484" stopIfTrue="1" operator="equal">
      <formula>"Fail"</formula>
    </cfRule>
  </conditionalFormatting>
  <conditionalFormatting sqref="J1482:L1482">
    <cfRule type="cellIs" dxfId="8486" priority="8481" stopIfTrue="1" operator="equal">
      <formula>"Pass"</formula>
    </cfRule>
    <cfRule type="cellIs" dxfId="8485" priority="8482" stopIfTrue="1" operator="equal">
      <formula>"Fail"</formula>
    </cfRule>
  </conditionalFormatting>
  <conditionalFormatting sqref="I1482">
    <cfRule type="cellIs" dxfId="8484" priority="8479" stopIfTrue="1" operator="equal">
      <formula>"Pass"</formula>
    </cfRule>
    <cfRule type="cellIs" dxfId="8483" priority="8480" stopIfTrue="1" operator="equal">
      <formula>"Fail"</formula>
    </cfRule>
  </conditionalFormatting>
  <conditionalFormatting sqref="I1482:L1482">
    <cfRule type="cellIs" dxfId="8482" priority="8477" stopIfTrue="1" operator="equal">
      <formula>"Pass"</formula>
    </cfRule>
    <cfRule type="cellIs" dxfId="8481" priority="8478" stopIfTrue="1" operator="equal">
      <formula>"Fail"</formula>
    </cfRule>
  </conditionalFormatting>
  <conditionalFormatting sqref="J1482:L1482">
    <cfRule type="cellIs" dxfId="8480" priority="8475" stopIfTrue="1" operator="equal">
      <formula>"Pass"</formula>
    </cfRule>
    <cfRule type="cellIs" dxfId="8479" priority="8476" stopIfTrue="1" operator="equal">
      <formula>"Fail"</formula>
    </cfRule>
  </conditionalFormatting>
  <conditionalFormatting sqref="I1482">
    <cfRule type="cellIs" dxfId="8478" priority="8473" stopIfTrue="1" operator="equal">
      <formula>"Pass"</formula>
    </cfRule>
    <cfRule type="cellIs" dxfId="8477" priority="8474" stopIfTrue="1" operator="equal">
      <formula>"Fail"</formula>
    </cfRule>
  </conditionalFormatting>
  <conditionalFormatting sqref="I1482:L1482">
    <cfRule type="cellIs" dxfId="8476" priority="8471" stopIfTrue="1" operator="equal">
      <formula>"Pass"</formula>
    </cfRule>
    <cfRule type="cellIs" dxfId="8475" priority="8472" stopIfTrue="1" operator="equal">
      <formula>"Fail"</formula>
    </cfRule>
  </conditionalFormatting>
  <conditionalFormatting sqref="J1482:L1482">
    <cfRule type="cellIs" dxfId="8474" priority="8469" stopIfTrue="1" operator="equal">
      <formula>"Pass"</formula>
    </cfRule>
    <cfRule type="cellIs" dxfId="8473" priority="8470" stopIfTrue="1" operator="equal">
      <formula>"Fail"</formula>
    </cfRule>
  </conditionalFormatting>
  <conditionalFormatting sqref="I1482">
    <cfRule type="cellIs" dxfId="8472" priority="8467" stopIfTrue="1" operator="equal">
      <formula>"Pass"</formula>
    </cfRule>
    <cfRule type="cellIs" dxfId="8471" priority="8468" stopIfTrue="1" operator="equal">
      <formula>"Fail"</formula>
    </cfRule>
  </conditionalFormatting>
  <conditionalFormatting sqref="I1482:L1482">
    <cfRule type="cellIs" dxfId="8470" priority="8465" stopIfTrue="1" operator="equal">
      <formula>"Pass"</formula>
    </cfRule>
    <cfRule type="cellIs" dxfId="8469" priority="8466" stopIfTrue="1" operator="equal">
      <formula>"Fail"</formula>
    </cfRule>
  </conditionalFormatting>
  <conditionalFormatting sqref="I1482:L1482">
    <cfRule type="cellIs" dxfId="8468" priority="8463" stopIfTrue="1" operator="equal">
      <formula>"Pass"</formula>
    </cfRule>
    <cfRule type="cellIs" dxfId="8467" priority="8464" stopIfTrue="1" operator="equal">
      <formula>"Fail"</formula>
    </cfRule>
  </conditionalFormatting>
  <conditionalFormatting sqref="I1482:L1482">
    <cfRule type="cellIs" dxfId="8466" priority="8461" stopIfTrue="1" operator="equal">
      <formula>"Pass"</formula>
    </cfRule>
    <cfRule type="cellIs" dxfId="8465" priority="8462" stopIfTrue="1" operator="equal">
      <formula>"Fail"</formula>
    </cfRule>
  </conditionalFormatting>
  <conditionalFormatting sqref="I1482:L1482">
    <cfRule type="cellIs" dxfId="8464" priority="8459" stopIfTrue="1" operator="equal">
      <formula>"Pass"</formula>
    </cfRule>
    <cfRule type="cellIs" dxfId="8463" priority="8460" stopIfTrue="1" operator="equal">
      <formula>"Fail"</formula>
    </cfRule>
  </conditionalFormatting>
  <conditionalFormatting sqref="J1482:L1482">
    <cfRule type="cellIs" dxfId="8462" priority="8457" stopIfTrue="1" operator="equal">
      <formula>"Pass"</formula>
    </cfRule>
    <cfRule type="cellIs" dxfId="8461" priority="8458" stopIfTrue="1" operator="equal">
      <formula>"Fail"</formula>
    </cfRule>
  </conditionalFormatting>
  <conditionalFormatting sqref="I1482">
    <cfRule type="cellIs" dxfId="8460" priority="8455" stopIfTrue="1" operator="equal">
      <formula>"Pass"</formula>
    </cfRule>
    <cfRule type="cellIs" dxfId="8459" priority="8456" stopIfTrue="1" operator="equal">
      <formula>"Fail"</formula>
    </cfRule>
  </conditionalFormatting>
  <conditionalFormatting sqref="I1482:L1482">
    <cfRule type="cellIs" dxfId="8458" priority="8453" stopIfTrue="1" operator="equal">
      <formula>"Pass"</formula>
    </cfRule>
    <cfRule type="cellIs" dxfId="8457" priority="8454" stopIfTrue="1" operator="equal">
      <formula>"Fail"</formula>
    </cfRule>
  </conditionalFormatting>
  <conditionalFormatting sqref="J1482:L1482">
    <cfRule type="cellIs" dxfId="8456" priority="8451" stopIfTrue="1" operator="equal">
      <formula>"Pass"</formula>
    </cfRule>
    <cfRule type="cellIs" dxfId="8455" priority="8452" stopIfTrue="1" operator="equal">
      <formula>"Fail"</formula>
    </cfRule>
  </conditionalFormatting>
  <conditionalFormatting sqref="I1482">
    <cfRule type="cellIs" dxfId="8454" priority="8449" stopIfTrue="1" operator="equal">
      <formula>"Pass"</formula>
    </cfRule>
    <cfRule type="cellIs" dxfId="8453" priority="8450" stopIfTrue="1" operator="equal">
      <formula>"Fail"</formula>
    </cfRule>
  </conditionalFormatting>
  <conditionalFormatting sqref="I1482:L1482">
    <cfRule type="cellIs" dxfId="8452" priority="8447" stopIfTrue="1" operator="equal">
      <formula>"Pass"</formula>
    </cfRule>
    <cfRule type="cellIs" dxfId="8451" priority="8448" stopIfTrue="1" operator="equal">
      <formula>"Fail"</formula>
    </cfRule>
  </conditionalFormatting>
  <conditionalFormatting sqref="J1482:L1482">
    <cfRule type="cellIs" dxfId="8450" priority="8445" stopIfTrue="1" operator="equal">
      <formula>"Pass"</formula>
    </cfRule>
    <cfRule type="cellIs" dxfId="8449" priority="8446" stopIfTrue="1" operator="equal">
      <formula>"Fail"</formula>
    </cfRule>
  </conditionalFormatting>
  <conditionalFormatting sqref="I1482">
    <cfRule type="cellIs" dxfId="8448" priority="8443" stopIfTrue="1" operator="equal">
      <formula>"Pass"</formula>
    </cfRule>
    <cfRule type="cellIs" dxfId="8447" priority="8444" stopIfTrue="1" operator="equal">
      <formula>"Fail"</formula>
    </cfRule>
  </conditionalFormatting>
  <conditionalFormatting sqref="I1482:L1482">
    <cfRule type="cellIs" dxfId="8446" priority="8441" stopIfTrue="1" operator="equal">
      <formula>"Pass"</formula>
    </cfRule>
    <cfRule type="cellIs" dxfId="8445" priority="8442" stopIfTrue="1" operator="equal">
      <formula>"Fail"</formula>
    </cfRule>
  </conditionalFormatting>
  <conditionalFormatting sqref="J1482:L1482">
    <cfRule type="cellIs" dxfId="8444" priority="8439" stopIfTrue="1" operator="equal">
      <formula>"Pass"</formula>
    </cfRule>
    <cfRule type="cellIs" dxfId="8443" priority="8440" stopIfTrue="1" operator="equal">
      <formula>"Fail"</formula>
    </cfRule>
  </conditionalFormatting>
  <conditionalFormatting sqref="I1482">
    <cfRule type="cellIs" dxfId="8442" priority="8437" stopIfTrue="1" operator="equal">
      <formula>"Pass"</formula>
    </cfRule>
    <cfRule type="cellIs" dxfId="8441" priority="8438" stopIfTrue="1" operator="equal">
      <formula>"Fail"</formula>
    </cfRule>
  </conditionalFormatting>
  <conditionalFormatting sqref="I1482:L1482">
    <cfRule type="cellIs" dxfId="8440" priority="8435" stopIfTrue="1" operator="equal">
      <formula>"Pass"</formula>
    </cfRule>
    <cfRule type="cellIs" dxfId="8439" priority="8436" stopIfTrue="1" operator="equal">
      <formula>"Fail"</formula>
    </cfRule>
  </conditionalFormatting>
  <conditionalFormatting sqref="I1482:L1482">
    <cfRule type="cellIs" dxfId="8438" priority="8433" stopIfTrue="1" operator="equal">
      <formula>"Pass"</formula>
    </cfRule>
    <cfRule type="cellIs" dxfId="8437" priority="8434" stopIfTrue="1" operator="equal">
      <formula>"Fail"</formula>
    </cfRule>
  </conditionalFormatting>
  <conditionalFormatting sqref="I1482:L1482">
    <cfRule type="cellIs" dxfId="8436" priority="8431" stopIfTrue="1" operator="equal">
      <formula>"Pass"</formula>
    </cfRule>
    <cfRule type="cellIs" dxfId="8435" priority="8432" stopIfTrue="1" operator="equal">
      <formula>"Fail"</formula>
    </cfRule>
  </conditionalFormatting>
  <conditionalFormatting sqref="I1482:L1482">
    <cfRule type="cellIs" dxfId="8434" priority="8429" stopIfTrue="1" operator="equal">
      <formula>"Pass"</formula>
    </cfRule>
    <cfRule type="cellIs" dxfId="8433" priority="8430" stopIfTrue="1" operator="equal">
      <formula>"Fail"</formula>
    </cfRule>
  </conditionalFormatting>
  <conditionalFormatting sqref="J1482:L1482">
    <cfRule type="cellIs" dxfId="8432" priority="8427" stopIfTrue="1" operator="equal">
      <formula>"Pass"</formula>
    </cfRule>
    <cfRule type="cellIs" dxfId="8431" priority="8428" stopIfTrue="1" operator="equal">
      <formula>"Fail"</formula>
    </cfRule>
  </conditionalFormatting>
  <conditionalFormatting sqref="I1482">
    <cfRule type="cellIs" dxfId="8430" priority="8425" stopIfTrue="1" operator="equal">
      <formula>"Pass"</formula>
    </cfRule>
    <cfRule type="cellIs" dxfId="8429" priority="8426" stopIfTrue="1" operator="equal">
      <formula>"Fail"</formula>
    </cfRule>
  </conditionalFormatting>
  <conditionalFormatting sqref="I1482:L1482">
    <cfRule type="cellIs" dxfId="8428" priority="8423" stopIfTrue="1" operator="equal">
      <formula>"Pass"</formula>
    </cfRule>
    <cfRule type="cellIs" dxfId="8427" priority="8424" stopIfTrue="1" operator="equal">
      <formula>"Fail"</formula>
    </cfRule>
  </conditionalFormatting>
  <conditionalFormatting sqref="J1482:L1482">
    <cfRule type="cellIs" dxfId="8426" priority="8421" stopIfTrue="1" operator="equal">
      <formula>"Pass"</formula>
    </cfRule>
    <cfRule type="cellIs" dxfId="8425" priority="8422" stopIfTrue="1" operator="equal">
      <formula>"Fail"</formula>
    </cfRule>
  </conditionalFormatting>
  <conditionalFormatting sqref="I1482">
    <cfRule type="cellIs" dxfId="8424" priority="8419" stopIfTrue="1" operator="equal">
      <formula>"Pass"</formula>
    </cfRule>
    <cfRule type="cellIs" dxfId="8423" priority="8420" stopIfTrue="1" operator="equal">
      <formula>"Fail"</formula>
    </cfRule>
  </conditionalFormatting>
  <conditionalFormatting sqref="I1482:L1482">
    <cfRule type="cellIs" dxfId="8422" priority="8417" stopIfTrue="1" operator="equal">
      <formula>"Pass"</formula>
    </cfRule>
    <cfRule type="cellIs" dxfId="8421" priority="8418" stopIfTrue="1" operator="equal">
      <formula>"Fail"</formula>
    </cfRule>
  </conditionalFormatting>
  <conditionalFormatting sqref="J1482:L1482">
    <cfRule type="cellIs" dxfId="8420" priority="8415" stopIfTrue="1" operator="equal">
      <formula>"Pass"</formula>
    </cfRule>
    <cfRule type="cellIs" dxfId="8419" priority="8416" stopIfTrue="1" operator="equal">
      <formula>"Fail"</formula>
    </cfRule>
  </conditionalFormatting>
  <conditionalFormatting sqref="I1482">
    <cfRule type="cellIs" dxfId="8418" priority="8413" stopIfTrue="1" operator="equal">
      <formula>"Pass"</formula>
    </cfRule>
    <cfRule type="cellIs" dxfId="8417" priority="8414" stopIfTrue="1" operator="equal">
      <formula>"Fail"</formula>
    </cfRule>
  </conditionalFormatting>
  <conditionalFormatting sqref="I1482:L1482">
    <cfRule type="cellIs" dxfId="8416" priority="8411" stopIfTrue="1" operator="equal">
      <formula>"Pass"</formula>
    </cfRule>
    <cfRule type="cellIs" dxfId="8415" priority="8412" stopIfTrue="1" operator="equal">
      <formula>"Fail"</formula>
    </cfRule>
  </conditionalFormatting>
  <conditionalFormatting sqref="J1482:L1482">
    <cfRule type="cellIs" dxfId="8414" priority="8409" stopIfTrue="1" operator="equal">
      <formula>"Pass"</formula>
    </cfRule>
    <cfRule type="cellIs" dxfId="8413" priority="8410" stopIfTrue="1" operator="equal">
      <formula>"Fail"</formula>
    </cfRule>
  </conditionalFormatting>
  <conditionalFormatting sqref="I1482">
    <cfRule type="cellIs" dxfId="8412" priority="8407" stopIfTrue="1" operator="equal">
      <formula>"Pass"</formula>
    </cfRule>
    <cfRule type="cellIs" dxfId="8411" priority="8408" stopIfTrue="1" operator="equal">
      <formula>"Fail"</formula>
    </cfRule>
  </conditionalFormatting>
  <conditionalFormatting sqref="I1482:L1482">
    <cfRule type="cellIs" dxfId="8410" priority="8405" stopIfTrue="1" operator="equal">
      <formula>"Pass"</formula>
    </cfRule>
    <cfRule type="cellIs" dxfId="8409" priority="8406" stopIfTrue="1" operator="equal">
      <formula>"Fail"</formula>
    </cfRule>
  </conditionalFormatting>
  <conditionalFormatting sqref="I1482:L1482">
    <cfRule type="cellIs" dxfId="8408" priority="8403" stopIfTrue="1" operator="equal">
      <formula>"Pass"</formula>
    </cfRule>
    <cfRule type="cellIs" dxfId="8407" priority="8404" stopIfTrue="1" operator="equal">
      <formula>"Fail"</formula>
    </cfRule>
  </conditionalFormatting>
  <conditionalFormatting sqref="I1482:L1482">
    <cfRule type="cellIs" dxfId="8406" priority="8401" stopIfTrue="1" operator="equal">
      <formula>"Pass"</formula>
    </cfRule>
    <cfRule type="cellIs" dxfId="8405" priority="8402" stopIfTrue="1" operator="equal">
      <formula>"Fail"</formula>
    </cfRule>
  </conditionalFormatting>
  <conditionalFormatting sqref="I1482:L1482">
    <cfRule type="cellIs" dxfId="8404" priority="8399" stopIfTrue="1" operator="equal">
      <formula>"Pass"</formula>
    </cfRule>
    <cfRule type="cellIs" dxfId="8403" priority="8400" stopIfTrue="1" operator="equal">
      <formula>"Fail"</formula>
    </cfRule>
  </conditionalFormatting>
  <conditionalFormatting sqref="I1482:L1482">
    <cfRule type="cellIs" dxfId="8402" priority="8397" stopIfTrue="1" operator="equal">
      <formula>"Pass"</formula>
    </cfRule>
    <cfRule type="cellIs" dxfId="8401" priority="8398" stopIfTrue="1" operator="equal">
      <formula>"Fail"</formula>
    </cfRule>
  </conditionalFormatting>
  <conditionalFormatting sqref="I1482:L1482">
    <cfRule type="cellIs" dxfId="8400" priority="8395" stopIfTrue="1" operator="equal">
      <formula>"Pass"</formula>
    </cfRule>
    <cfRule type="cellIs" dxfId="8399" priority="8396" stopIfTrue="1" operator="equal">
      <formula>"Fail"</formula>
    </cfRule>
  </conditionalFormatting>
  <conditionalFormatting sqref="I1482:L1482">
    <cfRule type="cellIs" dxfId="8398" priority="8393" stopIfTrue="1" operator="equal">
      <formula>"Pass"</formula>
    </cfRule>
    <cfRule type="cellIs" dxfId="8397" priority="8394" stopIfTrue="1" operator="equal">
      <formula>"Fail"</formula>
    </cfRule>
  </conditionalFormatting>
  <conditionalFormatting sqref="J1482:L1482">
    <cfRule type="cellIs" dxfId="8396" priority="8391" stopIfTrue="1" operator="equal">
      <formula>"Pass"</formula>
    </cfRule>
    <cfRule type="cellIs" dxfId="8395" priority="8392" stopIfTrue="1" operator="equal">
      <formula>"Fail"</formula>
    </cfRule>
  </conditionalFormatting>
  <conditionalFormatting sqref="I1482">
    <cfRule type="cellIs" dxfId="8394" priority="8389" stopIfTrue="1" operator="equal">
      <formula>"Pass"</formula>
    </cfRule>
    <cfRule type="cellIs" dxfId="8393" priority="8390" stopIfTrue="1" operator="equal">
      <formula>"Fail"</formula>
    </cfRule>
  </conditionalFormatting>
  <conditionalFormatting sqref="I1482:L1482">
    <cfRule type="cellIs" dxfId="8392" priority="8387" stopIfTrue="1" operator="equal">
      <formula>"Pass"</formula>
    </cfRule>
    <cfRule type="cellIs" dxfId="8391" priority="8388" stopIfTrue="1" operator="equal">
      <formula>"Fail"</formula>
    </cfRule>
  </conditionalFormatting>
  <conditionalFormatting sqref="J1482:L1482">
    <cfRule type="cellIs" dxfId="8390" priority="8385" stopIfTrue="1" operator="equal">
      <formula>"Pass"</formula>
    </cfRule>
    <cfRule type="cellIs" dxfId="8389" priority="8386" stopIfTrue="1" operator="equal">
      <formula>"Fail"</formula>
    </cfRule>
  </conditionalFormatting>
  <conditionalFormatting sqref="I1482">
    <cfRule type="cellIs" dxfId="8388" priority="8383" stopIfTrue="1" operator="equal">
      <formula>"Pass"</formula>
    </cfRule>
    <cfRule type="cellIs" dxfId="8387" priority="8384" stopIfTrue="1" operator="equal">
      <formula>"Fail"</formula>
    </cfRule>
  </conditionalFormatting>
  <conditionalFormatting sqref="I1482:L1482">
    <cfRule type="cellIs" dxfId="8386" priority="8381" stopIfTrue="1" operator="equal">
      <formula>"Pass"</formula>
    </cfRule>
    <cfRule type="cellIs" dxfId="8385" priority="8382" stopIfTrue="1" operator="equal">
      <formula>"Fail"</formula>
    </cfRule>
  </conditionalFormatting>
  <conditionalFormatting sqref="J1482:L1482">
    <cfRule type="cellIs" dxfId="8384" priority="8379" stopIfTrue="1" operator="equal">
      <formula>"Pass"</formula>
    </cfRule>
    <cfRule type="cellIs" dxfId="8383" priority="8380" stopIfTrue="1" operator="equal">
      <formula>"Fail"</formula>
    </cfRule>
  </conditionalFormatting>
  <conditionalFormatting sqref="I1482">
    <cfRule type="cellIs" dxfId="8382" priority="8377" stopIfTrue="1" operator="equal">
      <formula>"Pass"</formula>
    </cfRule>
    <cfRule type="cellIs" dxfId="8381" priority="8378" stopIfTrue="1" operator="equal">
      <formula>"Fail"</formula>
    </cfRule>
  </conditionalFormatting>
  <conditionalFormatting sqref="I1482:L1482">
    <cfRule type="cellIs" dxfId="8380" priority="8375" stopIfTrue="1" operator="equal">
      <formula>"Pass"</formula>
    </cfRule>
    <cfRule type="cellIs" dxfId="8379" priority="8376" stopIfTrue="1" operator="equal">
      <formula>"Fail"</formula>
    </cfRule>
  </conditionalFormatting>
  <conditionalFormatting sqref="J1482:L1482">
    <cfRule type="cellIs" dxfId="8378" priority="8373" stopIfTrue="1" operator="equal">
      <formula>"Pass"</formula>
    </cfRule>
    <cfRule type="cellIs" dxfId="8377" priority="8374" stopIfTrue="1" operator="equal">
      <formula>"Fail"</formula>
    </cfRule>
  </conditionalFormatting>
  <conditionalFormatting sqref="I1482">
    <cfRule type="cellIs" dxfId="8376" priority="8371" stopIfTrue="1" operator="equal">
      <formula>"Pass"</formula>
    </cfRule>
    <cfRule type="cellIs" dxfId="8375" priority="8372" stopIfTrue="1" operator="equal">
      <formula>"Fail"</formula>
    </cfRule>
  </conditionalFormatting>
  <conditionalFormatting sqref="I1482:L1482">
    <cfRule type="cellIs" dxfId="8374" priority="8369" stopIfTrue="1" operator="equal">
      <formula>"Pass"</formula>
    </cfRule>
    <cfRule type="cellIs" dxfId="8373" priority="8370" stopIfTrue="1" operator="equal">
      <formula>"Fail"</formula>
    </cfRule>
  </conditionalFormatting>
  <conditionalFormatting sqref="I1482:L1482">
    <cfRule type="cellIs" dxfId="8372" priority="8367" stopIfTrue="1" operator="equal">
      <formula>"Pass"</formula>
    </cfRule>
    <cfRule type="cellIs" dxfId="8371" priority="8368" stopIfTrue="1" operator="equal">
      <formula>"Fail"</formula>
    </cfRule>
  </conditionalFormatting>
  <conditionalFormatting sqref="I1482:L1482">
    <cfRule type="cellIs" dxfId="8370" priority="8365" stopIfTrue="1" operator="equal">
      <formula>"Pass"</formula>
    </cfRule>
    <cfRule type="cellIs" dxfId="8369" priority="8366" stopIfTrue="1" operator="equal">
      <formula>"Fail"</formula>
    </cfRule>
  </conditionalFormatting>
  <conditionalFormatting sqref="I1482:L1482">
    <cfRule type="cellIs" dxfId="8368" priority="8363" stopIfTrue="1" operator="equal">
      <formula>"Pass"</formula>
    </cfRule>
    <cfRule type="cellIs" dxfId="8367" priority="8364" stopIfTrue="1" operator="equal">
      <formula>"Fail"</formula>
    </cfRule>
  </conditionalFormatting>
  <conditionalFormatting sqref="I1482:L1482">
    <cfRule type="cellIs" dxfId="8366" priority="8361" stopIfTrue="1" operator="equal">
      <formula>"Pass"</formula>
    </cfRule>
    <cfRule type="cellIs" dxfId="8365" priority="8362" stopIfTrue="1" operator="equal">
      <formula>"Fail"</formula>
    </cfRule>
  </conditionalFormatting>
  <conditionalFormatting sqref="I1482:L1482">
    <cfRule type="cellIs" dxfId="8364" priority="8359" stopIfTrue="1" operator="equal">
      <formula>"Pass"</formula>
    </cfRule>
    <cfRule type="cellIs" dxfId="8363" priority="8360" stopIfTrue="1" operator="equal">
      <formula>"Fail"</formula>
    </cfRule>
  </conditionalFormatting>
  <conditionalFormatting sqref="I1482:L1482">
    <cfRule type="cellIs" dxfId="8362" priority="8357" stopIfTrue="1" operator="equal">
      <formula>"Pass"</formula>
    </cfRule>
    <cfRule type="cellIs" dxfId="8361" priority="8358" stopIfTrue="1" operator="equal">
      <formula>"Fail"</formula>
    </cfRule>
  </conditionalFormatting>
  <conditionalFormatting sqref="J1482:L1482">
    <cfRule type="cellIs" dxfId="8360" priority="8355" stopIfTrue="1" operator="equal">
      <formula>"Pass"</formula>
    </cfRule>
    <cfRule type="cellIs" dxfId="8359" priority="8356" stopIfTrue="1" operator="equal">
      <formula>"Fail"</formula>
    </cfRule>
  </conditionalFormatting>
  <conditionalFormatting sqref="I1482">
    <cfRule type="cellIs" dxfId="8358" priority="8353" stopIfTrue="1" operator="equal">
      <formula>"Pass"</formula>
    </cfRule>
    <cfRule type="cellIs" dxfId="8357" priority="8354" stopIfTrue="1" operator="equal">
      <formula>"Fail"</formula>
    </cfRule>
  </conditionalFormatting>
  <conditionalFormatting sqref="I1482:L1482">
    <cfRule type="cellIs" dxfId="8356" priority="8351" stopIfTrue="1" operator="equal">
      <formula>"Pass"</formula>
    </cfRule>
    <cfRule type="cellIs" dxfId="8355" priority="8352" stopIfTrue="1" operator="equal">
      <formula>"Fail"</formula>
    </cfRule>
  </conditionalFormatting>
  <conditionalFormatting sqref="J1482:L1482">
    <cfRule type="cellIs" dxfId="8354" priority="8349" stopIfTrue="1" operator="equal">
      <formula>"Pass"</formula>
    </cfRule>
    <cfRule type="cellIs" dxfId="8353" priority="8350" stopIfTrue="1" operator="equal">
      <formula>"Fail"</formula>
    </cfRule>
  </conditionalFormatting>
  <conditionalFormatting sqref="I1482">
    <cfRule type="cellIs" dxfId="8352" priority="8347" stopIfTrue="1" operator="equal">
      <formula>"Pass"</formula>
    </cfRule>
    <cfRule type="cellIs" dxfId="8351" priority="8348" stopIfTrue="1" operator="equal">
      <formula>"Fail"</formula>
    </cfRule>
  </conditionalFormatting>
  <conditionalFormatting sqref="I1482:L1482">
    <cfRule type="cellIs" dxfId="8350" priority="8345" stopIfTrue="1" operator="equal">
      <formula>"Pass"</formula>
    </cfRule>
    <cfRule type="cellIs" dxfId="8349" priority="8346" stopIfTrue="1" operator="equal">
      <formula>"Fail"</formula>
    </cfRule>
  </conditionalFormatting>
  <conditionalFormatting sqref="J1482:L1482">
    <cfRule type="cellIs" dxfId="8348" priority="8343" stopIfTrue="1" operator="equal">
      <formula>"Pass"</formula>
    </cfRule>
    <cfRule type="cellIs" dxfId="8347" priority="8344" stopIfTrue="1" operator="equal">
      <formula>"Fail"</formula>
    </cfRule>
  </conditionalFormatting>
  <conditionalFormatting sqref="I1482">
    <cfRule type="cellIs" dxfId="8346" priority="8341" stopIfTrue="1" operator="equal">
      <formula>"Pass"</formula>
    </cfRule>
    <cfRule type="cellIs" dxfId="8345" priority="8342" stopIfTrue="1" operator="equal">
      <formula>"Fail"</formula>
    </cfRule>
  </conditionalFormatting>
  <conditionalFormatting sqref="I1482:L1482">
    <cfRule type="cellIs" dxfId="8344" priority="8339" stopIfTrue="1" operator="equal">
      <formula>"Pass"</formula>
    </cfRule>
    <cfRule type="cellIs" dxfId="8343" priority="8340" stopIfTrue="1" operator="equal">
      <formula>"Fail"</formula>
    </cfRule>
  </conditionalFormatting>
  <conditionalFormatting sqref="J1482:L1482">
    <cfRule type="cellIs" dxfId="8342" priority="8337" stopIfTrue="1" operator="equal">
      <formula>"Pass"</formula>
    </cfRule>
    <cfRule type="cellIs" dxfId="8341" priority="8338" stopIfTrue="1" operator="equal">
      <formula>"Fail"</formula>
    </cfRule>
  </conditionalFormatting>
  <conditionalFormatting sqref="I1482">
    <cfRule type="cellIs" dxfId="8340" priority="8335" stopIfTrue="1" operator="equal">
      <formula>"Pass"</formula>
    </cfRule>
    <cfRule type="cellIs" dxfId="8339" priority="8336" stopIfTrue="1" operator="equal">
      <formula>"Fail"</formula>
    </cfRule>
  </conditionalFormatting>
  <conditionalFormatting sqref="I1482:L1482">
    <cfRule type="cellIs" dxfId="8338" priority="8333" stopIfTrue="1" operator="equal">
      <formula>"Pass"</formula>
    </cfRule>
    <cfRule type="cellIs" dxfId="8337" priority="8334" stopIfTrue="1" operator="equal">
      <formula>"Fail"</formula>
    </cfRule>
  </conditionalFormatting>
  <conditionalFormatting sqref="I1482:L1482">
    <cfRule type="cellIs" dxfId="8336" priority="8331" stopIfTrue="1" operator="equal">
      <formula>"Pass"</formula>
    </cfRule>
    <cfRule type="cellIs" dxfId="8335" priority="8332" stopIfTrue="1" operator="equal">
      <formula>"Fail"</formula>
    </cfRule>
  </conditionalFormatting>
  <conditionalFormatting sqref="I1482:L1482">
    <cfRule type="cellIs" dxfId="8334" priority="8329" stopIfTrue="1" operator="equal">
      <formula>"Pass"</formula>
    </cfRule>
    <cfRule type="cellIs" dxfId="8333" priority="8330" stopIfTrue="1" operator="equal">
      <formula>"Fail"</formula>
    </cfRule>
  </conditionalFormatting>
  <conditionalFormatting sqref="I1482:L1482">
    <cfRule type="cellIs" dxfId="8332" priority="8327" stopIfTrue="1" operator="equal">
      <formula>"Pass"</formula>
    </cfRule>
    <cfRule type="cellIs" dxfId="8331" priority="8328" stopIfTrue="1" operator="equal">
      <formula>"Fail"</formula>
    </cfRule>
  </conditionalFormatting>
  <conditionalFormatting sqref="I1482:L1482">
    <cfRule type="cellIs" dxfId="8330" priority="8325" stopIfTrue="1" operator="equal">
      <formula>"Pass"</formula>
    </cfRule>
    <cfRule type="cellIs" dxfId="8329" priority="8326" stopIfTrue="1" operator="equal">
      <formula>"Fail"</formula>
    </cfRule>
  </conditionalFormatting>
  <conditionalFormatting sqref="I1482:L1482">
    <cfRule type="cellIs" dxfId="8328" priority="8323" stopIfTrue="1" operator="equal">
      <formula>"Pass"</formula>
    </cfRule>
    <cfRule type="cellIs" dxfId="8327" priority="8324" stopIfTrue="1" operator="equal">
      <formula>"Fail"</formula>
    </cfRule>
  </conditionalFormatting>
  <conditionalFormatting sqref="I1482:L1482">
    <cfRule type="cellIs" dxfId="8326" priority="8321" stopIfTrue="1" operator="equal">
      <formula>"Pass"</formula>
    </cfRule>
    <cfRule type="cellIs" dxfId="8325" priority="8322" stopIfTrue="1" operator="equal">
      <formula>"Fail"</formula>
    </cfRule>
  </conditionalFormatting>
  <conditionalFormatting sqref="J1482:L1482">
    <cfRule type="cellIs" dxfId="8324" priority="8319" stopIfTrue="1" operator="equal">
      <formula>"Pass"</formula>
    </cfRule>
    <cfRule type="cellIs" dxfId="8323" priority="8320" stopIfTrue="1" operator="equal">
      <formula>"Fail"</formula>
    </cfRule>
  </conditionalFormatting>
  <conditionalFormatting sqref="I1482">
    <cfRule type="cellIs" dxfId="8322" priority="8317" stopIfTrue="1" operator="equal">
      <formula>"Pass"</formula>
    </cfRule>
    <cfRule type="cellIs" dxfId="8321" priority="8318" stopIfTrue="1" operator="equal">
      <formula>"Fail"</formula>
    </cfRule>
  </conditionalFormatting>
  <conditionalFormatting sqref="I1482:L1482">
    <cfRule type="cellIs" dxfId="8320" priority="8315" stopIfTrue="1" operator="equal">
      <formula>"Pass"</formula>
    </cfRule>
    <cfRule type="cellIs" dxfId="8319" priority="8316" stopIfTrue="1" operator="equal">
      <formula>"Fail"</formula>
    </cfRule>
  </conditionalFormatting>
  <conditionalFormatting sqref="J1482:L1482">
    <cfRule type="cellIs" dxfId="8318" priority="8313" stopIfTrue="1" operator="equal">
      <formula>"Pass"</formula>
    </cfRule>
    <cfRule type="cellIs" dxfId="8317" priority="8314" stopIfTrue="1" operator="equal">
      <formula>"Fail"</formula>
    </cfRule>
  </conditionalFormatting>
  <conditionalFormatting sqref="I1482">
    <cfRule type="cellIs" dxfId="8316" priority="8311" stopIfTrue="1" operator="equal">
      <formula>"Pass"</formula>
    </cfRule>
    <cfRule type="cellIs" dxfId="8315" priority="8312" stopIfTrue="1" operator="equal">
      <formula>"Fail"</formula>
    </cfRule>
  </conditionalFormatting>
  <conditionalFormatting sqref="I1482:L1482">
    <cfRule type="cellIs" dxfId="8314" priority="8309" stopIfTrue="1" operator="equal">
      <formula>"Pass"</formula>
    </cfRule>
    <cfRule type="cellIs" dxfId="8313" priority="8310" stopIfTrue="1" operator="equal">
      <formula>"Fail"</formula>
    </cfRule>
  </conditionalFormatting>
  <conditionalFormatting sqref="J1482:L1482">
    <cfRule type="cellIs" dxfId="8312" priority="8307" stopIfTrue="1" operator="equal">
      <formula>"Pass"</formula>
    </cfRule>
    <cfRule type="cellIs" dxfId="8311" priority="8308" stopIfTrue="1" operator="equal">
      <formula>"Fail"</formula>
    </cfRule>
  </conditionalFormatting>
  <conditionalFormatting sqref="I1482">
    <cfRule type="cellIs" dxfId="8310" priority="8305" stopIfTrue="1" operator="equal">
      <formula>"Pass"</formula>
    </cfRule>
    <cfRule type="cellIs" dxfId="8309" priority="8306" stopIfTrue="1" operator="equal">
      <formula>"Fail"</formula>
    </cfRule>
  </conditionalFormatting>
  <conditionalFormatting sqref="I1482:L1482">
    <cfRule type="cellIs" dxfId="8308" priority="8303" stopIfTrue="1" operator="equal">
      <formula>"Pass"</formula>
    </cfRule>
    <cfRule type="cellIs" dxfId="8307" priority="8304" stopIfTrue="1" operator="equal">
      <formula>"Fail"</formula>
    </cfRule>
  </conditionalFormatting>
  <conditionalFormatting sqref="J1482:L1482">
    <cfRule type="cellIs" dxfId="8306" priority="8301" stopIfTrue="1" operator="equal">
      <formula>"Pass"</formula>
    </cfRule>
    <cfRule type="cellIs" dxfId="8305" priority="8302" stopIfTrue="1" operator="equal">
      <formula>"Fail"</formula>
    </cfRule>
  </conditionalFormatting>
  <conditionalFormatting sqref="I1482">
    <cfRule type="cellIs" dxfId="8304" priority="8299" stopIfTrue="1" operator="equal">
      <formula>"Pass"</formula>
    </cfRule>
    <cfRule type="cellIs" dxfId="8303" priority="8300" stopIfTrue="1" operator="equal">
      <formula>"Fail"</formula>
    </cfRule>
  </conditionalFormatting>
  <conditionalFormatting sqref="I1482:L1482">
    <cfRule type="cellIs" dxfId="8302" priority="8297" stopIfTrue="1" operator="equal">
      <formula>"Pass"</formula>
    </cfRule>
    <cfRule type="cellIs" dxfId="8301" priority="8298" stopIfTrue="1" operator="equal">
      <formula>"Fail"</formula>
    </cfRule>
  </conditionalFormatting>
  <conditionalFormatting sqref="I1482:L1482">
    <cfRule type="cellIs" dxfId="8300" priority="8295" stopIfTrue="1" operator="equal">
      <formula>"Pass"</formula>
    </cfRule>
    <cfRule type="cellIs" dxfId="8299" priority="8296" stopIfTrue="1" operator="equal">
      <formula>"Fail"</formula>
    </cfRule>
  </conditionalFormatting>
  <conditionalFormatting sqref="H1482">
    <cfRule type="cellIs" dxfId="8298" priority="8293" stopIfTrue="1" operator="equal">
      <formula>"Pass"</formula>
    </cfRule>
    <cfRule type="cellIs" dxfId="8297" priority="8294" stopIfTrue="1" operator="equal">
      <formula>"Fail"</formula>
    </cfRule>
  </conditionalFormatting>
  <conditionalFormatting sqref="H1482">
    <cfRule type="cellIs" dxfId="8296" priority="8291" stopIfTrue="1" operator="equal">
      <formula>"Pass"</formula>
    </cfRule>
    <cfRule type="cellIs" dxfId="8295" priority="8292" stopIfTrue="1" operator="equal">
      <formula>"Fail"</formula>
    </cfRule>
  </conditionalFormatting>
  <conditionalFormatting sqref="H1482">
    <cfRule type="cellIs" dxfId="8294" priority="8289" stopIfTrue="1" operator="equal">
      <formula>"Pass"</formula>
    </cfRule>
    <cfRule type="cellIs" dxfId="8293" priority="8290" stopIfTrue="1" operator="equal">
      <formula>"Fail"</formula>
    </cfRule>
  </conditionalFormatting>
  <conditionalFormatting sqref="I1482:L1482">
    <cfRule type="cellIs" dxfId="8292" priority="8287" stopIfTrue="1" operator="equal">
      <formula>"Pass"</formula>
    </cfRule>
    <cfRule type="cellIs" dxfId="8291" priority="8288" stopIfTrue="1" operator="equal">
      <formula>"Fail"</formula>
    </cfRule>
  </conditionalFormatting>
  <conditionalFormatting sqref="I1482:L1482">
    <cfRule type="cellIs" dxfId="8290" priority="8285" stopIfTrue="1" operator="equal">
      <formula>"Pass"</formula>
    </cfRule>
    <cfRule type="cellIs" dxfId="8289" priority="8286" stopIfTrue="1" operator="equal">
      <formula>"Fail"</formula>
    </cfRule>
  </conditionalFormatting>
  <conditionalFormatting sqref="I1482:L1482">
    <cfRule type="cellIs" dxfId="8288" priority="8283" stopIfTrue="1" operator="equal">
      <formula>"Pass"</formula>
    </cfRule>
    <cfRule type="cellIs" dxfId="8287" priority="8284" stopIfTrue="1" operator="equal">
      <formula>"Fail"</formula>
    </cfRule>
  </conditionalFormatting>
  <conditionalFormatting sqref="I1482:L1482">
    <cfRule type="cellIs" dxfId="8286" priority="8281" stopIfTrue="1" operator="equal">
      <formula>"Pass"</formula>
    </cfRule>
    <cfRule type="cellIs" dxfId="8285" priority="8282" stopIfTrue="1" operator="equal">
      <formula>"Fail"</formula>
    </cfRule>
  </conditionalFormatting>
  <conditionalFormatting sqref="I1482:L1482">
    <cfRule type="cellIs" dxfId="8284" priority="8279" stopIfTrue="1" operator="equal">
      <formula>"Pass"</formula>
    </cfRule>
    <cfRule type="cellIs" dxfId="8283" priority="8280" stopIfTrue="1" operator="equal">
      <formula>"Fail"</formula>
    </cfRule>
  </conditionalFormatting>
  <conditionalFormatting sqref="I1482:L1482">
    <cfRule type="cellIs" dxfId="8282" priority="8277" stopIfTrue="1" operator="equal">
      <formula>"Pass"</formula>
    </cfRule>
    <cfRule type="cellIs" dxfId="8281" priority="8278" stopIfTrue="1" operator="equal">
      <formula>"Fail"</formula>
    </cfRule>
  </conditionalFormatting>
  <conditionalFormatting sqref="J1482:L1482">
    <cfRule type="cellIs" dxfId="8280" priority="8275" stopIfTrue="1" operator="equal">
      <formula>"Pass"</formula>
    </cfRule>
    <cfRule type="cellIs" dxfId="8279" priority="8276" stopIfTrue="1" operator="equal">
      <formula>"Fail"</formula>
    </cfRule>
  </conditionalFormatting>
  <conditionalFormatting sqref="I1482">
    <cfRule type="cellIs" dxfId="8278" priority="8273" stopIfTrue="1" operator="equal">
      <formula>"Pass"</formula>
    </cfRule>
    <cfRule type="cellIs" dxfId="8277" priority="8274" stopIfTrue="1" operator="equal">
      <formula>"Fail"</formula>
    </cfRule>
  </conditionalFormatting>
  <conditionalFormatting sqref="I1482:L1482">
    <cfRule type="cellIs" dxfId="8276" priority="8271" stopIfTrue="1" operator="equal">
      <formula>"Pass"</formula>
    </cfRule>
    <cfRule type="cellIs" dxfId="8275" priority="8272" stopIfTrue="1" operator="equal">
      <formula>"Fail"</formula>
    </cfRule>
  </conditionalFormatting>
  <conditionalFormatting sqref="J1482:L1482">
    <cfRule type="cellIs" dxfId="8274" priority="8269" stopIfTrue="1" operator="equal">
      <formula>"Pass"</formula>
    </cfRule>
    <cfRule type="cellIs" dxfId="8273" priority="8270" stopIfTrue="1" operator="equal">
      <formula>"Fail"</formula>
    </cfRule>
  </conditionalFormatting>
  <conditionalFormatting sqref="I1482">
    <cfRule type="cellIs" dxfId="8272" priority="8267" stopIfTrue="1" operator="equal">
      <formula>"Pass"</formula>
    </cfRule>
    <cfRule type="cellIs" dxfId="8271" priority="8268" stopIfTrue="1" operator="equal">
      <formula>"Fail"</formula>
    </cfRule>
  </conditionalFormatting>
  <conditionalFormatting sqref="I1482:L1482">
    <cfRule type="cellIs" dxfId="8270" priority="8265" stopIfTrue="1" operator="equal">
      <formula>"Pass"</formula>
    </cfRule>
    <cfRule type="cellIs" dxfId="8269" priority="8266" stopIfTrue="1" operator="equal">
      <formula>"Fail"</formula>
    </cfRule>
  </conditionalFormatting>
  <conditionalFormatting sqref="J1482:L1482">
    <cfRule type="cellIs" dxfId="8268" priority="8263" stopIfTrue="1" operator="equal">
      <formula>"Pass"</formula>
    </cfRule>
    <cfRule type="cellIs" dxfId="8267" priority="8264" stopIfTrue="1" operator="equal">
      <formula>"Fail"</formula>
    </cfRule>
  </conditionalFormatting>
  <conditionalFormatting sqref="I1482">
    <cfRule type="cellIs" dxfId="8266" priority="8261" stopIfTrue="1" operator="equal">
      <formula>"Pass"</formula>
    </cfRule>
    <cfRule type="cellIs" dxfId="8265" priority="8262" stopIfTrue="1" operator="equal">
      <formula>"Fail"</formula>
    </cfRule>
  </conditionalFormatting>
  <conditionalFormatting sqref="I1482:L1482">
    <cfRule type="cellIs" dxfId="8264" priority="8259" stopIfTrue="1" operator="equal">
      <formula>"Pass"</formula>
    </cfRule>
    <cfRule type="cellIs" dxfId="8263" priority="8260" stopIfTrue="1" operator="equal">
      <formula>"Fail"</formula>
    </cfRule>
  </conditionalFormatting>
  <conditionalFormatting sqref="J1482:L1482">
    <cfRule type="cellIs" dxfId="8262" priority="8257" stopIfTrue="1" operator="equal">
      <formula>"Pass"</formula>
    </cfRule>
    <cfRule type="cellIs" dxfId="8261" priority="8258" stopIfTrue="1" operator="equal">
      <formula>"Fail"</formula>
    </cfRule>
  </conditionalFormatting>
  <conditionalFormatting sqref="I1482">
    <cfRule type="cellIs" dxfId="8260" priority="8255" stopIfTrue="1" operator="equal">
      <formula>"Pass"</formula>
    </cfRule>
    <cfRule type="cellIs" dxfId="8259" priority="8256" stopIfTrue="1" operator="equal">
      <formula>"Fail"</formula>
    </cfRule>
  </conditionalFormatting>
  <conditionalFormatting sqref="I1482:L1482">
    <cfRule type="cellIs" dxfId="8258" priority="8253" stopIfTrue="1" operator="equal">
      <formula>"Pass"</formula>
    </cfRule>
    <cfRule type="cellIs" dxfId="8257" priority="8254" stopIfTrue="1" operator="equal">
      <formula>"Fail"</formula>
    </cfRule>
  </conditionalFormatting>
  <conditionalFormatting sqref="I1482:L1482">
    <cfRule type="cellIs" dxfId="8256" priority="8251" stopIfTrue="1" operator="equal">
      <formula>"Pass"</formula>
    </cfRule>
    <cfRule type="cellIs" dxfId="8255" priority="8252" stopIfTrue="1" operator="equal">
      <formula>"Fail"</formula>
    </cfRule>
  </conditionalFormatting>
  <conditionalFormatting sqref="H1482">
    <cfRule type="cellIs" dxfId="8254" priority="8249" stopIfTrue="1" operator="equal">
      <formula>"Pass"</formula>
    </cfRule>
    <cfRule type="cellIs" dxfId="8253" priority="8250" stopIfTrue="1" operator="equal">
      <formula>"Fail"</formula>
    </cfRule>
  </conditionalFormatting>
  <conditionalFormatting sqref="H1482">
    <cfRule type="cellIs" dxfId="8252" priority="8247" stopIfTrue="1" operator="equal">
      <formula>"Pass"</formula>
    </cfRule>
    <cfRule type="cellIs" dxfId="8251" priority="8248" stopIfTrue="1" operator="equal">
      <formula>"Fail"</formula>
    </cfRule>
  </conditionalFormatting>
  <conditionalFormatting sqref="H1482">
    <cfRule type="cellIs" dxfId="8250" priority="8245" stopIfTrue="1" operator="equal">
      <formula>"Pass"</formula>
    </cfRule>
    <cfRule type="cellIs" dxfId="8249" priority="8246" stopIfTrue="1" operator="equal">
      <formula>"Fail"</formula>
    </cfRule>
  </conditionalFormatting>
  <conditionalFormatting sqref="I1482:L1482">
    <cfRule type="cellIs" dxfId="8248" priority="8243" stopIfTrue="1" operator="equal">
      <formula>"Pass"</formula>
    </cfRule>
    <cfRule type="cellIs" dxfId="8247" priority="8244" stopIfTrue="1" operator="equal">
      <formula>"Fail"</formula>
    </cfRule>
  </conditionalFormatting>
  <conditionalFormatting sqref="I1482:L1482">
    <cfRule type="cellIs" dxfId="8246" priority="8241" stopIfTrue="1" operator="equal">
      <formula>"Pass"</formula>
    </cfRule>
    <cfRule type="cellIs" dxfId="8245" priority="8242" stopIfTrue="1" operator="equal">
      <formula>"Fail"</formula>
    </cfRule>
  </conditionalFormatting>
  <conditionalFormatting sqref="I1482:L1482">
    <cfRule type="cellIs" dxfId="8244" priority="8239" stopIfTrue="1" operator="equal">
      <formula>"Pass"</formula>
    </cfRule>
    <cfRule type="cellIs" dxfId="8243" priority="8240" stopIfTrue="1" operator="equal">
      <formula>"Fail"</formula>
    </cfRule>
  </conditionalFormatting>
  <conditionalFormatting sqref="I1482:L1482">
    <cfRule type="cellIs" dxfId="8242" priority="8237" stopIfTrue="1" operator="equal">
      <formula>"Pass"</formula>
    </cfRule>
    <cfRule type="cellIs" dxfId="8241" priority="8238" stopIfTrue="1" operator="equal">
      <formula>"Fail"</formula>
    </cfRule>
  </conditionalFormatting>
  <conditionalFormatting sqref="I1482:L1482">
    <cfRule type="cellIs" dxfId="8240" priority="8235" stopIfTrue="1" operator="equal">
      <formula>"Pass"</formula>
    </cfRule>
    <cfRule type="cellIs" dxfId="8239" priority="8236" stopIfTrue="1" operator="equal">
      <formula>"Fail"</formula>
    </cfRule>
  </conditionalFormatting>
  <conditionalFormatting sqref="I1482:L1482">
    <cfRule type="cellIs" dxfId="8238" priority="8233" stopIfTrue="1" operator="equal">
      <formula>"Pass"</formula>
    </cfRule>
    <cfRule type="cellIs" dxfId="8237" priority="8234" stopIfTrue="1" operator="equal">
      <formula>"Fail"</formula>
    </cfRule>
  </conditionalFormatting>
  <conditionalFormatting sqref="J1482:L1482">
    <cfRule type="cellIs" dxfId="8236" priority="8231" stopIfTrue="1" operator="equal">
      <formula>"Pass"</formula>
    </cfRule>
    <cfRule type="cellIs" dxfId="8235" priority="8232" stopIfTrue="1" operator="equal">
      <formula>"Fail"</formula>
    </cfRule>
  </conditionalFormatting>
  <conditionalFormatting sqref="I1482">
    <cfRule type="cellIs" dxfId="8234" priority="8229" stopIfTrue="1" operator="equal">
      <formula>"Pass"</formula>
    </cfRule>
    <cfRule type="cellIs" dxfId="8233" priority="8230" stopIfTrue="1" operator="equal">
      <formula>"Fail"</formula>
    </cfRule>
  </conditionalFormatting>
  <conditionalFormatting sqref="I1482:L1482">
    <cfRule type="cellIs" dxfId="8232" priority="8227" stopIfTrue="1" operator="equal">
      <formula>"Pass"</formula>
    </cfRule>
    <cfRule type="cellIs" dxfId="8231" priority="8228" stopIfTrue="1" operator="equal">
      <formula>"Fail"</formula>
    </cfRule>
  </conditionalFormatting>
  <conditionalFormatting sqref="J1482:L1482">
    <cfRule type="cellIs" dxfId="8230" priority="8225" stopIfTrue="1" operator="equal">
      <formula>"Pass"</formula>
    </cfRule>
    <cfRule type="cellIs" dxfId="8229" priority="8226" stopIfTrue="1" operator="equal">
      <formula>"Fail"</formula>
    </cfRule>
  </conditionalFormatting>
  <conditionalFormatting sqref="I1482">
    <cfRule type="cellIs" dxfId="8228" priority="8223" stopIfTrue="1" operator="equal">
      <formula>"Pass"</formula>
    </cfRule>
    <cfRule type="cellIs" dxfId="8227" priority="8224" stopIfTrue="1" operator="equal">
      <formula>"Fail"</formula>
    </cfRule>
  </conditionalFormatting>
  <conditionalFormatting sqref="I1482:L1482">
    <cfRule type="cellIs" dxfId="8226" priority="8221" stopIfTrue="1" operator="equal">
      <formula>"Pass"</formula>
    </cfRule>
    <cfRule type="cellIs" dxfId="8225" priority="8222" stopIfTrue="1" operator="equal">
      <formula>"Fail"</formula>
    </cfRule>
  </conditionalFormatting>
  <conditionalFormatting sqref="J1482:L1482">
    <cfRule type="cellIs" dxfId="8224" priority="8219" stopIfTrue="1" operator="equal">
      <formula>"Pass"</formula>
    </cfRule>
    <cfRule type="cellIs" dxfId="8223" priority="8220" stopIfTrue="1" operator="equal">
      <formula>"Fail"</formula>
    </cfRule>
  </conditionalFormatting>
  <conditionalFormatting sqref="I1482">
    <cfRule type="cellIs" dxfId="8222" priority="8217" stopIfTrue="1" operator="equal">
      <formula>"Pass"</formula>
    </cfRule>
    <cfRule type="cellIs" dxfId="8221" priority="8218" stopIfTrue="1" operator="equal">
      <formula>"Fail"</formula>
    </cfRule>
  </conditionalFormatting>
  <conditionalFormatting sqref="I1482:L1482">
    <cfRule type="cellIs" dxfId="8220" priority="8215" stopIfTrue="1" operator="equal">
      <formula>"Pass"</formula>
    </cfRule>
    <cfRule type="cellIs" dxfId="8219" priority="8216" stopIfTrue="1" operator="equal">
      <formula>"Fail"</formula>
    </cfRule>
  </conditionalFormatting>
  <conditionalFormatting sqref="J1482:L1482">
    <cfRule type="cellIs" dxfId="8218" priority="8213" stopIfTrue="1" operator="equal">
      <formula>"Pass"</formula>
    </cfRule>
    <cfRule type="cellIs" dxfId="8217" priority="8214" stopIfTrue="1" operator="equal">
      <formula>"Fail"</formula>
    </cfRule>
  </conditionalFormatting>
  <conditionalFormatting sqref="I1482">
    <cfRule type="cellIs" dxfId="8216" priority="8211" stopIfTrue="1" operator="equal">
      <formula>"Pass"</formula>
    </cfRule>
    <cfRule type="cellIs" dxfId="8215" priority="8212" stopIfTrue="1" operator="equal">
      <formula>"Fail"</formula>
    </cfRule>
  </conditionalFormatting>
  <conditionalFormatting sqref="I1482:L1482">
    <cfRule type="cellIs" dxfId="8214" priority="8209" stopIfTrue="1" operator="equal">
      <formula>"Pass"</formula>
    </cfRule>
    <cfRule type="cellIs" dxfId="8213" priority="8210" stopIfTrue="1" operator="equal">
      <formula>"Fail"</formula>
    </cfRule>
  </conditionalFormatting>
  <conditionalFormatting sqref="I1482:L1482">
    <cfRule type="cellIs" dxfId="8212" priority="8207" stopIfTrue="1" operator="equal">
      <formula>"Pass"</formula>
    </cfRule>
    <cfRule type="cellIs" dxfId="8211" priority="8208" stopIfTrue="1" operator="equal">
      <formula>"Fail"</formula>
    </cfRule>
  </conditionalFormatting>
  <conditionalFormatting sqref="I1482">
    <cfRule type="cellIs" dxfId="8210" priority="8205" stopIfTrue="1" operator="equal">
      <formula>"Pass"</formula>
    </cfRule>
    <cfRule type="cellIs" dxfId="8209" priority="8206" stopIfTrue="1" operator="equal">
      <formula>"Fail"</formula>
    </cfRule>
  </conditionalFormatting>
  <conditionalFormatting sqref="I1482">
    <cfRule type="cellIs" dxfId="8208" priority="8203" stopIfTrue="1" operator="equal">
      <formula>"Pass"</formula>
    </cfRule>
    <cfRule type="cellIs" dxfId="8207" priority="8204" stopIfTrue="1" operator="equal">
      <formula>"Fail"</formula>
    </cfRule>
  </conditionalFormatting>
  <conditionalFormatting sqref="H1482:L1482">
    <cfRule type="cellIs" dxfId="8206" priority="8201" stopIfTrue="1" operator="equal">
      <formula>"Pass"</formula>
    </cfRule>
    <cfRule type="cellIs" dxfId="8205" priority="8202" stopIfTrue="1" operator="equal">
      <formula>"Fail"</formula>
    </cfRule>
  </conditionalFormatting>
  <conditionalFormatting sqref="H1482:L1482">
    <cfRule type="cellIs" dxfId="8204" priority="8199" stopIfTrue="1" operator="equal">
      <formula>"Pass"</formula>
    </cfRule>
    <cfRule type="cellIs" dxfId="8203" priority="8200" stopIfTrue="1" operator="equal">
      <formula>"Fail"</formula>
    </cfRule>
  </conditionalFormatting>
  <conditionalFormatting sqref="H1482:L1482">
    <cfRule type="cellIs" dxfId="8202" priority="8197" stopIfTrue="1" operator="equal">
      <formula>"Pass"</formula>
    </cfRule>
    <cfRule type="cellIs" dxfId="8201" priority="8198" stopIfTrue="1" operator="equal">
      <formula>"Fail"</formula>
    </cfRule>
  </conditionalFormatting>
  <conditionalFormatting sqref="H1482:L1482">
    <cfRule type="cellIs" dxfId="8200" priority="8195" stopIfTrue="1" operator="equal">
      <formula>"Pass"</formula>
    </cfRule>
    <cfRule type="cellIs" dxfId="8199" priority="8196" stopIfTrue="1" operator="equal">
      <formula>"Fail"</formula>
    </cfRule>
  </conditionalFormatting>
  <conditionalFormatting sqref="H1482:L1482">
    <cfRule type="cellIs" dxfId="8198" priority="8193" stopIfTrue="1" operator="equal">
      <formula>"Pass"</formula>
    </cfRule>
    <cfRule type="cellIs" dxfId="8197" priority="8194" stopIfTrue="1" operator="equal">
      <formula>"Fail"</formula>
    </cfRule>
  </conditionalFormatting>
  <conditionalFormatting sqref="J1482:L1482">
    <cfRule type="cellIs" dxfId="8196" priority="8191" stopIfTrue="1" operator="equal">
      <formula>"Pass"</formula>
    </cfRule>
    <cfRule type="cellIs" dxfId="8195" priority="8192" stopIfTrue="1" operator="equal">
      <formula>"Fail"</formula>
    </cfRule>
  </conditionalFormatting>
  <conditionalFormatting sqref="I1482">
    <cfRule type="cellIs" dxfId="8194" priority="8189" stopIfTrue="1" operator="equal">
      <formula>"Pass"</formula>
    </cfRule>
    <cfRule type="cellIs" dxfId="8193" priority="8190" stopIfTrue="1" operator="equal">
      <formula>"Fail"</formula>
    </cfRule>
  </conditionalFormatting>
  <conditionalFormatting sqref="I1482:L1482">
    <cfRule type="cellIs" dxfId="8192" priority="8187" stopIfTrue="1" operator="equal">
      <formula>"Pass"</formula>
    </cfRule>
    <cfRule type="cellIs" dxfId="8191" priority="8188" stopIfTrue="1" operator="equal">
      <formula>"Fail"</formula>
    </cfRule>
  </conditionalFormatting>
  <conditionalFormatting sqref="J1482:L1482">
    <cfRule type="cellIs" dxfId="8190" priority="8185" stopIfTrue="1" operator="equal">
      <formula>"Pass"</formula>
    </cfRule>
    <cfRule type="cellIs" dxfId="8189" priority="8186" stopIfTrue="1" operator="equal">
      <formula>"Fail"</formula>
    </cfRule>
  </conditionalFormatting>
  <conditionalFormatting sqref="I1482">
    <cfRule type="cellIs" dxfId="8188" priority="8183" stopIfTrue="1" operator="equal">
      <formula>"Pass"</formula>
    </cfRule>
    <cfRule type="cellIs" dxfId="8187" priority="8184" stopIfTrue="1" operator="equal">
      <formula>"Fail"</formula>
    </cfRule>
  </conditionalFormatting>
  <conditionalFormatting sqref="I1482:L1482">
    <cfRule type="cellIs" dxfId="8186" priority="8181" stopIfTrue="1" operator="equal">
      <formula>"Pass"</formula>
    </cfRule>
    <cfRule type="cellIs" dxfId="8185" priority="8182" stopIfTrue="1" operator="equal">
      <formula>"Fail"</formula>
    </cfRule>
  </conditionalFormatting>
  <conditionalFormatting sqref="J1482:L1482">
    <cfRule type="cellIs" dxfId="8184" priority="8179" stopIfTrue="1" operator="equal">
      <formula>"Pass"</formula>
    </cfRule>
    <cfRule type="cellIs" dxfId="8183" priority="8180" stopIfTrue="1" operator="equal">
      <formula>"Fail"</formula>
    </cfRule>
  </conditionalFormatting>
  <conditionalFormatting sqref="I1482">
    <cfRule type="cellIs" dxfId="8182" priority="8177" stopIfTrue="1" operator="equal">
      <formula>"Pass"</formula>
    </cfRule>
    <cfRule type="cellIs" dxfId="8181" priority="8178" stopIfTrue="1" operator="equal">
      <formula>"Fail"</formula>
    </cfRule>
  </conditionalFormatting>
  <conditionalFormatting sqref="I1482:L1482">
    <cfRule type="cellIs" dxfId="8180" priority="8175" stopIfTrue="1" operator="equal">
      <formula>"Pass"</formula>
    </cfRule>
    <cfRule type="cellIs" dxfId="8179" priority="8176" stopIfTrue="1" operator="equal">
      <formula>"Fail"</formula>
    </cfRule>
  </conditionalFormatting>
  <conditionalFormatting sqref="J1482:L1482">
    <cfRule type="cellIs" dxfId="8178" priority="8173" stopIfTrue="1" operator="equal">
      <formula>"Pass"</formula>
    </cfRule>
    <cfRule type="cellIs" dxfId="8177" priority="8174" stopIfTrue="1" operator="equal">
      <formula>"Fail"</formula>
    </cfRule>
  </conditionalFormatting>
  <conditionalFormatting sqref="I1482">
    <cfRule type="cellIs" dxfId="8176" priority="8171" stopIfTrue="1" operator="equal">
      <formula>"Pass"</formula>
    </cfRule>
    <cfRule type="cellIs" dxfId="8175" priority="8172" stopIfTrue="1" operator="equal">
      <formula>"Fail"</formula>
    </cfRule>
  </conditionalFormatting>
  <conditionalFormatting sqref="I1482:L1482">
    <cfRule type="cellIs" dxfId="8174" priority="8169" stopIfTrue="1" operator="equal">
      <formula>"Pass"</formula>
    </cfRule>
    <cfRule type="cellIs" dxfId="8173" priority="8170" stopIfTrue="1" operator="equal">
      <formula>"Fail"</formula>
    </cfRule>
  </conditionalFormatting>
  <conditionalFormatting sqref="J1482:L1482">
    <cfRule type="cellIs" dxfId="8172" priority="8167" stopIfTrue="1" operator="equal">
      <formula>"Pass"</formula>
    </cfRule>
    <cfRule type="cellIs" dxfId="8171" priority="8168" stopIfTrue="1" operator="equal">
      <formula>"Fail"</formula>
    </cfRule>
  </conditionalFormatting>
  <conditionalFormatting sqref="I1482">
    <cfRule type="cellIs" dxfId="8170" priority="8165" stopIfTrue="1" operator="equal">
      <formula>"Pass"</formula>
    </cfRule>
    <cfRule type="cellIs" dxfId="8169" priority="8166" stopIfTrue="1" operator="equal">
      <formula>"Fail"</formula>
    </cfRule>
  </conditionalFormatting>
  <conditionalFormatting sqref="I1482:L1482">
    <cfRule type="cellIs" dxfId="8168" priority="8163" stopIfTrue="1" operator="equal">
      <formula>"Pass"</formula>
    </cfRule>
    <cfRule type="cellIs" dxfId="8167" priority="8164" stopIfTrue="1" operator="equal">
      <formula>"Fail"</formula>
    </cfRule>
  </conditionalFormatting>
  <conditionalFormatting sqref="J1482:L1482">
    <cfRule type="cellIs" dxfId="8166" priority="8161" stopIfTrue="1" operator="equal">
      <formula>"Pass"</formula>
    </cfRule>
    <cfRule type="cellIs" dxfId="8165" priority="8162" stopIfTrue="1" operator="equal">
      <formula>"Fail"</formula>
    </cfRule>
  </conditionalFormatting>
  <conditionalFormatting sqref="I1482">
    <cfRule type="cellIs" dxfId="8164" priority="8159" stopIfTrue="1" operator="equal">
      <formula>"Pass"</formula>
    </cfRule>
    <cfRule type="cellIs" dxfId="8163" priority="8160" stopIfTrue="1" operator="equal">
      <formula>"Fail"</formula>
    </cfRule>
  </conditionalFormatting>
  <conditionalFormatting sqref="I1482:L1482">
    <cfRule type="cellIs" dxfId="8162" priority="8157" stopIfTrue="1" operator="equal">
      <formula>"Pass"</formula>
    </cfRule>
    <cfRule type="cellIs" dxfId="8161" priority="8158" stopIfTrue="1" operator="equal">
      <formula>"Fail"</formula>
    </cfRule>
  </conditionalFormatting>
  <conditionalFormatting sqref="J1482:L1482">
    <cfRule type="cellIs" dxfId="8160" priority="8155" stopIfTrue="1" operator="equal">
      <formula>"Pass"</formula>
    </cfRule>
    <cfRule type="cellIs" dxfId="8159" priority="8156" stopIfTrue="1" operator="equal">
      <formula>"Fail"</formula>
    </cfRule>
  </conditionalFormatting>
  <conditionalFormatting sqref="I1482">
    <cfRule type="cellIs" dxfId="8158" priority="8153" stopIfTrue="1" operator="equal">
      <formula>"Pass"</formula>
    </cfRule>
    <cfRule type="cellIs" dxfId="8157" priority="8154" stopIfTrue="1" operator="equal">
      <formula>"Fail"</formula>
    </cfRule>
  </conditionalFormatting>
  <conditionalFormatting sqref="I1482:L1482">
    <cfRule type="cellIs" dxfId="8156" priority="8151" stopIfTrue="1" operator="equal">
      <formula>"Pass"</formula>
    </cfRule>
    <cfRule type="cellIs" dxfId="8155" priority="8152" stopIfTrue="1" operator="equal">
      <formula>"Fail"</formula>
    </cfRule>
  </conditionalFormatting>
  <conditionalFormatting sqref="J1482:L1482">
    <cfRule type="cellIs" dxfId="8154" priority="8149" stopIfTrue="1" operator="equal">
      <formula>"Pass"</formula>
    </cfRule>
    <cfRule type="cellIs" dxfId="8153" priority="8150" stopIfTrue="1" operator="equal">
      <formula>"Fail"</formula>
    </cfRule>
  </conditionalFormatting>
  <conditionalFormatting sqref="I1482">
    <cfRule type="cellIs" dxfId="8152" priority="8147" stopIfTrue="1" operator="equal">
      <formula>"Pass"</formula>
    </cfRule>
    <cfRule type="cellIs" dxfId="8151" priority="8148" stopIfTrue="1" operator="equal">
      <formula>"Fail"</formula>
    </cfRule>
  </conditionalFormatting>
  <conditionalFormatting sqref="I1482:L1482">
    <cfRule type="cellIs" dxfId="8150" priority="8145" stopIfTrue="1" operator="equal">
      <formula>"Pass"</formula>
    </cfRule>
    <cfRule type="cellIs" dxfId="8149" priority="8146" stopIfTrue="1" operator="equal">
      <formula>"Fail"</formula>
    </cfRule>
  </conditionalFormatting>
  <conditionalFormatting sqref="J1482:L1482">
    <cfRule type="cellIs" dxfId="8148" priority="8143" stopIfTrue="1" operator="equal">
      <formula>"Pass"</formula>
    </cfRule>
    <cfRule type="cellIs" dxfId="8147" priority="8144" stopIfTrue="1" operator="equal">
      <formula>"Fail"</formula>
    </cfRule>
  </conditionalFormatting>
  <conditionalFormatting sqref="I1482">
    <cfRule type="cellIs" dxfId="8146" priority="8141" stopIfTrue="1" operator="equal">
      <formula>"Pass"</formula>
    </cfRule>
    <cfRule type="cellIs" dxfId="8145" priority="8142" stopIfTrue="1" operator="equal">
      <formula>"Fail"</formula>
    </cfRule>
  </conditionalFormatting>
  <conditionalFormatting sqref="I1482:L1482">
    <cfRule type="cellIs" dxfId="8144" priority="8139" stopIfTrue="1" operator="equal">
      <formula>"Pass"</formula>
    </cfRule>
    <cfRule type="cellIs" dxfId="8143" priority="8140" stopIfTrue="1" operator="equal">
      <formula>"Fail"</formula>
    </cfRule>
  </conditionalFormatting>
  <conditionalFormatting sqref="J1482:L1482">
    <cfRule type="cellIs" dxfId="8142" priority="8137" stopIfTrue="1" operator="equal">
      <formula>"Pass"</formula>
    </cfRule>
    <cfRule type="cellIs" dxfId="8141" priority="8138" stopIfTrue="1" operator="equal">
      <formula>"Fail"</formula>
    </cfRule>
  </conditionalFormatting>
  <conditionalFormatting sqref="I1482">
    <cfRule type="cellIs" dxfId="8140" priority="8135" stopIfTrue="1" operator="equal">
      <formula>"Pass"</formula>
    </cfRule>
    <cfRule type="cellIs" dxfId="8139" priority="8136" stopIfTrue="1" operator="equal">
      <formula>"Fail"</formula>
    </cfRule>
  </conditionalFormatting>
  <conditionalFormatting sqref="I1482:L1482">
    <cfRule type="cellIs" dxfId="8138" priority="8133" stopIfTrue="1" operator="equal">
      <formula>"Pass"</formula>
    </cfRule>
    <cfRule type="cellIs" dxfId="8137" priority="8134" stopIfTrue="1" operator="equal">
      <formula>"Fail"</formula>
    </cfRule>
  </conditionalFormatting>
  <conditionalFormatting sqref="J1482:L1482">
    <cfRule type="cellIs" dxfId="8136" priority="8131" stopIfTrue="1" operator="equal">
      <formula>"Pass"</formula>
    </cfRule>
    <cfRule type="cellIs" dxfId="8135" priority="8132" stopIfTrue="1" operator="equal">
      <formula>"Fail"</formula>
    </cfRule>
  </conditionalFormatting>
  <conditionalFormatting sqref="I1482">
    <cfRule type="cellIs" dxfId="8134" priority="8129" stopIfTrue="1" operator="equal">
      <formula>"Pass"</formula>
    </cfRule>
    <cfRule type="cellIs" dxfId="8133" priority="8130" stopIfTrue="1" operator="equal">
      <formula>"Fail"</formula>
    </cfRule>
  </conditionalFormatting>
  <conditionalFormatting sqref="I1482:L1482">
    <cfRule type="cellIs" dxfId="8132" priority="8127" stopIfTrue="1" operator="equal">
      <formula>"Pass"</formula>
    </cfRule>
    <cfRule type="cellIs" dxfId="8131" priority="8128" stopIfTrue="1" operator="equal">
      <formula>"Fail"</formula>
    </cfRule>
  </conditionalFormatting>
  <conditionalFormatting sqref="J1482:L1482">
    <cfRule type="cellIs" dxfId="8130" priority="8125" stopIfTrue="1" operator="equal">
      <formula>"Pass"</formula>
    </cfRule>
    <cfRule type="cellIs" dxfId="8129" priority="8126" stopIfTrue="1" operator="equal">
      <formula>"Fail"</formula>
    </cfRule>
  </conditionalFormatting>
  <conditionalFormatting sqref="I1482">
    <cfRule type="cellIs" dxfId="8128" priority="8123" stopIfTrue="1" operator="equal">
      <formula>"Pass"</formula>
    </cfRule>
    <cfRule type="cellIs" dxfId="8127" priority="8124" stopIfTrue="1" operator="equal">
      <formula>"Fail"</formula>
    </cfRule>
  </conditionalFormatting>
  <conditionalFormatting sqref="I1482:L1482">
    <cfRule type="cellIs" dxfId="8126" priority="8121" stopIfTrue="1" operator="equal">
      <formula>"Pass"</formula>
    </cfRule>
    <cfRule type="cellIs" dxfId="8125" priority="8122" stopIfTrue="1" operator="equal">
      <formula>"Fail"</formula>
    </cfRule>
  </conditionalFormatting>
  <conditionalFormatting sqref="J1482:L1482">
    <cfRule type="cellIs" dxfId="8124" priority="8119" stopIfTrue="1" operator="equal">
      <formula>"Pass"</formula>
    </cfRule>
    <cfRule type="cellIs" dxfId="8123" priority="8120" stopIfTrue="1" operator="equal">
      <formula>"Fail"</formula>
    </cfRule>
  </conditionalFormatting>
  <conditionalFormatting sqref="I1482">
    <cfRule type="cellIs" dxfId="8122" priority="8117" stopIfTrue="1" operator="equal">
      <formula>"Pass"</formula>
    </cfRule>
    <cfRule type="cellIs" dxfId="8121" priority="8118" stopIfTrue="1" operator="equal">
      <formula>"Fail"</formula>
    </cfRule>
  </conditionalFormatting>
  <conditionalFormatting sqref="I1482:L1482">
    <cfRule type="cellIs" dxfId="8120" priority="8115" stopIfTrue="1" operator="equal">
      <formula>"Pass"</formula>
    </cfRule>
    <cfRule type="cellIs" dxfId="8119" priority="8116" stopIfTrue="1" operator="equal">
      <formula>"Fail"</formula>
    </cfRule>
  </conditionalFormatting>
  <conditionalFormatting sqref="J1482:L1482">
    <cfRule type="cellIs" dxfId="8118" priority="8113" stopIfTrue="1" operator="equal">
      <formula>"Pass"</formula>
    </cfRule>
    <cfRule type="cellIs" dxfId="8117" priority="8114" stopIfTrue="1" operator="equal">
      <formula>"Fail"</formula>
    </cfRule>
  </conditionalFormatting>
  <conditionalFormatting sqref="I1482">
    <cfRule type="cellIs" dxfId="8116" priority="8111" stopIfTrue="1" operator="equal">
      <formula>"Pass"</formula>
    </cfRule>
    <cfRule type="cellIs" dxfId="8115" priority="8112" stopIfTrue="1" operator="equal">
      <formula>"Fail"</formula>
    </cfRule>
  </conditionalFormatting>
  <conditionalFormatting sqref="I1482:L1482">
    <cfRule type="cellIs" dxfId="8114" priority="8109" stopIfTrue="1" operator="equal">
      <formula>"Pass"</formula>
    </cfRule>
    <cfRule type="cellIs" dxfId="8113" priority="8110" stopIfTrue="1" operator="equal">
      <formula>"Fail"</formula>
    </cfRule>
  </conditionalFormatting>
  <conditionalFormatting sqref="J1482:L1482">
    <cfRule type="cellIs" dxfId="8112" priority="8107" stopIfTrue="1" operator="equal">
      <formula>"Pass"</formula>
    </cfRule>
    <cfRule type="cellIs" dxfId="8111" priority="8108" stopIfTrue="1" operator="equal">
      <formula>"Fail"</formula>
    </cfRule>
  </conditionalFormatting>
  <conditionalFormatting sqref="I1482">
    <cfRule type="cellIs" dxfId="8110" priority="8105" stopIfTrue="1" operator="equal">
      <formula>"Pass"</formula>
    </cfRule>
    <cfRule type="cellIs" dxfId="8109" priority="8106" stopIfTrue="1" operator="equal">
      <formula>"Fail"</formula>
    </cfRule>
  </conditionalFormatting>
  <conditionalFormatting sqref="I1482:L1482">
    <cfRule type="cellIs" dxfId="8108" priority="8103" stopIfTrue="1" operator="equal">
      <formula>"Pass"</formula>
    </cfRule>
    <cfRule type="cellIs" dxfId="8107" priority="8104" stopIfTrue="1" operator="equal">
      <formula>"Fail"</formula>
    </cfRule>
  </conditionalFormatting>
  <conditionalFormatting sqref="J1482:L1482">
    <cfRule type="cellIs" dxfId="8106" priority="8101" stopIfTrue="1" operator="equal">
      <formula>"Pass"</formula>
    </cfRule>
    <cfRule type="cellIs" dxfId="8105" priority="8102" stopIfTrue="1" operator="equal">
      <formula>"Fail"</formula>
    </cfRule>
  </conditionalFormatting>
  <conditionalFormatting sqref="I1482">
    <cfRule type="cellIs" dxfId="8104" priority="8099" stopIfTrue="1" operator="equal">
      <formula>"Pass"</formula>
    </cfRule>
    <cfRule type="cellIs" dxfId="8103" priority="8100" stopIfTrue="1" operator="equal">
      <formula>"Fail"</formula>
    </cfRule>
  </conditionalFormatting>
  <conditionalFormatting sqref="I1482:L1482">
    <cfRule type="cellIs" dxfId="8102" priority="8097" stopIfTrue="1" operator="equal">
      <formula>"Pass"</formula>
    </cfRule>
    <cfRule type="cellIs" dxfId="8101" priority="8098" stopIfTrue="1" operator="equal">
      <formula>"Fail"</formula>
    </cfRule>
  </conditionalFormatting>
  <conditionalFormatting sqref="J1482:L1482">
    <cfRule type="cellIs" dxfId="8100" priority="8095" stopIfTrue="1" operator="equal">
      <formula>"Pass"</formula>
    </cfRule>
    <cfRule type="cellIs" dxfId="8099" priority="8096" stopIfTrue="1" operator="equal">
      <formula>"Fail"</formula>
    </cfRule>
  </conditionalFormatting>
  <conditionalFormatting sqref="I1482">
    <cfRule type="cellIs" dxfId="8098" priority="8093" stopIfTrue="1" operator="equal">
      <formula>"Pass"</formula>
    </cfRule>
    <cfRule type="cellIs" dxfId="8097" priority="8094" stopIfTrue="1" operator="equal">
      <formula>"Fail"</formula>
    </cfRule>
  </conditionalFormatting>
  <conditionalFormatting sqref="I1482:L1482">
    <cfRule type="cellIs" dxfId="8096" priority="8091" stopIfTrue="1" operator="equal">
      <formula>"Pass"</formula>
    </cfRule>
    <cfRule type="cellIs" dxfId="8095" priority="8092" stopIfTrue="1" operator="equal">
      <formula>"Fail"</formula>
    </cfRule>
  </conditionalFormatting>
  <conditionalFormatting sqref="J1482:L1482">
    <cfRule type="cellIs" dxfId="8094" priority="8089" stopIfTrue="1" operator="equal">
      <formula>"Pass"</formula>
    </cfRule>
    <cfRule type="cellIs" dxfId="8093" priority="8090" stopIfTrue="1" operator="equal">
      <formula>"Fail"</formula>
    </cfRule>
  </conditionalFormatting>
  <conditionalFormatting sqref="I1482">
    <cfRule type="cellIs" dxfId="8092" priority="8087" stopIfTrue="1" operator="equal">
      <formula>"Pass"</formula>
    </cfRule>
    <cfRule type="cellIs" dxfId="8091" priority="8088" stopIfTrue="1" operator="equal">
      <formula>"Fail"</formula>
    </cfRule>
  </conditionalFormatting>
  <conditionalFormatting sqref="I1482:L1482">
    <cfRule type="cellIs" dxfId="8090" priority="8085" stopIfTrue="1" operator="equal">
      <formula>"Pass"</formula>
    </cfRule>
    <cfRule type="cellIs" dxfId="8089" priority="8086" stopIfTrue="1" operator="equal">
      <formula>"Fail"</formula>
    </cfRule>
  </conditionalFormatting>
  <conditionalFormatting sqref="J1482:L1482">
    <cfRule type="cellIs" dxfId="8088" priority="8083" stopIfTrue="1" operator="equal">
      <formula>"Pass"</formula>
    </cfRule>
    <cfRule type="cellIs" dxfId="8087" priority="8084" stopIfTrue="1" operator="equal">
      <formula>"Fail"</formula>
    </cfRule>
  </conditionalFormatting>
  <conditionalFormatting sqref="I1482">
    <cfRule type="cellIs" dxfId="8086" priority="8081" stopIfTrue="1" operator="equal">
      <formula>"Pass"</formula>
    </cfRule>
    <cfRule type="cellIs" dxfId="8085" priority="8082" stopIfTrue="1" operator="equal">
      <formula>"Fail"</formula>
    </cfRule>
  </conditionalFormatting>
  <conditionalFormatting sqref="I1482:L1482">
    <cfRule type="cellIs" dxfId="8084" priority="8079" stopIfTrue="1" operator="equal">
      <formula>"Pass"</formula>
    </cfRule>
    <cfRule type="cellIs" dxfId="8083" priority="8080" stopIfTrue="1" operator="equal">
      <formula>"Fail"</formula>
    </cfRule>
  </conditionalFormatting>
  <conditionalFormatting sqref="J1482:L1482">
    <cfRule type="cellIs" dxfId="8082" priority="8077" stopIfTrue="1" operator="equal">
      <formula>"Pass"</formula>
    </cfRule>
    <cfRule type="cellIs" dxfId="8081" priority="8078" stopIfTrue="1" operator="equal">
      <formula>"Fail"</formula>
    </cfRule>
  </conditionalFormatting>
  <conditionalFormatting sqref="I1482">
    <cfRule type="cellIs" dxfId="8080" priority="8075" stopIfTrue="1" operator="equal">
      <formula>"Pass"</formula>
    </cfRule>
    <cfRule type="cellIs" dxfId="8079" priority="8076" stopIfTrue="1" operator="equal">
      <formula>"Fail"</formula>
    </cfRule>
  </conditionalFormatting>
  <conditionalFormatting sqref="I1482:L1482">
    <cfRule type="cellIs" dxfId="8078" priority="8073" stopIfTrue="1" operator="equal">
      <formula>"Pass"</formula>
    </cfRule>
    <cfRule type="cellIs" dxfId="8077" priority="8074" stopIfTrue="1" operator="equal">
      <formula>"Fail"</formula>
    </cfRule>
  </conditionalFormatting>
  <conditionalFormatting sqref="J1482:L1482">
    <cfRule type="cellIs" dxfId="8076" priority="8071" stopIfTrue="1" operator="equal">
      <formula>"Pass"</formula>
    </cfRule>
    <cfRule type="cellIs" dxfId="8075" priority="8072" stopIfTrue="1" operator="equal">
      <formula>"Fail"</formula>
    </cfRule>
  </conditionalFormatting>
  <conditionalFormatting sqref="I1482">
    <cfRule type="cellIs" dxfId="8074" priority="8069" stopIfTrue="1" operator="equal">
      <formula>"Pass"</formula>
    </cfRule>
    <cfRule type="cellIs" dxfId="8073" priority="8070" stopIfTrue="1" operator="equal">
      <formula>"Fail"</formula>
    </cfRule>
  </conditionalFormatting>
  <conditionalFormatting sqref="I1482:L1482">
    <cfRule type="cellIs" dxfId="8072" priority="8067" stopIfTrue="1" operator="equal">
      <formula>"Pass"</formula>
    </cfRule>
    <cfRule type="cellIs" dxfId="8071" priority="8068" stopIfTrue="1" operator="equal">
      <formula>"Fail"</formula>
    </cfRule>
  </conditionalFormatting>
  <conditionalFormatting sqref="J1482:L1482">
    <cfRule type="cellIs" dxfId="8070" priority="8065" stopIfTrue="1" operator="equal">
      <formula>"Pass"</formula>
    </cfRule>
    <cfRule type="cellIs" dxfId="8069" priority="8066" stopIfTrue="1" operator="equal">
      <formula>"Fail"</formula>
    </cfRule>
  </conditionalFormatting>
  <conditionalFormatting sqref="I1482">
    <cfRule type="cellIs" dxfId="8068" priority="8063" stopIfTrue="1" operator="equal">
      <formula>"Pass"</formula>
    </cfRule>
    <cfRule type="cellIs" dxfId="8067" priority="8064" stopIfTrue="1" operator="equal">
      <formula>"Fail"</formula>
    </cfRule>
  </conditionalFormatting>
  <conditionalFormatting sqref="I1482:L1482">
    <cfRule type="cellIs" dxfId="8066" priority="8061" stopIfTrue="1" operator="equal">
      <formula>"Pass"</formula>
    </cfRule>
    <cfRule type="cellIs" dxfId="8065" priority="8062" stopIfTrue="1" operator="equal">
      <formula>"Fail"</formula>
    </cfRule>
  </conditionalFormatting>
  <conditionalFormatting sqref="J1482:L1482">
    <cfRule type="cellIs" dxfId="8064" priority="8059" stopIfTrue="1" operator="equal">
      <formula>"Pass"</formula>
    </cfRule>
    <cfRule type="cellIs" dxfId="8063" priority="8060" stopIfTrue="1" operator="equal">
      <formula>"Fail"</formula>
    </cfRule>
  </conditionalFormatting>
  <conditionalFormatting sqref="I1482">
    <cfRule type="cellIs" dxfId="8062" priority="8057" stopIfTrue="1" operator="equal">
      <formula>"Pass"</formula>
    </cfRule>
    <cfRule type="cellIs" dxfId="8061" priority="8058" stopIfTrue="1" operator="equal">
      <formula>"Fail"</formula>
    </cfRule>
  </conditionalFormatting>
  <conditionalFormatting sqref="I1482:L1482">
    <cfRule type="cellIs" dxfId="8060" priority="8055" stopIfTrue="1" operator="equal">
      <formula>"Pass"</formula>
    </cfRule>
    <cfRule type="cellIs" dxfId="8059" priority="8056" stopIfTrue="1" operator="equal">
      <formula>"Fail"</formula>
    </cfRule>
  </conditionalFormatting>
  <conditionalFormatting sqref="J1482:L1482">
    <cfRule type="cellIs" dxfId="8058" priority="8053" stopIfTrue="1" operator="equal">
      <formula>"Pass"</formula>
    </cfRule>
    <cfRule type="cellIs" dxfId="8057" priority="8054" stopIfTrue="1" operator="equal">
      <formula>"Fail"</formula>
    </cfRule>
  </conditionalFormatting>
  <conditionalFormatting sqref="I1482">
    <cfRule type="cellIs" dxfId="8056" priority="8051" stopIfTrue="1" operator="equal">
      <formula>"Pass"</formula>
    </cfRule>
    <cfRule type="cellIs" dxfId="8055" priority="8052" stopIfTrue="1" operator="equal">
      <formula>"Fail"</formula>
    </cfRule>
  </conditionalFormatting>
  <conditionalFormatting sqref="I1482:L1482">
    <cfRule type="cellIs" dxfId="8054" priority="8049" stopIfTrue="1" operator="equal">
      <formula>"Pass"</formula>
    </cfRule>
    <cfRule type="cellIs" dxfId="8053" priority="8050" stopIfTrue="1" operator="equal">
      <formula>"Fail"</formula>
    </cfRule>
  </conditionalFormatting>
  <conditionalFormatting sqref="I1482:L1482">
    <cfRule type="cellIs" dxfId="8052" priority="8047" stopIfTrue="1" operator="equal">
      <formula>"Pass"</formula>
    </cfRule>
    <cfRule type="cellIs" dxfId="8051" priority="8048" stopIfTrue="1" operator="equal">
      <formula>"Fail"</formula>
    </cfRule>
  </conditionalFormatting>
  <conditionalFormatting sqref="J1482:L1482">
    <cfRule type="cellIs" dxfId="8050" priority="8045" stopIfTrue="1" operator="equal">
      <formula>"Pass"</formula>
    </cfRule>
    <cfRule type="cellIs" dxfId="8049" priority="8046" stopIfTrue="1" operator="equal">
      <formula>"Fail"</formula>
    </cfRule>
  </conditionalFormatting>
  <conditionalFormatting sqref="I1482">
    <cfRule type="cellIs" dxfId="8048" priority="8043" stopIfTrue="1" operator="equal">
      <formula>"Pass"</formula>
    </cfRule>
    <cfRule type="cellIs" dxfId="8047" priority="8044" stopIfTrue="1" operator="equal">
      <formula>"Fail"</formula>
    </cfRule>
  </conditionalFormatting>
  <conditionalFormatting sqref="I1482:L1482">
    <cfRule type="cellIs" dxfId="8046" priority="8041" stopIfTrue="1" operator="equal">
      <formula>"Pass"</formula>
    </cfRule>
    <cfRule type="cellIs" dxfId="8045" priority="8042" stopIfTrue="1" operator="equal">
      <formula>"Fail"</formula>
    </cfRule>
  </conditionalFormatting>
  <conditionalFormatting sqref="J1482:L1482">
    <cfRule type="cellIs" dxfId="8044" priority="8039" stopIfTrue="1" operator="equal">
      <formula>"Pass"</formula>
    </cfRule>
    <cfRule type="cellIs" dxfId="8043" priority="8040" stopIfTrue="1" operator="equal">
      <formula>"Fail"</formula>
    </cfRule>
  </conditionalFormatting>
  <conditionalFormatting sqref="I1482">
    <cfRule type="cellIs" dxfId="8042" priority="8037" stopIfTrue="1" operator="equal">
      <formula>"Pass"</formula>
    </cfRule>
    <cfRule type="cellIs" dxfId="8041" priority="8038" stopIfTrue="1" operator="equal">
      <formula>"Fail"</formula>
    </cfRule>
  </conditionalFormatting>
  <conditionalFormatting sqref="I1482:L1482">
    <cfRule type="cellIs" dxfId="8040" priority="8035" stopIfTrue="1" operator="equal">
      <formula>"Pass"</formula>
    </cfRule>
    <cfRule type="cellIs" dxfId="8039" priority="8036" stopIfTrue="1" operator="equal">
      <formula>"Fail"</formula>
    </cfRule>
  </conditionalFormatting>
  <conditionalFormatting sqref="I1482:L1482">
    <cfRule type="cellIs" dxfId="8038" priority="8033" stopIfTrue="1" operator="equal">
      <formula>"Pass"</formula>
    </cfRule>
    <cfRule type="cellIs" dxfId="8037" priority="8034" stopIfTrue="1" operator="equal">
      <formula>"Fail"</formula>
    </cfRule>
  </conditionalFormatting>
  <conditionalFormatting sqref="J1482:L1482">
    <cfRule type="cellIs" dxfId="8036" priority="8031" stopIfTrue="1" operator="equal">
      <formula>"Pass"</formula>
    </cfRule>
    <cfRule type="cellIs" dxfId="8035" priority="8032" stopIfTrue="1" operator="equal">
      <formula>"Fail"</formula>
    </cfRule>
  </conditionalFormatting>
  <conditionalFormatting sqref="I1482">
    <cfRule type="cellIs" dxfId="8034" priority="8029" stopIfTrue="1" operator="equal">
      <formula>"Pass"</formula>
    </cfRule>
    <cfRule type="cellIs" dxfId="8033" priority="8030" stopIfTrue="1" operator="equal">
      <formula>"Fail"</formula>
    </cfRule>
  </conditionalFormatting>
  <conditionalFormatting sqref="I1482:L1482">
    <cfRule type="cellIs" dxfId="8032" priority="8027" stopIfTrue="1" operator="equal">
      <formula>"Pass"</formula>
    </cfRule>
    <cfRule type="cellIs" dxfId="8031" priority="8028" stopIfTrue="1" operator="equal">
      <formula>"Fail"</formula>
    </cfRule>
  </conditionalFormatting>
  <conditionalFormatting sqref="J1482:L1482">
    <cfRule type="cellIs" dxfId="8030" priority="8025" stopIfTrue="1" operator="equal">
      <formula>"Pass"</formula>
    </cfRule>
    <cfRule type="cellIs" dxfId="8029" priority="8026" stopIfTrue="1" operator="equal">
      <formula>"Fail"</formula>
    </cfRule>
  </conditionalFormatting>
  <conditionalFormatting sqref="I1482">
    <cfRule type="cellIs" dxfId="8028" priority="8023" stopIfTrue="1" operator="equal">
      <formula>"Pass"</formula>
    </cfRule>
    <cfRule type="cellIs" dxfId="8027" priority="8024" stopIfTrue="1" operator="equal">
      <formula>"Fail"</formula>
    </cfRule>
  </conditionalFormatting>
  <conditionalFormatting sqref="I1482:L1482">
    <cfRule type="cellIs" dxfId="8026" priority="8021" stopIfTrue="1" operator="equal">
      <formula>"Pass"</formula>
    </cfRule>
    <cfRule type="cellIs" dxfId="8025" priority="8022" stopIfTrue="1" operator="equal">
      <formula>"Fail"</formula>
    </cfRule>
  </conditionalFormatting>
  <conditionalFormatting sqref="I1482:L1482">
    <cfRule type="cellIs" dxfId="8024" priority="8019" stopIfTrue="1" operator="equal">
      <formula>"Pass"</formula>
    </cfRule>
    <cfRule type="cellIs" dxfId="8023" priority="8020" stopIfTrue="1" operator="equal">
      <formula>"Fail"</formula>
    </cfRule>
  </conditionalFormatting>
  <conditionalFormatting sqref="J1482:L1482">
    <cfRule type="cellIs" dxfId="8022" priority="8017" stopIfTrue="1" operator="equal">
      <formula>"Pass"</formula>
    </cfRule>
    <cfRule type="cellIs" dxfId="8021" priority="8018" stopIfTrue="1" operator="equal">
      <formula>"Fail"</formula>
    </cfRule>
  </conditionalFormatting>
  <conditionalFormatting sqref="I1482">
    <cfRule type="cellIs" dxfId="8020" priority="8015" stopIfTrue="1" operator="equal">
      <formula>"Pass"</formula>
    </cfRule>
    <cfRule type="cellIs" dxfId="8019" priority="8016" stopIfTrue="1" operator="equal">
      <formula>"Fail"</formula>
    </cfRule>
  </conditionalFormatting>
  <conditionalFormatting sqref="I1482:L1482">
    <cfRule type="cellIs" dxfId="8018" priority="8013" stopIfTrue="1" operator="equal">
      <formula>"Pass"</formula>
    </cfRule>
    <cfRule type="cellIs" dxfId="8017" priority="8014" stopIfTrue="1" operator="equal">
      <formula>"Fail"</formula>
    </cfRule>
  </conditionalFormatting>
  <conditionalFormatting sqref="J1482:L1482">
    <cfRule type="cellIs" dxfId="8016" priority="8011" stopIfTrue="1" operator="equal">
      <formula>"Pass"</formula>
    </cfRule>
    <cfRule type="cellIs" dxfId="8015" priority="8012" stopIfTrue="1" operator="equal">
      <formula>"Fail"</formula>
    </cfRule>
  </conditionalFormatting>
  <conditionalFormatting sqref="I1482">
    <cfRule type="cellIs" dxfId="8014" priority="8009" stopIfTrue="1" operator="equal">
      <formula>"Pass"</formula>
    </cfRule>
    <cfRule type="cellIs" dxfId="8013" priority="8010" stopIfTrue="1" operator="equal">
      <formula>"Fail"</formula>
    </cfRule>
  </conditionalFormatting>
  <conditionalFormatting sqref="I1482:L1482">
    <cfRule type="cellIs" dxfId="8012" priority="8007" stopIfTrue="1" operator="equal">
      <formula>"Pass"</formula>
    </cfRule>
    <cfRule type="cellIs" dxfId="8011" priority="8008" stopIfTrue="1" operator="equal">
      <formula>"Fail"</formula>
    </cfRule>
  </conditionalFormatting>
  <conditionalFormatting sqref="I1482:L1482">
    <cfRule type="cellIs" dxfId="8010" priority="8005" stopIfTrue="1" operator="equal">
      <formula>"Pass"</formula>
    </cfRule>
    <cfRule type="cellIs" dxfId="8009" priority="8006" stopIfTrue="1" operator="equal">
      <formula>"Fail"</formula>
    </cfRule>
  </conditionalFormatting>
  <conditionalFormatting sqref="J1482:L1482">
    <cfRule type="cellIs" dxfId="8008" priority="8003" stopIfTrue="1" operator="equal">
      <formula>"Pass"</formula>
    </cfRule>
    <cfRule type="cellIs" dxfId="8007" priority="8004" stopIfTrue="1" operator="equal">
      <formula>"Fail"</formula>
    </cfRule>
  </conditionalFormatting>
  <conditionalFormatting sqref="I1482">
    <cfRule type="cellIs" dxfId="8006" priority="8001" stopIfTrue="1" operator="equal">
      <formula>"Pass"</formula>
    </cfRule>
    <cfRule type="cellIs" dxfId="8005" priority="8002" stopIfTrue="1" operator="equal">
      <formula>"Fail"</formula>
    </cfRule>
  </conditionalFormatting>
  <conditionalFormatting sqref="I1482:L1482">
    <cfRule type="cellIs" dxfId="8004" priority="7999" stopIfTrue="1" operator="equal">
      <formula>"Pass"</formula>
    </cfRule>
    <cfRule type="cellIs" dxfId="8003" priority="8000" stopIfTrue="1" operator="equal">
      <formula>"Fail"</formula>
    </cfRule>
  </conditionalFormatting>
  <conditionalFormatting sqref="J1482:L1482">
    <cfRule type="cellIs" dxfId="8002" priority="7997" stopIfTrue="1" operator="equal">
      <formula>"Pass"</formula>
    </cfRule>
    <cfRule type="cellIs" dxfId="8001" priority="7998" stopIfTrue="1" operator="equal">
      <formula>"Fail"</formula>
    </cfRule>
  </conditionalFormatting>
  <conditionalFormatting sqref="I1482">
    <cfRule type="cellIs" dxfId="8000" priority="7995" stopIfTrue="1" operator="equal">
      <formula>"Pass"</formula>
    </cfRule>
    <cfRule type="cellIs" dxfId="7999" priority="7996" stopIfTrue="1" operator="equal">
      <formula>"Fail"</formula>
    </cfRule>
  </conditionalFormatting>
  <conditionalFormatting sqref="I1482:L1482">
    <cfRule type="cellIs" dxfId="7998" priority="7993" stopIfTrue="1" operator="equal">
      <formula>"Pass"</formula>
    </cfRule>
    <cfRule type="cellIs" dxfId="7997" priority="7994" stopIfTrue="1" operator="equal">
      <formula>"Fail"</formula>
    </cfRule>
  </conditionalFormatting>
  <conditionalFormatting sqref="I1482:L1482">
    <cfRule type="cellIs" dxfId="7996" priority="7991" stopIfTrue="1" operator="equal">
      <formula>"Pass"</formula>
    </cfRule>
    <cfRule type="cellIs" dxfId="7995" priority="7992" stopIfTrue="1" operator="equal">
      <formula>"Fail"</formula>
    </cfRule>
  </conditionalFormatting>
  <conditionalFormatting sqref="J1482:L1482">
    <cfRule type="cellIs" dxfId="7994" priority="7989" stopIfTrue="1" operator="equal">
      <formula>"Pass"</formula>
    </cfRule>
    <cfRule type="cellIs" dxfId="7993" priority="7990" stopIfTrue="1" operator="equal">
      <formula>"Fail"</formula>
    </cfRule>
  </conditionalFormatting>
  <conditionalFormatting sqref="I1482">
    <cfRule type="cellIs" dxfId="7992" priority="7987" stopIfTrue="1" operator="equal">
      <formula>"Pass"</formula>
    </cfRule>
    <cfRule type="cellIs" dxfId="7991" priority="7988" stopIfTrue="1" operator="equal">
      <formula>"Fail"</formula>
    </cfRule>
  </conditionalFormatting>
  <conditionalFormatting sqref="I1482:L1482">
    <cfRule type="cellIs" dxfId="7990" priority="7985" stopIfTrue="1" operator="equal">
      <formula>"Pass"</formula>
    </cfRule>
    <cfRule type="cellIs" dxfId="7989" priority="7986" stopIfTrue="1" operator="equal">
      <formula>"Fail"</formula>
    </cfRule>
  </conditionalFormatting>
  <conditionalFormatting sqref="J1482:L1482">
    <cfRule type="cellIs" dxfId="7988" priority="7983" stopIfTrue="1" operator="equal">
      <formula>"Pass"</formula>
    </cfRule>
    <cfRule type="cellIs" dxfId="7987" priority="7984" stopIfTrue="1" operator="equal">
      <formula>"Fail"</formula>
    </cfRule>
  </conditionalFormatting>
  <conditionalFormatting sqref="I1482">
    <cfRule type="cellIs" dxfId="7986" priority="7981" stopIfTrue="1" operator="equal">
      <formula>"Pass"</formula>
    </cfRule>
    <cfRule type="cellIs" dxfId="7985" priority="7982" stopIfTrue="1" operator="equal">
      <formula>"Fail"</formula>
    </cfRule>
  </conditionalFormatting>
  <conditionalFormatting sqref="I1482:L1482">
    <cfRule type="cellIs" dxfId="7984" priority="7979" stopIfTrue="1" operator="equal">
      <formula>"Pass"</formula>
    </cfRule>
    <cfRule type="cellIs" dxfId="7983" priority="7980" stopIfTrue="1" operator="equal">
      <formula>"Fail"</formula>
    </cfRule>
  </conditionalFormatting>
  <conditionalFormatting sqref="I1482:L1482">
    <cfRule type="cellIs" dxfId="7982" priority="7977" stopIfTrue="1" operator="equal">
      <formula>"Pass"</formula>
    </cfRule>
    <cfRule type="cellIs" dxfId="7981" priority="7978" stopIfTrue="1" operator="equal">
      <formula>"Fail"</formula>
    </cfRule>
  </conditionalFormatting>
  <conditionalFormatting sqref="I1482:L1482">
    <cfRule type="cellIs" dxfId="7980" priority="7975" stopIfTrue="1" operator="equal">
      <formula>"Pass"</formula>
    </cfRule>
    <cfRule type="cellIs" dxfId="7979" priority="7976" stopIfTrue="1" operator="equal">
      <formula>"Fail"</formula>
    </cfRule>
  </conditionalFormatting>
  <conditionalFormatting sqref="J1482:L1482">
    <cfRule type="cellIs" dxfId="7978" priority="7973" stopIfTrue="1" operator="equal">
      <formula>"Pass"</formula>
    </cfRule>
    <cfRule type="cellIs" dxfId="7977" priority="7974" stopIfTrue="1" operator="equal">
      <formula>"Fail"</formula>
    </cfRule>
  </conditionalFormatting>
  <conditionalFormatting sqref="I1482">
    <cfRule type="cellIs" dxfId="7976" priority="7971" stopIfTrue="1" operator="equal">
      <formula>"Pass"</formula>
    </cfRule>
    <cfRule type="cellIs" dxfId="7975" priority="7972" stopIfTrue="1" operator="equal">
      <formula>"Fail"</formula>
    </cfRule>
  </conditionalFormatting>
  <conditionalFormatting sqref="I1482:L1482">
    <cfRule type="cellIs" dxfId="7974" priority="7969" stopIfTrue="1" operator="equal">
      <formula>"Pass"</formula>
    </cfRule>
    <cfRule type="cellIs" dxfId="7973" priority="7970" stopIfTrue="1" operator="equal">
      <formula>"Fail"</formula>
    </cfRule>
  </conditionalFormatting>
  <conditionalFormatting sqref="J1482:L1482">
    <cfRule type="cellIs" dxfId="7972" priority="7967" stopIfTrue="1" operator="equal">
      <formula>"Pass"</formula>
    </cfRule>
    <cfRule type="cellIs" dxfId="7971" priority="7968" stopIfTrue="1" operator="equal">
      <formula>"Fail"</formula>
    </cfRule>
  </conditionalFormatting>
  <conditionalFormatting sqref="I1482">
    <cfRule type="cellIs" dxfId="7970" priority="7965" stopIfTrue="1" operator="equal">
      <formula>"Pass"</formula>
    </cfRule>
    <cfRule type="cellIs" dxfId="7969" priority="7966" stopIfTrue="1" operator="equal">
      <formula>"Fail"</formula>
    </cfRule>
  </conditionalFormatting>
  <conditionalFormatting sqref="I1482:L1482">
    <cfRule type="cellIs" dxfId="7968" priority="7963" stopIfTrue="1" operator="equal">
      <formula>"Pass"</formula>
    </cfRule>
    <cfRule type="cellIs" dxfId="7967" priority="7964" stopIfTrue="1" operator="equal">
      <formula>"Fail"</formula>
    </cfRule>
  </conditionalFormatting>
  <conditionalFormatting sqref="I1482:L1482">
    <cfRule type="cellIs" dxfId="7966" priority="7961" stopIfTrue="1" operator="equal">
      <formula>"Pass"</formula>
    </cfRule>
    <cfRule type="cellIs" dxfId="7965" priority="7962" stopIfTrue="1" operator="equal">
      <formula>"Fail"</formula>
    </cfRule>
  </conditionalFormatting>
  <conditionalFormatting sqref="I1482:L1482">
    <cfRule type="cellIs" dxfId="7964" priority="7959" stopIfTrue="1" operator="equal">
      <formula>"Pass"</formula>
    </cfRule>
    <cfRule type="cellIs" dxfId="7963" priority="7960" stopIfTrue="1" operator="equal">
      <formula>"Fail"</formula>
    </cfRule>
  </conditionalFormatting>
  <conditionalFormatting sqref="J1482:L1482">
    <cfRule type="cellIs" dxfId="7962" priority="7957" stopIfTrue="1" operator="equal">
      <formula>"Pass"</formula>
    </cfRule>
    <cfRule type="cellIs" dxfId="7961" priority="7958" stopIfTrue="1" operator="equal">
      <formula>"Fail"</formula>
    </cfRule>
  </conditionalFormatting>
  <conditionalFormatting sqref="I1482">
    <cfRule type="cellIs" dxfId="7960" priority="7955" stopIfTrue="1" operator="equal">
      <formula>"Pass"</formula>
    </cfRule>
    <cfRule type="cellIs" dxfId="7959" priority="7956" stopIfTrue="1" operator="equal">
      <formula>"Fail"</formula>
    </cfRule>
  </conditionalFormatting>
  <conditionalFormatting sqref="I1482:L1482">
    <cfRule type="cellIs" dxfId="7958" priority="7953" stopIfTrue="1" operator="equal">
      <formula>"Pass"</formula>
    </cfRule>
    <cfRule type="cellIs" dxfId="7957" priority="7954" stopIfTrue="1" operator="equal">
      <formula>"Fail"</formula>
    </cfRule>
  </conditionalFormatting>
  <conditionalFormatting sqref="J1482:L1482">
    <cfRule type="cellIs" dxfId="7956" priority="7951" stopIfTrue="1" operator="equal">
      <formula>"Pass"</formula>
    </cfRule>
    <cfRule type="cellIs" dxfId="7955" priority="7952" stopIfTrue="1" operator="equal">
      <formula>"Fail"</formula>
    </cfRule>
  </conditionalFormatting>
  <conditionalFormatting sqref="I1482">
    <cfRule type="cellIs" dxfId="7954" priority="7949" stopIfTrue="1" operator="equal">
      <formula>"Pass"</formula>
    </cfRule>
    <cfRule type="cellIs" dxfId="7953" priority="7950" stopIfTrue="1" operator="equal">
      <formula>"Fail"</formula>
    </cfRule>
  </conditionalFormatting>
  <conditionalFormatting sqref="I1482:L1482">
    <cfRule type="cellIs" dxfId="7952" priority="7947" stopIfTrue="1" operator="equal">
      <formula>"Pass"</formula>
    </cfRule>
    <cfRule type="cellIs" dxfId="7951" priority="7948" stopIfTrue="1" operator="equal">
      <formula>"Fail"</formula>
    </cfRule>
  </conditionalFormatting>
  <conditionalFormatting sqref="I1482:L1482">
    <cfRule type="cellIs" dxfId="7950" priority="7945" stopIfTrue="1" operator="equal">
      <formula>"Pass"</formula>
    </cfRule>
    <cfRule type="cellIs" dxfId="7949" priority="7946" stopIfTrue="1" operator="equal">
      <formula>"Fail"</formula>
    </cfRule>
  </conditionalFormatting>
  <conditionalFormatting sqref="I1482:L1482">
    <cfRule type="cellIs" dxfId="7948" priority="7943" stopIfTrue="1" operator="equal">
      <formula>"Pass"</formula>
    </cfRule>
    <cfRule type="cellIs" dxfId="7947" priority="7944" stopIfTrue="1" operator="equal">
      <formula>"Fail"</formula>
    </cfRule>
  </conditionalFormatting>
  <conditionalFormatting sqref="J1482:L1482">
    <cfRule type="cellIs" dxfId="7946" priority="7941" stopIfTrue="1" operator="equal">
      <formula>"Pass"</formula>
    </cfRule>
    <cfRule type="cellIs" dxfId="7945" priority="7942" stopIfTrue="1" operator="equal">
      <formula>"Fail"</formula>
    </cfRule>
  </conditionalFormatting>
  <conditionalFormatting sqref="I1482">
    <cfRule type="cellIs" dxfId="7944" priority="7939" stopIfTrue="1" operator="equal">
      <formula>"Pass"</formula>
    </cfRule>
    <cfRule type="cellIs" dxfId="7943" priority="7940" stopIfTrue="1" operator="equal">
      <formula>"Fail"</formula>
    </cfRule>
  </conditionalFormatting>
  <conditionalFormatting sqref="I1482:L1482">
    <cfRule type="cellIs" dxfId="7942" priority="7937" stopIfTrue="1" operator="equal">
      <formula>"Pass"</formula>
    </cfRule>
    <cfRule type="cellIs" dxfId="7941" priority="7938" stopIfTrue="1" operator="equal">
      <formula>"Fail"</formula>
    </cfRule>
  </conditionalFormatting>
  <conditionalFormatting sqref="J1482:L1482">
    <cfRule type="cellIs" dxfId="7940" priority="7935" stopIfTrue="1" operator="equal">
      <formula>"Pass"</formula>
    </cfRule>
    <cfRule type="cellIs" dxfId="7939" priority="7936" stopIfTrue="1" operator="equal">
      <formula>"Fail"</formula>
    </cfRule>
  </conditionalFormatting>
  <conditionalFormatting sqref="I1482">
    <cfRule type="cellIs" dxfId="7938" priority="7933" stopIfTrue="1" operator="equal">
      <formula>"Pass"</formula>
    </cfRule>
    <cfRule type="cellIs" dxfId="7937" priority="7934" stopIfTrue="1" operator="equal">
      <formula>"Fail"</formula>
    </cfRule>
  </conditionalFormatting>
  <conditionalFormatting sqref="I1482:L1482">
    <cfRule type="cellIs" dxfId="7936" priority="7931" stopIfTrue="1" operator="equal">
      <formula>"Pass"</formula>
    </cfRule>
    <cfRule type="cellIs" dxfId="7935" priority="7932" stopIfTrue="1" operator="equal">
      <formula>"Fail"</formula>
    </cfRule>
  </conditionalFormatting>
  <conditionalFormatting sqref="H1482">
    <cfRule type="cellIs" dxfId="7934" priority="7929" stopIfTrue="1" operator="equal">
      <formula>"Pass"</formula>
    </cfRule>
    <cfRule type="cellIs" dxfId="7933" priority="7930" stopIfTrue="1" operator="equal">
      <formula>"Fail"</formula>
    </cfRule>
  </conditionalFormatting>
  <conditionalFormatting sqref="H1482">
    <cfRule type="cellIs" dxfId="7932" priority="7927" stopIfTrue="1" operator="equal">
      <formula>"Pass"</formula>
    </cfRule>
    <cfRule type="cellIs" dxfId="7931" priority="7928" stopIfTrue="1" operator="equal">
      <formula>"Fail"</formula>
    </cfRule>
  </conditionalFormatting>
  <conditionalFormatting sqref="H1482">
    <cfRule type="cellIs" dxfId="7930" priority="7925" stopIfTrue="1" operator="equal">
      <formula>"Pass"</formula>
    </cfRule>
    <cfRule type="cellIs" dxfId="7929" priority="7926" stopIfTrue="1" operator="equal">
      <formula>"Fail"</formula>
    </cfRule>
  </conditionalFormatting>
  <conditionalFormatting sqref="I1482:L1482">
    <cfRule type="cellIs" dxfId="7928" priority="7923" stopIfTrue="1" operator="equal">
      <formula>"Pass"</formula>
    </cfRule>
    <cfRule type="cellIs" dxfId="7927" priority="7924" stopIfTrue="1" operator="equal">
      <formula>"Fail"</formula>
    </cfRule>
  </conditionalFormatting>
  <conditionalFormatting sqref="I1482:L1482">
    <cfRule type="cellIs" dxfId="7926" priority="7921" stopIfTrue="1" operator="equal">
      <formula>"Pass"</formula>
    </cfRule>
    <cfRule type="cellIs" dxfId="7925" priority="7922" stopIfTrue="1" operator="equal">
      <formula>"Fail"</formula>
    </cfRule>
  </conditionalFormatting>
  <conditionalFormatting sqref="J1482:L1482">
    <cfRule type="cellIs" dxfId="7924" priority="7919" stopIfTrue="1" operator="equal">
      <formula>"Pass"</formula>
    </cfRule>
    <cfRule type="cellIs" dxfId="7923" priority="7920" stopIfTrue="1" operator="equal">
      <formula>"Fail"</formula>
    </cfRule>
  </conditionalFormatting>
  <conditionalFormatting sqref="I1482">
    <cfRule type="cellIs" dxfId="7922" priority="7917" stopIfTrue="1" operator="equal">
      <formula>"Pass"</formula>
    </cfRule>
    <cfRule type="cellIs" dxfId="7921" priority="7918" stopIfTrue="1" operator="equal">
      <formula>"Fail"</formula>
    </cfRule>
  </conditionalFormatting>
  <conditionalFormatting sqref="I1482:L1482">
    <cfRule type="cellIs" dxfId="7920" priority="7915" stopIfTrue="1" operator="equal">
      <formula>"Pass"</formula>
    </cfRule>
    <cfRule type="cellIs" dxfId="7919" priority="7916" stopIfTrue="1" operator="equal">
      <formula>"Fail"</formula>
    </cfRule>
  </conditionalFormatting>
  <conditionalFormatting sqref="J1482:L1482">
    <cfRule type="cellIs" dxfId="7918" priority="7913" stopIfTrue="1" operator="equal">
      <formula>"Pass"</formula>
    </cfRule>
    <cfRule type="cellIs" dxfId="7917" priority="7914" stopIfTrue="1" operator="equal">
      <formula>"Fail"</formula>
    </cfRule>
  </conditionalFormatting>
  <conditionalFormatting sqref="I1482">
    <cfRule type="cellIs" dxfId="7916" priority="7911" stopIfTrue="1" operator="equal">
      <formula>"Pass"</formula>
    </cfRule>
    <cfRule type="cellIs" dxfId="7915" priority="7912" stopIfTrue="1" operator="equal">
      <formula>"Fail"</formula>
    </cfRule>
  </conditionalFormatting>
  <conditionalFormatting sqref="I1482:L1482">
    <cfRule type="cellIs" dxfId="7914" priority="7909" stopIfTrue="1" operator="equal">
      <formula>"Pass"</formula>
    </cfRule>
    <cfRule type="cellIs" dxfId="7913" priority="7910" stopIfTrue="1" operator="equal">
      <formula>"Fail"</formula>
    </cfRule>
  </conditionalFormatting>
  <conditionalFormatting sqref="H1482">
    <cfRule type="cellIs" dxfId="7912" priority="7907" stopIfTrue="1" operator="equal">
      <formula>"Pass"</formula>
    </cfRule>
    <cfRule type="cellIs" dxfId="7911" priority="7908" stopIfTrue="1" operator="equal">
      <formula>"Fail"</formula>
    </cfRule>
  </conditionalFormatting>
  <conditionalFormatting sqref="H1482">
    <cfRule type="cellIs" dxfId="7910" priority="7905" stopIfTrue="1" operator="equal">
      <formula>"Pass"</formula>
    </cfRule>
    <cfRule type="cellIs" dxfId="7909" priority="7906" stopIfTrue="1" operator="equal">
      <formula>"Fail"</formula>
    </cfRule>
  </conditionalFormatting>
  <conditionalFormatting sqref="H1482">
    <cfRule type="cellIs" dxfId="7908" priority="7903" stopIfTrue="1" operator="equal">
      <formula>"Pass"</formula>
    </cfRule>
    <cfRule type="cellIs" dxfId="7907" priority="7904" stopIfTrue="1" operator="equal">
      <formula>"Fail"</formula>
    </cfRule>
  </conditionalFormatting>
  <conditionalFormatting sqref="I1482:L1482">
    <cfRule type="cellIs" dxfId="7906" priority="7901" stopIfTrue="1" operator="equal">
      <formula>"Pass"</formula>
    </cfRule>
    <cfRule type="cellIs" dxfId="7905" priority="7902" stopIfTrue="1" operator="equal">
      <formula>"Fail"</formula>
    </cfRule>
  </conditionalFormatting>
  <conditionalFormatting sqref="I1482:L1482">
    <cfRule type="cellIs" dxfId="7904" priority="7899" stopIfTrue="1" operator="equal">
      <formula>"Pass"</formula>
    </cfRule>
    <cfRule type="cellIs" dxfId="7903" priority="7900" stopIfTrue="1" operator="equal">
      <formula>"Fail"</formula>
    </cfRule>
  </conditionalFormatting>
  <conditionalFormatting sqref="J1482:L1482">
    <cfRule type="cellIs" dxfId="7902" priority="7897" stopIfTrue="1" operator="equal">
      <formula>"Pass"</formula>
    </cfRule>
    <cfRule type="cellIs" dxfId="7901" priority="7898" stopIfTrue="1" operator="equal">
      <formula>"Fail"</formula>
    </cfRule>
  </conditionalFormatting>
  <conditionalFormatting sqref="I1482">
    <cfRule type="cellIs" dxfId="7900" priority="7895" stopIfTrue="1" operator="equal">
      <formula>"Pass"</formula>
    </cfRule>
    <cfRule type="cellIs" dxfId="7899" priority="7896" stopIfTrue="1" operator="equal">
      <formula>"Fail"</formula>
    </cfRule>
  </conditionalFormatting>
  <conditionalFormatting sqref="I1482:L1482">
    <cfRule type="cellIs" dxfId="7898" priority="7893" stopIfTrue="1" operator="equal">
      <formula>"Pass"</formula>
    </cfRule>
    <cfRule type="cellIs" dxfId="7897" priority="7894" stopIfTrue="1" operator="equal">
      <formula>"Fail"</formula>
    </cfRule>
  </conditionalFormatting>
  <conditionalFormatting sqref="J1482:L1482">
    <cfRule type="cellIs" dxfId="7896" priority="7891" stopIfTrue="1" operator="equal">
      <formula>"Pass"</formula>
    </cfRule>
    <cfRule type="cellIs" dxfId="7895" priority="7892" stopIfTrue="1" operator="equal">
      <formula>"Fail"</formula>
    </cfRule>
  </conditionalFormatting>
  <conditionalFormatting sqref="I1482">
    <cfRule type="cellIs" dxfId="7894" priority="7889" stopIfTrue="1" operator="equal">
      <formula>"Pass"</formula>
    </cfRule>
    <cfRule type="cellIs" dxfId="7893" priority="7890" stopIfTrue="1" operator="equal">
      <formula>"Fail"</formula>
    </cfRule>
  </conditionalFormatting>
  <conditionalFormatting sqref="I1482:L1482">
    <cfRule type="cellIs" dxfId="7892" priority="7887" stopIfTrue="1" operator="equal">
      <formula>"Pass"</formula>
    </cfRule>
    <cfRule type="cellIs" dxfId="7891" priority="7888" stopIfTrue="1" operator="equal">
      <formula>"Fail"</formula>
    </cfRule>
  </conditionalFormatting>
  <conditionalFormatting sqref="H1482:L1482">
    <cfRule type="cellIs" dxfId="7890" priority="7885" stopIfTrue="1" operator="equal">
      <formula>"Pass"</formula>
    </cfRule>
    <cfRule type="cellIs" dxfId="7889" priority="7886" stopIfTrue="1" operator="equal">
      <formula>"Fail"</formula>
    </cfRule>
  </conditionalFormatting>
  <conditionalFormatting sqref="H1482:L1482">
    <cfRule type="cellIs" dxfId="7888" priority="7883" stopIfTrue="1" operator="equal">
      <formula>"Pass"</formula>
    </cfRule>
    <cfRule type="cellIs" dxfId="7887" priority="7884" stopIfTrue="1" operator="equal">
      <formula>"Fail"</formula>
    </cfRule>
  </conditionalFormatting>
  <conditionalFormatting sqref="H1482:L1482">
    <cfRule type="cellIs" dxfId="7886" priority="7881" stopIfTrue="1" operator="equal">
      <formula>"Pass"</formula>
    </cfRule>
    <cfRule type="cellIs" dxfId="7885" priority="7882" stopIfTrue="1" operator="equal">
      <formula>"Fail"</formula>
    </cfRule>
  </conditionalFormatting>
  <conditionalFormatting sqref="H1482:L1482">
    <cfRule type="cellIs" dxfId="7884" priority="7879" stopIfTrue="1" operator="equal">
      <formula>"Pass"</formula>
    </cfRule>
    <cfRule type="cellIs" dxfId="7883" priority="7880" stopIfTrue="1" operator="equal">
      <formula>"Fail"</formula>
    </cfRule>
  </conditionalFormatting>
  <conditionalFormatting sqref="H1482:L1482">
    <cfRule type="cellIs" dxfId="7882" priority="7877" stopIfTrue="1" operator="equal">
      <formula>"Pass"</formula>
    </cfRule>
    <cfRule type="cellIs" dxfId="7881" priority="7878" stopIfTrue="1" operator="equal">
      <formula>"Fail"</formula>
    </cfRule>
  </conditionalFormatting>
  <conditionalFormatting sqref="H1482:L1482">
    <cfRule type="cellIs" dxfId="7880" priority="7875" stopIfTrue="1" operator="equal">
      <formula>"Pass"</formula>
    </cfRule>
    <cfRule type="cellIs" dxfId="7879" priority="7876" stopIfTrue="1" operator="equal">
      <formula>"Fail"</formula>
    </cfRule>
  </conditionalFormatting>
  <conditionalFormatting sqref="J1482:L1482">
    <cfRule type="cellIs" dxfId="7878" priority="7873" stopIfTrue="1" operator="equal">
      <formula>"Pass"</formula>
    </cfRule>
    <cfRule type="cellIs" dxfId="7877" priority="7874" stopIfTrue="1" operator="equal">
      <formula>"Fail"</formula>
    </cfRule>
  </conditionalFormatting>
  <conditionalFormatting sqref="I1482">
    <cfRule type="cellIs" dxfId="7876" priority="7871" stopIfTrue="1" operator="equal">
      <formula>"Pass"</formula>
    </cfRule>
    <cfRule type="cellIs" dxfId="7875" priority="7872" stopIfTrue="1" operator="equal">
      <formula>"Fail"</formula>
    </cfRule>
  </conditionalFormatting>
  <conditionalFormatting sqref="I1482:L1482">
    <cfRule type="cellIs" dxfId="7874" priority="7869" stopIfTrue="1" operator="equal">
      <formula>"Pass"</formula>
    </cfRule>
    <cfRule type="cellIs" dxfId="7873" priority="7870" stopIfTrue="1" operator="equal">
      <formula>"Fail"</formula>
    </cfRule>
  </conditionalFormatting>
  <conditionalFormatting sqref="J1482:L1482">
    <cfRule type="cellIs" dxfId="7872" priority="7867" stopIfTrue="1" operator="equal">
      <formula>"Pass"</formula>
    </cfRule>
    <cfRule type="cellIs" dxfId="7871" priority="7868" stopIfTrue="1" operator="equal">
      <formula>"Fail"</formula>
    </cfRule>
  </conditionalFormatting>
  <conditionalFormatting sqref="I1482">
    <cfRule type="cellIs" dxfId="7870" priority="7865" stopIfTrue="1" operator="equal">
      <formula>"Pass"</formula>
    </cfRule>
    <cfRule type="cellIs" dxfId="7869" priority="7866" stopIfTrue="1" operator="equal">
      <formula>"Fail"</formula>
    </cfRule>
  </conditionalFormatting>
  <conditionalFormatting sqref="I1482:L1482">
    <cfRule type="cellIs" dxfId="7868" priority="7863" stopIfTrue="1" operator="equal">
      <formula>"Pass"</formula>
    </cfRule>
    <cfRule type="cellIs" dxfId="7867" priority="7864" stopIfTrue="1" operator="equal">
      <formula>"Fail"</formula>
    </cfRule>
  </conditionalFormatting>
  <conditionalFormatting sqref="J1482:L1482">
    <cfRule type="cellIs" dxfId="7866" priority="7861" stopIfTrue="1" operator="equal">
      <formula>"Pass"</formula>
    </cfRule>
    <cfRule type="cellIs" dxfId="7865" priority="7862" stopIfTrue="1" operator="equal">
      <formula>"Fail"</formula>
    </cfRule>
  </conditionalFormatting>
  <conditionalFormatting sqref="I1482">
    <cfRule type="cellIs" dxfId="7864" priority="7859" stopIfTrue="1" operator="equal">
      <formula>"Pass"</formula>
    </cfRule>
    <cfRule type="cellIs" dxfId="7863" priority="7860" stopIfTrue="1" operator="equal">
      <formula>"Fail"</formula>
    </cfRule>
  </conditionalFormatting>
  <conditionalFormatting sqref="I1482:L1482">
    <cfRule type="cellIs" dxfId="7862" priority="7857" stopIfTrue="1" operator="equal">
      <formula>"Pass"</formula>
    </cfRule>
    <cfRule type="cellIs" dxfId="7861" priority="7858" stopIfTrue="1" operator="equal">
      <formula>"Fail"</formula>
    </cfRule>
  </conditionalFormatting>
  <conditionalFormatting sqref="J1482:L1482">
    <cfRule type="cellIs" dxfId="7860" priority="7855" stopIfTrue="1" operator="equal">
      <formula>"Pass"</formula>
    </cfRule>
    <cfRule type="cellIs" dxfId="7859" priority="7856" stopIfTrue="1" operator="equal">
      <formula>"Fail"</formula>
    </cfRule>
  </conditionalFormatting>
  <conditionalFormatting sqref="I1482">
    <cfRule type="cellIs" dxfId="7858" priority="7853" stopIfTrue="1" operator="equal">
      <formula>"Pass"</formula>
    </cfRule>
    <cfRule type="cellIs" dxfId="7857" priority="7854" stopIfTrue="1" operator="equal">
      <formula>"Fail"</formula>
    </cfRule>
  </conditionalFormatting>
  <conditionalFormatting sqref="I1482:L1482">
    <cfRule type="cellIs" dxfId="7856" priority="7851" stopIfTrue="1" operator="equal">
      <formula>"Pass"</formula>
    </cfRule>
    <cfRule type="cellIs" dxfId="7855" priority="7852" stopIfTrue="1" operator="equal">
      <formula>"Fail"</formula>
    </cfRule>
  </conditionalFormatting>
  <conditionalFormatting sqref="J1482:L1482">
    <cfRule type="cellIs" dxfId="7854" priority="7849" stopIfTrue="1" operator="equal">
      <formula>"Pass"</formula>
    </cfRule>
    <cfRule type="cellIs" dxfId="7853" priority="7850" stopIfTrue="1" operator="equal">
      <formula>"Fail"</formula>
    </cfRule>
  </conditionalFormatting>
  <conditionalFormatting sqref="I1482">
    <cfRule type="cellIs" dxfId="7852" priority="7847" stopIfTrue="1" operator="equal">
      <formula>"Pass"</formula>
    </cfRule>
    <cfRule type="cellIs" dxfId="7851" priority="7848" stopIfTrue="1" operator="equal">
      <formula>"Fail"</formula>
    </cfRule>
  </conditionalFormatting>
  <conditionalFormatting sqref="I1482:L1482">
    <cfRule type="cellIs" dxfId="7850" priority="7845" stopIfTrue="1" operator="equal">
      <formula>"Pass"</formula>
    </cfRule>
    <cfRule type="cellIs" dxfId="7849" priority="7846" stopIfTrue="1" operator="equal">
      <formula>"Fail"</formula>
    </cfRule>
  </conditionalFormatting>
  <conditionalFormatting sqref="J1482:L1482">
    <cfRule type="cellIs" dxfId="7848" priority="7843" stopIfTrue="1" operator="equal">
      <formula>"Pass"</formula>
    </cfRule>
    <cfRule type="cellIs" dxfId="7847" priority="7844" stopIfTrue="1" operator="equal">
      <formula>"Fail"</formula>
    </cfRule>
  </conditionalFormatting>
  <conditionalFormatting sqref="I1482">
    <cfRule type="cellIs" dxfId="7846" priority="7841" stopIfTrue="1" operator="equal">
      <formula>"Pass"</formula>
    </cfRule>
    <cfRule type="cellIs" dxfId="7845" priority="7842" stopIfTrue="1" operator="equal">
      <formula>"Fail"</formula>
    </cfRule>
  </conditionalFormatting>
  <conditionalFormatting sqref="I1482:L1482">
    <cfRule type="cellIs" dxfId="7844" priority="7839" stopIfTrue="1" operator="equal">
      <formula>"Pass"</formula>
    </cfRule>
    <cfRule type="cellIs" dxfId="7843" priority="7840" stopIfTrue="1" operator="equal">
      <formula>"Fail"</formula>
    </cfRule>
  </conditionalFormatting>
  <conditionalFormatting sqref="J1482:L1482">
    <cfRule type="cellIs" dxfId="7842" priority="7837" stopIfTrue="1" operator="equal">
      <formula>"Pass"</formula>
    </cfRule>
    <cfRule type="cellIs" dxfId="7841" priority="7838" stopIfTrue="1" operator="equal">
      <formula>"Fail"</formula>
    </cfRule>
  </conditionalFormatting>
  <conditionalFormatting sqref="I1482">
    <cfRule type="cellIs" dxfId="7840" priority="7835" stopIfTrue="1" operator="equal">
      <formula>"Pass"</formula>
    </cfRule>
    <cfRule type="cellIs" dxfId="7839" priority="7836" stopIfTrue="1" operator="equal">
      <formula>"Fail"</formula>
    </cfRule>
  </conditionalFormatting>
  <conditionalFormatting sqref="I1482:L1482">
    <cfRule type="cellIs" dxfId="7838" priority="7833" stopIfTrue="1" operator="equal">
      <formula>"Pass"</formula>
    </cfRule>
    <cfRule type="cellIs" dxfId="7837" priority="7834" stopIfTrue="1" operator="equal">
      <formula>"Fail"</formula>
    </cfRule>
  </conditionalFormatting>
  <conditionalFormatting sqref="J1482:L1482">
    <cfRule type="cellIs" dxfId="7836" priority="7831" stopIfTrue="1" operator="equal">
      <formula>"Pass"</formula>
    </cfRule>
    <cfRule type="cellIs" dxfId="7835" priority="7832" stopIfTrue="1" operator="equal">
      <formula>"Fail"</formula>
    </cfRule>
  </conditionalFormatting>
  <conditionalFormatting sqref="I1482">
    <cfRule type="cellIs" dxfId="7834" priority="7829" stopIfTrue="1" operator="equal">
      <formula>"Pass"</formula>
    </cfRule>
    <cfRule type="cellIs" dxfId="7833" priority="7830" stopIfTrue="1" operator="equal">
      <formula>"Fail"</formula>
    </cfRule>
  </conditionalFormatting>
  <conditionalFormatting sqref="I1482:L1482">
    <cfRule type="cellIs" dxfId="7832" priority="7827" stopIfTrue="1" operator="equal">
      <formula>"Pass"</formula>
    </cfRule>
    <cfRule type="cellIs" dxfId="7831" priority="7828" stopIfTrue="1" operator="equal">
      <formula>"Fail"</formula>
    </cfRule>
  </conditionalFormatting>
  <conditionalFormatting sqref="J1482:L1482">
    <cfRule type="cellIs" dxfId="7830" priority="7825" stopIfTrue="1" operator="equal">
      <formula>"Pass"</formula>
    </cfRule>
    <cfRule type="cellIs" dxfId="7829" priority="7826" stopIfTrue="1" operator="equal">
      <formula>"Fail"</formula>
    </cfRule>
  </conditionalFormatting>
  <conditionalFormatting sqref="I1482">
    <cfRule type="cellIs" dxfId="7828" priority="7823" stopIfTrue="1" operator="equal">
      <formula>"Pass"</formula>
    </cfRule>
    <cfRule type="cellIs" dxfId="7827" priority="7824" stopIfTrue="1" operator="equal">
      <formula>"Fail"</formula>
    </cfRule>
  </conditionalFormatting>
  <conditionalFormatting sqref="I1482:L1482">
    <cfRule type="cellIs" dxfId="7826" priority="7821" stopIfTrue="1" operator="equal">
      <formula>"Pass"</formula>
    </cfRule>
    <cfRule type="cellIs" dxfId="7825" priority="7822" stopIfTrue="1" operator="equal">
      <formula>"Fail"</formula>
    </cfRule>
  </conditionalFormatting>
  <conditionalFormatting sqref="J1482:L1482">
    <cfRule type="cellIs" dxfId="7824" priority="7819" stopIfTrue="1" operator="equal">
      <formula>"Pass"</formula>
    </cfRule>
    <cfRule type="cellIs" dxfId="7823" priority="7820" stopIfTrue="1" operator="equal">
      <formula>"Fail"</formula>
    </cfRule>
  </conditionalFormatting>
  <conditionalFormatting sqref="I1482">
    <cfRule type="cellIs" dxfId="7822" priority="7817" stopIfTrue="1" operator="equal">
      <formula>"Pass"</formula>
    </cfRule>
    <cfRule type="cellIs" dxfId="7821" priority="7818" stopIfTrue="1" operator="equal">
      <formula>"Fail"</formula>
    </cfRule>
  </conditionalFormatting>
  <conditionalFormatting sqref="I1482:L1482">
    <cfRule type="cellIs" dxfId="7820" priority="7815" stopIfTrue="1" operator="equal">
      <formula>"Pass"</formula>
    </cfRule>
    <cfRule type="cellIs" dxfId="7819" priority="7816" stopIfTrue="1" operator="equal">
      <formula>"Fail"</formula>
    </cfRule>
  </conditionalFormatting>
  <conditionalFormatting sqref="J1482:L1482">
    <cfRule type="cellIs" dxfId="7818" priority="7813" stopIfTrue="1" operator="equal">
      <formula>"Pass"</formula>
    </cfRule>
    <cfRule type="cellIs" dxfId="7817" priority="7814" stopIfTrue="1" operator="equal">
      <formula>"Fail"</formula>
    </cfRule>
  </conditionalFormatting>
  <conditionalFormatting sqref="I1482">
    <cfRule type="cellIs" dxfId="7816" priority="7811" stopIfTrue="1" operator="equal">
      <formula>"Pass"</formula>
    </cfRule>
    <cfRule type="cellIs" dxfId="7815" priority="7812" stopIfTrue="1" operator="equal">
      <formula>"Fail"</formula>
    </cfRule>
  </conditionalFormatting>
  <conditionalFormatting sqref="I1482:L1482">
    <cfRule type="cellIs" dxfId="7814" priority="7809" stopIfTrue="1" operator="equal">
      <formula>"Pass"</formula>
    </cfRule>
    <cfRule type="cellIs" dxfId="7813" priority="7810" stopIfTrue="1" operator="equal">
      <formula>"Fail"</formula>
    </cfRule>
  </conditionalFormatting>
  <conditionalFormatting sqref="J1482:L1482">
    <cfRule type="cellIs" dxfId="7812" priority="7807" stopIfTrue="1" operator="equal">
      <formula>"Pass"</formula>
    </cfRule>
    <cfRule type="cellIs" dxfId="7811" priority="7808" stopIfTrue="1" operator="equal">
      <formula>"Fail"</formula>
    </cfRule>
  </conditionalFormatting>
  <conditionalFormatting sqref="I1482">
    <cfRule type="cellIs" dxfId="7810" priority="7805" stopIfTrue="1" operator="equal">
      <formula>"Pass"</formula>
    </cfRule>
    <cfRule type="cellIs" dxfId="7809" priority="7806" stopIfTrue="1" operator="equal">
      <formula>"Fail"</formula>
    </cfRule>
  </conditionalFormatting>
  <conditionalFormatting sqref="I1482:L1482">
    <cfRule type="cellIs" dxfId="7808" priority="7803" stopIfTrue="1" operator="equal">
      <formula>"Pass"</formula>
    </cfRule>
    <cfRule type="cellIs" dxfId="7807" priority="7804" stopIfTrue="1" operator="equal">
      <formula>"Fail"</formula>
    </cfRule>
  </conditionalFormatting>
  <conditionalFormatting sqref="J1482:L1482">
    <cfRule type="cellIs" dxfId="7806" priority="7801" stopIfTrue="1" operator="equal">
      <formula>"Pass"</formula>
    </cfRule>
    <cfRule type="cellIs" dxfId="7805" priority="7802" stopIfTrue="1" operator="equal">
      <formula>"Fail"</formula>
    </cfRule>
  </conditionalFormatting>
  <conditionalFormatting sqref="I1482">
    <cfRule type="cellIs" dxfId="7804" priority="7799" stopIfTrue="1" operator="equal">
      <formula>"Pass"</formula>
    </cfRule>
    <cfRule type="cellIs" dxfId="7803" priority="7800" stopIfTrue="1" operator="equal">
      <formula>"Fail"</formula>
    </cfRule>
  </conditionalFormatting>
  <conditionalFormatting sqref="I1482:L1482">
    <cfRule type="cellIs" dxfId="7802" priority="7797" stopIfTrue="1" operator="equal">
      <formula>"Pass"</formula>
    </cfRule>
    <cfRule type="cellIs" dxfId="7801" priority="7798" stopIfTrue="1" operator="equal">
      <formula>"Fail"</formula>
    </cfRule>
  </conditionalFormatting>
  <conditionalFormatting sqref="J1482:L1482">
    <cfRule type="cellIs" dxfId="7800" priority="7795" stopIfTrue="1" operator="equal">
      <formula>"Pass"</formula>
    </cfRule>
    <cfRule type="cellIs" dxfId="7799" priority="7796" stopIfTrue="1" operator="equal">
      <formula>"Fail"</formula>
    </cfRule>
  </conditionalFormatting>
  <conditionalFormatting sqref="I1482">
    <cfRule type="cellIs" dxfId="7798" priority="7793" stopIfTrue="1" operator="equal">
      <formula>"Pass"</formula>
    </cfRule>
    <cfRule type="cellIs" dxfId="7797" priority="7794" stopIfTrue="1" operator="equal">
      <formula>"Fail"</formula>
    </cfRule>
  </conditionalFormatting>
  <conditionalFormatting sqref="I1482:L1482">
    <cfRule type="cellIs" dxfId="7796" priority="7791" stopIfTrue="1" operator="equal">
      <formula>"Pass"</formula>
    </cfRule>
    <cfRule type="cellIs" dxfId="7795" priority="7792" stopIfTrue="1" operator="equal">
      <formula>"Fail"</formula>
    </cfRule>
  </conditionalFormatting>
  <conditionalFormatting sqref="J1482:L1482">
    <cfRule type="cellIs" dxfId="7794" priority="7789" stopIfTrue="1" operator="equal">
      <formula>"Pass"</formula>
    </cfRule>
    <cfRule type="cellIs" dxfId="7793" priority="7790" stopIfTrue="1" operator="equal">
      <formula>"Fail"</formula>
    </cfRule>
  </conditionalFormatting>
  <conditionalFormatting sqref="I1482">
    <cfRule type="cellIs" dxfId="7792" priority="7787" stopIfTrue="1" operator="equal">
      <formula>"Pass"</formula>
    </cfRule>
    <cfRule type="cellIs" dxfId="7791" priority="7788" stopIfTrue="1" operator="equal">
      <formula>"Fail"</formula>
    </cfRule>
  </conditionalFormatting>
  <conditionalFormatting sqref="I1482:L1482">
    <cfRule type="cellIs" dxfId="7790" priority="7785" stopIfTrue="1" operator="equal">
      <formula>"Pass"</formula>
    </cfRule>
    <cfRule type="cellIs" dxfId="7789" priority="7786" stopIfTrue="1" operator="equal">
      <formula>"Fail"</formula>
    </cfRule>
  </conditionalFormatting>
  <conditionalFormatting sqref="J1482:L1482">
    <cfRule type="cellIs" dxfId="7788" priority="7783" stopIfTrue="1" operator="equal">
      <formula>"Pass"</formula>
    </cfRule>
    <cfRule type="cellIs" dxfId="7787" priority="7784" stopIfTrue="1" operator="equal">
      <formula>"Fail"</formula>
    </cfRule>
  </conditionalFormatting>
  <conditionalFormatting sqref="I1482">
    <cfRule type="cellIs" dxfId="7786" priority="7781" stopIfTrue="1" operator="equal">
      <formula>"Pass"</formula>
    </cfRule>
    <cfRule type="cellIs" dxfId="7785" priority="7782" stopIfTrue="1" operator="equal">
      <formula>"Fail"</formula>
    </cfRule>
  </conditionalFormatting>
  <conditionalFormatting sqref="I1482:L1482">
    <cfRule type="cellIs" dxfId="7784" priority="7779" stopIfTrue="1" operator="equal">
      <formula>"Pass"</formula>
    </cfRule>
    <cfRule type="cellIs" dxfId="7783" priority="7780" stopIfTrue="1" operator="equal">
      <formula>"Fail"</formula>
    </cfRule>
  </conditionalFormatting>
  <conditionalFormatting sqref="K1482:L1482">
    <cfRule type="cellIs" dxfId="7782" priority="7777" stopIfTrue="1" operator="equal">
      <formula>"Pass"</formula>
    </cfRule>
    <cfRule type="cellIs" dxfId="7781" priority="7778" stopIfTrue="1" operator="equal">
      <formula>"Fail"</formula>
    </cfRule>
  </conditionalFormatting>
  <conditionalFormatting sqref="K1482:L1482">
    <cfRule type="cellIs" dxfId="7780" priority="7775" stopIfTrue="1" operator="equal">
      <formula>"Pass"</formula>
    </cfRule>
    <cfRule type="cellIs" dxfId="7779" priority="7776" stopIfTrue="1" operator="equal">
      <formula>"Fail"</formula>
    </cfRule>
  </conditionalFormatting>
  <conditionalFormatting sqref="K1482:L1482">
    <cfRule type="cellIs" dxfId="7778" priority="7773" stopIfTrue="1" operator="equal">
      <formula>"Pass"</formula>
    </cfRule>
    <cfRule type="cellIs" dxfId="7777" priority="7774" stopIfTrue="1" operator="equal">
      <formula>"Fail"</formula>
    </cfRule>
  </conditionalFormatting>
  <conditionalFormatting sqref="K1482:L1482">
    <cfRule type="cellIs" dxfId="7776" priority="7771" stopIfTrue="1" operator="equal">
      <formula>"Pass"</formula>
    </cfRule>
    <cfRule type="cellIs" dxfId="7775" priority="7772" stopIfTrue="1" operator="equal">
      <formula>"Fail"</formula>
    </cfRule>
  </conditionalFormatting>
  <conditionalFormatting sqref="K1482:L1482">
    <cfRule type="cellIs" dxfId="7774" priority="7769" stopIfTrue="1" operator="equal">
      <formula>"Pass"</formula>
    </cfRule>
    <cfRule type="cellIs" dxfId="7773" priority="7770" stopIfTrue="1" operator="equal">
      <formula>"Fail"</formula>
    </cfRule>
  </conditionalFormatting>
  <conditionalFormatting sqref="K1482:L1482">
    <cfRule type="cellIs" dxfId="7772" priority="7767" stopIfTrue="1" operator="equal">
      <formula>"Pass"</formula>
    </cfRule>
    <cfRule type="cellIs" dxfId="7771" priority="7768" stopIfTrue="1" operator="equal">
      <formula>"Fail"</formula>
    </cfRule>
  </conditionalFormatting>
  <conditionalFormatting sqref="K1482:L1482">
    <cfRule type="cellIs" dxfId="7770" priority="7765" stopIfTrue="1" operator="equal">
      <formula>"Pass"</formula>
    </cfRule>
    <cfRule type="cellIs" dxfId="7769" priority="7766" stopIfTrue="1" operator="equal">
      <formula>"Fail"</formula>
    </cfRule>
  </conditionalFormatting>
  <conditionalFormatting sqref="K1482:L1482">
    <cfRule type="cellIs" dxfId="7768" priority="7763" stopIfTrue="1" operator="equal">
      <formula>"Pass"</formula>
    </cfRule>
    <cfRule type="cellIs" dxfId="7767" priority="7764" stopIfTrue="1" operator="equal">
      <formula>"Fail"</formula>
    </cfRule>
  </conditionalFormatting>
  <conditionalFormatting sqref="J1482:L1482">
    <cfRule type="cellIs" dxfId="7766" priority="7761" stopIfTrue="1" operator="equal">
      <formula>"Pass"</formula>
    </cfRule>
    <cfRule type="cellIs" dxfId="7765" priority="7762" stopIfTrue="1" operator="equal">
      <formula>"Fail"</formula>
    </cfRule>
  </conditionalFormatting>
  <conditionalFormatting sqref="I1482">
    <cfRule type="cellIs" dxfId="7764" priority="7759" stopIfTrue="1" operator="equal">
      <formula>"Pass"</formula>
    </cfRule>
    <cfRule type="cellIs" dxfId="7763" priority="7760" stopIfTrue="1" operator="equal">
      <formula>"Fail"</formula>
    </cfRule>
  </conditionalFormatting>
  <conditionalFormatting sqref="I1482:L1482">
    <cfRule type="cellIs" dxfId="7762" priority="7757" stopIfTrue="1" operator="equal">
      <formula>"Pass"</formula>
    </cfRule>
    <cfRule type="cellIs" dxfId="7761" priority="7758" stopIfTrue="1" operator="equal">
      <formula>"Fail"</formula>
    </cfRule>
  </conditionalFormatting>
  <conditionalFormatting sqref="J1482:L1482">
    <cfRule type="cellIs" dxfId="7760" priority="7755" stopIfTrue="1" operator="equal">
      <formula>"Pass"</formula>
    </cfRule>
    <cfRule type="cellIs" dxfId="7759" priority="7756" stopIfTrue="1" operator="equal">
      <formula>"Fail"</formula>
    </cfRule>
  </conditionalFormatting>
  <conditionalFormatting sqref="I1482">
    <cfRule type="cellIs" dxfId="7758" priority="7753" stopIfTrue="1" operator="equal">
      <formula>"Pass"</formula>
    </cfRule>
    <cfRule type="cellIs" dxfId="7757" priority="7754" stopIfTrue="1" operator="equal">
      <formula>"Fail"</formula>
    </cfRule>
  </conditionalFormatting>
  <conditionalFormatting sqref="I1482:L1482">
    <cfRule type="cellIs" dxfId="7756" priority="7751" stopIfTrue="1" operator="equal">
      <formula>"Pass"</formula>
    </cfRule>
    <cfRule type="cellIs" dxfId="7755" priority="7752" stopIfTrue="1" operator="equal">
      <formula>"Fail"</formula>
    </cfRule>
  </conditionalFormatting>
  <conditionalFormatting sqref="J1482:L1482">
    <cfRule type="cellIs" dxfId="7754" priority="7749" stopIfTrue="1" operator="equal">
      <formula>"Pass"</formula>
    </cfRule>
    <cfRule type="cellIs" dxfId="7753" priority="7750" stopIfTrue="1" operator="equal">
      <formula>"Fail"</formula>
    </cfRule>
  </conditionalFormatting>
  <conditionalFormatting sqref="I1482">
    <cfRule type="cellIs" dxfId="7752" priority="7747" stopIfTrue="1" operator="equal">
      <formula>"Pass"</formula>
    </cfRule>
    <cfRule type="cellIs" dxfId="7751" priority="7748" stopIfTrue="1" operator="equal">
      <formula>"Fail"</formula>
    </cfRule>
  </conditionalFormatting>
  <conditionalFormatting sqref="I1482:L1482">
    <cfRule type="cellIs" dxfId="7750" priority="7745" stopIfTrue="1" operator="equal">
      <formula>"Pass"</formula>
    </cfRule>
    <cfRule type="cellIs" dxfId="7749" priority="7746" stopIfTrue="1" operator="equal">
      <formula>"Fail"</formula>
    </cfRule>
  </conditionalFormatting>
  <conditionalFormatting sqref="J1482:L1482">
    <cfRule type="cellIs" dxfId="7748" priority="7743" stopIfTrue="1" operator="equal">
      <formula>"Pass"</formula>
    </cfRule>
    <cfRule type="cellIs" dxfId="7747" priority="7744" stopIfTrue="1" operator="equal">
      <formula>"Fail"</formula>
    </cfRule>
  </conditionalFormatting>
  <conditionalFormatting sqref="I1482">
    <cfRule type="cellIs" dxfId="7746" priority="7741" stopIfTrue="1" operator="equal">
      <formula>"Pass"</formula>
    </cfRule>
    <cfRule type="cellIs" dxfId="7745" priority="7742" stopIfTrue="1" operator="equal">
      <formula>"Fail"</formula>
    </cfRule>
  </conditionalFormatting>
  <conditionalFormatting sqref="I1482:L1482">
    <cfRule type="cellIs" dxfId="7744" priority="7739" stopIfTrue="1" operator="equal">
      <formula>"Pass"</formula>
    </cfRule>
    <cfRule type="cellIs" dxfId="7743" priority="7740" stopIfTrue="1" operator="equal">
      <formula>"Fail"</formula>
    </cfRule>
  </conditionalFormatting>
  <conditionalFormatting sqref="J1482:L1482">
    <cfRule type="cellIs" dxfId="7742" priority="7737" stopIfTrue="1" operator="equal">
      <formula>"Pass"</formula>
    </cfRule>
    <cfRule type="cellIs" dxfId="7741" priority="7738" stopIfTrue="1" operator="equal">
      <formula>"Fail"</formula>
    </cfRule>
  </conditionalFormatting>
  <conditionalFormatting sqref="I1482">
    <cfRule type="cellIs" dxfId="7740" priority="7735" stopIfTrue="1" operator="equal">
      <formula>"Pass"</formula>
    </cfRule>
    <cfRule type="cellIs" dxfId="7739" priority="7736" stopIfTrue="1" operator="equal">
      <formula>"Fail"</formula>
    </cfRule>
  </conditionalFormatting>
  <conditionalFormatting sqref="I1482:L1482">
    <cfRule type="cellIs" dxfId="7738" priority="7733" stopIfTrue="1" operator="equal">
      <formula>"Pass"</formula>
    </cfRule>
    <cfRule type="cellIs" dxfId="7737" priority="7734" stopIfTrue="1" operator="equal">
      <formula>"Fail"</formula>
    </cfRule>
  </conditionalFormatting>
  <conditionalFormatting sqref="J1482:L1482">
    <cfRule type="cellIs" dxfId="7736" priority="7731" stopIfTrue="1" operator="equal">
      <formula>"Pass"</formula>
    </cfRule>
    <cfRule type="cellIs" dxfId="7735" priority="7732" stopIfTrue="1" operator="equal">
      <formula>"Fail"</formula>
    </cfRule>
  </conditionalFormatting>
  <conditionalFormatting sqref="I1482">
    <cfRule type="cellIs" dxfId="7734" priority="7729" stopIfTrue="1" operator="equal">
      <formula>"Pass"</formula>
    </cfRule>
    <cfRule type="cellIs" dxfId="7733" priority="7730" stopIfTrue="1" operator="equal">
      <formula>"Fail"</formula>
    </cfRule>
  </conditionalFormatting>
  <conditionalFormatting sqref="I1482:L1482">
    <cfRule type="cellIs" dxfId="7732" priority="7727" stopIfTrue="1" operator="equal">
      <formula>"Pass"</formula>
    </cfRule>
    <cfRule type="cellIs" dxfId="7731" priority="7728" stopIfTrue="1" operator="equal">
      <formula>"Fail"</formula>
    </cfRule>
  </conditionalFormatting>
  <conditionalFormatting sqref="J1482:L1482">
    <cfRule type="cellIs" dxfId="7730" priority="7725" stopIfTrue="1" operator="equal">
      <formula>"Pass"</formula>
    </cfRule>
    <cfRule type="cellIs" dxfId="7729" priority="7726" stopIfTrue="1" operator="equal">
      <formula>"Fail"</formula>
    </cfRule>
  </conditionalFormatting>
  <conditionalFormatting sqref="I1482">
    <cfRule type="cellIs" dxfId="7728" priority="7723" stopIfTrue="1" operator="equal">
      <formula>"Pass"</formula>
    </cfRule>
    <cfRule type="cellIs" dxfId="7727" priority="7724" stopIfTrue="1" operator="equal">
      <formula>"Fail"</formula>
    </cfRule>
  </conditionalFormatting>
  <conditionalFormatting sqref="I1482:L1482">
    <cfRule type="cellIs" dxfId="7726" priority="7721" stopIfTrue="1" operator="equal">
      <formula>"Pass"</formula>
    </cfRule>
    <cfRule type="cellIs" dxfId="7725" priority="7722" stopIfTrue="1" operator="equal">
      <formula>"Fail"</formula>
    </cfRule>
  </conditionalFormatting>
  <conditionalFormatting sqref="J1482:L1482">
    <cfRule type="cellIs" dxfId="7724" priority="7719" stopIfTrue="1" operator="equal">
      <formula>"Pass"</formula>
    </cfRule>
    <cfRule type="cellIs" dxfId="7723" priority="7720" stopIfTrue="1" operator="equal">
      <formula>"Fail"</formula>
    </cfRule>
  </conditionalFormatting>
  <conditionalFormatting sqref="I1482">
    <cfRule type="cellIs" dxfId="7722" priority="7717" stopIfTrue="1" operator="equal">
      <formula>"Pass"</formula>
    </cfRule>
    <cfRule type="cellIs" dxfId="7721" priority="7718" stopIfTrue="1" operator="equal">
      <formula>"Fail"</formula>
    </cfRule>
  </conditionalFormatting>
  <conditionalFormatting sqref="I1482:L1482">
    <cfRule type="cellIs" dxfId="7720" priority="7715" stopIfTrue="1" operator="equal">
      <formula>"Pass"</formula>
    </cfRule>
    <cfRule type="cellIs" dxfId="7719" priority="7716" stopIfTrue="1" operator="equal">
      <formula>"Fail"</formula>
    </cfRule>
  </conditionalFormatting>
  <conditionalFormatting sqref="J1482:L1482">
    <cfRule type="cellIs" dxfId="7718" priority="7713" stopIfTrue="1" operator="equal">
      <formula>"Pass"</formula>
    </cfRule>
    <cfRule type="cellIs" dxfId="7717" priority="7714" stopIfTrue="1" operator="equal">
      <formula>"Fail"</formula>
    </cfRule>
  </conditionalFormatting>
  <conditionalFormatting sqref="I1482">
    <cfRule type="cellIs" dxfId="7716" priority="7711" stopIfTrue="1" operator="equal">
      <formula>"Pass"</formula>
    </cfRule>
    <cfRule type="cellIs" dxfId="7715" priority="7712" stopIfTrue="1" operator="equal">
      <formula>"Fail"</formula>
    </cfRule>
  </conditionalFormatting>
  <conditionalFormatting sqref="I1482:L1482">
    <cfRule type="cellIs" dxfId="7714" priority="7709" stopIfTrue="1" operator="equal">
      <formula>"Pass"</formula>
    </cfRule>
    <cfRule type="cellIs" dxfId="7713" priority="7710" stopIfTrue="1" operator="equal">
      <formula>"Fail"</formula>
    </cfRule>
  </conditionalFormatting>
  <conditionalFormatting sqref="J1482:L1482">
    <cfRule type="cellIs" dxfId="7712" priority="7707" stopIfTrue="1" operator="equal">
      <formula>"Pass"</formula>
    </cfRule>
    <cfRule type="cellIs" dxfId="7711" priority="7708" stopIfTrue="1" operator="equal">
      <formula>"Fail"</formula>
    </cfRule>
  </conditionalFormatting>
  <conditionalFormatting sqref="I1482">
    <cfRule type="cellIs" dxfId="7710" priority="7705" stopIfTrue="1" operator="equal">
      <formula>"Pass"</formula>
    </cfRule>
    <cfRule type="cellIs" dxfId="7709" priority="7706" stopIfTrue="1" operator="equal">
      <formula>"Fail"</formula>
    </cfRule>
  </conditionalFormatting>
  <conditionalFormatting sqref="I1482:L1482">
    <cfRule type="cellIs" dxfId="7708" priority="7703" stopIfTrue="1" operator="equal">
      <formula>"Pass"</formula>
    </cfRule>
    <cfRule type="cellIs" dxfId="7707" priority="7704" stopIfTrue="1" operator="equal">
      <formula>"Fail"</formula>
    </cfRule>
  </conditionalFormatting>
  <conditionalFormatting sqref="J1482:L1482">
    <cfRule type="cellIs" dxfId="7706" priority="7701" stopIfTrue="1" operator="equal">
      <formula>"Pass"</formula>
    </cfRule>
    <cfRule type="cellIs" dxfId="7705" priority="7702" stopIfTrue="1" operator="equal">
      <formula>"Fail"</formula>
    </cfRule>
  </conditionalFormatting>
  <conditionalFormatting sqref="I1482">
    <cfRule type="cellIs" dxfId="7704" priority="7699" stopIfTrue="1" operator="equal">
      <formula>"Pass"</formula>
    </cfRule>
    <cfRule type="cellIs" dxfId="7703" priority="7700" stopIfTrue="1" operator="equal">
      <formula>"Fail"</formula>
    </cfRule>
  </conditionalFormatting>
  <conditionalFormatting sqref="I1482:L1482">
    <cfRule type="cellIs" dxfId="7702" priority="7697" stopIfTrue="1" operator="equal">
      <formula>"Pass"</formula>
    </cfRule>
    <cfRule type="cellIs" dxfId="7701" priority="7698" stopIfTrue="1" operator="equal">
      <formula>"Fail"</formula>
    </cfRule>
  </conditionalFormatting>
  <conditionalFormatting sqref="J1482:L1482">
    <cfRule type="cellIs" dxfId="7700" priority="7695" stopIfTrue="1" operator="equal">
      <formula>"Pass"</formula>
    </cfRule>
    <cfRule type="cellIs" dxfId="7699" priority="7696" stopIfTrue="1" operator="equal">
      <formula>"Fail"</formula>
    </cfRule>
  </conditionalFormatting>
  <conditionalFormatting sqref="I1482">
    <cfRule type="cellIs" dxfId="7698" priority="7693" stopIfTrue="1" operator="equal">
      <formula>"Pass"</formula>
    </cfRule>
    <cfRule type="cellIs" dxfId="7697" priority="7694" stopIfTrue="1" operator="equal">
      <formula>"Fail"</formula>
    </cfRule>
  </conditionalFormatting>
  <conditionalFormatting sqref="I1482:L1482">
    <cfRule type="cellIs" dxfId="7696" priority="7691" stopIfTrue="1" operator="equal">
      <formula>"Pass"</formula>
    </cfRule>
    <cfRule type="cellIs" dxfId="7695" priority="7692" stopIfTrue="1" operator="equal">
      <formula>"Fail"</formula>
    </cfRule>
  </conditionalFormatting>
  <conditionalFormatting sqref="I1482:L1482">
    <cfRule type="cellIs" dxfId="7694" priority="7689" stopIfTrue="1" operator="equal">
      <formula>"Pass"</formula>
    </cfRule>
    <cfRule type="cellIs" dxfId="7693" priority="7690" stopIfTrue="1" operator="equal">
      <formula>"Fail"</formula>
    </cfRule>
  </conditionalFormatting>
  <conditionalFormatting sqref="I1482:L1482">
    <cfRule type="cellIs" dxfId="7692" priority="7687" stopIfTrue="1" operator="equal">
      <formula>"Pass"</formula>
    </cfRule>
    <cfRule type="cellIs" dxfId="7691" priority="7688" stopIfTrue="1" operator="equal">
      <formula>"Fail"</formula>
    </cfRule>
  </conditionalFormatting>
  <conditionalFormatting sqref="I1482:L1482">
    <cfRule type="cellIs" dxfId="7690" priority="7685" stopIfTrue="1" operator="equal">
      <formula>"Pass"</formula>
    </cfRule>
    <cfRule type="cellIs" dxfId="7689" priority="7686" stopIfTrue="1" operator="equal">
      <formula>"Fail"</formula>
    </cfRule>
  </conditionalFormatting>
  <conditionalFormatting sqref="J1482:L1482">
    <cfRule type="cellIs" dxfId="7688" priority="7683" stopIfTrue="1" operator="equal">
      <formula>"Pass"</formula>
    </cfRule>
    <cfRule type="cellIs" dxfId="7687" priority="7684" stopIfTrue="1" operator="equal">
      <formula>"Fail"</formula>
    </cfRule>
  </conditionalFormatting>
  <conditionalFormatting sqref="I1482">
    <cfRule type="cellIs" dxfId="7686" priority="7681" stopIfTrue="1" operator="equal">
      <formula>"Pass"</formula>
    </cfRule>
    <cfRule type="cellIs" dxfId="7685" priority="7682" stopIfTrue="1" operator="equal">
      <formula>"Fail"</formula>
    </cfRule>
  </conditionalFormatting>
  <conditionalFormatting sqref="I1482:L1482">
    <cfRule type="cellIs" dxfId="7684" priority="7679" stopIfTrue="1" operator="equal">
      <formula>"Pass"</formula>
    </cfRule>
    <cfRule type="cellIs" dxfId="7683" priority="7680" stopIfTrue="1" operator="equal">
      <formula>"Fail"</formula>
    </cfRule>
  </conditionalFormatting>
  <conditionalFormatting sqref="J1482:L1482">
    <cfRule type="cellIs" dxfId="7682" priority="7677" stopIfTrue="1" operator="equal">
      <formula>"Pass"</formula>
    </cfRule>
    <cfRule type="cellIs" dxfId="7681" priority="7678" stopIfTrue="1" operator="equal">
      <formula>"Fail"</formula>
    </cfRule>
  </conditionalFormatting>
  <conditionalFormatting sqref="I1482">
    <cfRule type="cellIs" dxfId="7680" priority="7675" stopIfTrue="1" operator="equal">
      <formula>"Pass"</formula>
    </cfRule>
    <cfRule type="cellIs" dxfId="7679" priority="7676" stopIfTrue="1" operator="equal">
      <formula>"Fail"</formula>
    </cfRule>
  </conditionalFormatting>
  <conditionalFormatting sqref="I1482:L1482">
    <cfRule type="cellIs" dxfId="7678" priority="7673" stopIfTrue="1" operator="equal">
      <formula>"Pass"</formula>
    </cfRule>
    <cfRule type="cellIs" dxfId="7677" priority="7674" stopIfTrue="1" operator="equal">
      <formula>"Fail"</formula>
    </cfRule>
  </conditionalFormatting>
  <conditionalFormatting sqref="J1482:L1482">
    <cfRule type="cellIs" dxfId="7676" priority="7671" stopIfTrue="1" operator="equal">
      <formula>"Pass"</formula>
    </cfRule>
    <cfRule type="cellIs" dxfId="7675" priority="7672" stopIfTrue="1" operator="equal">
      <formula>"Fail"</formula>
    </cfRule>
  </conditionalFormatting>
  <conditionalFormatting sqref="I1482">
    <cfRule type="cellIs" dxfId="7674" priority="7669" stopIfTrue="1" operator="equal">
      <formula>"Pass"</formula>
    </cfRule>
    <cfRule type="cellIs" dxfId="7673" priority="7670" stopIfTrue="1" operator="equal">
      <formula>"Fail"</formula>
    </cfRule>
  </conditionalFormatting>
  <conditionalFormatting sqref="I1482:L1482">
    <cfRule type="cellIs" dxfId="7672" priority="7667" stopIfTrue="1" operator="equal">
      <formula>"Pass"</formula>
    </cfRule>
    <cfRule type="cellIs" dxfId="7671" priority="7668" stopIfTrue="1" operator="equal">
      <formula>"Fail"</formula>
    </cfRule>
  </conditionalFormatting>
  <conditionalFormatting sqref="J1482:L1482">
    <cfRule type="cellIs" dxfId="7670" priority="7665" stopIfTrue="1" operator="equal">
      <formula>"Pass"</formula>
    </cfRule>
    <cfRule type="cellIs" dxfId="7669" priority="7666" stopIfTrue="1" operator="equal">
      <formula>"Fail"</formula>
    </cfRule>
  </conditionalFormatting>
  <conditionalFormatting sqref="I1482">
    <cfRule type="cellIs" dxfId="7668" priority="7663" stopIfTrue="1" operator="equal">
      <formula>"Pass"</formula>
    </cfRule>
    <cfRule type="cellIs" dxfId="7667" priority="7664" stopIfTrue="1" operator="equal">
      <formula>"Fail"</formula>
    </cfRule>
  </conditionalFormatting>
  <conditionalFormatting sqref="I1482:L1482">
    <cfRule type="cellIs" dxfId="7666" priority="7661" stopIfTrue="1" operator="equal">
      <formula>"Pass"</formula>
    </cfRule>
    <cfRule type="cellIs" dxfId="7665" priority="7662" stopIfTrue="1" operator="equal">
      <formula>"Fail"</formula>
    </cfRule>
  </conditionalFormatting>
  <conditionalFormatting sqref="I1482:L1482">
    <cfRule type="cellIs" dxfId="7664" priority="7659" stopIfTrue="1" operator="equal">
      <formula>"Pass"</formula>
    </cfRule>
    <cfRule type="cellIs" dxfId="7663" priority="7660" stopIfTrue="1" operator="equal">
      <formula>"Fail"</formula>
    </cfRule>
  </conditionalFormatting>
  <conditionalFormatting sqref="I1482:L1482">
    <cfRule type="cellIs" dxfId="7662" priority="7657" stopIfTrue="1" operator="equal">
      <formula>"Pass"</formula>
    </cfRule>
    <cfRule type="cellIs" dxfId="7661" priority="7658" stopIfTrue="1" operator="equal">
      <formula>"Fail"</formula>
    </cfRule>
  </conditionalFormatting>
  <conditionalFormatting sqref="I1482:L1482">
    <cfRule type="cellIs" dxfId="7660" priority="7655" stopIfTrue="1" operator="equal">
      <formula>"Pass"</formula>
    </cfRule>
    <cfRule type="cellIs" dxfId="7659" priority="7656" stopIfTrue="1" operator="equal">
      <formula>"Fail"</formula>
    </cfRule>
  </conditionalFormatting>
  <conditionalFormatting sqref="J1482:L1482">
    <cfRule type="cellIs" dxfId="7658" priority="7653" stopIfTrue="1" operator="equal">
      <formula>"Pass"</formula>
    </cfRule>
    <cfRule type="cellIs" dxfId="7657" priority="7654" stopIfTrue="1" operator="equal">
      <formula>"Fail"</formula>
    </cfRule>
  </conditionalFormatting>
  <conditionalFormatting sqref="I1482">
    <cfRule type="cellIs" dxfId="7656" priority="7651" stopIfTrue="1" operator="equal">
      <formula>"Pass"</formula>
    </cfRule>
    <cfRule type="cellIs" dxfId="7655" priority="7652" stopIfTrue="1" operator="equal">
      <formula>"Fail"</formula>
    </cfRule>
  </conditionalFormatting>
  <conditionalFormatting sqref="I1482:L1482">
    <cfRule type="cellIs" dxfId="7654" priority="7649" stopIfTrue="1" operator="equal">
      <formula>"Pass"</formula>
    </cfRule>
    <cfRule type="cellIs" dxfId="7653" priority="7650" stopIfTrue="1" operator="equal">
      <formula>"Fail"</formula>
    </cfRule>
  </conditionalFormatting>
  <conditionalFormatting sqref="J1482:L1482">
    <cfRule type="cellIs" dxfId="7652" priority="7647" stopIfTrue="1" operator="equal">
      <formula>"Pass"</formula>
    </cfRule>
    <cfRule type="cellIs" dxfId="7651" priority="7648" stopIfTrue="1" operator="equal">
      <formula>"Fail"</formula>
    </cfRule>
  </conditionalFormatting>
  <conditionalFormatting sqref="I1482">
    <cfRule type="cellIs" dxfId="7650" priority="7645" stopIfTrue="1" operator="equal">
      <formula>"Pass"</formula>
    </cfRule>
    <cfRule type="cellIs" dxfId="7649" priority="7646" stopIfTrue="1" operator="equal">
      <formula>"Fail"</formula>
    </cfRule>
  </conditionalFormatting>
  <conditionalFormatting sqref="I1482:L1482">
    <cfRule type="cellIs" dxfId="7648" priority="7643" stopIfTrue="1" operator="equal">
      <formula>"Pass"</formula>
    </cfRule>
    <cfRule type="cellIs" dxfId="7647" priority="7644" stopIfTrue="1" operator="equal">
      <formula>"Fail"</formula>
    </cfRule>
  </conditionalFormatting>
  <conditionalFormatting sqref="J1482:L1482">
    <cfRule type="cellIs" dxfId="7646" priority="7641" stopIfTrue="1" operator="equal">
      <formula>"Pass"</formula>
    </cfRule>
    <cfRule type="cellIs" dxfId="7645" priority="7642" stopIfTrue="1" operator="equal">
      <formula>"Fail"</formula>
    </cfRule>
  </conditionalFormatting>
  <conditionalFormatting sqref="I1482">
    <cfRule type="cellIs" dxfId="7644" priority="7639" stopIfTrue="1" operator="equal">
      <formula>"Pass"</formula>
    </cfRule>
    <cfRule type="cellIs" dxfId="7643" priority="7640" stopIfTrue="1" operator="equal">
      <formula>"Fail"</formula>
    </cfRule>
  </conditionalFormatting>
  <conditionalFormatting sqref="I1482:L1482">
    <cfRule type="cellIs" dxfId="7642" priority="7637" stopIfTrue="1" operator="equal">
      <formula>"Pass"</formula>
    </cfRule>
    <cfRule type="cellIs" dxfId="7641" priority="7638" stopIfTrue="1" operator="equal">
      <formula>"Fail"</formula>
    </cfRule>
  </conditionalFormatting>
  <conditionalFormatting sqref="J1482:L1482">
    <cfRule type="cellIs" dxfId="7640" priority="7635" stopIfTrue="1" operator="equal">
      <formula>"Pass"</formula>
    </cfRule>
    <cfRule type="cellIs" dxfId="7639" priority="7636" stopIfTrue="1" operator="equal">
      <formula>"Fail"</formula>
    </cfRule>
  </conditionalFormatting>
  <conditionalFormatting sqref="I1482">
    <cfRule type="cellIs" dxfId="7638" priority="7633" stopIfTrue="1" operator="equal">
      <formula>"Pass"</formula>
    </cfRule>
    <cfRule type="cellIs" dxfId="7637" priority="7634" stopIfTrue="1" operator="equal">
      <formula>"Fail"</formula>
    </cfRule>
  </conditionalFormatting>
  <conditionalFormatting sqref="I1482:L1482">
    <cfRule type="cellIs" dxfId="7636" priority="7631" stopIfTrue="1" operator="equal">
      <formula>"Pass"</formula>
    </cfRule>
    <cfRule type="cellIs" dxfId="7635" priority="7632" stopIfTrue="1" operator="equal">
      <formula>"Fail"</formula>
    </cfRule>
  </conditionalFormatting>
  <conditionalFormatting sqref="I1482:L1482">
    <cfRule type="cellIs" dxfId="7634" priority="7629" stopIfTrue="1" operator="equal">
      <formula>"Pass"</formula>
    </cfRule>
    <cfRule type="cellIs" dxfId="7633" priority="7630" stopIfTrue="1" operator="equal">
      <formula>"Fail"</formula>
    </cfRule>
  </conditionalFormatting>
  <conditionalFormatting sqref="I1482:L1482">
    <cfRule type="cellIs" dxfId="7632" priority="7627" stopIfTrue="1" operator="equal">
      <formula>"Pass"</formula>
    </cfRule>
    <cfRule type="cellIs" dxfId="7631" priority="7628" stopIfTrue="1" operator="equal">
      <formula>"Fail"</formula>
    </cfRule>
  </conditionalFormatting>
  <conditionalFormatting sqref="I1482:L1482">
    <cfRule type="cellIs" dxfId="7630" priority="7625" stopIfTrue="1" operator="equal">
      <formula>"Pass"</formula>
    </cfRule>
    <cfRule type="cellIs" dxfId="7629" priority="7626" stopIfTrue="1" operator="equal">
      <formula>"Fail"</formula>
    </cfRule>
  </conditionalFormatting>
  <conditionalFormatting sqref="J1482:L1482">
    <cfRule type="cellIs" dxfId="7628" priority="7623" stopIfTrue="1" operator="equal">
      <formula>"Pass"</formula>
    </cfRule>
    <cfRule type="cellIs" dxfId="7627" priority="7624" stopIfTrue="1" operator="equal">
      <formula>"Fail"</formula>
    </cfRule>
  </conditionalFormatting>
  <conditionalFormatting sqref="I1482">
    <cfRule type="cellIs" dxfId="7626" priority="7621" stopIfTrue="1" operator="equal">
      <formula>"Pass"</formula>
    </cfRule>
    <cfRule type="cellIs" dxfId="7625" priority="7622" stopIfTrue="1" operator="equal">
      <formula>"Fail"</formula>
    </cfRule>
  </conditionalFormatting>
  <conditionalFormatting sqref="I1482:L1482">
    <cfRule type="cellIs" dxfId="7624" priority="7619" stopIfTrue="1" operator="equal">
      <formula>"Pass"</formula>
    </cfRule>
    <cfRule type="cellIs" dxfId="7623" priority="7620" stopIfTrue="1" operator="equal">
      <formula>"Fail"</formula>
    </cfRule>
  </conditionalFormatting>
  <conditionalFormatting sqref="J1482:L1482">
    <cfRule type="cellIs" dxfId="7622" priority="7617" stopIfTrue="1" operator="equal">
      <formula>"Pass"</formula>
    </cfRule>
    <cfRule type="cellIs" dxfId="7621" priority="7618" stopIfTrue="1" operator="equal">
      <formula>"Fail"</formula>
    </cfRule>
  </conditionalFormatting>
  <conditionalFormatting sqref="I1482">
    <cfRule type="cellIs" dxfId="7620" priority="7615" stopIfTrue="1" operator="equal">
      <formula>"Pass"</formula>
    </cfRule>
    <cfRule type="cellIs" dxfId="7619" priority="7616" stopIfTrue="1" operator="equal">
      <formula>"Fail"</formula>
    </cfRule>
  </conditionalFormatting>
  <conditionalFormatting sqref="I1482:L1482">
    <cfRule type="cellIs" dxfId="7618" priority="7613" stopIfTrue="1" operator="equal">
      <formula>"Pass"</formula>
    </cfRule>
    <cfRule type="cellIs" dxfId="7617" priority="7614" stopIfTrue="1" operator="equal">
      <formula>"Fail"</formula>
    </cfRule>
  </conditionalFormatting>
  <conditionalFormatting sqref="J1482:L1482">
    <cfRule type="cellIs" dxfId="7616" priority="7611" stopIfTrue="1" operator="equal">
      <formula>"Pass"</formula>
    </cfRule>
    <cfRule type="cellIs" dxfId="7615" priority="7612" stopIfTrue="1" operator="equal">
      <formula>"Fail"</formula>
    </cfRule>
  </conditionalFormatting>
  <conditionalFormatting sqref="I1482">
    <cfRule type="cellIs" dxfId="7614" priority="7609" stopIfTrue="1" operator="equal">
      <formula>"Pass"</formula>
    </cfRule>
    <cfRule type="cellIs" dxfId="7613" priority="7610" stopIfTrue="1" operator="equal">
      <formula>"Fail"</formula>
    </cfRule>
  </conditionalFormatting>
  <conditionalFormatting sqref="I1482:L1482">
    <cfRule type="cellIs" dxfId="7612" priority="7607" stopIfTrue="1" operator="equal">
      <formula>"Pass"</formula>
    </cfRule>
    <cfRule type="cellIs" dxfId="7611" priority="7608" stopIfTrue="1" operator="equal">
      <formula>"Fail"</formula>
    </cfRule>
  </conditionalFormatting>
  <conditionalFormatting sqref="J1482:L1482">
    <cfRule type="cellIs" dxfId="7610" priority="7605" stopIfTrue="1" operator="equal">
      <formula>"Pass"</formula>
    </cfRule>
    <cfRule type="cellIs" dxfId="7609" priority="7606" stopIfTrue="1" operator="equal">
      <formula>"Fail"</formula>
    </cfRule>
  </conditionalFormatting>
  <conditionalFormatting sqref="I1482">
    <cfRule type="cellIs" dxfId="7608" priority="7603" stopIfTrue="1" operator="equal">
      <formula>"Pass"</formula>
    </cfRule>
    <cfRule type="cellIs" dxfId="7607" priority="7604" stopIfTrue="1" operator="equal">
      <formula>"Fail"</formula>
    </cfRule>
  </conditionalFormatting>
  <conditionalFormatting sqref="I1482:L1482">
    <cfRule type="cellIs" dxfId="7606" priority="7601" stopIfTrue="1" operator="equal">
      <formula>"Pass"</formula>
    </cfRule>
    <cfRule type="cellIs" dxfId="7605" priority="7602" stopIfTrue="1" operator="equal">
      <formula>"Fail"</formula>
    </cfRule>
  </conditionalFormatting>
  <conditionalFormatting sqref="I1482:L1482">
    <cfRule type="cellIs" dxfId="7604" priority="7599" stopIfTrue="1" operator="equal">
      <formula>"Pass"</formula>
    </cfRule>
    <cfRule type="cellIs" dxfId="7603" priority="7600" stopIfTrue="1" operator="equal">
      <formula>"Fail"</formula>
    </cfRule>
  </conditionalFormatting>
  <conditionalFormatting sqref="I1482:L1482">
    <cfRule type="cellIs" dxfId="7602" priority="7597" stopIfTrue="1" operator="equal">
      <formula>"Pass"</formula>
    </cfRule>
    <cfRule type="cellIs" dxfId="7601" priority="7598" stopIfTrue="1" operator="equal">
      <formula>"Fail"</formula>
    </cfRule>
  </conditionalFormatting>
  <conditionalFormatting sqref="I1482:L1482">
    <cfRule type="cellIs" dxfId="7600" priority="7595" stopIfTrue="1" operator="equal">
      <formula>"Pass"</formula>
    </cfRule>
    <cfRule type="cellIs" dxfId="7599" priority="7596" stopIfTrue="1" operator="equal">
      <formula>"Fail"</formula>
    </cfRule>
  </conditionalFormatting>
  <conditionalFormatting sqref="J1482:L1482">
    <cfRule type="cellIs" dxfId="7598" priority="7593" stopIfTrue="1" operator="equal">
      <formula>"Pass"</formula>
    </cfRule>
    <cfRule type="cellIs" dxfId="7597" priority="7594" stopIfTrue="1" operator="equal">
      <formula>"Fail"</formula>
    </cfRule>
  </conditionalFormatting>
  <conditionalFormatting sqref="I1482">
    <cfRule type="cellIs" dxfId="7596" priority="7591" stopIfTrue="1" operator="equal">
      <formula>"Pass"</formula>
    </cfRule>
    <cfRule type="cellIs" dxfId="7595" priority="7592" stopIfTrue="1" operator="equal">
      <formula>"Fail"</formula>
    </cfRule>
  </conditionalFormatting>
  <conditionalFormatting sqref="I1482:L1482">
    <cfRule type="cellIs" dxfId="7594" priority="7589" stopIfTrue="1" operator="equal">
      <formula>"Pass"</formula>
    </cfRule>
    <cfRule type="cellIs" dxfId="7593" priority="7590" stopIfTrue="1" operator="equal">
      <formula>"Fail"</formula>
    </cfRule>
  </conditionalFormatting>
  <conditionalFormatting sqref="J1482:L1482">
    <cfRule type="cellIs" dxfId="7592" priority="7587" stopIfTrue="1" operator="equal">
      <formula>"Pass"</formula>
    </cfRule>
    <cfRule type="cellIs" dxfId="7591" priority="7588" stopIfTrue="1" operator="equal">
      <formula>"Fail"</formula>
    </cfRule>
  </conditionalFormatting>
  <conditionalFormatting sqref="I1482">
    <cfRule type="cellIs" dxfId="7590" priority="7585" stopIfTrue="1" operator="equal">
      <formula>"Pass"</formula>
    </cfRule>
    <cfRule type="cellIs" dxfId="7589" priority="7586" stopIfTrue="1" operator="equal">
      <formula>"Fail"</formula>
    </cfRule>
  </conditionalFormatting>
  <conditionalFormatting sqref="I1482:L1482">
    <cfRule type="cellIs" dxfId="7588" priority="7583" stopIfTrue="1" operator="equal">
      <formula>"Pass"</formula>
    </cfRule>
    <cfRule type="cellIs" dxfId="7587" priority="7584" stopIfTrue="1" operator="equal">
      <formula>"Fail"</formula>
    </cfRule>
  </conditionalFormatting>
  <conditionalFormatting sqref="J1482:L1482">
    <cfRule type="cellIs" dxfId="7586" priority="7581" stopIfTrue="1" operator="equal">
      <formula>"Pass"</formula>
    </cfRule>
    <cfRule type="cellIs" dxfId="7585" priority="7582" stopIfTrue="1" operator="equal">
      <formula>"Fail"</formula>
    </cfRule>
  </conditionalFormatting>
  <conditionalFormatting sqref="I1482">
    <cfRule type="cellIs" dxfId="7584" priority="7579" stopIfTrue="1" operator="equal">
      <formula>"Pass"</formula>
    </cfRule>
    <cfRule type="cellIs" dxfId="7583" priority="7580" stopIfTrue="1" operator="equal">
      <formula>"Fail"</formula>
    </cfRule>
  </conditionalFormatting>
  <conditionalFormatting sqref="I1482:L1482">
    <cfRule type="cellIs" dxfId="7582" priority="7577" stopIfTrue="1" operator="equal">
      <formula>"Pass"</formula>
    </cfRule>
    <cfRule type="cellIs" dxfId="7581" priority="7578" stopIfTrue="1" operator="equal">
      <formula>"Fail"</formula>
    </cfRule>
  </conditionalFormatting>
  <conditionalFormatting sqref="J1482:L1482">
    <cfRule type="cellIs" dxfId="7580" priority="7575" stopIfTrue="1" operator="equal">
      <formula>"Pass"</formula>
    </cfRule>
    <cfRule type="cellIs" dxfId="7579" priority="7576" stopIfTrue="1" operator="equal">
      <formula>"Fail"</formula>
    </cfRule>
  </conditionalFormatting>
  <conditionalFormatting sqref="I1482">
    <cfRule type="cellIs" dxfId="7578" priority="7573" stopIfTrue="1" operator="equal">
      <formula>"Pass"</formula>
    </cfRule>
    <cfRule type="cellIs" dxfId="7577" priority="7574" stopIfTrue="1" operator="equal">
      <formula>"Fail"</formula>
    </cfRule>
  </conditionalFormatting>
  <conditionalFormatting sqref="I1482:L1482">
    <cfRule type="cellIs" dxfId="7576" priority="7571" stopIfTrue="1" operator="equal">
      <formula>"Pass"</formula>
    </cfRule>
    <cfRule type="cellIs" dxfId="7575" priority="7572" stopIfTrue="1" operator="equal">
      <formula>"Fail"</formula>
    </cfRule>
  </conditionalFormatting>
  <conditionalFormatting sqref="I1482:L1482">
    <cfRule type="cellIs" dxfId="7574" priority="7569" stopIfTrue="1" operator="equal">
      <formula>"Pass"</formula>
    </cfRule>
    <cfRule type="cellIs" dxfId="7573" priority="7570" stopIfTrue="1" operator="equal">
      <formula>"Fail"</formula>
    </cfRule>
  </conditionalFormatting>
  <conditionalFormatting sqref="I1482:L1482">
    <cfRule type="cellIs" dxfId="7572" priority="7567" stopIfTrue="1" operator="equal">
      <formula>"Pass"</formula>
    </cfRule>
    <cfRule type="cellIs" dxfId="7571" priority="7568" stopIfTrue="1" operator="equal">
      <formula>"Fail"</formula>
    </cfRule>
  </conditionalFormatting>
  <conditionalFormatting sqref="I1482:L1482">
    <cfRule type="cellIs" dxfId="7570" priority="7565" stopIfTrue="1" operator="equal">
      <formula>"Pass"</formula>
    </cfRule>
    <cfRule type="cellIs" dxfId="7569" priority="7566" stopIfTrue="1" operator="equal">
      <formula>"Fail"</formula>
    </cfRule>
  </conditionalFormatting>
  <conditionalFormatting sqref="J1482:L1482">
    <cfRule type="cellIs" dxfId="7568" priority="7563" stopIfTrue="1" operator="equal">
      <formula>"Pass"</formula>
    </cfRule>
    <cfRule type="cellIs" dxfId="7567" priority="7564" stopIfTrue="1" operator="equal">
      <formula>"Fail"</formula>
    </cfRule>
  </conditionalFormatting>
  <conditionalFormatting sqref="I1482">
    <cfRule type="cellIs" dxfId="7566" priority="7561" stopIfTrue="1" operator="equal">
      <formula>"Pass"</formula>
    </cfRule>
    <cfRule type="cellIs" dxfId="7565" priority="7562" stopIfTrue="1" operator="equal">
      <formula>"Fail"</formula>
    </cfRule>
  </conditionalFormatting>
  <conditionalFormatting sqref="I1482:L1482">
    <cfRule type="cellIs" dxfId="7564" priority="7559" stopIfTrue="1" operator="equal">
      <formula>"Pass"</formula>
    </cfRule>
    <cfRule type="cellIs" dxfId="7563" priority="7560" stopIfTrue="1" operator="equal">
      <formula>"Fail"</formula>
    </cfRule>
  </conditionalFormatting>
  <conditionalFormatting sqref="J1482:L1482">
    <cfRule type="cellIs" dxfId="7562" priority="7557" stopIfTrue="1" operator="equal">
      <formula>"Pass"</formula>
    </cfRule>
    <cfRule type="cellIs" dxfId="7561" priority="7558" stopIfTrue="1" operator="equal">
      <formula>"Fail"</formula>
    </cfRule>
  </conditionalFormatting>
  <conditionalFormatting sqref="I1482">
    <cfRule type="cellIs" dxfId="7560" priority="7555" stopIfTrue="1" operator="equal">
      <formula>"Pass"</formula>
    </cfRule>
    <cfRule type="cellIs" dxfId="7559" priority="7556" stopIfTrue="1" operator="equal">
      <formula>"Fail"</formula>
    </cfRule>
  </conditionalFormatting>
  <conditionalFormatting sqref="I1482:L1482">
    <cfRule type="cellIs" dxfId="7558" priority="7553" stopIfTrue="1" operator="equal">
      <formula>"Pass"</formula>
    </cfRule>
    <cfRule type="cellIs" dxfId="7557" priority="7554" stopIfTrue="1" operator="equal">
      <formula>"Fail"</formula>
    </cfRule>
  </conditionalFormatting>
  <conditionalFormatting sqref="J1482:L1482">
    <cfRule type="cellIs" dxfId="7556" priority="7551" stopIfTrue="1" operator="equal">
      <formula>"Pass"</formula>
    </cfRule>
    <cfRule type="cellIs" dxfId="7555" priority="7552" stopIfTrue="1" operator="equal">
      <formula>"Fail"</formula>
    </cfRule>
  </conditionalFormatting>
  <conditionalFormatting sqref="I1482">
    <cfRule type="cellIs" dxfId="7554" priority="7549" stopIfTrue="1" operator="equal">
      <formula>"Pass"</formula>
    </cfRule>
    <cfRule type="cellIs" dxfId="7553" priority="7550" stopIfTrue="1" operator="equal">
      <formula>"Fail"</formula>
    </cfRule>
  </conditionalFormatting>
  <conditionalFormatting sqref="I1482:L1482">
    <cfRule type="cellIs" dxfId="7552" priority="7547" stopIfTrue="1" operator="equal">
      <formula>"Pass"</formula>
    </cfRule>
    <cfRule type="cellIs" dxfId="7551" priority="7548" stopIfTrue="1" operator="equal">
      <formula>"Fail"</formula>
    </cfRule>
  </conditionalFormatting>
  <conditionalFormatting sqref="J1482:L1482">
    <cfRule type="cellIs" dxfId="7550" priority="7545" stopIfTrue="1" operator="equal">
      <formula>"Pass"</formula>
    </cfRule>
    <cfRule type="cellIs" dxfId="7549" priority="7546" stopIfTrue="1" operator="equal">
      <formula>"Fail"</formula>
    </cfRule>
  </conditionalFormatting>
  <conditionalFormatting sqref="I1482">
    <cfRule type="cellIs" dxfId="7548" priority="7543" stopIfTrue="1" operator="equal">
      <formula>"Pass"</formula>
    </cfRule>
    <cfRule type="cellIs" dxfId="7547" priority="7544" stopIfTrue="1" operator="equal">
      <formula>"Fail"</formula>
    </cfRule>
  </conditionalFormatting>
  <conditionalFormatting sqref="I1482:L1482">
    <cfRule type="cellIs" dxfId="7546" priority="7541" stopIfTrue="1" operator="equal">
      <formula>"Pass"</formula>
    </cfRule>
    <cfRule type="cellIs" dxfId="7545" priority="7542" stopIfTrue="1" operator="equal">
      <formula>"Fail"</formula>
    </cfRule>
  </conditionalFormatting>
  <conditionalFormatting sqref="I1482:L1482">
    <cfRule type="cellIs" dxfId="7544" priority="7539" stopIfTrue="1" operator="equal">
      <formula>"Pass"</formula>
    </cfRule>
    <cfRule type="cellIs" dxfId="7543" priority="7540" stopIfTrue="1" operator="equal">
      <formula>"Fail"</formula>
    </cfRule>
  </conditionalFormatting>
  <conditionalFormatting sqref="I1482:L1482">
    <cfRule type="cellIs" dxfId="7542" priority="7537" stopIfTrue="1" operator="equal">
      <formula>"Pass"</formula>
    </cfRule>
    <cfRule type="cellIs" dxfId="7541" priority="7538" stopIfTrue="1" operator="equal">
      <formula>"Fail"</formula>
    </cfRule>
  </conditionalFormatting>
  <conditionalFormatting sqref="I1482:L1482">
    <cfRule type="cellIs" dxfId="7540" priority="7535" stopIfTrue="1" operator="equal">
      <formula>"Pass"</formula>
    </cfRule>
    <cfRule type="cellIs" dxfId="7539" priority="7536" stopIfTrue="1" operator="equal">
      <formula>"Fail"</formula>
    </cfRule>
  </conditionalFormatting>
  <conditionalFormatting sqref="I1482:L1482">
    <cfRule type="cellIs" dxfId="7538" priority="7533" stopIfTrue="1" operator="equal">
      <formula>"Pass"</formula>
    </cfRule>
    <cfRule type="cellIs" dxfId="7537" priority="7534" stopIfTrue="1" operator="equal">
      <formula>"Fail"</formula>
    </cfRule>
  </conditionalFormatting>
  <conditionalFormatting sqref="I1482:L1482">
    <cfRule type="cellIs" dxfId="7536" priority="7531" stopIfTrue="1" operator="equal">
      <formula>"Pass"</formula>
    </cfRule>
    <cfRule type="cellIs" dxfId="7535" priority="7532" stopIfTrue="1" operator="equal">
      <formula>"Fail"</formula>
    </cfRule>
  </conditionalFormatting>
  <conditionalFormatting sqref="I1482:L1482">
    <cfRule type="cellIs" dxfId="7534" priority="7529" stopIfTrue="1" operator="equal">
      <formula>"Pass"</formula>
    </cfRule>
    <cfRule type="cellIs" dxfId="7533" priority="7530" stopIfTrue="1" operator="equal">
      <formula>"Fail"</formula>
    </cfRule>
  </conditionalFormatting>
  <conditionalFormatting sqref="J1482:L1482">
    <cfRule type="cellIs" dxfId="7532" priority="7527" stopIfTrue="1" operator="equal">
      <formula>"Pass"</formula>
    </cfRule>
    <cfRule type="cellIs" dxfId="7531" priority="7528" stopIfTrue="1" operator="equal">
      <formula>"Fail"</formula>
    </cfRule>
  </conditionalFormatting>
  <conditionalFormatting sqref="I1482">
    <cfRule type="cellIs" dxfId="7530" priority="7525" stopIfTrue="1" operator="equal">
      <formula>"Pass"</formula>
    </cfRule>
    <cfRule type="cellIs" dxfId="7529" priority="7526" stopIfTrue="1" operator="equal">
      <formula>"Fail"</formula>
    </cfRule>
  </conditionalFormatting>
  <conditionalFormatting sqref="I1482:L1482">
    <cfRule type="cellIs" dxfId="7528" priority="7523" stopIfTrue="1" operator="equal">
      <formula>"Pass"</formula>
    </cfRule>
    <cfRule type="cellIs" dxfId="7527" priority="7524" stopIfTrue="1" operator="equal">
      <formula>"Fail"</formula>
    </cfRule>
  </conditionalFormatting>
  <conditionalFormatting sqref="J1482:L1482">
    <cfRule type="cellIs" dxfId="7526" priority="7521" stopIfTrue="1" operator="equal">
      <formula>"Pass"</formula>
    </cfRule>
    <cfRule type="cellIs" dxfId="7525" priority="7522" stopIfTrue="1" operator="equal">
      <formula>"Fail"</formula>
    </cfRule>
  </conditionalFormatting>
  <conditionalFormatting sqref="I1482">
    <cfRule type="cellIs" dxfId="7524" priority="7519" stopIfTrue="1" operator="equal">
      <formula>"Pass"</formula>
    </cfRule>
    <cfRule type="cellIs" dxfId="7523" priority="7520" stopIfTrue="1" operator="equal">
      <formula>"Fail"</formula>
    </cfRule>
  </conditionalFormatting>
  <conditionalFormatting sqref="I1482:L1482">
    <cfRule type="cellIs" dxfId="7522" priority="7517" stopIfTrue="1" operator="equal">
      <formula>"Pass"</formula>
    </cfRule>
    <cfRule type="cellIs" dxfId="7521" priority="7518" stopIfTrue="1" operator="equal">
      <formula>"Fail"</formula>
    </cfRule>
  </conditionalFormatting>
  <conditionalFormatting sqref="J1482:L1482">
    <cfRule type="cellIs" dxfId="7520" priority="7515" stopIfTrue="1" operator="equal">
      <formula>"Pass"</formula>
    </cfRule>
    <cfRule type="cellIs" dxfId="7519" priority="7516" stopIfTrue="1" operator="equal">
      <formula>"Fail"</formula>
    </cfRule>
  </conditionalFormatting>
  <conditionalFormatting sqref="I1482">
    <cfRule type="cellIs" dxfId="7518" priority="7513" stopIfTrue="1" operator="equal">
      <formula>"Pass"</formula>
    </cfRule>
    <cfRule type="cellIs" dxfId="7517" priority="7514" stopIfTrue="1" operator="equal">
      <formula>"Fail"</formula>
    </cfRule>
  </conditionalFormatting>
  <conditionalFormatting sqref="I1482:L1482">
    <cfRule type="cellIs" dxfId="7516" priority="7511" stopIfTrue="1" operator="equal">
      <formula>"Pass"</formula>
    </cfRule>
    <cfRule type="cellIs" dxfId="7515" priority="7512" stopIfTrue="1" operator="equal">
      <formula>"Fail"</formula>
    </cfRule>
  </conditionalFormatting>
  <conditionalFormatting sqref="J1482:L1482">
    <cfRule type="cellIs" dxfId="7514" priority="7509" stopIfTrue="1" operator="equal">
      <formula>"Pass"</formula>
    </cfRule>
    <cfRule type="cellIs" dxfId="7513" priority="7510" stopIfTrue="1" operator="equal">
      <formula>"Fail"</formula>
    </cfRule>
  </conditionalFormatting>
  <conditionalFormatting sqref="I1482">
    <cfRule type="cellIs" dxfId="7512" priority="7507" stopIfTrue="1" operator="equal">
      <formula>"Pass"</formula>
    </cfRule>
    <cfRule type="cellIs" dxfId="7511" priority="7508" stopIfTrue="1" operator="equal">
      <formula>"Fail"</formula>
    </cfRule>
  </conditionalFormatting>
  <conditionalFormatting sqref="I1482:L1482">
    <cfRule type="cellIs" dxfId="7510" priority="7505" stopIfTrue="1" operator="equal">
      <formula>"Pass"</formula>
    </cfRule>
    <cfRule type="cellIs" dxfId="7509" priority="7506" stopIfTrue="1" operator="equal">
      <formula>"Fail"</formula>
    </cfRule>
  </conditionalFormatting>
  <conditionalFormatting sqref="I1482:L1482">
    <cfRule type="cellIs" dxfId="7508" priority="7503" stopIfTrue="1" operator="equal">
      <formula>"Pass"</formula>
    </cfRule>
    <cfRule type="cellIs" dxfId="7507" priority="7504" stopIfTrue="1" operator="equal">
      <formula>"Fail"</formula>
    </cfRule>
  </conditionalFormatting>
  <conditionalFormatting sqref="I1482:L1482">
    <cfRule type="cellIs" dxfId="7506" priority="7501" stopIfTrue="1" operator="equal">
      <formula>"Pass"</formula>
    </cfRule>
    <cfRule type="cellIs" dxfId="7505" priority="7502" stopIfTrue="1" operator="equal">
      <formula>"Fail"</formula>
    </cfRule>
  </conditionalFormatting>
  <conditionalFormatting sqref="I1482:L1482">
    <cfRule type="cellIs" dxfId="7504" priority="7499" stopIfTrue="1" operator="equal">
      <formula>"Pass"</formula>
    </cfRule>
    <cfRule type="cellIs" dxfId="7503" priority="7500" stopIfTrue="1" operator="equal">
      <formula>"Fail"</formula>
    </cfRule>
  </conditionalFormatting>
  <conditionalFormatting sqref="I1482:L1482">
    <cfRule type="cellIs" dxfId="7502" priority="7497" stopIfTrue="1" operator="equal">
      <formula>"Pass"</formula>
    </cfRule>
    <cfRule type="cellIs" dxfId="7501" priority="7498" stopIfTrue="1" operator="equal">
      <formula>"Fail"</formula>
    </cfRule>
  </conditionalFormatting>
  <conditionalFormatting sqref="I1482:L1482">
    <cfRule type="cellIs" dxfId="7500" priority="7495" stopIfTrue="1" operator="equal">
      <formula>"Pass"</formula>
    </cfRule>
    <cfRule type="cellIs" dxfId="7499" priority="7496" stopIfTrue="1" operator="equal">
      <formula>"Fail"</formula>
    </cfRule>
  </conditionalFormatting>
  <conditionalFormatting sqref="I1482:L1482">
    <cfRule type="cellIs" dxfId="7498" priority="7493" stopIfTrue="1" operator="equal">
      <formula>"Pass"</formula>
    </cfRule>
    <cfRule type="cellIs" dxfId="7497" priority="7494" stopIfTrue="1" operator="equal">
      <formula>"Fail"</formula>
    </cfRule>
  </conditionalFormatting>
  <conditionalFormatting sqref="J1482:L1482">
    <cfRule type="cellIs" dxfId="7496" priority="7491" stopIfTrue="1" operator="equal">
      <formula>"Pass"</formula>
    </cfRule>
    <cfRule type="cellIs" dxfId="7495" priority="7492" stopIfTrue="1" operator="equal">
      <formula>"Fail"</formula>
    </cfRule>
  </conditionalFormatting>
  <conditionalFormatting sqref="I1482">
    <cfRule type="cellIs" dxfId="7494" priority="7489" stopIfTrue="1" operator="equal">
      <formula>"Pass"</formula>
    </cfRule>
    <cfRule type="cellIs" dxfId="7493" priority="7490" stopIfTrue="1" operator="equal">
      <formula>"Fail"</formula>
    </cfRule>
  </conditionalFormatting>
  <conditionalFormatting sqref="I1482:L1482">
    <cfRule type="cellIs" dxfId="7492" priority="7487" stopIfTrue="1" operator="equal">
      <formula>"Pass"</formula>
    </cfRule>
    <cfRule type="cellIs" dxfId="7491" priority="7488" stopIfTrue="1" operator="equal">
      <formula>"Fail"</formula>
    </cfRule>
  </conditionalFormatting>
  <conditionalFormatting sqref="J1482:L1482">
    <cfRule type="cellIs" dxfId="7490" priority="7485" stopIfTrue="1" operator="equal">
      <formula>"Pass"</formula>
    </cfRule>
    <cfRule type="cellIs" dxfId="7489" priority="7486" stopIfTrue="1" operator="equal">
      <formula>"Fail"</formula>
    </cfRule>
  </conditionalFormatting>
  <conditionalFormatting sqref="I1482">
    <cfRule type="cellIs" dxfId="7488" priority="7483" stopIfTrue="1" operator="equal">
      <formula>"Pass"</formula>
    </cfRule>
    <cfRule type="cellIs" dxfId="7487" priority="7484" stopIfTrue="1" operator="equal">
      <formula>"Fail"</formula>
    </cfRule>
  </conditionalFormatting>
  <conditionalFormatting sqref="I1482:L1482">
    <cfRule type="cellIs" dxfId="7486" priority="7481" stopIfTrue="1" operator="equal">
      <formula>"Pass"</formula>
    </cfRule>
    <cfRule type="cellIs" dxfId="7485" priority="7482" stopIfTrue="1" operator="equal">
      <formula>"Fail"</formula>
    </cfRule>
  </conditionalFormatting>
  <conditionalFormatting sqref="J1482:L1482">
    <cfRule type="cellIs" dxfId="7484" priority="7479" stopIfTrue="1" operator="equal">
      <formula>"Pass"</formula>
    </cfRule>
    <cfRule type="cellIs" dxfId="7483" priority="7480" stopIfTrue="1" operator="equal">
      <formula>"Fail"</formula>
    </cfRule>
  </conditionalFormatting>
  <conditionalFormatting sqref="I1482">
    <cfRule type="cellIs" dxfId="7482" priority="7477" stopIfTrue="1" operator="equal">
      <formula>"Pass"</formula>
    </cfRule>
    <cfRule type="cellIs" dxfId="7481" priority="7478" stopIfTrue="1" operator="equal">
      <formula>"Fail"</formula>
    </cfRule>
  </conditionalFormatting>
  <conditionalFormatting sqref="I1482:L1482">
    <cfRule type="cellIs" dxfId="7480" priority="7475" stopIfTrue="1" operator="equal">
      <formula>"Pass"</formula>
    </cfRule>
    <cfRule type="cellIs" dxfId="7479" priority="7476" stopIfTrue="1" operator="equal">
      <formula>"Fail"</formula>
    </cfRule>
  </conditionalFormatting>
  <conditionalFormatting sqref="J1482:L1482">
    <cfRule type="cellIs" dxfId="7478" priority="7473" stopIfTrue="1" operator="equal">
      <formula>"Pass"</formula>
    </cfRule>
    <cfRule type="cellIs" dxfId="7477" priority="7474" stopIfTrue="1" operator="equal">
      <formula>"Fail"</formula>
    </cfRule>
  </conditionalFormatting>
  <conditionalFormatting sqref="I1482">
    <cfRule type="cellIs" dxfId="7476" priority="7471" stopIfTrue="1" operator="equal">
      <formula>"Pass"</formula>
    </cfRule>
    <cfRule type="cellIs" dxfId="7475" priority="7472" stopIfTrue="1" operator="equal">
      <formula>"Fail"</formula>
    </cfRule>
  </conditionalFormatting>
  <conditionalFormatting sqref="I1482:L1482">
    <cfRule type="cellIs" dxfId="7474" priority="7469" stopIfTrue="1" operator="equal">
      <formula>"Pass"</formula>
    </cfRule>
    <cfRule type="cellIs" dxfId="7473" priority="7470" stopIfTrue="1" operator="equal">
      <formula>"Fail"</formula>
    </cfRule>
  </conditionalFormatting>
  <conditionalFormatting sqref="I1482:L1482">
    <cfRule type="cellIs" dxfId="7472" priority="7467" stopIfTrue="1" operator="equal">
      <formula>"Pass"</formula>
    </cfRule>
    <cfRule type="cellIs" dxfId="7471" priority="7468" stopIfTrue="1" operator="equal">
      <formula>"Fail"</formula>
    </cfRule>
  </conditionalFormatting>
  <conditionalFormatting sqref="I1482:L1482">
    <cfRule type="cellIs" dxfId="7470" priority="7465" stopIfTrue="1" operator="equal">
      <formula>"Pass"</formula>
    </cfRule>
    <cfRule type="cellIs" dxfId="7469" priority="7466" stopIfTrue="1" operator="equal">
      <formula>"Fail"</formula>
    </cfRule>
  </conditionalFormatting>
  <conditionalFormatting sqref="I1482:L1482">
    <cfRule type="cellIs" dxfId="7468" priority="7463" stopIfTrue="1" operator="equal">
      <formula>"Pass"</formula>
    </cfRule>
    <cfRule type="cellIs" dxfId="7467" priority="7464" stopIfTrue="1" operator="equal">
      <formula>"Fail"</formula>
    </cfRule>
  </conditionalFormatting>
  <conditionalFormatting sqref="I1482:L1482">
    <cfRule type="cellIs" dxfId="7466" priority="7461" stopIfTrue="1" operator="equal">
      <formula>"Pass"</formula>
    </cfRule>
    <cfRule type="cellIs" dxfId="7465" priority="7462" stopIfTrue="1" operator="equal">
      <formula>"Fail"</formula>
    </cfRule>
  </conditionalFormatting>
  <conditionalFormatting sqref="I1482:L1482">
    <cfRule type="cellIs" dxfId="7464" priority="7459" stopIfTrue="1" operator="equal">
      <formula>"Pass"</formula>
    </cfRule>
    <cfRule type="cellIs" dxfId="7463" priority="7460" stopIfTrue="1" operator="equal">
      <formula>"Fail"</formula>
    </cfRule>
  </conditionalFormatting>
  <conditionalFormatting sqref="I1482:L1482">
    <cfRule type="cellIs" dxfId="7462" priority="7457" stopIfTrue="1" operator="equal">
      <formula>"Pass"</formula>
    </cfRule>
    <cfRule type="cellIs" dxfId="7461" priority="7458" stopIfTrue="1" operator="equal">
      <formula>"Fail"</formula>
    </cfRule>
  </conditionalFormatting>
  <conditionalFormatting sqref="J1482:L1482">
    <cfRule type="cellIs" dxfId="7460" priority="7455" stopIfTrue="1" operator="equal">
      <formula>"Pass"</formula>
    </cfRule>
    <cfRule type="cellIs" dxfId="7459" priority="7456" stopIfTrue="1" operator="equal">
      <formula>"Fail"</formula>
    </cfRule>
  </conditionalFormatting>
  <conditionalFormatting sqref="I1482">
    <cfRule type="cellIs" dxfId="7458" priority="7453" stopIfTrue="1" operator="equal">
      <formula>"Pass"</formula>
    </cfRule>
    <cfRule type="cellIs" dxfId="7457" priority="7454" stopIfTrue="1" operator="equal">
      <formula>"Fail"</formula>
    </cfRule>
  </conditionalFormatting>
  <conditionalFormatting sqref="I1482:L1482">
    <cfRule type="cellIs" dxfId="7456" priority="7451" stopIfTrue="1" operator="equal">
      <formula>"Pass"</formula>
    </cfRule>
    <cfRule type="cellIs" dxfId="7455" priority="7452" stopIfTrue="1" operator="equal">
      <formula>"Fail"</formula>
    </cfRule>
  </conditionalFormatting>
  <conditionalFormatting sqref="J1482:L1482">
    <cfRule type="cellIs" dxfId="7454" priority="7449" stopIfTrue="1" operator="equal">
      <formula>"Pass"</formula>
    </cfRule>
    <cfRule type="cellIs" dxfId="7453" priority="7450" stopIfTrue="1" operator="equal">
      <formula>"Fail"</formula>
    </cfRule>
  </conditionalFormatting>
  <conditionalFormatting sqref="I1482">
    <cfRule type="cellIs" dxfId="7452" priority="7447" stopIfTrue="1" operator="equal">
      <formula>"Pass"</formula>
    </cfRule>
    <cfRule type="cellIs" dxfId="7451" priority="7448" stopIfTrue="1" operator="equal">
      <formula>"Fail"</formula>
    </cfRule>
  </conditionalFormatting>
  <conditionalFormatting sqref="I1482:L1482">
    <cfRule type="cellIs" dxfId="7450" priority="7445" stopIfTrue="1" operator="equal">
      <formula>"Pass"</formula>
    </cfRule>
    <cfRule type="cellIs" dxfId="7449" priority="7446" stopIfTrue="1" operator="equal">
      <formula>"Fail"</formula>
    </cfRule>
  </conditionalFormatting>
  <conditionalFormatting sqref="J1482:L1482">
    <cfRule type="cellIs" dxfId="7448" priority="7443" stopIfTrue="1" operator="equal">
      <formula>"Pass"</formula>
    </cfRule>
    <cfRule type="cellIs" dxfId="7447" priority="7444" stopIfTrue="1" operator="equal">
      <formula>"Fail"</formula>
    </cfRule>
  </conditionalFormatting>
  <conditionalFormatting sqref="I1482">
    <cfRule type="cellIs" dxfId="7446" priority="7441" stopIfTrue="1" operator="equal">
      <formula>"Pass"</formula>
    </cfRule>
    <cfRule type="cellIs" dxfId="7445" priority="7442" stopIfTrue="1" operator="equal">
      <formula>"Fail"</formula>
    </cfRule>
  </conditionalFormatting>
  <conditionalFormatting sqref="I1482:L1482">
    <cfRule type="cellIs" dxfId="7444" priority="7439" stopIfTrue="1" operator="equal">
      <formula>"Pass"</formula>
    </cfRule>
    <cfRule type="cellIs" dxfId="7443" priority="7440" stopIfTrue="1" operator="equal">
      <formula>"Fail"</formula>
    </cfRule>
  </conditionalFormatting>
  <conditionalFormatting sqref="J1482:L1482">
    <cfRule type="cellIs" dxfId="7442" priority="7437" stopIfTrue="1" operator="equal">
      <formula>"Pass"</formula>
    </cfRule>
    <cfRule type="cellIs" dxfId="7441" priority="7438" stopIfTrue="1" operator="equal">
      <formula>"Fail"</formula>
    </cfRule>
  </conditionalFormatting>
  <conditionalFormatting sqref="I1482">
    <cfRule type="cellIs" dxfId="7440" priority="7435" stopIfTrue="1" operator="equal">
      <formula>"Pass"</formula>
    </cfRule>
    <cfRule type="cellIs" dxfId="7439" priority="7436" stopIfTrue="1" operator="equal">
      <formula>"Fail"</formula>
    </cfRule>
  </conditionalFormatting>
  <conditionalFormatting sqref="I1482:L1482">
    <cfRule type="cellIs" dxfId="7438" priority="7433" stopIfTrue="1" operator="equal">
      <formula>"Pass"</formula>
    </cfRule>
    <cfRule type="cellIs" dxfId="7437" priority="7434" stopIfTrue="1" operator="equal">
      <formula>"Fail"</formula>
    </cfRule>
  </conditionalFormatting>
  <conditionalFormatting sqref="I1482:L1482">
    <cfRule type="cellIs" dxfId="7436" priority="7431" stopIfTrue="1" operator="equal">
      <formula>"Pass"</formula>
    </cfRule>
    <cfRule type="cellIs" dxfId="7435" priority="7432" stopIfTrue="1" operator="equal">
      <formula>"Fail"</formula>
    </cfRule>
  </conditionalFormatting>
  <conditionalFormatting sqref="H1482">
    <cfRule type="cellIs" dxfId="7434" priority="7429" stopIfTrue="1" operator="equal">
      <formula>"Pass"</formula>
    </cfRule>
    <cfRule type="cellIs" dxfId="7433" priority="7430" stopIfTrue="1" operator="equal">
      <formula>"Fail"</formula>
    </cfRule>
  </conditionalFormatting>
  <conditionalFormatting sqref="H1482">
    <cfRule type="cellIs" dxfId="7432" priority="7427" stopIfTrue="1" operator="equal">
      <formula>"Pass"</formula>
    </cfRule>
    <cfRule type="cellIs" dxfId="7431" priority="7428" stopIfTrue="1" operator="equal">
      <formula>"Fail"</formula>
    </cfRule>
  </conditionalFormatting>
  <conditionalFormatting sqref="H1482">
    <cfRule type="cellIs" dxfId="7430" priority="7425" stopIfTrue="1" operator="equal">
      <formula>"Pass"</formula>
    </cfRule>
    <cfRule type="cellIs" dxfId="7429" priority="7426" stopIfTrue="1" operator="equal">
      <formula>"Fail"</formula>
    </cfRule>
  </conditionalFormatting>
  <conditionalFormatting sqref="I1482:L1482">
    <cfRule type="cellIs" dxfId="7428" priority="7423" stopIfTrue="1" operator="equal">
      <formula>"Pass"</formula>
    </cfRule>
    <cfRule type="cellIs" dxfId="7427" priority="7424" stopIfTrue="1" operator="equal">
      <formula>"Fail"</formula>
    </cfRule>
  </conditionalFormatting>
  <conditionalFormatting sqref="I1482:L1482">
    <cfRule type="cellIs" dxfId="7426" priority="7421" stopIfTrue="1" operator="equal">
      <formula>"Pass"</formula>
    </cfRule>
    <cfRule type="cellIs" dxfId="7425" priority="7422" stopIfTrue="1" operator="equal">
      <formula>"Fail"</formula>
    </cfRule>
  </conditionalFormatting>
  <conditionalFormatting sqref="I1482:L1482">
    <cfRule type="cellIs" dxfId="7424" priority="7419" stopIfTrue="1" operator="equal">
      <formula>"Pass"</formula>
    </cfRule>
    <cfRule type="cellIs" dxfId="7423" priority="7420" stopIfTrue="1" operator="equal">
      <formula>"Fail"</formula>
    </cfRule>
  </conditionalFormatting>
  <conditionalFormatting sqref="I1482:L1482">
    <cfRule type="cellIs" dxfId="7422" priority="7417" stopIfTrue="1" operator="equal">
      <formula>"Pass"</formula>
    </cfRule>
    <cfRule type="cellIs" dxfId="7421" priority="7418" stopIfTrue="1" operator="equal">
      <formula>"Fail"</formula>
    </cfRule>
  </conditionalFormatting>
  <conditionalFormatting sqref="I1482:L1482">
    <cfRule type="cellIs" dxfId="7420" priority="7415" stopIfTrue="1" operator="equal">
      <formula>"Pass"</formula>
    </cfRule>
    <cfRule type="cellIs" dxfId="7419" priority="7416" stopIfTrue="1" operator="equal">
      <formula>"Fail"</formula>
    </cfRule>
  </conditionalFormatting>
  <conditionalFormatting sqref="I1482:L1482">
    <cfRule type="cellIs" dxfId="7418" priority="7413" stopIfTrue="1" operator="equal">
      <formula>"Pass"</formula>
    </cfRule>
    <cfRule type="cellIs" dxfId="7417" priority="7414" stopIfTrue="1" operator="equal">
      <formula>"Fail"</formula>
    </cfRule>
  </conditionalFormatting>
  <conditionalFormatting sqref="J1482:L1482">
    <cfRule type="cellIs" dxfId="7416" priority="7411" stopIfTrue="1" operator="equal">
      <formula>"Pass"</formula>
    </cfRule>
    <cfRule type="cellIs" dxfId="7415" priority="7412" stopIfTrue="1" operator="equal">
      <formula>"Fail"</formula>
    </cfRule>
  </conditionalFormatting>
  <conditionalFormatting sqref="I1482">
    <cfRule type="cellIs" dxfId="7414" priority="7409" stopIfTrue="1" operator="equal">
      <formula>"Pass"</formula>
    </cfRule>
    <cfRule type="cellIs" dxfId="7413" priority="7410" stopIfTrue="1" operator="equal">
      <formula>"Fail"</formula>
    </cfRule>
  </conditionalFormatting>
  <conditionalFormatting sqref="I1482:L1482">
    <cfRule type="cellIs" dxfId="7412" priority="7407" stopIfTrue="1" operator="equal">
      <formula>"Pass"</formula>
    </cfRule>
    <cfRule type="cellIs" dxfId="7411" priority="7408" stopIfTrue="1" operator="equal">
      <formula>"Fail"</formula>
    </cfRule>
  </conditionalFormatting>
  <conditionalFormatting sqref="J1482:L1482">
    <cfRule type="cellIs" dxfId="7410" priority="7405" stopIfTrue="1" operator="equal">
      <formula>"Pass"</formula>
    </cfRule>
    <cfRule type="cellIs" dxfId="7409" priority="7406" stopIfTrue="1" operator="equal">
      <formula>"Fail"</formula>
    </cfRule>
  </conditionalFormatting>
  <conditionalFormatting sqref="I1482">
    <cfRule type="cellIs" dxfId="7408" priority="7403" stopIfTrue="1" operator="equal">
      <formula>"Pass"</formula>
    </cfRule>
    <cfRule type="cellIs" dxfId="7407" priority="7404" stopIfTrue="1" operator="equal">
      <formula>"Fail"</formula>
    </cfRule>
  </conditionalFormatting>
  <conditionalFormatting sqref="I1482:L1482">
    <cfRule type="cellIs" dxfId="7406" priority="7401" stopIfTrue="1" operator="equal">
      <formula>"Pass"</formula>
    </cfRule>
    <cfRule type="cellIs" dxfId="7405" priority="7402" stopIfTrue="1" operator="equal">
      <formula>"Fail"</formula>
    </cfRule>
  </conditionalFormatting>
  <conditionalFormatting sqref="J1482:L1482">
    <cfRule type="cellIs" dxfId="7404" priority="7399" stopIfTrue="1" operator="equal">
      <formula>"Pass"</formula>
    </cfRule>
    <cfRule type="cellIs" dxfId="7403" priority="7400" stopIfTrue="1" operator="equal">
      <formula>"Fail"</formula>
    </cfRule>
  </conditionalFormatting>
  <conditionalFormatting sqref="I1482">
    <cfRule type="cellIs" dxfId="7402" priority="7397" stopIfTrue="1" operator="equal">
      <formula>"Pass"</formula>
    </cfRule>
    <cfRule type="cellIs" dxfId="7401" priority="7398" stopIfTrue="1" operator="equal">
      <formula>"Fail"</formula>
    </cfRule>
  </conditionalFormatting>
  <conditionalFormatting sqref="I1482:L1482">
    <cfRule type="cellIs" dxfId="7400" priority="7395" stopIfTrue="1" operator="equal">
      <formula>"Pass"</formula>
    </cfRule>
    <cfRule type="cellIs" dxfId="7399" priority="7396" stopIfTrue="1" operator="equal">
      <formula>"Fail"</formula>
    </cfRule>
  </conditionalFormatting>
  <conditionalFormatting sqref="J1482:L1482">
    <cfRule type="cellIs" dxfId="7398" priority="7393" stopIfTrue="1" operator="equal">
      <formula>"Pass"</formula>
    </cfRule>
    <cfRule type="cellIs" dxfId="7397" priority="7394" stopIfTrue="1" operator="equal">
      <formula>"Fail"</formula>
    </cfRule>
  </conditionalFormatting>
  <conditionalFormatting sqref="I1482">
    <cfRule type="cellIs" dxfId="7396" priority="7391" stopIfTrue="1" operator="equal">
      <formula>"Pass"</formula>
    </cfRule>
    <cfRule type="cellIs" dxfId="7395" priority="7392" stopIfTrue="1" operator="equal">
      <formula>"Fail"</formula>
    </cfRule>
  </conditionalFormatting>
  <conditionalFormatting sqref="I1482:L1482">
    <cfRule type="cellIs" dxfId="7394" priority="7389" stopIfTrue="1" operator="equal">
      <formula>"Pass"</formula>
    </cfRule>
    <cfRule type="cellIs" dxfId="7393" priority="7390" stopIfTrue="1" operator="equal">
      <formula>"Fail"</formula>
    </cfRule>
  </conditionalFormatting>
  <conditionalFormatting sqref="I1482:L1482">
    <cfRule type="cellIs" dxfId="7392" priority="7387" stopIfTrue="1" operator="equal">
      <formula>"Pass"</formula>
    </cfRule>
    <cfRule type="cellIs" dxfId="7391" priority="7388" stopIfTrue="1" operator="equal">
      <formula>"Fail"</formula>
    </cfRule>
  </conditionalFormatting>
  <conditionalFormatting sqref="H1482">
    <cfRule type="cellIs" dxfId="7390" priority="7385" stopIfTrue="1" operator="equal">
      <formula>"Pass"</formula>
    </cfRule>
    <cfRule type="cellIs" dxfId="7389" priority="7386" stopIfTrue="1" operator="equal">
      <formula>"Fail"</formula>
    </cfRule>
  </conditionalFormatting>
  <conditionalFormatting sqref="H1482">
    <cfRule type="cellIs" dxfId="7388" priority="7383" stopIfTrue="1" operator="equal">
      <formula>"Pass"</formula>
    </cfRule>
    <cfRule type="cellIs" dxfId="7387" priority="7384" stopIfTrue="1" operator="equal">
      <formula>"Fail"</formula>
    </cfRule>
  </conditionalFormatting>
  <conditionalFormatting sqref="H1482">
    <cfRule type="cellIs" dxfId="7386" priority="7381" stopIfTrue="1" operator="equal">
      <formula>"Pass"</formula>
    </cfRule>
    <cfRule type="cellIs" dxfId="7385" priority="7382" stopIfTrue="1" operator="equal">
      <formula>"Fail"</formula>
    </cfRule>
  </conditionalFormatting>
  <conditionalFormatting sqref="I1482:L1482">
    <cfRule type="cellIs" dxfId="7384" priority="7379" stopIfTrue="1" operator="equal">
      <formula>"Pass"</formula>
    </cfRule>
    <cfRule type="cellIs" dxfId="7383" priority="7380" stopIfTrue="1" operator="equal">
      <formula>"Fail"</formula>
    </cfRule>
  </conditionalFormatting>
  <conditionalFormatting sqref="I1482:L1482">
    <cfRule type="cellIs" dxfId="7382" priority="7377" stopIfTrue="1" operator="equal">
      <formula>"Pass"</formula>
    </cfRule>
    <cfRule type="cellIs" dxfId="7381" priority="7378" stopIfTrue="1" operator="equal">
      <formula>"Fail"</formula>
    </cfRule>
  </conditionalFormatting>
  <conditionalFormatting sqref="I1482:L1482">
    <cfRule type="cellIs" dxfId="7380" priority="7375" stopIfTrue="1" operator="equal">
      <formula>"Pass"</formula>
    </cfRule>
    <cfRule type="cellIs" dxfId="7379" priority="7376" stopIfTrue="1" operator="equal">
      <formula>"Fail"</formula>
    </cfRule>
  </conditionalFormatting>
  <conditionalFormatting sqref="I1482:L1482">
    <cfRule type="cellIs" dxfId="7378" priority="7373" stopIfTrue="1" operator="equal">
      <formula>"Pass"</formula>
    </cfRule>
    <cfRule type="cellIs" dxfId="7377" priority="7374" stopIfTrue="1" operator="equal">
      <formula>"Fail"</formula>
    </cfRule>
  </conditionalFormatting>
  <conditionalFormatting sqref="I1482:L1482">
    <cfRule type="cellIs" dxfId="7376" priority="7371" stopIfTrue="1" operator="equal">
      <formula>"Pass"</formula>
    </cfRule>
    <cfRule type="cellIs" dxfId="7375" priority="7372" stopIfTrue="1" operator="equal">
      <formula>"Fail"</formula>
    </cfRule>
  </conditionalFormatting>
  <conditionalFormatting sqref="I1482:L1482">
    <cfRule type="cellIs" dxfId="7374" priority="7369" stopIfTrue="1" operator="equal">
      <formula>"Pass"</formula>
    </cfRule>
    <cfRule type="cellIs" dxfId="7373" priority="7370" stopIfTrue="1" operator="equal">
      <formula>"Fail"</formula>
    </cfRule>
  </conditionalFormatting>
  <conditionalFormatting sqref="J1482:L1482">
    <cfRule type="cellIs" dxfId="7372" priority="7367" stopIfTrue="1" operator="equal">
      <formula>"Pass"</formula>
    </cfRule>
    <cfRule type="cellIs" dxfId="7371" priority="7368" stopIfTrue="1" operator="equal">
      <formula>"Fail"</formula>
    </cfRule>
  </conditionalFormatting>
  <conditionalFormatting sqref="I1482">
    <cfRule type="cellIs" dxfId="7370" priority="7365" stopIfTrue="1" operator="equal">
      <formula>"Pass"</formula>
    </cfRule>
    <cfRule type="cellIs" dxfId="7369" priority="7366" stopIfTrue="1" operator="equal">
      <formula>"Fail"</formula>
    </cfRule>
  </conditionalFormatting>
  <conditionalFormatting sqref="I1482:L1482">
    <cfRule type="cellIs" dxfId="7368" priority="7363" stopIfTrue="1" operator="equal">
      <formula>"Pass"</formula>
    </cfRule>
    <cfRule type="cellIs" dxfId="7367" priority="7364" stopIfTrue="1" operator="equal">
      <formula>"Fail"</formula>
    </cfRule>
  </conditionalFormatting>
  <conditionalFormatting sqref="J1482:L1482">
    <cfRule type="cellIs" dxfId="7366" priority="7361" stopIfTrue="1" operator="equal">
      <formula>"Pass"</formula>
    </cfRule>
    <cfRule type="cellIs" dxfId="7365" priority="7362" stopIfTrue="1" operator="equal">
      <formula>"Fail"</formula>
    </cfRule>
  </conditionalFormatting>
  <conditionalFormatting sqref="I1482">
    <cfRule type="cellIs" dxfId="7364" priority="7359" stopIfTrue="1" operator="equal">
      <formula>"Pass"</formula>
    </cfRule>
    <cfRule type="cellIs" dxfId="7363" priority="7360" stopIfTrue="1" operator="equal">
      <formula>"Fail"</formula>
    </cfRule>
  </conditionalFormatting>
  <conditionalFormatting sqref="I1482:L1482">
    <cfRule type="cellIs" dxfId="7362" priority="7357" stopIfTrue="1" operator="equal">
      <formula>"Pass"</formula>
    </cfRule>
    <cfRule type="cellIs" dxfId="7361" priority="7358" stopIfTrue="1" operator="equal">
      <formula>"Fail"</formula>
    </cfRule>
  </conditionalFormatting>
  <conditionalFormatting sqref="J1482:L1482">
    <cfRule type="cellIs" dxfId="7360" priority="7355" stopIfTrue="1" operator="equal">
      <formula>"Pass"</formula>
    </cfRule>
    <cfRule type="cellIs" dxfId="7359" priority="7356" stopIfTrue="1" operator="equal">
      <formula>"Fail"</formula>
    </cfRule>
  </conditionalFormatting>
  <conditionalFormatting sqref="I1482">
    <cfRule type="cellIs" dxfId="7358" priority="7353" stopIfTrue="1" operator="equal">
      <formula>"Pass"</formula>
    </cfRule>
    <cfRule type="cellIs" dxfId="7357" priority="7354" stopIfTrue="1" operator="equal">
      <formula>"Fail"</formula>
    </cfRule>
  </conditionalFormatting>
  <conditionalFormatting sqref="I1482:L1482">
    <cfRule type="cellIs" dxfId="7356" priority="7351" stopIfTrue="1" operator="equal">
      <formula>"Pass"</formula>
    </cfRule>
    <cfRule type="cellIs" dxfId="7355" priority="7352" stopIfTrue="1" operator="equal">
      <formula>"Fail"</formula>
    </cfRule>
  </conditionalFormatting>
  <conditionalFormatting sqref="J1482:L1482">
    <cfRule type="cellIs" dxfId="7354" priority="7349" stopIfTrue="1" operator="equal">
      <formula>"Pass"</formula>
    </cfRule>
    <cfRule type="cellIs" dxfId="7353" priority="7350" stopIfTrue="1" operator="equal">
      <formula>"Fail"</formula>
    </cfRule>
  </conditionalFormatting>
  <conditionalFormatting sqref="I1482">
    <cfRule type="cellIs" dxfId="7352" priority="7347" stopIfTrue="1" operator="equal">
      <formula>"Pass"</formula>
    </cfRule>
    <cfRule type="cellIs" dxfId="7351" priority="7348" stopIfTrue="1" operator="equal">
      <formula>"Fail"</formula>
    </cfRule>
  </conditionalFormatting>
  <conditionalFormatting sqref="I1482:L1482">
    <cfRule type="cellIs" dxfId="7350" priority="7345" stopIfTrue="1" operator="equal">
      <formula>"Pass"</formula>
    </cfRule>
    <cfRule type="cellIs" dxfId="7349" priority="7346" stopIfTrue="1" operator="equal">
      <formula>"Fail"</formula>
    </cfRule>
  </conditionalFormatting>
  <conditionalFormatting sqref="I1482:L1482">
    <cfRule type="cellIs" dxfId="7348" priority="7343" stopIfTrue="1" operator="equal">
      <formula>"Pass"</formula>
    </cfRule>
    <cfRule type="cellIs" dxfId="7347" priority="7344" stopIfTrue="1" operator="equal">
      <formula>"Fail"</formula>
    </cfRule>
  </conditionalFormatting>
  <conditionalFormatting sqref="I1482">
    <cfRule type="cellIs" dxfId="7346" priority="7341" stopIfTrue="1" operator="equal">
      <formula>"Pass"</formula>
    </cfRule>
    <cfRule type="cellIs" dxfId="7345" priority="7342" stopIfTrue="1" operator="equal">
      <formula>"Fail"</formula>
    </cfRule>
  </conditionalFormatting>
  <conditionalFormatting sqref="I1482">
    <cfRule type="cellIs" dxfId="7344" priority="7339" stopIfTrue="1" operator="equal">
      <formula>"Pass"</formula>
    </cfRule>
    <cfRule type="cellIs" dxfId="7343" priority="7340" stopIfTrue="1" operator="equal">
      <formula>"Fail"</formula>
    </cfRule>
  </conditionalFormatting>
  <conditionalFormatting sqref="H1482:L1482">
    <cfRule type="cellIs" dxfId="7342" priority="7337" stopIfTrue="1" operator="equal">
      <formula>"Pass"</formula>
    </cfRule>
    <cfRule type="cellIs" dxfId="7341" priority="7338" stopIfTrue="1" operator="equal">
      <formula>"Fail"</formula>
    </cfRule>
  </conditionalFormatting>
  <conditionalFormatting sqref="H1482:L1482">
    <cfRule type="cellIs" dxfId="7340" priority="7335" stopIfTrue="1" operator="equal">
      <formula>"Pass"</formula>
    </cfRule>
    <cfRule type="cellIs" dxfId="7339" priority="7336" stopIfTrue="1" operator="equal">
      <formula>"Fail"</formula>
    </cfRule>
  </conditionalFormatting>
  <conditionalFormatting sqref="H1482:L1482">
    <cfRule type="cellIs" dxfId="7338" priority="7333" stopIfTrue="1" operator="equal">
      <formula>"Pass"</formula>
    </cfRule>
    <cfRule type="cellIs" dxfId="7337" priority="7334" stopIfTrue="1" operator="equal">
      <formula>"Fail"</formula>
    </cfRule>
  </conditionalFormatting>
  <conditionalFormatting sqref="H1482:L1482">
    <cfRule type="cellIs" dxfId="7336" priority="7331" stopIfTrue="1" operator="equal">
      <formula>"Pass"</formula>
    </cfRule>
    <cfRule type="cellIs" dxfId="7335" priority="7332" stopIfTrue="1" operator="equal">
      <formula>"Fail"</formula>
    </cfRule>
  </conditionalFormatting>
  <conditionalFormatting sqref="H1482:L1482">
    <cfRule type="cellIs" dxfId="7334" priority="7329" stopIfTrue="1" operator="equal">
      <formula>"Pass"</formula>
    </cfRule>
    <cfRule type="cellIs" dxfId="7333" priority="7330" stopIfTrue="1" operator="equal">
      <formula>"Fail"</formula>
    </cfRule>
  </conditionalFormatting>
  <conditionalFormatting sqref="J1482:L1482">
    <cfRule type="cellIs" dxfId="7332" priority="7327" stopIfTrue="1" operator="equal">
      <formula>"Pass"</formula>
    </cfRule>
    <cfRule type="cellIs" dxfId="7331" priority="7328" stopIfTrue="1" operator="equal">
      <formula>"Fail"</formula>
    </cfRule>
  </conditionalFormatting>
  <conditionalFormatting sqref="I1482">
    <cfRule type="cellIs" dxfId="7330" priority="7325" stopIfTrue="1" operator="equal">
      <formula>"Pass"</formula>
    </cfRule>
    <cfRule type="cellIs" dxfId="7329" priority="7326" stopIfTrue="1" operator="equal">
      <formula>"Fail"</formula>
    </cfRule>
  </conditionalFormatting>
  <conditionalFormatting sqref="I1482:L1482">
    <cfRule type="cellIs" dxfId="7328" priority="7323" stopIfTrue="1" operator="equal">
      <formula>"Pass"</formula>
    </cfRule>
    <cfRule type="cellIs" dxfId="7327" priority="7324" stopIfTrue="1" operator="equal">
      <formula>"Fail"</formula>
    </cfRule>
  </conditionalFormatting>
  <conditionalFormatting sqref="J1482:L1482">
    <cfRule type="cellIs" dxfId="7326" priority="7321" stopIfTrue="1" operator="equal">
      <formula>"Pass"</formula>
    </cfRule>
    <cfRule type="cellIs" dxfId="7325" priority="7322" stopIfTrue="1" operator="equal">
      <formula>"Fail"</formula>
    </cfRule>
  </conditionalFormatting>
  <conditionalFormatting sqref="I1482">
    <cfRule type="cellIs" dxfId="7324" priority="7319" stopIfTrue="1" operator="equal">
      <formula>"Pass"</formula>
    </cfRule>
    <cfRule type="cellIs" dxfId="7323" priority="7320" stopIfTrue="1" operator="equal">
      <formula>"Fail"</formula>
    </cfRule>
  </conditionalFormatting>
  <conditionalFormatting sqref="I1482:L1482">
    <cfRule type="cellIs" dxfId="7322" priority="7317" stopIfTrue="1" operator="equal">
      <formula>"Pass"</formula>
    </cfRule>
    <cfRule type="cellIs" dxfId="7321" priority="7318" stopIfTrue="1" operator="equal">
      <formula>"Fail"</formula>
    </cfRule>
  </conditionalFormatting>
  <conditionalFormatting sqref="J1482:L1482">
    <cfRule type="cellIs" dxfId="7320" priority="7315" stopIfTrue="1" operator="equal">
      <formula>"Pass"</formula>
    </cfRule>
    <cfRule type="cellIs" dxfId="7319" priority="7316" stopIfTrue="1" operator="equal">
      <formula>"Fail"</formula>
    </cfRule>
  </conditionalFormatting>
  <conditionalFormatting sqref="I1482">
    <cfRule type="cellIs" dxfId="7318" priority="7313" stopIfTrue="1" operator="equal">
      <formula>"Pass"</formula>
    </cfRule>
    <cfRule type="cellIs" dxfId="7317" priority="7314" stopIfTrue="1" operator="equal">
      <formula>"Fail"</formula>
    </cfRule>
  </conditionalFormatting>
  <conditionalFormatting sqref="I1482:L1482">
    <cfRule type="cellIs" dxfId="7316" priority="7311" stopIfTrue="1" operator="equal">
      <formula>"Pass"</formula>
    </cfRule>
    <cfRule type="cellIs" dxfId="7315" priority="7312" stopIfTrue="1" operator="equal">
      <formula>"Fail"</formula>
    </cfRule>
  </conditionalFormatting>
  <conditionalFormatting sqref="J1482:L1482">
    <cfRule type="cellIs" dxfId="7314" priority="7309" stopIfTrue="1" operator="equal">
      <formula>"Pass"</formula>
    </cfRule>
    <cfRule type="cellIs" dxfId="7313" priority="7310" stopIfTrue="1" operator="equal">
      <formula>"Fail"</formula>
    </cfRule>
  </conditionalFormatting>
  <conditionalFormatting sqref="I1482">
    <cfRule type="cellIs" dxfId="7312" priority="7307" stopIfTrue="1" operator="equal">
      <formula>"Pass"</formula>
    </cfRule>
    <cfRule type="cellIs" dxfId="7311" priority="7308" stopIfTrue="1" operator="equal">
      <formula>"Fail"</formula>
    </cfRule>
  </conditionalFormatting>
  <conditionalFormatting sqref="I1482:L1482">
    <cfRule type="cellIs" dxfId="7310" priority="7305" stopIfTrue="1" operator="equal">
      <formula>"Pass"</formula>
    </cfRule>
    <cfRule type="cellIs" dxfId="7309" priority="7306" stopIfTrue="1" operator="equal">
      <formula>"Fail"</formula>
    </cfRule>
  </conditionalFormatting>
  <conditionalFormatting sqref="J1482:L1482">
    <cfRule type="cellIs" dxfId="7308" priority="7303" stopIfTrue="1" operator="equal">
      <formula>"Pass"</formula>
    </cfRule>
    <cfRule type="cellIs" dxfId="7307" priority="7304" stopIfTrue="1" operator="equal">
      <formula>"Fail"</formula>
    </cfRule>
  </conditionalFormatting>
  <conditionalFormatting sqref="I1482">
    <cfRule type="cellIs" dxfId="7306" priority="7301" stopIfTrue="1" operator="equal">
      <formula>"Pass"</formula>
    </cfRule>
    <cfRule type="cellIs" dxfId="7305" priority="7302" stopIfTrue="1" operator="equal">
      <formula>"Fail"</formula>
    </cfRule>
  </conditionalFormatting>
  <conditionalFormatting sqref="I1482:L1482">
    <cfRule type="cellIs" dxfId="7304" priority="7299" stopIfTrue="1" operator="equal">
      <formula>"Pass"</formula>
    </cfRule>
    <cfRule type="cellIs" dxfId="7303" priority="7300" stopIfTrue="1" operator="equal">
      <formula>"Fail"</formula>
    </cfRule>
  </conditionalFormatting>
  <conditionalFormatting sqref="J1482:L1482">
    <cfRule type="cellIs" dxfId="7302" priority="7297" stopIfTrue="1" operator="equal">
      <formula>"Pass"</formula>
    </cfRule>
    <cfRule type="cellIs" dxfId="7301" priority="7298" stopIfTrue="1" operator="equal">
      <formula>"Fail"</formula>
    </cfRule>
  </conditionalFormatting>
  <conditionalFormatting sqref="I1482">
    <cfRule type="cellIs" dxfId="7300" priority="7295" stopIfTrue="1" operator="equal">
      <formula>"Pass"</formula>
    </cfRule>
    <cfRule type="cellIs" dxfId="7299" priority="7296" stopIfTrue="1" operator="equal">
      <formula>"Fail"</formula>
    </cfRule>
  </conditionalFormatting>
  <conditionalFormatting sqref="I1482:L1482">
    <cfRule type="cellIs" dxfId="7298" priority="7293" stopIfTrue="1" operator="equal">
      <formula>"Pass"</formula>
    </cfRule>
    <cfRule type="cellIs" dxfId="7297" priority="7294" stopIfTrue="1" operator="equal">
      <formula>"Fail"</formula>
    </cfRule>
  </conditionalFormatting>
  <conditionalFormatting sqref="J1482:L1482">
    <cfRule type="cellIs" dxfId="7296" priority="7291" stopIfTrue="1" operator="equal">
      <formula>"Pass"</formula>
    </cfRule>
    <cfRule type="cellIs" dxfId="7295" priority="7292" stopIfTrue="1" operator="equal">
      <formula>"Fail"</formula>
    </cfRule>
  </conditionalFormatting>
  <conditionalFormatting sqref="I1482">
    <cfRule type="cellIs" dxfId="7294" priority="7289" stopIfTrue="1" operator="equal">
      <formula>"Pass"</formula>
    </cfRule>
    <cfRule type="cellIs" dxfId="7293" priority="7290" stopIfTrue="1" operator="equal">
      <formula>"Fail"</formula>
    </cfRule>
  </conditionalFormatting>
  <conditionalFormatting sqref="I1482:L1482">
    <cfRule type="cellIs" dxfId="7292" priority="7287" stopIfTrue="1" operator="equal">
      <formula>"Pass"</formula>
    </cfRule>
    <cfRule type="cellIs" dxfId="7291" priority="7288" stopIfTrue="1" operator="equal">
      <formula>"Fail"</formula>
    </cfRule>
  </conditionalFormatting>
  <conditionalFormatting sqref="J1482:L1482">
    <cfRule type="cellIs" dxfId="7290" priority="7285" stopIfTrue="1" operator="equal">
      <formula>"Pass"</formula>
    </cfRule>
    <cfRule type="cellIs" dxfId="7289" priority="7286" stopIfTrue="1" operator="equal">
      <formula>"Fail"</formula>
    </cfRule>
  </conditionalFormatting>
  <conditionalFormatting sqref="I1482">
    <cfRule type="cellIs" dxfId="7288" priority="7283" stopIfTrue="1" operator="equal">
      <formula>"Pass"</formula>
    </cfRule>
    <cfRule type="cellIs" dxfId="7287" priority="7284" stopIfTrue="1" operator="equal">
      <formula>"Fail"</formula>
    </cfRule>
  </conditionalFormatting>
  <conditionalFormatting sqref="I1482:L1482">
    <cfRule type="cellIs" dxfId="7286" priority="7281" stopIfTrue="1" operator="equal">
      <formula>"Pass"</formula>
    </cfRule>
    <cfRule type="cellIs" dxfId="7285" priority="7282" stopIfTrue="1" operator="equal">
      <formula>"Fail"</formula>
    </cfRule>
  </conditionalFormatting>
  <conditionalFormatting sqref="J1482:L1482">
    <cfRule type="cellIs" dxfId="7284" priority="7279" stopIfTrue="1" operator="equal">
      <formula>"Pass"</formula>
    </cfRule>
    <cfRule type="cellIs" dxfId="7283" priority="7280" stopIfTrue="1" operator="equal">
      <formula>"Fail"</formula>
    </cfRule>
  </conditionalFormatting>
  <conditionalFormatting sqref="I1482">
    <cfRule type="cellIs" dxfId="7282" priority="7277" stopIfTrue="1" operator="equal">
      <formula>"Pass"</formula>
    </cfRule>
    <cfRule type="cellIs" dxfId="7281" priority="7278" stopIfTrue="1" operator="equal">
      <formula>"Fail"</formula>
    </cfRule>
  </conditionalFormatting>
  <conditionalFormatting sqref="I1482:L1482">
    <cfRule type="cellIs" dxfId="7280" priority="7275" stopIfTrue="1" operator="equal">
      <formula>"Pass"</formula>
    </cfRule>
    <cfRule type="cellIs" dxfId="7279" priority="7276" stopIfTrue="1" operator="equal">
      <formula>"Fail"</formula>
    </cfRule>
  </conditionalFormatting>
  <conditionalFormatting sqref="J1482:L1482">
    <cfRule type="cellIs" dxfId="7278" priority="7273" stopIfTrue="1" operator="equal">
      <formula>"Pass"</formula>
    </cfRule>
    <cfRule type="cellIs" dxfId="7277" priority="7274" stopIfTrue="1" operator="equal">
      <formula>"Fail"</formula>
    </cfRule>
  </conditionalFormatting>
  <conditionalFormatting sqref="I1482">
    <cfRule type="cellIs" dxfId="7276" priority="7271" stopIfTrue="1" operator="equal">
      <formula>"Pass"</formula>
    </cfRule>
    <cfRule type="cellIs" dxfId="7275" priority="7272" stopIfTrue="1" operator="equal">
      <formula>"Fail"</formula>
    </cfRule>
  </conditionalFormatting>
  <conditionalFormatting sqref="I1482:L1482">
    <cfRule type="cellIs" dxfId="7274" priority="7269" stopIfTrue="1" operator="equal">
      <formula>"Pass"</formula>
    </cfRule>
    <cfRule type="cellIs" dxfId="7273" priority="7270" stopIfTrue="1" operator="equal">
      <formula>"Fail"</formula>
    </cfRule>
  </conditionalFormatting>
  <conditionalFormatting sqref="J1482:L1482">
    <cfRule type="cellIs" dxfId="7272" priority="7267" stopIfTrue="1" operator="equal">
      <formula>"Pass"</formula>
    </cfRule>
    <cfRule type="cellIs" dxfId="7271" priority="7268" stopIfTrue="1" operator="equal">
      <formula>"Fail"</formula>
    </cfRule>
  </conditionalFormatting>
  <conditionalFormatting sqref="I1482">
    <cfRule type="cellIs" dxfId="7270" priority="7265" stopIfTrue="1" operator="equal">
      <formula>"Pass"</formula>
    </cfRule>
    <cfRule type="cellIs" dxfId="7269" priority="7266" stopIfTrue="1" operator="equal">
      <formula>"Fail"</formula>
    </cfRule>
  </conditionalFormatting>
  <conditionalFormatting sqref="I1482:L1482">
    <cfRule type="cellIs" dxfId="7268" priority="7263" stopIfTrue="1" operator="equal">
      <formula>"Pass"</formula>
    </cfRule>
    <cfRule type="cellIs" dxfId="7267" priority="7264" stopIfTrue="1" operator="equal">
      <formula>"Fail"</formula>
    </cfRule>
  </conditionalFormatting>
  <conditionalFormatting sqref="J1482:L1482">
    <cfRule type="cellIs" dxfId="7266" priority="7261" stopIfTrue="1" operator="equal">
      <formula>"Pass"</formula>
    </cfRule>
    <cfRule type="cellIs" dxfId="7265" priority="7262" stopIfTrue="1" operator="equal">
      <formula>"Fail"</formula>
    </cfRule>
  </conditionalFormatting>
  <conditionalFormatting sqref="I1482">
    <cfRule type="cellIs" dxfId="7264" priority="7259" stopIfTrue="1" operator="equal">
      <formula>"Pass"</formula>
    </cfRule>
    <cfRule type="cellIs" dxfId="7263" priority="7260" stopIfTrue="1" operator="equal">
      <formula>"Fail"</formula>
    </cfRule>
  </conditionalFormatting>
  <conditionalFormatting sqref="I1482:L1482">
    <cfRule type="cellIs" dxfId="7262" priority="7257" stopIfTrue="1" operator="equal">
      <formula>"Pass"</formula>
    </cfRule>
    <cfRule type="cellIs" dxfId="7261" priority="7258" stopIfTrue="1" operator="equal">
      <formula>"Fail"</formula>
    </cfRule>
  </conditionalFormatting>
  <conditionalFormatting sqref="J1482:L1482">
    <cfRule type="cellIs" dxfId="7260" priority="7255" stopIfTrue="1" operator="equal">
      <formula>"Pass"</formula>
    </cfRule>
    <cfRule type="cellIs" dxfId="7259" priority="7256" stopIfTrue="1" operator="equal">
      <formula>"Fail"</formula>
    </cfRule>
  </conditionalFormatting>
  <conditionalFormatting sqref="I1482">
    <cfRule type="cellIs" dxfId="7258" priority="7253" stopIfTrue="1" operator="equal">
      <formula>"Pass"</formula>
    </cfRule>
    <cfRule type="cellIs" dxfId="7257" priority="7254" stopIfTrue="1" operator="equal">
      <formula>"Fail"</formula>
    </cfRule>
  </conditionalFormatting>
  <conditionalFormatting sqref="I1482:L1482">
    <cfRule type="cellIs" dxfId="7256" priority="7251" stopIfTrue="1" operator="equal">
      <formula>"Pass"</formula>
    </cfRule>
    <cfRule type="cellIs" dxfId="7255" priority="7252" stopIfTrue="1" operator="equal">
      <formula>"Fail"</formula>
    </cfRule>
  </conditionalFormatting>
  <conditionalFormatting sqref="J1482:L1482">
    <cfRule type="cellIs" dxfId="7254" priority="7249" stopIfTrue="1" operator="equal">
      <formula>"Pass"</formula>
    </cfRule>
    <cfRule type="cellIs" dxfId="7253" priority="7250" stopIfTrue="1" operator="equal">
      <formula>"Fail"</formula>
    </cfRule>
  </conditionalFormatting>
  <conditionalFormatting sqref="I1482">
    <cfRule type="cellIs" dxfId="7252" priority="7247" stopIfTrue="1" operator="equal">
      <formula>"Pass"</formula>
    </cfRule>
    <cfRule type="cellIs" dxfId="7251" priority="7248" stopIfTrue="1" operator="equal">
      <formula>"Fail"</formula>
    </cfRule>
  </conditionalFormatting>
  <conditionalFormatting sqref="I1482:L1482">
    <cfRule type="cellIs" dxfId="7250" priority="7245" stopIfTrue="1" operator="equal">
      <formula>"Pass"</formula>
    </cfRule>
    <cfRule type="cellIs" dxfId="7249" priority="7246" stopIfTrue="1" operator="equal">
      <formula>"Fail"</formula>
    </cfRule>
  </conditionalFormatting>
  <conditionalFormatting sqref="J1482:L1482">
    <cfRule type="cellIs" dxfId="7248" priority="7243" stopIfTrue="1" operator="equal">
      <formula>"Pass"</formula>
    </cfRule>
    <cfRule type="cellIs" dxfId="7247" priority="7244" stopIfTrue="1" operator="equal">
      <formula>"Fail"</formula>
    </cfRule>
  </conditionalFormatting>
  <conditionalFormatting sqref="I1482">
    <cfRule type="cellIs" dxfId="7246" priority="7241" stopIfTrue="1" operator="equal">
      <formula>"Pass"</formula>
    </cfRule>
    <cfRule type="cellIs" dxfId="7245" priority="7242" stopIfTrue="1" operator="equal">
      <formula>"Fail"</formula>
    </cfRule>
  </conditionalFormatting>
  <conditionalFormatting sqref="I1482:L1482">
    <cfRule type="cellIs" dxfId="7244" priority="7239" stopIfTrue="1" operator="equal">
      <formula>"Pass"</formula>
    </cfRule>
    <cfRule type="cellIs" dxfId="7243" priority="7240" stopIfTrue="1" operator="equal">
      <formula>"Fail"</formula>
    </cfRule>
  </conditionalFormatting>
  <conditionalFormatting sqref="J1482:L1482">
    <cfRule type="cellIs" dxfId="7242" priority="7237" stopIfTrue="1" operator="equal">
      <formula>"Pass"</formula>
    </cfRule>
    <cfRule type="cellIs" dxfId="7241" priority="7238" stopIfTrue="1" operator="equal">
      <formula>"Fail"</formula>
    </cfRule>
  </conditionalFormatting>
  <conditionalFormatting sqref="I1482">
    <cfRule type="cellIs" dxfId="7240" priority="7235" stopIfTrue="1" operator="equal">
      <formula>"Pass"</formula>
    </cfRule>
    <cfRule type="cellIs" dxfId="7239" priority="7236" stopIfTrue="1" operator="equal">
      <formula>"Fail"</formula>
    </cfRule>
  </conditionalFormatting>
  <conditionalFormatting sqref="I1482:L1482">
    <cfRule type="cellIs" dxfId="7238" priority="7233" stopIfTrue="1" operator="equal">
      <formula>"Pass"</formula>
    </cfRule>
    <cfRule type="cellIs" dxfId="7237" priority="7234" stopIfTrue="1" operator="equal">
      <formula>"Fail"</formula>
    </cfRule>
  </conditionalFormatting>
  <conditionalFormatting sqref="J1482:L1482">
    <cfRule type="cellIs" dxfId="7236" priority="7231" stopIfTrue="1" operator="equal">
      <formula>"Pass"</formula>
    </cfRule>
    <cfRule type="cellIs" dxfId="7235" priority="7232" stopIfTrue="1" operator="equal">
      <formula>"Fail"</formula>
    </cfRule>
  </conditionalFormatting>
  <conditionalFormatting sqref="I1482">
    <cfRule type="cellIs" dxfId="7234" priority="7229" stopIfTrue="1" operator="equal">
      <formula>"Pass"</formula>
    </cfRule>
    <cfRule type="cellIs" dxfId="7233" priority="7230" stopIfTrue="1" operator="equal">
      <formula>"Fail"</formula>
    </cfRule>
  </conditionalFormatting>
  <conditionalFormatting sqref="I1482:L1482">
    <cfRule type="cellIs" dxfId="7232" priority="7227" stopIfTrue="1" operator="equal">
      <formula>"Pass"</formula>
    </cfRule>
    <cfRule type="cellIs" dxfId="7231" priority="7228" stopIfTrue="1" operator="equal">
      <formula>"Fail"</formula>
    </cfRule>
  </conditionalFormatting>
  <conditionalFormatting sqref="J1482:L1482">
    <cfRule type="cellIs" dxfId="7230" priority="7225" stopIfTrue="1" operator="equal">
      <formula>"Pass"</formula>
    </cfRule>
    <cfRule type="cellIs" dxfId="7229" priority="7226" stopIfTrue="1" operator="equal">
      <formula>"Fail"</formula>
    </cfRule>
  </conditionalFormatting>
  <conditionalFormatting sqref="I1482">
    <cfRule type="cellIs" dxfId="7228" priority="7223" stopIfTrue="1" operator="equal">
      <formula>"Pass"</formula>
    </cfRule>
    <cfRule type="cellIs" dxfId="7227" priority="7224" stopIfTrue="1" operator="equal">
      <formula>"Fail"</formula>
    </cfRule>
  </conditionalFormatting>
  <conditionalFormatting sqref="I1482:L1482">
    <cfRule type="cellIs" dxfId="7226" priority="7221" stopIfTrue="1" operator="equal">
      <formula>"Pass"</formula>
    </cfRule>
    <cfRule type="cellIs" dxfId="7225" priority="7222" stopIfTrue="1" operator="equal">
      <formula>"Fail"</formula>
    </cfRule>
  </conditionalFormatting>
  <conditionalFormatting sqref="J1482:L1482">
    <cfRule type="cellIs" dxfId="7224" priority="7219" stopIfTrue="1" operator="equal">
      <formula>"Pass"</formula>
    </cfRule>
    <cfRule type="cellIs" dxfId="7223" priority="7220" stopIfTrue="1" operator="equal">
      <formula>"Fail"</formula>
    </cfRule>
  </conditionalFormatting>
  <conditionalFormatting sqref="I1482">
    <cfRule type="cellIs" dxfId="7222" priority="7217" stopIfTrue="1" operator="equal">
      <formula>"Pass"</formula>
    </cfRule>
    <cfRule type="cellIs" dxfId="7221" priority="7218" stopIfTrue="1" operator="equal">
      <formula>"Fail"</formula>
    </cfRule>
  </conditionalFormatting>
  <conditionalFormatting sqref="I1482:L1482">
    <cfRule type="cellIs" dxfId="7220" priority="7215" stopIfTrue="1" operator="equal">
      <formula>"Pass"</formula>
    </cfRule>
    <cfRule type="cellIs" dxfId="7219" priority="7216" stopIfTrue="1" operator="equal">
      <formula>"Fail"</formula>
    </cfRule>
  </conditionalFormatting>
  <conditionalFormatting sqref="J1482:L1482">
    <cfRule type="cellIs" dxfId="7218" priority="7213" stopIfTrue="1" operator="equal">
      <formula>"Pass"</formula>
    </cfRule>
    <cfRule type="cellIs" dxfId="7217" priority="7214" stopIfTrue="1" operator="equal">
      <formula>"Fail"</formula>
    </cfRule>
  </conditionalFormatting>
  <conditionalFormatting sqref="I1482">
    <cfRule type="cellIs" dxfId="7216" priority="7211" stopIfTrue="1" operator="equal">
      <formula>"Pass"</formula>
    </cfRule>
    <cfRule type="cellIs" dxfId="7215" priority="7212" stopIfTrue="1" operator="equal">
      <formula>"Fail"</formula>
    </cfRule>
  </conditionalFormatting>
  <conditionalFormatting sqref="I1482:L1482">
    <cfRule type="cellIs" dxfId="7214" priority="7209" stopIfTrue="1" operator="equal">
      <formula>"Pass"</formula>
    </cfRule>
    <cfRule type="cellIs" dxfId="7213" priority="7210" stopIfTrue="1" operator="equal">
      <formula>"Fail"</formula>
    </cfRule>
  </conditionalFormatting>
  <conditionalFormatting sqref="J1482:L1482">
    <cfRule type="cellIs" dxfId="7212" priority="7207" stopIfTrue="1" operator="equal">
      <formula>"Pass"</formula>
    </cfRule>
    <cfRule type="cellIs" dxfId="7211" priority="7208" stopIfTrue="1" operator="equal">
      <formula>"Fail"</formula>
    </cfRule>
  </conditionalFormatting>
  <conditionalFormatting sqref="I1482">
    <cfRule type="cellIs" dxfId="7210" priority="7205" stopIfTrue="1" operator="equal">
      <formula>"Pass"</formula>
    </cfRule>
    <cfRule type="cellIs" dxfId="7209" priority="7206" stopIfTrue="1" operator="equal">
      <formula>"Fail"</formula>
    </cfRule>
  </conditionalFormatting>
  <conditionalFormatting sqref="I1482:L1482">
    <cfRule type="cellIs" dxfId="7208" priority="7203" stopIfTrue="1" operator="equal">
      <formula>"Pass"</formula>
    </cfRule>
    <cfRule type="cellIs" dxfId="7207" priority="7204" stopIfTrue="1" operator="equal">
      <formula>"Fail"</formula>
    </cfRule>
  </conditionalFormatting>
  <conditionalFormatting sqref="J1482:L1482">
    <cfRule type="cellIs" dxfId="7206" priority="7201" stopIfTrue="1" operator="equal">
      <formula>"Pass"</formula>
    </cfRule>
    <cfRule type="cellIs" dxfId="7205" priority="7202" stopIfTrue="1" operator="equal">
      <formula>"Fail"</formula>
    </cfRule>
  </conditionalFormatting>
  <conditionalFormatting sqref="I1482">
    <cfRule type="cellIs" dxfId="7204" priority="7199" stopIfTrue="1" operator="equal">
      <formula>"Pass"</formula>
    </cfRule>
    <cfRule type="cellIs" dxfId="7203" priority="7200" stopIfTrue="1" operator="equal">
      <formula>"Fail"</formula>
    </cfRule>
  </conditionalFormatting>
  <conditionalFormatting sqref="I1482:L1482">
    <cfRule type="cellIs" dxfId="7202" priority="7197" stopIfTrue="1" operator="equal">
      <formula>"Pass"</formula>
    </cfRule>
    <cfRule type="cellIs" dxfId="7201" priority="7198" stopIfTrue="1" operator="equal">
      <formula>"Fail"</formula>
    </cfRule>
  </conditionalFormatting>
  <conditionalFormatting sqref="J1482:L1482">
    <cfRule type="cellIs" dxfId="7200" priority="7195" stopIfTrue="1" operator="equal">
      <formula>"Pass"</formula>
    </cfRule>
    <cfRule type="cellIs" dxfId="7199" priority="7196" stopIfTrue="1" operator="equal">
      <formula>"Fail"</formula>
    </cfRule>
  </conditionalFormatting>
  <conditionalFormatting sqref="I1482">
    <cfRule type="cellIs" dxfId="7198" priority="7193" stopIfTrue="1" operator="equal">
      <formula>"Pass"</formula>
    </cfRule>
    <cfRule type="cellIs" dxfId="7197" priority="7194" stopIfTrue="1" operator="equal">
      <formula>"Fail"</formula>
    </cfRule>
  </conditionalFormatting>
  <conditionalFormatting sqref="I1482:L1482">
    <cfRule type="cellIs" dxfId="7196" priority="7191" stopIfTrue="1" operator="equal">
      <formula>"Pass"</formula>
    </cfRule>
    <cfRule type="cellIs" dxfId="7195" priority="7192" stopIfTrue="1" operator="equal">
      <formula>"Fail"</formula>
    </cfRule>
  </conditionalFormatting>
  <conditionalFormatting sqref="J1482:L1482">
    <cfRule type="cellIs" dxfId="7194" priority="7189" stopIfTrue="1" operator="equal">
      <formula>"Pass"</formula>
    </cfRule>
    <cfRule type="cellIs" dxfId="7193" priority="7190" stopIfTrue="1" operator="equal">
      <formula>"Fail"</formula>
    </cfRule>
  </conditionalFormatting>
  <conditionalFormatting sqref="I1482">
    <cfRule type="cellIs" dxfId="7192" priority="7187" stopIfTrue="1" operator="equal">
      <formula>"Pass"</formula>
    </cfRule>
    <cfRule type="cellIs" dxfId="7191" priority="7188" stopIfTrue="1" operator="equal">
      <formula>"Fail"</formula>
    </cfRule>
  </conditionalFormatting>
  <conditionalFormatting sqref="I1482:L1482">
    <cfRule type="cellIs" dxfId="7190" priority="7185" stopIfTrue="1" operator="equal">
      <formula>"Pass"</formula>
    </cfRule>
    <cfRule type="cellIs" dxfId="7189" priority="7186" stopIfTrue="1" operator="equal">
      <formula>"Fail"</formula>
    </cfRule>
  </conditionalFormatting>
  <conditionalFormatting sqref="I1482:L1482">
    <cfRule type="cellIs" dxfId="7188" priority="7183" stopIfTrue="1" operator="equal">
      <formula>"Pass"</formula>
    </cfRule>
    <cfRule type="cellIs" dxfId="7187" priority="7184" stopIfTrue="1" operator="equal">
      <formula>"Fail"</formula>
    </cfRule>
  </conditionalFormatting>
  <conditionalFormatting sqref="J1482:L1482">
    <cfRule type="cellIs" dxfId="7186" priority="7181" stopIfTrue="1" operator="equal">
      <formula>"Pass"</formula>
    </cfRule>
    <cfRule type="cellIs" dxfId="7185" priority="7182" stopIfTrue="1" operator="equal">
      <formula>"Fail"</formula>
    </cfRule>
  </conditionalFormatting>
  <conditionalFormatting sqref="I1482">
    <cfRule type="cellIs" dxfId="7184" priority="7179" stopIfTrue="1" operator="equal">
      <formula>"Pass"</formula>
    </cfRule>
    <cfRule type="cellIs" dxfId="7183" priority="7180" stopIfTrue="1" operator="equal">
      <formula>"Fail"</formula>
    </cfRule>
  </conditionalFormatting>
  <conditionalFormatting sqref="I1482:L1482">
    <cfRule type="cellIs" dxfId="7182" priority="7177" stopIfTrue="1" operator="equal">
      <formula>"Pass"</formula>
    </cfRule>
    <cfRule type="cellIs" dxfId="7181" priority="7178" stopIfTrue="1" operator="equal">
      <formula>"Fail"</formula>
    </cfRule>
  </conditionalFormatting>
  <conditionalFormatting sqref="J1482:L1482">
    <cfRule type="cellIs" dxfId="7180" priority="7175" stopIfTrue="1" operator="equal">
      <formula>"Pass"</formula>
    </cfRule>
    <cfRule type="cellIs" dxfId="7179" priority="7176" stopIfTrue="1" operator="equal">
      <formula>"Fail"</formula>
    </cfRule>
  </conditionalFormatting>
  <conditionalFormatting sqref="I1482">
    <cfRule type="cellIs" dxfId="7178" priority="7173" stopIfTrue="1" operator="equal">
      <formula>"Pass"</formula>
    </cfRule>
    <cfRule type="cellIs" dxfId="7177" priority="7174" stopIfTrue="1" operator="equal">
      <formula>"Fail"</formula>
    </cfRule>
  </conditionalFormatting>
  <conditionalFormatting sqref="I1482:L1482">
    <cfRule type="cellIs" dxfId="7176" priority="7171" stopIfTrue="1" operator="equal">
      <formula>"Pass"</formula>
    </cfRule>
    <cfRule type="cellIs" dxfId="7175" priority="7172" stopIfTrue="1" operator="equal">
      <formula>"Fail"</formula>
    </cfRule>
  </conditionalFormatting>
  <conditionalFormatting sqref="I1482:L1482">
    <cfRule type="cellIs" dxfId="7174" priority="7169" stopIfTrue="1" operator="equal">
      <formula>"Pass"</formula>
    </cfRule>
    <cfRule type="cellIs" dxfId="7173" priority="7170" stopIfTrue="1" operator="equal">
      <formula>"Fail"</formula>
    </cfRule>
  </conditionalFormatting>
  <conditionalFormatting sqref="J1482:L1482">
    <cfRule type="cellIs" dxfId="7172" priority="7167" stopIfTrue="1" operator="equal">
      <formula>"Pass"</formula>
    </cfRule>
    <cfRule type="cellIs" dxfId="7171" priority="7168" stopIfTrue="1" operator="equal">
      <formula>"Fail"</formula>
    </cfRule>
  </conditionalFormatting>
  <conditionalFormatting sqref="I1482">
    <cfRule type="cellIs" dxfId="7170" priority="7165" stopIfTrue="1" operator="equal">
      <formula>"Pass"</formula>
    </cfRule>
    <cfRule type="cellIs" dxfId="7169" priority="7166" stopIfTrue="1" operator="equal">
      <formula>"Fail"</formula>
    </cfRule>
  </conditionalFormatting>
  <conditionalFormatting sqref="I1482:L1482">
    <cfRule type="cellIs" dxfId="7168" priority="7163" stopIfTrue="1" operator="equal">
      <formula>"Pass"</formula>
    </cfRule>
    <cfRule type="cellIs" dxfId="7167" priority="7164" stopIfTrue="1" operator="equal">
      <formula>"Fail"</formula>
    </cfRule>
  </conditionalFormatting>
  <conditionalFormatting sqref="J1482:L1482">
    <cfRule type="cellIs" dxfId="7166" priority="7161" stopIfTrue="1" operator="equal">
      <formula>"Pass"</formula>
    </cfRule>
    <cfRule type="cellIs" dxfId="7165" priority="7162" stopIfTrue="1" operator="equal">
      <formula>"Fail"</formula>
    </cfRule>
  </conditionalFormatting>
  <conditionalFormatting sqref="I1482">
    <cfRule type="cellIs" dxfId="7164" priority="7159" stopIfTrue="1" operator="equal">
      <formula>"Pass"</formula>
    </cfRule>
    <cfRule type="cellIs" dxfId="7163" priority="7160" stopIfTrue="1" operator="equal">
      <formula>"Fail"</formula>
    </cfRule>
  </conditionalFormatting>
  <conditionalFormatting sqref="I1482:L1482">
    <cfRule type="cellIs" dxfId="7162" priority="7157" stopIfTrue="1" operator="equal">
      <formula>"Pass"</formula>
    </cfRule>
    <cfRule type="cellIs" dxfId="7161" priority="7158" stopIfTrue="1" operator="equal">
      <formula>"Fail"</formula>
    </cfRule>
  </conditionalFormatting>
  <conditionalFormatting sqref="I1482:L1482">
    <cfRule type="cellIs" dxfId="7160" priority="7155" stopIfTrue="1" operator="equal">
      <formula>"Pass"</formula>
    </cfRule>
    <cfRule type="cellIs" dxfId="7159" priority="7156" stopIfTrue="1" operator="equal">
      <formula>"Fail"</formula>
    </cfRule>
  </conditionalFormatting>
  <conditionalFormatting sqref="J1482:L1482">
    <cfRule type="cellIs" dxfId="7158" priority="7153" stopIfTrue="1" operator="equal">
      <formula>"Pass"</formula>
    </cfRule>
    <cfRule type="cellIs" dxfId="7157" priority="7154" stopIfTrue="1" operator="equal">
      <formula>"Fail"</formula>
    </cfRule>
  </conditionalFormatting>
  <conditionalFormatting sqref="I1482">
    <cfRule type="cellIs" dxfId="7156" priority="7151" stopIfTrue="1" operator="equal">
      <formula>"Pass"</formula>
    </cfRule>
    <cfRule type="cellIs" dxfId="7155" priority="7152" stopIfTrue="1" operator="equal">
      <formula>"Fail"</formula>
    </cfRule>
  </conditionalFormatting>
  <conditionalFormatting sqref="I1482:L1482">
    <cfRule type="cellIs" dxfId="7154" priority="7149" stopIfTrue="1" operator="equal">
      <formula>"Pass"</formula>
    </cfRule>
    <cfRule type="cellIs" dxfId="7153" priority="7150" stopIfTrue="1" operator="equal">
      <formula>"Fail"</formula>
    </cfRule>
  </conditionalFormatting>
  <conditionalFormatting sqref="J1482:L1482">
    <cfRule type="cellIs" dxfId="7152" priority="7147" stopIfTrue="1" operator="equal">
      <formula>"Pass"</formula>
    </cfRule>
    <cfRule type="cellIs" dxfId="7151" priority="7148" stopIfTrue="1" operator="equal">
      <formula>"Fail"</formula>
    </cfRule>
  </conditionalFormatting>
  <conditionalFormatting sqref="I1482">
    <cfRule type="cellIs" dxfId="7150" priority="7145" stopIfTrue="1" operator="equal">
      <formula>"Pass"</formula>
    </cfRule>
    <cfRule type="cellIs" dxfId="7149" priority="7146" stopIfTrue="1" operator="equal">
      <formula>"Fail"</formula>
    </cfRule>
  </conditionalFormatting>
  <conditionalFormatting sqref="I1482:L1482">
    <cfRule type="cellIs" dxfId="7148" priority="7143" stopIfTrue="1" operator="equal">
      <formula>"Pass"</formula>
    </cfRule>
    <cfRule type="cellIs" dxfId="7147" priority="7144" stopIfTrue="1" operator="equal">
      <formula>"Fail"</formula>
    </cfRule>
  </conditionalFormatting>
  <conditionalFormatting sqref="I1482:L1482">
    <cfRule type="cellIs" dxfId="7146" priority="7141" stopIfTrue="1" operator="equal">
      <formula>"Pass"</formula>
    </cfRule>
    <cfRule type="cellIs" dxfId="7145" priority="7142" stopIfTrue="1" operator="equal">
      <formula>"Fail"</formula>
    </cfRule>
  </conditionalFormatting>
  <conditionalFormatting sqref="J1482:L1482">
    <cfRule type="cellIs" dxfId="7144" priority="7139" stopIfTrue="1" operator="equal">
      <formula>"Pass"</formula>
    </cfRule>
    <cfRule type="cellIs" dxfId="7143" priority="7140" stopIfTrue="1" operator="equal">
      <formula>"Fail"</formula>
    </cfRule>
  </conditionalFormatting>
  <conditionalFormatting sqref="I1482">
    <cfRule type="cellIs" dxfId="7142" priority="7137" stopIfTrue="1" operator="equal">
      <formula>"Pass"</formula>
    </cfRule>
    <cfRule type="cellIs" dxfId="7141" priority="7138" stopIfTrue="1" operator="equal">
      <formula>"Fail"</formula>
    </cfRule>
  </conditionalFormatting>
  <conditionalFormatting sqref="I1482:L1482">
    <cfRule type="cellIs" dxfId="7140" priority="7135" stopIfTrue="1" operator="equal">
      <formula>"Pass"</formula>
    </cfRule>
    <cfRule type="cellIs" dxfId="7139" priority="7136" stopIfTrue="1" operator="equal">
      <formula>"Fail"</formula>
    </cfRule>
  </conditionalFormatting>
  <conditionalFormatting sqref="J1482:L1482">
    <cfRule type="cellIs" dxfId="7138" priority="7133" stopIfTrue="1" operator="equal">
      <formula>"Pass"</formula>
    </cfRule>
    <cfRule type="cellIs" dxfId="7137" priority="7134" stopIfTrue="1" operator="equal">
      <formula>"Fail"</formula>
    </cfRule>
  </conditionalFormatting>
  <conditionalFormatting sqref="I1482">
    <cfRule type="cellIs" dxfId="7136" priority="7131" stopIfTrue="1" operator="equal">
      <formula>"Pass"</formula>
    </cfRule>
    <cfRule type="cellIs" dxfId="7135" priority="7132" stopIfTrue="1" operator="equal">
      <formula>"Fail"</formula>
    </cfRule>
  </conditionalFormatting>
  <conditionalFormatting sqref="I1482:L1482">
    <cfRule type="cellIs" dxfId="7134" priority="7129" stopIfTrue="1" operator="equal">
      <formula>"Pass"</formula>
    </cfRule>
    <cfRule type="cellIs" dxfId="7133" priority="7130" stopIfTrue="1" operator="equal">
      <formula>"Fail"</formula>
    </cfRule>
  </conditionalFormatting>
  <conditionalFormatting sqref="I1482:L1482">
    <cfRule type="cellIs" dxfId="7132" priority="7127" stopIfTrue="1" operator="equal">
      <formula>"Pass"</formula>
    </cfRule>
    <cfRule type="cellIs" dxfId="7131" priority="7128" stopIfTrue="1" operator="equal">
      <formula>"Fail"</formula>
    </cfRule>
  </conditionalFormatting>
  <conditionalFormatting sqref="J1482:L1482">
    <cfRule type="cellIs" dxfId="7130" priority="7125" stopIfTrue="1" operator="equal">
      <formula>"Pass"</formula>
    </cfRule>
    <cfRule type="cellIs" dxfId="7129" priority="7126" stopIfTrue="1" operator="equal">
      <formula>"Fail"</formula>
    </cfRule>
  </conditionalFormatting>
  <conditionalFormatting sqref="I1482">
    <cfRule type="cellIs" dxfId="7128" priority="7123" stopIfTrue="1" operator="equal">
      <formula>"Pass"</formula>
    </cfRule>
    <cfRule type="cellIs" dxfId="7127" priority="7124" stopIfTrue="1" operator="equal">
      <formula>"Fail"</formula>
    </cfRule>
  </conditionalFormatting>
  <conditionalFormatting sqref="I1482:L1482">
    <cfRule type="cellIs" dxfId="7126" priority="7121" stopIfTrue="1" operator="equal">
      <formula>"Pass"</formula>
    </cfRule>
    <cfRule type="cellIs" dxfId="7125" priority="7122" stopIfTrue="1" operator="equal">
      <formula>"Fail"</formula>
    </cfRule>
  </conditionalFormatting>
  <conditionalFormatting sqref="J1482:L1482">
    <cfRule type="cellIs" dxfId="7124" priority="7119" stopIfTrue="1" operator="equal">
      <formula>"Pass"</formula>
    </cfRule>
    <cfRule type="cellIs" dxfId="7123" priority="7120" stopIfTrue="1" operator="equal">
      <formula>"Fail"</formula>
    </cfRule>
  </conditionalFormatting>
  <conditionalFormatting sqref="I1482">
    <cfRule type="cellIs" dxfId="7122" priority="7117" stopIfTrue="1" operator="equal">
      <formula>"Pass"</formula>
    </cfRule>
    <cfRule type="cellIs" dxfId="7121" priority="7118" stopIfTrue="1" operator="equal">
      <formula>"Fail"</formula>
    </cfRule>
  </conditionalFormatting>
  <conditionalFormatting sqref="I1482:L1482">
    <cfRule type="cellIs" dxfId="7120" priority="7115" stopIfTrue="1" operator="equal">
      <formula>"Pass"</formula>
    </cfRule>
    <cfRule type="cellIs" dxfId="7119" priority="7116" stopIfTrue="1" operator="equal">
      <formula>"Fail"</formula>
    </cfRule>
  </conditionalFormatting>
  <conditionalFormatting sqref="I1482:L1482">
    <cfRule type="cellIs" dxfId="7118" priority="7113" stopIfTrue="1" operator="equal">
      <formula>"Pass"</formula>
    </cfRule>
    <cfRule type="cellIs" dxfId="7117" priority="7114" stopIfTrue="1" operator="equal">
      <formula>"Fail"</formula>
    </cfRule>
  </conditionalFormatting>
  <conditionalFormatting sqref="I1482:L1482">
    <cfRule type="cellIs" dxfId="7116" priority="7111" stopIfTrue="1" operator="equal">
      <formula>"Pass"</formula>
    </cfRule>
    <cfRule type="cellIs" dxfId="7115" priority="7112" stopIfTrue="1" operator="equal">
      <formula>"Fail"</formula>
    </cfRule>
  </conditionalFormatting>
  <conditionalFormatting sqref="J1482:L1482">
    <cfRule type="cellIs" dxfId="7114" priority="7109" stopIfTrue="1" operator="equal">
      <formula>"Pass"</formula>
    </cfRule>
    <cfRule type="cellIs" dxfId="7113" priority="7110" stopIfTrue="1" operator="equal">
      <formula>"Fail"</formula>
    </cfRule>
  </conditionalFormatting>
  <conditionalFormatting sqref="I1482">
    <cfRule type="cellIs" dxfId="7112" priority="7107" stopIfTrue="1" operator="equal">
      <formula>"Pass"</formula>
    </cfRule>
    <cfRule type="cellIs" dxfId="7111" priority="7108" stopIfTrue="1" operator="equal">
      <formula>"Fail"</formula>
    </cfRule>
  </conditionalFormatting>
  <conditionalFormatting sqref="I1482:L1482">
    <cfRule type="cellIs" dxfId="7110" priority="7105" stopIfTrue="1" operator="equal">
      <formula>"Pass"</formula>
    </cfRule>
    <cfRule type="cellIs" dxfId="7109" priority="7106" stopIfTrue="1" operator="equal">
      <formula>"Fail"</formula>
    </cfRule>
  </conditionalFormatting>
  <conditionalFormatting sqref="J1482:L1482">
    <cfRule type="cellIs" dxfId="7108" priority="7103" stopIfTrue="1" operator="equal">
      <formula>"Pass"</formula>
    </cfRule>
    <cfRule type="cellIs" dxfId="7107" priority="7104" stopIfTrue="1" operator="equal">
      <formula>"Fail"</formula>
    </cfRule>
  </conditionalFormatting>
  <conditionalFormatting sqref="I1482">
    <cfRule type="cellIs" dxfId="7106" priority="7101" stopIfTrue="1" operator="equal">
      <formula>"Pass"</formula>
    </cfRule>
    <cfRule type="cellIs" dxfId="7105" priority="7102" stopIfTrue="1" operator="equal">
      <formula>"Fail"</formula>
    </cfRule>
  </conditionalFormatting>
  <conditionalFormatting sqref="I1482:L1482">
    <cfRule type="cellIs" dxfId="7104" priority="7099" stopIfTrue="1" operator="equal">
      <formula>"Pass"</formula>
    </cfRule>
    <cfRule type="cellIs" dxfId="7103" priority="7100" stopIfTrue="1" operator="equal">
      <formula>"Fail"</formula>
    </cfRule>
  </conditionalFormatting>
  <conditionalFormatting sqref="I1482:L1482">
    <cfRule type="cellIs" dxfId="7102" priority="7097" stopIfTrue="1" operator="equal">
      <formula>"Pass"</formula>
    </cfRule>
    <cfRule type="cellIs" dxfId="7101" priority="7098" stopIfTrue="1" operator="equal">
      <formula>"Fail"</formula>
    </cfRule>
  </conditionalFormatting>
  <conditionalFormatting sqref="I1482:L1482">
    <cfRule type="cellIs" dxfId="7100" priority="7095" stopIfTrue="1" operator="equal">
      <formula>"Pass"</formula>
    </cfRule>
    <cfRule type="cellIs" dxfId="7099" priority="7096" stopIfTrue="1" operator="equal">
      <formula>"Fail"</formula>
    </cfRule>
  </conditionalFormatting>
  <conditionalFormatting sqref="J1482:L1482">
    <cfRule type="cellIs" dxfId="7098" priority="7093" stopIfTrue="1" operator="equal">
      <formula>"Pass"</formula>
    </cfRule>
    <cfRule type="cellIs" dxfId="7097" priority="7094" stopIfTrue="1" operator="equal">
      <formula>"Fail"</formula>
    </cfRule>
  </conditionalFormatting>
  <conditionalFormatting sqref="I1482">
    <cfRule type="cellIs" dxfId="7096" priority="7091" stopIfTrue="1" operator="equal">
      <formula>"Pass"</formula>
    </cfRule>
    <cfRule type="cellIs" dxfId="7095" priority="7092" stopIfTrue="1" operator="equal">
      <formula>"Fail"</formula>
    </cfRule>
  </conditionalFormatting>
  <conditionalFormatting sqref="I1482:L1482">
    <cfRule type="cellIs" dxfId="7094" priority="7089" stopIfTrue="1" operator="equal">
      <formula>"Pass"</formula>
    </cfRule>
    <cfRule type="cellIs" dxfId="7093" priority="7090" stopIfTrue="1" operator="equal">
      <formula>"Fail"</formula>
    </cfRule>
  </conditionalFormatting>
  <conditionalFormatting sqref="J1482:L1482">
    <cfRule type="cellIs" dxfId="7092" priority="7087" stopIfTrue="1" operator="equal">
      <formula>"Pass"</formula>
    </cfRule>
    <cfRule type="cellIs" dxfId="7091" priority="7088" stopIfTrue="1" operator="equal">
      <formula>"Fail"</formula>
    </cfRule>
  </conditionalFormatting>
  <conditionalFormatting sqref="I1482">
    <cfRule type="cellIs" dxfId="7090" priority="7085" stopIfTrue="1" operator="equal">
      <formula>"Pass"</formula>
    </cfRule>
    <cfRule type="cellIs" dxfId="7089" priority="7086" stopIfTrue="1" operator="equal">
      <formula>"Fail"</formula>
    </cfRule>
  </conditionalFormatting>
  <conditionalFormatting sqref="I1482:L1482">
    <cfRule type="cellIs" dxfId="7088" priority="7083" stopIfTrue="1" operator="equal">
      <formula>"Pass"</formula>
    </cfRule>
    <cfRule type="cellIs" dxfId="7087" priority="7084" stopIfTrue="1" operator="equal">
      <formula>"Fail"</formula>
    </cfRule>
  </conditionalFormatting>
  <conditionalFormatting sqref="I1482:L1482">
    <cfRule type="cellIs" dxfId="7086" priority="7081" stopIfTrue="1" operator="equal">
      <formula>"Pass"</formula>
    </cfRule>
    <cfRule type="cellIs" dxfId="7085" priority="7082" stopIfTrue="1" operator="equal">
      <formula>"Fail"</formula>
    </cfRule>
  </conditionalFormatting>
  <conditionalFormatting sqref="I1482:L1482">
    <cfRule type="cellIs" dxfId="7084" priority="7079" stopIfTrue="1" operator="equal">
      <formula>"Pass"</formula>
    </cfRule>
    <cfRule type="cellIs" dxfId="7083" priority="7080" stopIfTrue="1" operator="equal">
      <formula>"Fail"</formula>
    </cfRule>
  </conditionalFormatting>
  <conditionalFormatting sqref="J1482:L1482">
    <cfRule type="cellIs" dxfId="7082" priority="7077" stopIfTrue="1" operator="equal">
      <formula>"Pass"</formula>
    </cfRule>
    <cfRule type="cellIs" dxfId="7081" priority="7078" stopIfTrue="1" operator="equal">
      <formula>"Fail"</formula>
    </cfRule>
  </conditionalFormatting>
  <conditionalFormatting sqref="I1482">
    <cfRule type="cellIs" dxfId="7080" priority="7075" stopIfTrue="1" operator="equal">
      <formula>"Pass"</formula>
    </cfRule>
    <cfRule type="cellIs" dxfId="7079" priority="7076" stopIfTrue="1" operator="equal">
      <formula>"Fail"</formula>
    </cfRule>
  </conditionalFormatting>
  <conditionalFormatting sqref="I1482:L1482">
    <cfRule type="cellIs" dxfId="7078" priority="7073" stopIfTrue="1" operator="equal">
      <formula>"Pass"</formula>
    </cfRule>
    <cfRule type="cellIs" dxfId="7077" priority="7074" stopIfTrue="1" operator="equal">
      <formula>"Fail"</formula>
    </cfRule>
  </conditionalFormatting>
  <conditionalFormatting sqref="J1482:L1482">
    <cfRule type="cellIs" dxfId="7076" priority="7071" stopIfTrue="1" operator="equal">
      <formula>"Pass"</formula>
    </cfRule>
    <cfRule type="cellIs" dxfId="7075" priority="7072" stopIfTrue="1" operator="equal">
      <formula>"Fail"</formula>
    </cfRule>
  </conditionalFormatting>
  <conditionalFormatting sqref="I1482">
    <cfRule type="cellIs" dxfId="7074" priority="7069" stopIfTrue="1" operator="equal">
      <formula>"Pass"</formula>
    </cfRule>
    <cfRule type="cellIs" dxfId="7073" priority="7070" stopIfTrue="1" operator="equal">
      <formula>"Fail"</formula>
    </cfRule>
  </conditionalFormatting>
  <conditionalFormatting sqref="I1482:L1482">
    <cfRule type="cellIs" dxfId="7072" priority="7067" stopIfTrue="1" operator="equal">
      <formula>"Pass"</formula>
    </cfRule>
    <cfRule type="cellIs" dxfId="7071" priority="7068" stopIfTrue="1" operator="equal">
      <formula>"Fail"</formula>
    </cfRule>
  </conditionalFormatting>
  <conditionalFormatting sqref="H1482">
    <cfRule type="cellIs" dxfId="7070" priority="7065" stopIfTrue="1" operator="equal">
      <formula>"Pass"</formula>
    </cfRule>
    <cfRule type="cellIs" dxfId="7069" priority="7066" stopIfTrue="1" operator="equal">
      <formula>"Fail"</formula>
    </cfRule>
  </conditionalFormatting>
  <conditionalFormatting sqref="H1482">
    <cfRule type="cellIs" dxfId="7068" priority="7063" stopIfTrue="1" operator="equal">
      <formula>"Pass"</formula>
    </cfRule>
    <cfRule type="cellIs" dxfId="7067" priority="7064" stopIfTrue="1" operator="equal">
      <formula>"Fail"</formula>
    </cfRule>
  </conditionalFormatting>
  <conditionalFormatting sqref="H1482">
    <cfRule type="cellIs" dxfId="7066" priority="7061" stopIfTrue="1" operator="equal">
      <formula>"Pass"</formula>
    </cfRule>
    <cfRule type="cellIs" dxfId="7065" priority="7062" stopIfTrue="1" operator="equal">
      <formula>"Fail"</formula>
    </cfRule>
  </conditionalFormatting>
  <conditionalFormatting sqref="I1482:L1482">
    <cfRule type="cellIs" dxfId="7064" priority="7059" stopIfTrue="1" operator="equal">
      <formula>"Pass"</formula>
    </cfRule>
    <cfRule type="cellIs" dxfId="7063" priority="7060" stopIfTrue="1" operator="equal">
      <formula>"Fail"</formula>
    </cfRule>
  </conditionalFormatting>
  <conditionalFormatting sqref="I1482:L1482">
    <cfRule type="cellIs" dxfId="7062" priority="7057" stopIfTrue="1" operator="equal">
      <formula>"Pass"</formula>
    </cfRule>
    <cfRule type="cellIs" dxfId="7061" priority="7058" stopIfTrue="1" operator="equal">
      <formula>"Fail"</formula>
    </cfRule>
  </conditionalFormatting>
  <conditionalFormatting sqref="J1482:L1482">
    <cfRule type="cellIs" dxfId="7060" priority="7055" stopIfTrue="1" operator="equal">
      <formula>"Pass"</formula>
    </cfRule>
    <cfRule type="cellIs" dxfId="7059" priority="7056" stopIfTrue="1" operator="equal">
      <formula>"Fail"</formula>
    </cfRule>
  </conditionalFormatting>
  <conditionalFormatting sqref="I1482">
    <cfRule type="cellIs" dxfId="7058" priority="7053" stopIfTrue="1" operator="equal">
      <formula>"Pass"</formula>
    </cfRule>
    <cfRule type="cellIs" dxfId="7057" priority="7054" stopIfTrue="1" operator="equal">
      <formula>"Fail"</formula>
    </cfRule>
  </conditionalFormatting>
  <conditionalFormatting sqref="I1482:L1482">
    <cfRule type="cellIs" dxfId="7056" priority="7051" stopIfTrue="1" operator="equal">
      <formula>"Pass"</formula>
    </cfRule>
    <cfRule type="cellIs" dxfId="7055" priority="7052" stopIfTrue="1" operator="equal">
      <formula>"Fail"</formula>
    </cfRule>
  </conditionalFormatting>
  <conditionalFormatting sqref="J1482:L1482">
    <cfRule type="cellIs" dxfId="7054" priority="7049" stopIfTrue="1" operator="equal">
      <formula>"Pass"</formula>
    </cfRule>
    <cfRule type="cellIs" dxfId="7053" priority="7050" stopIfTrue="1" operator="equal">
      <formula>"Fail"</formula>
    </cfRule>
  </conditionalFormatting>
  <conditionalFormatting sqref="I1482">
    <cfRule type="cellIs" dxfId="7052" priority="7047" stopIfTrue="1" operator="equal">
      <formula>"Pass"</formula>
    </cfRule>
    <cfRule type="cellIs" dxfId="7051" priority="7048" stopIfTrue="1" operator="equal">
      <formula>"Fail"</formula>
    </cfRule>
  </conditionalFormatting>
  <conditionalFormatting sqref="I1482:L1482">
    <cfRule type="cellIs" dxfId="7050" priority="7045" stopIfTrue="1" operator="equal">
      <formula>"Pass"</formula>
    </cfRule>
    <cfRule type="cellIs" dxfId="7049" priority="7046" stopIfTrue="1" operator="equal">
      <formula>"Fail"</formula>
    </cfRule>
  </conditionalFormatting>
  <conditionalFormatting sqref="H1482">
    <cfRule type="cellIs" dxfId="7048" priority="7043" stopIfTrue="1" operator="equal">
      <formula>"Pass"</formula>
    </cfRule>
    <cfRule type="cellIs" dxfId="7047" priority="7044" stopIfTrue="1" operator="equal">
      <formula>"Fail"</formula>
    </cfRule>
  </conditionalFormatting>
  <conditionalFormatting sqref="H1482">
    <cfRule type="cellIs" dxfId="7046" priority="7041" stopIfTrue="1" operator="equal">
      <formula>"Pass"</formula>
    </cfRule>
    <cfRule type="cellIs" dxfId="7045" priority="7042" stopIfTrue="1" operator="equal">
      <formula>"Fail"</formula>
    </cfRule>
  </conditionalFormatting>
  <conditionalFormatting sqref="H1482">
    <cfRule type="cellIs" dxfId="7044" priority="7039" stopIfTrue="1" operator="equal">
      <formula>"Pass"</formula>
    </cfRule>
    <cfRule type="cellIs" dxfId="7043" priority="7040" stopIfTrue="1" operator="equal">
      <formula>"Fail"</formula>
    </cfRule>
  </conditionalFormatting>
  <conditionalFormatting sqref="I1482:L1482">
    <cfRule type="cellIs" dxfId="7042" priority="7037" stopIfTrue="1" operator="equal">
      <formula>"Pass"</formula>
    </cfRule>
    <cfRule type="cellIs" dxfId="7041" priority="7038" stopIfTrue="1" operator="equal">
      <formula>"Fail"</formula>
    </cfRule>
  </conditionalFormatting>
  <conditionalFormatting sqref="I1482:L1482">
    <cfRule type="cellIs" dxfId="7040" priority="7035" stopIfTrue="1" operator="equal">
      <formula>"Pass"</formula>
    </cfRule>
    <cfRule type="cellIs" dxfId="7039" priority="7036" stopIfTrue="1" operator="equal">
      <formula>"Fail"</formula>
    </cfRule>
  </conditionalFormatting>
  <conditionalFormatting sqref="J1482:L1482">
    <cfRule type="cellIs" dxfId="7038" priority="7033" stopIfTrue="1" operator="equal">
      <formula>"Pass"</formula>
    </cfRule>
    <cfRule type="cellIs" dxfId="7037" priority="7034" stopIfTrue="1" operator="equal">
      <formula>"Fail"</formula>
    </cfRule>
  </conditionalFormatting>
  <conditionalFormatting sqref="I1482">
    <cfRule type="cellIs" dxfId="7036" priority="7031" stopIfTrue="1" operator="equal">
      <formula>"Pass"</formula>
    </cfRule>
    <cfRule type="cellIs" dxfId="7035" priority="7032" stopIfTrue="1" operator="equal">
      <formula>"Fail"</formula>
    </cfRule>
  </conditionalFormatting>
  <conditionalFormatting sqref="I1482:L1482">
    <cfRule type="cellIs" dxfId="7034" priority="7029" stopIfTrue="1" operator="equal">
      <formula>"Pass"</formula>
    </cfRule>
    <cfRule type="cellIs" dxfId="7033" priority="7030" stopIfTrue="1" operator="equal">
      <formula>"Fail"</formula>
    </cfRule>
  </conditionalFormatting>
  <conditionalFormatting sqref="J1482:L1482">
    <cfRule type="cellIs" dxfId="7032" priority="7027" stopIfTrue="1" operator="equal">
      <formula>"Pass"</formula>
    </cfRule>
    <cfRule type="cellIs" dxfId="7031" priority="7028" stopIfTrue="1" operator="equal">
      <formula>"Fail"</formula>
    </cfRule>
  </conditionalFormatting>
  <conditionalFormatting sqref="I1482">
    <cfRule type="cellIs" dxfId="7030" priority="7025" stopIfTrue="1" operator="equal">
      <formula>"Pass"</formula>
    </cfRule>
    <cfRule type="cellIs" dxfId="7029" priority="7026" stopIfTrue="1" operator="equal">
      <formula>"Fail"</formula>
    </cfRule>
  </conditionalFormatting>
  <conditionalFormatting sqref="I1482:L1482">
    <cfRule type="cellIs" dxfId="7028" priority="7023" stopIfTrue="1" operator="equal">
      <formula>"Pass"</formula>
    </cfRule>
    <cfRule type="cellIs" dxfId="7027" priority="7024" stopIfTrue="1" operator="equal">
      <formula>"Fail"</formula>
    </cfRule>
  </conditionalFormatting>
  <conditionalFormatting sqref="H1482:L1482">
    <cfRule type="cellIs" dxfId="7026" priority="7021" stopIfTrue="1" operator="equal">
      <formula>"Pass"</formula>
    </cfRule>
    <cfRule type="cellIs" dxfId="7025" priority="7022" stopIfTrue="1" operator="equal">
      <formula>"Fail"</formula>
    </cfRule>
  </conditionalFormatting>
  <conditionalFormatting sqref="H1482:L1482">
    <cfRule type="cellIs" dxfId="7024" priority="7019" stopIfTrue="1" operator="equal">
      <formula>"Pass"</formula>
    </cfRule>
    <cfRule type="cellIs" dxfId="7023" priority="7020" stopIfTrue="1" operator="equal">
      <formula>"Fail"</formula>
    </cfRule>
  </conditionalFormatting>
  <conditionalFormatting sqref="H1482:L1482">
    <cfRule type="cellIs" dxfId="7022" priority="7017" stopIfTrue="1" operator="equal">
      <formula>"Pass"</formula>
    </cfRule>
    <cfRule type="cellIs" dxfId="7021" priority="7018" stopIfTrue="1" operator="equal">
      <formula>"Fail"</formula>
    </cfRule>
  </conditionalFormatting>
  <conditionalFormatting sqref="H1482:L1482">
    <cfRule type="cellIs" dxfId="7020" priority="7015" stopIfTrue="1" operator="equal">
      <formula>"Pass"</formula>
    </cfRule>
    <cfRule type="cellIs" dxfId="7019" priority="7016" stopIfTrue="1" operator="equal">
      <formula>"Fail"</formula>
    </cfRule>
  </conditionalFormatting>
  <conditionalFormatting sqref="H1482:L1482">
    <cfRule type="cellIs" dxfId="7018" priority="7013" stopIfTrue="1" operator="equal">
      <formula>"Pass"</formula>
    </cfRule>
    <cfRule type="cellIs" dxfId="7017" priority="7014" stopIfTrue="1" operator="equal">
      <formula>"Fail"</formula>
    </cfRule>
  </conditionalFormatting>
  <conditionalFormatting sqref="J1482:L1482">
    <cfRule type="cellIs" dxfId="7016" priority="7011" stopIfTrue="1" operator="equal">
      <formula>"Pass"</formula>
    </cfRule>
    <cfRule type="cellIs" dxfId="7015" priority="7012" stopIfTrue="1" operator="equal">
      <formula>"Fail"</formula>
    </cfRule>
  </conditionalFormatting>
  <conditionalFormatting sqref="I1482">
    <cfRule type="cellIs" dxfId="7014" priority="7009" stopIfTrue="1" operator="equal">
      <formula>"Pass"</formula>
    </cfRule>
    <cfRule type="cellIs" dxfId="7013" priority="7010" stopIfTrue="1" operator="equal">
      <formula>"Fail"</formula>
    </cfRule>
  </conditionalFormatting>
  <conditionalFormatting sqref="I1482:L1482">
    <cfRule type="cellIs" dxfId="7012" priority="7007" stopIfTrue="1" operator="equal">
      <formula>"Pass"</formula>
    </cfRule>
    <cfRule type="cellIs" dxfId="7011" priority="7008" stopIfTrue="1" operator="equal">
      <formula>"Fail"</formula>
    </cfRule>
  </conditionalFormatting>
  <conditionalFormatting sqref="J1482:L1482">
    <cfRule type="cellIs" dxfId="7010" priority="7005" stopIfTrue="1" operator="equal">
      <formula>"Pass"</formula>
    </cfRule>
    <cfRule type="cellIs" dxfId="7009" priority="7006" stopIfTrue="1" operator="equal">
      <formula>"Fail"</formula>
    </cfRule>
  </conditionalFormatting>
  <conditionalFormatting sqref="I1482">
    <cfRule type="cellIs" dxfId="7008" priority="7003" stopIfTrue="1" operator="equal">
      <formula>"Pass"</formula>
    </cfRule>
    <cfRule type="cellIs" dxfId="7007" priority="7004" stopIfTrue="1" operator="equal">
      <formula>"Fail"</formula>
    </cfRule>
  </conditionalFormatting>
  <conditionalFormatting sqref="I1482:L1482">
    <cfRule type="cellIs" dxfId="7006" priority="7001" stopIfTrue="1" operator="equal">
      <formula>"Pass"</formula>
    </cfRule>
    <cfRule type="cellIs" dxfId="7005" priority="7002" stopIfTrue="1" operator="equal">
      <formula>"Fail"</formula>
    </cfRule>
  </conditionalFormatting>
  <conditionalFormatting sqref="J1482:L1482">
    <cfRule type="cellIs" dxfId="7004" priority="6999" stopIfTrue="1" operator="equal">
      <formula>"Pass"</formula>
    </cfRule>
    <cfRule type="cellIs" dxfId="7003" priority="7000" stopIfTrue="1" operator="equal">
      <formula>"Fail"</formula>
    </cfRule>
  </conditionalFormatting>
  <conditionalFormatting sqref="I1482">
    <cfRule type="cellIs" dxfId="7002" priority="6997" stopIfTrue="1" operator="equal">
      <formula>"Pass"</formula>
    </cfRule>
    <cfRule type="cellIs" dxfId="7001" priority="6998" stopIfTrue="1" operator="equal">
      <formula>"Fail"</formula>
    </cfRule>
  </conditionalFormatting>
  <conditionalFormatting sqref="I1482:L1482">
    <cfRule type="cellIs" dxfId="7000" priority="6995" stopIfTrue="1" operator="equal">
      <formula>"Pass"</formula>
    </cfRule>
    <cfRule type="cellIs" dxfId="6999" priority="6996" stopIfTrue="1" operator="equal">
      <formula>"Fail"</formula>
    </cfRule>
  </conditionalFormatting>
  <conditionalFormatting sqref="J1482:L1482">
    <cfRule type="cellIs" dxfId="6998" priority="6993" stopIfTrue="1" operator="equal">
      <formula>"Pass"</formula>
    </cfRule>
    <cfRule type="cellIs" dxfId="6997" priority="6994" stopIfTrue="1" operator="equal">
      <formula>"Fail"</formula>
    </cfRule>
  </conditionalFormatting>
  <conditionalFormatting sqref="I1482">
    <cfRule type="cellIs" dxfId="6996" priority="6991" stopIfTrue="1" operator="equal">
      <formula>"Pass"</formula>
    </cfRule>
    <cfRule type="cellIs" dxfId="6995" priority="6992" stopIfTrue="1" operator="equal">
      <formula>"Fail"</formula>
    </cfRule>
  </conditionalFormatting>
  <conditionalFormatting sqref="I1482:L1482">
    <cfRule type="cellIs" dxfId="6994" priority="6989" stopIfTrue="1" operator="equal">
      <formula>"Pass"</formula>
    </cfRule>
    <cfRule type="cellIs" dxfId="6993" priority="6990" stopIfTrue="1" operator="equal">
      <formula>"Fail"</formula>
    </cfRule>
  </conditionalFormatting>
  <conditionalFormatting sqref="J1482:L1482">
    <cfRule type="cellIs" dxfId="6992" priority="6987" stopIfTrue="1" operator="equal">
      <formula>"Pass"</formula>
    </cfRule>
    <cfRule type="cellIs" dxfId="6991" priority="6988" stopIfTrue="1" operator="equal">
      <formula>"Fail"</formula>
    </cfRule>
  </conditionalFormatting>
  <conditionalFormatting sqref="I1482">
    <cfRule type="cellIs" dxfId="6990" priority="6985" stopIfTrue="1" operator="equal">
      <formula>"Pass"</formula>
    </cfRule>
    <cfRule type="cellIs" dxfId="6989" priority="6986" stopIfTrue="1" operator="equal">
      <formula>"Fail"</formula>
    </cfRule>
  </conditionalFormatting>
  <conditionalFormatting sqref="I1482:L1482">
    <cfRule type="cellIs" dxfId="6988" priority="6983" stopIfTrue="1" operator="equal">
      <formula>"Pass"</formula>
    </cfRule>
    <cfRule type="cellIs" dxfId="6987" priority="6984" stopIfTrue="1" operator="equal">
      <formula>"Fail"</formula>
    </cfRule>
  </conditionalFormatting>
  <conditionalFormatting sqref="J1482:L1482">
    <cfRule type="cellIs" dxfId="6986" priority="6981" stopIfTrue="1" operator="equal">
      <formula>"Pass"</formula>
    </cfRule>
    <cfRule type="cellIs" dxfId="6985" priority="6982" stopIfTrue="1" operator="equal">
      <formula>"Fail"</formula>
    </cfRule>
  </conditionalFormatting>
  <conditionalFormatting sqref="I1482">
    <cfRule type="cellIs" dxfId="6984" priority="6979" stopIfTrue="1" operator="equal">
      <formula>"Pass"</formula>
    </cfRule>
    <cfRule type="cellIs" dxfId="6983" priority="6980" stopIfTrue="1" operator="equal">
      <formula>"Fail"</formula>
    </cfRule>
  </conditionalFormatting>
  <conditionalFormatting sqref="I1482:L1482">
    <cfRule type="cellIs" dxfId="6982" priority="6977" stopIfTrue="1" operator="equal">
      <formula>"Pass"</formula>
    </cfRule>
    <cfRule type="cellIs" dxfId="6981" priority="6978" stopIfTrue="1" operator="equal">
      <formula>"Fail"</formula>
    </cfRule>
  </conditionalFormatting>
  <conditionalFormatting sqref="J1482:L1482">
    <cfRule type="cellIs" dxfId="6980" priority="6975" stopIfTrue="1" operator="equal">
      <formula>"Pass"</formula>
    </cfRule>
    <cfRule type="cellIs" dxfId="6979" priority="6976" stopIfTrue="1" operator="equal">
      <formula>"Fail"</formula>
    </cfRule>
  </conditionalFormatting>
  <conditionalFormatting sqref="I1482">
    <cfRule type="cellIs" dxfId="6978" priority="6973" stopIfTrue="1" operator="equal">
      <formula>"Pass"</formula>
    </cfRule>
    <cfRule type="cellIs" dxfId="6977" priority="6974" stopIfTrue="1" operator="equal">
      <formula>"Fail"</formula>
    </cfRule>
  </conditionalFormatting>
  <conditionalFormatting sqref="I1482:L1482">
    <cfRule type="cellIs" dxfId="6976" priority="6971" stopIfTrue="1" operator="equal">
      <formula>"Pass"</formula>
    </cfRule>
    <cfRule type="cellIs" dxfId="6975" priority="6972" stopIfTrue="1" operator="equal">
      <formula>"Fail"</formula>
    </cfRule>
  </conditionalFormatting>
  <conditionalFormatting sqref="J1482:L1482">
    <cfRule type="cellIs" dxfId="6974" priority="6969" stopIfTrue="1" operator="equal">
      <formula>"Pass"</formula>
    </cfRule>
    <cfRule type="cellIs" dxfId="6973" priority="6970" stopIfTrue="1" operator="equal">
      <formula>"Fail"</formula>
    </cfRule>
  </conditionalFormatting>
  <conditionalFormatting sqref="I1482">
    <cfRule type="cellIs" dxfId="6972" priority="6967" stopIfTrue="1" operator="equal">
      <formula>"Pass"</formula>
    </cfRule>
    <cfRule type="cellIs" dxfId="6971" priority="6968" stopIfTrue="1" operator="equal">
      <formula>"Fail"</formula>
    </cfRule>
  </conditionalFormatting>
  <conditionalFormatting sqref="I1482:L1482">
    <cfRule type="cellIs" dxfId="6970" priority="6965" stopIfTrue="1" operator="equal">
      <formula>"Pass"</formula>
    </cfRule>
    <cfRule type="cellIs" dxfId="6969" priority="6966" stopIfTrue="1" operator="equal">
      <formula>"Fail"</formula>
    </cfRule>
  </conditionalFormatting>
  <conditionalFormatting sqref="J1482:L1482">
    <cfRule type="cellIs" dxfId="6968" priority="6963" stopIfTrue="1" operator="equal">
      <formula>"Pass"</formula>
    </cfRule>
    <cfRule type="cellIs" dxfId="6967" priority="6964" stopIfTrue="1" operator="equal">
      <formula>"Fail"</formula>
    </cfRule>
  </conditionalFormatting>
  <conditionalFormatting sqref="I1482">
    <cfRule type="cellIs" dxfId="6966" priority="6961" stopIfTrue="1" operator="equal">
      <formula>"Pass"</formula>
    </cfRule>
    <cfRule type="cellIs" dxfId="6965" priority="6962" stopIfTrue="1" operator="equal">
      <formula>"Fail"</formula>
    </cfRule>
  </conditionalFormatting>
  <conditionalFormatting sqref="I1482:L1482">
    <cfRule type="cellIs" dxfId="6964" priority="6959" stopIfTrue="1" operator="equal">
      <formula>"Pass"</formula>
    </cfRule>
    <cfRule type="cellIs" dxfId="6963" priority="6960" stopIfTrue="1" operator="equal">
      <formula>"Fail"</formula>
    </cfRule>
  </conditionalFormatting>
  <conditionalFormatting sqref="J1482:L1482">
    <cfRule type="cellIs" dxfId="6962" priority="6957" stopIfTrue="1" operator="equal">
      <formula>"Pass"</formula>
    </cfRule>
    <cfRule type="cellIs" dxfId="6961" priority="6958" stopIfTrue="1" operator="equal">
      <formula>"Fail"</formula>
    </cfRule>
  </conditionalFormatting>
  <conditionalFormatting sqref="I1482">
    <cfRule type="cellIs" dxfId="6960" priority="6955" stopIfTrue="1" operator="equal">
      <formula>"Pass"</formula>
    </cfRule>
    <cfRule type="cellIs" dxfId="6959" priority="6956" stopIfTrue="1" operator="equal">
      <formula>"Fail"</formula>
    </cfRule>
  </conditionalFormatting>
  <conditionalFormatting sqref="I1482:L1482">
    <cfRule type="cellIs" dxfId="6958" priority="6953" stopIfTrue="1" operator="equal">
      <formula>"Pass"</formula>
    </cfRule>
    <cfRule type="cellIs" dxfId="6957" priority="6954" stopIfTrue="1" operator="equal">
      <formula>"Fail"</formula>
    </cfRule>
  </conditionalFormatting>
  <conditionalFormatting sqref="J1482:L1482">
    <cfRule type="cellIs" dxfId="6956" priority="6951" stopIfTrue="1" operator="equal">
      <formula>"Pass"</formula>
    </cfRule>
    <cfRule type="cellIs" dxfId="6955" priority="6952" stopIfTrue="1" operator="equal">
      <formula>"Fail"</formula>
    </cfRule>
  </conditionalFormatting>
  <conditionalFormatting sqref="I1482">
    <cfRule type="cellIs" dxfId="6954" priority="6949" stopIfTrue="1" operator="equal">
      <formula>"Pass"</formula>
    </cfRule>
    <cfRule type="cellIs" dxfId="6953" priority="6950" stopIfTrue="1" operator="equal">
      <formula>"Fail"</formula>
    </cfRule>
  </conditionalFormatting>
  <conditionalFormatting sqref="I1482:L1482">
    <cfRule type="cellIs" dxfId="6952" priority="6947" stopIfTrue="1" operator="equal">
      <formula>"Pass"</formula>
    </cfRule>
    <cfRule type="cellIs" dxfId="6951" priority="6948" stopIfTrue="1" operator="equal">
      <formula>"Fail"</formula>
    </cfRule>
  </conditionalFormatting>
  <conditionalFormatting sqref="J1482:L1482">
    <cfRule type="cellIs" dxfId="6950" priority="6945" stopIfTrue="1" operator="equal">
      <formula>"Pass"</formula>
    </cfRule>
    <cfRule type="cellIs" dxfId="6949" priority="6946" stopIfTrue="1" operator="equal">
      <formula>"Fail"</formula>
    </cfRule>
  </conditionalFormatting>
  <conditionalFormatting sqref="I1482">
    <cfRule type="cellIs" dxfId="6948" priority="6943" stopIfTrue="1" operator="equal">
      <formula>"Pass"</formula>
    </cfRule>
    <cfRule type="cellIs" dxfId="6947" priority="6944" stopIfTrue="1" operator="equal">
      <formula>"Fail"</formula>
    </cfRule>
  </conditionalFormatting>
  <conditionalFormatting sqref="I1482:L1482">
    <cfRule type="cellIs" dxfId="6946" priority="6941" stopIfTrue="1" operator="equal">
      <formula>"Pass"</formula>
    </cfRule>
    <cfRule type="cellIs" dxfId="6945" priority="6942" stopIfTrue="1" operator="equal">
      <formula>"Fail"</formula>
    </cfRule>
  </conditionalFormatting>
  <conditionalFormatting sqref="J1482:L1482">
    <cfRule type="cellIs" dxfId="6944" priority="6939" stopIfTrue="1" operator="equal">
      <formula>"Pass"</formula>
    </cfRule>
    <cfRule type="cellIs" dxfId="6943" priority="6940" stopIfTrue="1" operator="equal">
      <formula>"Fail"</formula>
    </cfRule>
  </conditionalFormatting>
  <conditionalFormatting sqref="I1482">
    <cfRule type="cellIs" dxfId="6942" priority="6937" stopIfTrue="1" operator="equal">
      <formula>"Pass"</formula>
    </cfRule>
    <cfRule type="cellIs" dxfId="6941" priority="6938" stopIfTrue="1" operator="equal">
      <formula>"Fail"</formula>
    </cfRule>
  </conditionalFormatting>
  <conditionalFormatting sqref="I1482:L1482">
    <cfRule type="cellIs" dxfId="6940" priority="6935" stopIfTrue="1" operator="equal">
      <formula>"Pass"</formula>
    </cfRule>
    <cfRule type="cellIs" dxfId="6939" priority="6936" stopIfTrue="1" operator="equal">
      <formula>"Fail"</formula>
    </cfRule>
  </conditionalFormatting>
  <conditionalFormatting sqref="J1482:L1482">
    <cfRule type="cellIs" dxfId="6938" priority="6933" stopIfTrue="1" operator="equal">
      <formula>"Pass"</formula>
    </cfRule>
    <cfRule type="cellIs" dxfId="6937" priority="6934" stopIfTrue="1" operator="equal">
      <formula>"Fail"</formula>
    </cfRule>
  </conditionalFormatting>
  <conditionalFormatting sqref="I1482">
    <cfRule type="cellIs" dxfId="6936" priority="6931" stopIfTrue="1" operator="equal">
      <formula>"Pass"</formula>
    </cfRule>
    <cfRule type="cellIs" dxfId="6935" priority="6932" stopIfTrue="1" operator="equal">
      <formula>"Fail"</formula>
    </cfRule>
  </conditionalFormatting>
  <conditionalFormatting sqref="I1482:L1482">
    <cfRule type="cellIs" dxfId="6934" priority="6929" stopIfTrue="1" operator="equal">
      <formula>"Pass"</formula>
    </cfRule>
    <cfRule type="cellIs" dxfId="6933" priority="6930" stopIfTrue="1" operator="equal">
      <formula>"Fail"</formula>
    </cfRule>
  </conditionalFormatting>
  <conditionalFormatting sqref="J1482:L1482">
    <cfRule type="cellIs" dxfId="6932" priority="6927" stopIfTrue="1" operator="equal">
      <formula>"Pass"</formula>
    </cfRule>
    <cfRule type="cellIs" dxfId="6931" priority="6928" stopIfTrue="1" operator="equal">
      <formula>"Fail"</formula>
    </cfRule>
  </conditionalFormatting>
  <conditionalFormatting sqref="I1482">
    <cfRule type="cellIs" dxfId="6930" priority="6925" stopIfTrue="1" operator="equal">
      <formula>"Pass"</formula>
    </cfRule>
    <cfRule type="cellIs" dxfId="6929" priority="6926" stopIfTrue="1" operator="equal">
      <formula>"Fail"</formula>
    </cfRule>
  </conditionalFormatting>
  <conditionalFormatting sqref="I1482:L1482">
    <cfRule type="cellIs" dxfId="6928" priority="6923" stopIfTrue="1" operator="equal">
      <formula>"Pass"</formula>
    </cfRule>
    <cfRule type="cellIs" dxfId="6927" priority="6924" stopIfTrue="1" operator="equal">
      <formula>"Fail"</formula>
    </cfRule>
  </conditionalFormatting>
  <conditionalFormatting sqref="J1482:L1482">
    <cfRule type="cellIs" dxfId="6926" priority="6921" stopIfTrue="1" operator="equal">
      <formula>"Pass"</formula>
    </cfRule>
    <cfRule type="cellIs" dxfId="6925" priority="6922" stopIfTrue="1" operator="equal">
      <formula>"Fail"</formula>
    </cfRule>
  </conditionalFormatting>
  <conditionalFormatting sqref="I1482">
    <cfRule type="cellIs" dxfId="6924" priority="6919" stopIfTrue="1" operator="equal">
      <formula>"Pass"</formula>
    </cfRule>
    <cfRule type="cellIs" dxfId="6923" priority="6920" stopIfTrue="1" operator="equal">
      <formula>"Fail"</formula>
    </cfRule>
  </conditionalFormatting>
  <conditionalFormatting sqref="I1482:L1482">
    <cfRule type="cellIs" dxfId="6922" priority="6917" stopIfTrue="1" operator="equal">
      <formula>"Pass"</formula>
    </cfRule>
    <cfRule type="cellIs" dxfId="6921" priority="6918" stopIfTrue="1" operator="equal">
      <formula>"Fail"</formula>
    </cfRule>
  </conditionalFormatting>
  <conditionalFormatting sqref="J1482:L1482">
    <cfRule type="cellIs" dxfId="6920" priority="6915" stopIfTrue="1" operator="equal">
      <formula>"Pass"</formula>
    </cfRule>
    <cfRule type="cellIs" dxfId="6919" priority="6916" stopIfTrue="1" operator="equal">
      <formula>"Fail"</formula>
    </cfRule>
  </conditionalFormatting>
  <conditionalFormatting sqref="I1482">
    <cfRule type="cellIs" dxfId="6918" priority="6913" stopIfTrue="1" operator="equal">
      <formula>"Pass"</formula>
    </cfRule>
    <cfRule type="cellIs" dxfId="6917" priority="6914" stopIfTrue="1" operator="equal">
      <formula>"Fail"</formula>
    </cfRule>
  </conditionalFormatting>
  <conditionalFormatting sqref="I1482:L1482">
    <cfRule type="cellIs" dxfId="6916" priority="6911" stopIfTrue="1" operator="equal">
      <formula>"Pass"</formula>
    </cfRule>
    <cfRule type="cellIs" dxfId="6915" priority="6912" stopIfTrue="1" operator="equal">
      <formula>"Fail"</formula>
    </cfRule>
  </conditionalFormatting>
  <conditionalFormatting sqref="J1482:L1482">
    <cfRule type="cellIs" dxfId="6914" priority="6909" stopIfTrue="1" operator="equal">
      <formula>"Pass"</formula>
    </cfRule>
    <cfRule type="cellIs" dxfId="6913" priority="6910" stopIfTrue="1" operator="equal">
      <formula>"Fail"</formula>
    </cfRule>
  </conditionalFormatting>
  <conditionalFormatting sqref="I1482">
    <cfRule type="cellIs" dxfId="6912" priority="6907" stopIfTrue="1" operator="equal">
      <formula>"Pass"</formula>
    </cfRule>
    <cfRule type="cellIs" dxfId="6911" priority="6908" stopIfTrue="1" operator="equal">
      <formula>"Fail"</formula>
    </cfRule>
  </conditionalFormatting>
  <conditionalFormatting sqref="I1482:L1482">
    <cfRule type="cellIs" dxfId="6910" priority="6905" stopIfTrue="1" operator="equal">
      <formula>"Pass"</formula>
    </cfRule>
    <cfRule type="cellIs" dxfId="6909" priority="6906" stopIfTrue="1" operator="equal">
      <formula>"Fail"</formula>
    </cfRule>
  </conditionalFormatting>
  <conditionalFormatting sqref="J1482:L1482">
    <cfRule type="cellIs" dxfId="6908" priority="6903" stopIfTrue="1" operator="equal">
      <formula>"Pass"</formula>
    </cfRule>
    <cfRule type="cellIs" dxfId="6907" priority="6904" stopIfTrue="1" operator="equal">
      <formula>"Fail"</formula>
    </cfRule>
  </conditionalFormatting>
  <conditionalFormatting sqref="I1482">
    <cfRule type="cellIs" dxfId="6906" priority="6901" stopIfTrue="1" operator="equal">
      <formula>"Pass"</formula>
    </cfRule>
    <cfRule type="cellIs" dxfId="6905" priority="6902" stopIfTrue="1" operator="equal">
      <formula>"Fail"</formula>
    </cfRule>
  </conditionalFormatting>
  <conditionalFormatting sqref="I1482:L1482">
    <cfRule type="cellIs" dxfId="6904" priority="6899" stopIfTrue="1" operator="equal">
      <formula>"Pass"</formula>
    </cfRule>
    <cfRule type="cellIs" dxfId="6903" priority="6900" stopIfTrue="1" operator="equal">
      <formula>"Fail"</formula>
    </cfRule>
  </conditionalFormatting>
  <conditionalFormatting sqref="J1482:L1482">
    <cfRule type="cellIs" dxfId="6902" priority="6897" stopIfTrue="1" operator="equal">
      <formula>"Pass"</formula>
    </cfRule>
    <cfRule type="cellIs" dxfId="6901" priority="6898" stopIfTrue="1" operator="equal">
      <formula>"Fail"</formula>
    </cfRule>
  </conditionalFormatting>
  <conditionalFormatting sqref="I1482">
    <cfRule type="cellIs" dxfId="6900" priority="6895" stopIfTrue="1" operator="equal">
      <formula>"Pass"</formula>
    </cfRule>
    <cfRule type="cellIs" dxfId="6899" priority="6896" stopIfTrue="1" operator="equal">
      <formula>"Fail"</formula>
    </cfRule>
  </conditionalFormatting>
  <conditionalFormatting sqref="I1482:L1482">
    <cfRule type="cellIs" dxfId="6898" priority="6893" stopIfTrue="1" operator="equal">
      <formula>"Pass"</formula>
    </cfRule>
    <cfRule type="cellIs" dxfId="6897" priority="6894" stopIfTrue="1" operator="equal">
      <formula>"Fail"</formula>
    </cfRule>
  </conditionalFormatting>
  <conditionalFormatting sqref="J1482:L1482">
    <cfRule type="cellIs" dxfId="6896" priority="6891" stopIfTrue="1" operator="equal">
      <formula>"Pass"</formula>
    </cfRule>
    <cfRule type="cellIs" dxfId="6895" priority="6892" stopIfTrue="1" operator="equal">
      <formula>"Fail"</formula>
    </cfRule>
  </conditionalFormatting>
  <conditionalFormatting sqref="I1482">
    <cfRule type="cellIs" dxfId="6894" priority="6889" stopIfTrue="1" operator="equal">
      <formula>"Pass"</formula>
    </cfRule>
    <cfRule type="cellIs" dxfId="6893" priority="6890" stopIfTrue="1" operator="equal">
      <formula>"Fail"</formula>
    </cfRule>
  </conditionalFormatting>
  <conditionalFormatting sqref="I1482:L1482">
    <cfRule type="cellIs" dxfId="6892" priority="6887" stopIfTrue="1" operator="equal">
      <formula>"Pass"</formula>
    </cfRule>
    <cfRule type="cellIs" dxfId="6891" priority="6888" stopIfTrue="1" operator="equal">
      <formula>"Fail"</formula>
    </cfRule>
  </conditionalFormatting>
  <conditionalFormatting sqref="J1482:L1482">
    <cfRule type="cellIs" dxfId="6890" priority="6885" stopIfTrue="1" operator="equal">
      <formula>"Pass"</formula>
    </cfRule>
    <cfRule type="cellIs" dxfId="6889" priority="6886" stopIfTrue="1" operator="equal">
      <formula>"Fail"</formula>
    </cfRule>
  </conditionalFormatting>
  <conditionalFormatting sqref="I1482">
    <cfRule type="cellIs" dxfId="6888" priority="6883" stopIfTrue="1" operator="equal">
      <formula>"Pass"</formula>
    </cfRule>
    <cfRule type="cellIs" dxfId="6887" priority="6884" stopIfTrue="1" operator="equal">
      <formula>"Fail"</formula>
    </cfRule>
  </conditionalFormatting>
  <conditionalFormatting sqref="I1482:L1482">
    <cfRule type="cellIs" dxfId="6886" priority="6881" stopIfTrue="1" operator="equal">
      <formula>"Pass"</formula>
    </cfRule>
    <cfRule type="cellIs" dxfId="6885" priority="6882" stopIfTrue="1" operator="equal">
      <formula>"Fail"</formula>
    </cfRule>
  </conditionalFormatting>
  <conditionalFormatting sqref="J1482:L1482">
    <cfRule type="cellIs" dxfId="6884" priority="6879" stopIfTrue="1" operator="equal">
      <formula>"Pass"</formula>
    </cfRule>
    <cfRule type="cellIs" dxfId="6883" priority="6880" stopIfTrue="1" operator="equal">
      <formula>"Fail"</formula>
    </cfRule>
  </conditionalFormatting>
  <conditionalFormatting sqref="I1482">
    <cfRule type="cellIs" dxfId="6882" priority="6877" stopIfTrue="1" operator="equal">
      <formula>"Pass"</formula>
    </cfRule>
    <cfRule type="cellIs" dxfId="6881" priority="6878" stopIfTrue="1" operator="equal">
      <formula>"Fail"</formula>
    </cfRule>
  </conditionalFormatting>
  <conditionalFormatting sqref="I1482:L1482">
    <cfRule type="cellIs" dxfId="6880" priority="6875" stopIfTrue="1" operator="equal">
      <formula>"Pass"</formula>
    </cfRule>
    <cfRule type="cellIs" dxfId="6879" priority="6876" stopIfTrue="1" operator="equal">
      <formula>"Fail"</formula>
    </cfRule>
  </conditionalFormatting>
  <conditionalFormatting sqref="J1482:L1482">
    <cfRule type="cellIs" dxfId="6878" priority="6873" stopIfTrue="1" operator="equal">
      <formula>"Pass"</formula>
    </cfRule>
    <cfRule type="cellIs" dxfId="6877" priority="6874" stopIfTrue="1" operator="equal">
      <formula>"Fail"</formula>
    </cfRule>
  </conditionalFormatting>
  <conditionalFormatting sqref="I1482">
    <cfRule type="cellIs" dxfId="6876" priority="6871" stopIfTrue="1" operator="equal">
      <formula>"Pass"</formula>
    </cfRule>
    <cfRule type="cellIs" dxfId="6875" priority="6872" stopIfTrue="1" operator="equal">
      <formula>"Fail"</formula>
    </cfRule>
  </conditionalFormatting>
  <conditionalFormatting sqref="I1482:L1482">
    <cfRule type="cellIs" dxfId="6874" priority="6869" stopIfTrue="1" operator="equal">
      <formula>"Pass"</formula>
    </cfRule>
    <cfRule type="cellIs" dxfId="6873" priority="6870" stopIfTrue="1" operator="equal">
      <formula>"Fail"</formula>
    </cfRule>
  </conditionalFormatting>
  <conditionalFormatting sqref="I1482:L1482">
    <cfRule type="cellIs" dxfId="6872" priority="6867" stopIfTrue="1" operator="equal">
      <formula>"Pass"</formula>
    </cfRule>
    <cfRule type="cellIs" dxfId="6871" priority="6868" stopIfTrue="1" operator="equal">
      <formula>"Fail"</formula>
    </cfRule>
  </conditionalFormatting>
  <conditionalFormatting sqref="J1482:L1482">
    <cfRule type="cellIs" dxfId="6870" priority="6865" stopIfTrue="1" operator="equal">
      <formula>"Pass"</formula>
    </cfRule>
    <cfRule type="cellIs" dxfId="6869" priority="6866" stopIfTrue="1" operator="equal">
      <formula>"Fail"</formula>
    </cfRule>
  </conditionalFormatting>
  <conditionalFormatting sqref="I1482">
    <cfRule type="cellIs" dxfId="6868" priority="6863" stopIfTrue="1" operator="equal">
      <formula>"Pass"</formula>
    </cfRule>
    <cfRule type="cellIs" dxfId="6867" priority="6864" stopIfTrue="1" operator="equal">
      <formula>"Fail"</formula>
    </cfRule>
  </conditionalFormatting>
  <conditionalFormatting sqref="I1482:L1482">
    <cfRule type="cellIs" dxfId="6866" priority="6861" stopIfTrue="1" operator="equal">
      <formula>"Pass"</formula>
    </cfRule>
    <cfRule type="cellIs" dxfId="6865" priority="6862" stopIfTrue="1" operator="equal">
      <formula>"Fail"</formula>
    </cfRule>
  </conditionalFormatting>
  <conditionalFormatting sqref="J1482:L1482">
    <cfRule type="cellIs" dxfId="6864" priority="6859" stopIfTrue="1" operator="equal">
      <formula>"Pass"</formula>
    </cfRule>
    <cfRule type="cellIs" dxfId="6863" priority="6860" stopIfTrue="1" operator="equal">
      <formula>"Fail"</formula>
    </cfRule>
  </conditionalFormatting>
  <conditionalFormatting sqref="I1482">
    <cfRule type="cellIs" dxfId="6862" priority="6857" stopIfTrue="1" operator="equal">
      <formula>"Pass"</formula>
    </cfRule>
    <cfRule type="cellIs" dxfId="6861" priority="6858" stopIfTrue="1" operator="equal">
      <formula>"Fail"</formula>
    </cfRule>
  </conditionalFormatting>
  <conditionalFormatting sqref="I1482:L1482">
    <cfRule type="cellIs" dxfId="6860" priority="6855" stopIfTrue="1" operator="equal">
      <formula>"Pass"</formula>
    </cfRule>
    <cfRule type="cellIs" dxfId="6859" priority="6856" stopIfTrue="1" operator="equal">
      <formula>"Fail"</formula>
    </cfRule>
  </conditionalFormatting>
  <conditionalFormatting sqref="I1482:L1482">
    <cfRule type="cellIs" dxfId="6858" priority="6853" stopIfTrue="1" operator="equal">
      <formula>"Pass"</formula>
    </cfRule>
    <cfRule type="cellIs" dxfId="6857" priority="6854" stopIfTrue="1" operator="equal">
      <formula>"Fail"</formula>
    </cfRule>
  </conditionalFormatting>
  <conditionalFormatting sqref="J1482:L1482">
    <cfRule type="cellIs" dxfId="6856" priority="6851" stopIfTrue="1" operator="equal">
      <formula>"Pass"</formula>
    </cfRule>
    <cfRule type="cellIs" dxfId="6855" priority="6852" stopIfTrue="1" operator="equal">
      <formula>"Fail"</formula>
    </cfRule>
  </conditionalFormatting>
  <conditionalFormatting sqref="I1482">
    <cfRule type="cellIs" dxfId="6854" priority="6849" stopIfTrue="1" operator="equal">
      <formula>"Pass"</formula>
    </cfRule>
    <cfRule type="cellIs" dxfId="6853" priority="6850" stopIfTrue="1" operator="equal">
      <formula>"Fail"</formula>
    </cfRule>
  </conditionalFormatting>
  <conditionalFormatting sqref="I1482:L1482">
    <cfRule type="cellIs" dxfId="6852" priority="6847" stopIfTrue="1" operator="equal">
      <formula>"Pass"</formula>
    </cfRule>
    <cfRule type="cellIs" dxfId="6851" priority="6848" stopIfTrue="1" operator="equal">
      <formula>"Fail"</formula>
    </cfRule>
  </conditionalFormatting>
  <conditionalFormatting sqref="J1482:L1482">
    <cfRule type="cellIs" dxfId="6850" priority="6845" stopIfTrue="1" operator="equal">
      <formula>"Pass"</formula>
    </cfRule>
    <cfRule type="cellIs" dxfId="6849" priority="6846" stopIfTrue="1" operator="equal">
      <formula>"Fail"</formula>
    </cfRule>
  </conditionalFormatting>
  <conditionalFormatting sqref="I1482">
    <cfRule type="cellIs" dxfId="6848" priority="6843" stopIfTrue="1" operator="equal">
      <formula>"Pass"</formula>
    </cfRule>
    <cfRule type="cellIs" dxfId="6847" priority="6844" stopIfTrue="1" operator="equal">
      <formula>"Fail"</formula>
    </cfRule>
  </conditionalFormatting>
  <conditionalFormatting sqref="I1482:L1482">
    <cfRule type="cellIs" dxfId="6846" priority="6841" stopIfTrue="1" operator="equal">
      <formula>"Pass"</formula>
    </cfRule>
    <cfRule type="cellIs" dxfId="6845" priority="6842" stopIfTrue="1" operator="equal">
      <formula>"Fail"</formula>
    </cfRule>
  </conditionalFormatting>
  <conditionalFormatting sqref="I1482:L1482">
    <cfRule type="cellIs" dxfId="6844" priority="6839" stopIfTrue="1" operator="equal">
      <formula>"Pass"</formula>
    </cfRule>
    <cfRule type="cellIs" dxfId="6843" priority="6840" stopIfTrue="1" operator="equal">
      <formula>"Fail"</formula>
    </cfRule>
  </conditionalFormatting>
  <conditionalFormatting sqref="J1482:L1482">
    <cfRule type="cellIs" dxfId="6842" priority="6837" stopIfTrue="1" operator="equal">
      <formula>"Pass"</formula>
    </cfRule>
    <cfRule type="cellIs" dxfId="6841" priority="6838" stopIfTrue="1" operator="equal">
      <formula>"Fail"</formula>
    </cfRule>
  </conditionalFormatting>
  <conditionalFormatting sqref="I1482">
    <cfRule type="cellIs" dxfId="6840" priority="6835" stopIfTrue="1" operator="equal">
      <formula>"Pass"</formula>
    </cfRule>
    <cfRule type="cellIs" dxfId="6839" priority="6836" stopIfTrue="1" operator="equal">
      <formula>"Fail"</formula>
    </cfRule>
  </conditionalFormatting>
  <conditionalFormatting sqref="I1482:L1482">
    <cfRule type="cellIs" dxfId="6838" priority="6833" stopIfTrue="1" operator="equal">
      <formula>"Pass"</formula>
    </cfRule>
    <cfRule type="cellIs" dxfId="6837" priority="6834" stopIfTrue="1" operator="equal">
      <formula>"Fail"</formula>
    </cfRule>
  </conditionalFormatting>
  <conditionalFormatting sqref="J1482:L1482">
    <cfRule type="cellIs" dxfId="6836" priority="6831" stopIfTrue="1" operator="equal">
      <formula>"Pass"</formula>
    </cfRule>
    <cfRule type="cellIs" dxfId="6835" priority="6832" stopIfTrue="1" operator="equal">
      <formula>"Fail"</formula>
    </cfRule>
  </conditionalFormatting>
  <conditionalFormatting sqref="I1482">
    <cfRule type="cellIs" dxfId="6834" priority="6829" stopIfTrue="1" operator="equal">
      <formula>"Pass"</formula>
    </cfRule>
    <cfRule type="cellIs" dxfId="6833" priority="6830" stopIfTrue="1" operator="equal">
      <formula>"Fail"</formula>
    </cfRule>
  </conditionalFormatting>
  <conditionalFormatting sqref="I1482:L1482">
    <cfRule type="cellIs" dxfId="6832" priority="6827" stopIfTrue="1" operator="equal">
      <formula>"Pass"</formula>
    </cfRule>
    <cfRule type="cellIs" dxfId="6831" priority="6828" stopIfTrue="1" operator="equal">
      <formula>"Fail"</formula>
    </cfRule>
  </conditionalFormatting>
  <conditionalFormatting sqref="I1482:L1482">
    <cfRule type="cellIs" dxfId="6830" priority="6825" stopIfTrue="1" operator="equal">
      <formula>"Pass"</formula>
    </cfRule>
    <cfRule type="cellIs" dxfId="6829" priority="6826" stopIfTrue="1" operator="equal">
      <formula>"Fail"</formula>
    </cfRule>
  </conditionalFormatting>
  <conditionalFormatting sqref="J1482:L1482">
    <cfRule type="cellIs" dxfId="6828" priority="6823" stopIfTrue="1" operator="equal">
      <formula>"Pass"</formula>
    </cfRule>
    <cfRule type="cellIs" dxfId="6827" priority="6824" stopIfTrue="1" operator="equal">
      <formula>"Fail"</formula>
    </cfRule>
  </conditionalFormatting>
  <conditionalFormatting sqref="I1482">
    <cfRule type="cellIs" dxfId="6826" priority="6821" stopIfTrue="1" operator="equal">
      <formula>"Pass"</formula>
    </cfRule>
    <cfRule type="cellIs" dxfId="6825" priority="6822" stopIfTrue="1" operator="equal">
      <formula>"Fail"</formula>
    </cfRule>
  </conditionalFormatting>
  <conditionalFormatting sqref="I1482:L1482">
    <cfRule type="cellIs" dxfId="6824" priority="6819" stopIfTrue="1" operator="equal">
      <formula>"Pass"</formula>
    </cfRule>
    <cfRule type="cellIs" dxfId="6823" priority="6820" stopIfTrue="1" operator="equal">
      <formula>"Fail"</formula>
    </cfRule>
  </conditionalFormatting>
  <conditionalFormatting sqref="J1482:L1482">
    <cfRule type="cellIs" dxfId="6822" priority="6817" stopIfTrue="1" operator="equal">
      <formula>"Pass"</formula>
    </cfRule>
    <cfRule type="cellIs" dxfId="6821" priority="6818" stopIfTrue="1" operator="equal">
      <formula>"Fail"</formula>
    </cfRule>
  </conditionalFormatting>
  <conditionalFormatting sqref="I1482">
    <cfRule type="cellIs" dxfId="6820" priority="6815" stopIfTrue="1" operator="equal">
      <formula>"Pass"</formula>
    </cfRule>
    <cfRule type="cellIs" dxfId="6819" priority="6816" stopIfTrue="1" operator="equal">
      <formula>"Fail"</formula>
    </cfRule>
  </conditionalFormatting>
  <conditionalFormatting sqref="I1482:L1482">
    <cfRule type="cellIs" dxfId="6818" priority="6813" stopIfTrue="1" operator="equal">
      <formula>"Pass"</formula>
    </cfRule>
    <cfRule type="cellIs" dxfId="6817" priority="6814" stopIfTrue="1" operator="equal">
      <formula>"Fail"</formula>
    </cfRule>
  </conditionalFormatting>
  <conditionalFormatting sqref="I1482:L1482">
    <cfRule type="cellIs" dxfId="6816" priority="6811" stopIfTrue="1" operator="equal">
      <formula>"Pass"</formula>
    </cfRule>
    <cfRule type="cellIs" dxfId="6815" priority="6812" stopIfTrue="1" operator="equal">
      <formula>"Fail"</formula>
    </cfRule>
  </conditionalFormatting>
  <conditionalFormatting sqref="J1482:L1482">
    <cfRule type="cellIs" dxfId="6814" priority="6809" stopIfTrue="1" operator="equal">
      <formula>"Pass"</formula>
    </cfRule>
    <cfRule type="cellIs" dxfId="6813" priority="6810" stopIfTrue="1" operator="equal">
      <formula>"Fail"</formula>
    </cfRule>
  </conditionalFormatting>
  <conditionalFormatting sqref="I1482">
    <cfRule type="cellIs" dxfId="6812" priority="6807" stopIfTrue="1" operator="equal">
      <formula>"Pass"</formula>
    </cfRule>
    <cfRule type="cellIs" dxfId="6811" priority="6808" stopIfTrue="1" operator="equal">
      <formula>"Fail"</formula>
    </cfRule>
  </conditionalFormatting>
  <conditionalFormatting sqref="I1482:L1482">
    <cfRule type="cellIs" dxfId="6810" priority="6805" stopIfTrue="1" operator="equal">
      <formula>"Pass"</formula>
    </cfRule>
    <cfRule type="cellIs" dxfId="6809" priority="6806" stopIfTrue="1" operator="equal">
      <formula>"Fail"</formula>
    </cfRule>
  </conditionalFormatting>
  <conditionalFormatting sqref="J1482:L1482">
    <cfRule type="cellIs" dxfId="6808" priority="6803" stopIfTrue="1" operator="equal">
      <formula>"Pass"</formula>
    </cfRule>
    <cfRule type="cellIs" dxfId="6807" priority="6804" stopIfTrue="1" operator="equal">
      <formula>"Fail"</formula>
    </cfRule>
  </conditionalFormatting>
  <conditionalFormatting sqref="I1482">
    <cfRule type="cellIs" dxfId="6806" priority="6801" stopIfTrue="1" operator="equal">
      <formula>"Pass"</formula>
    </cfRule>
    <cfRule type="cellIs" dxfId="6805" priority="6802" stopIfTrue="1" operator="equal">
      <formula>"Fail"</formula>
    </cfRule>
  </conditionalFormatting>
  <conditionalFormatting sqref="I1482:L1482">
    <cfRule type="cellIs" dxfId="6804" priority="6799" stopIfTrue="1" operator="equal">
      <formula>"Pass"</formula>
    </cfRule>
    <cfRule type="cellIs" dxfId="6803" priority="6800" stopIfTrue="1" operator="equal">
      <formula>"Fail"</formula>
    </cfRule>
  </conditionalFormatting>
  <conditionalFormatting sqref="I1482:L1482">
    <cfRule type="cellIs" dxfId="6802" priority="6797" stopIfTrue="1" operator="equal">
      <formula>"Pass"</formula>
    </cfRule>
    <cfRule type="cellIs" dxfId="6801" priority="6798" stopIfTrue="1" operator="equal">
      <formula>"Fail"</formula>
    </cfRule>
  </conditionalFormatting>
  <conditionalFormatting sqref="I1482:L1482">
    <cfRule type="cellIs" dxfId="6800" priority="6795" stopIfTrue="1" operator="equal">
      <formula>"Pass"</formula>
    </cfRule>
    <cfRule type="cellIs" dxfId="6799" priority="6796" stopIfTrue="1" operator="equal">
      <formula>"Fail"</formula>
    </cfRule>
  </conditionalFormatting>
  <conditionalFormatting sqref="J1482:L1482">
    <cfRule type="cellIs" dxfId="6798" priority="6793" stopIfTrue="1" operator="equal">
      <formula>"Pass"</formula>
    </cfRule>
    <cfRule type="cellIs" dxfId="6797" priority="6794" stopIfTrue="1" operator="equal">
      <formula>"Fail"</formula>
    </cfRule>
  </conditionalFormatting>
  <conditionalFormatting sqref="I1482">
    <cfRule type="cellIs" dxfId="6796" priority="6791" stopIfTrue="1" operator="equal">
      <formula>"Pass"</formula>
    </cfRule>
    <cfRule type="cellIs" dxfId="6795" priority="6792" stopIfTrue="1" operator="equal">
      <formula>"Fail"</formula>
    </cfRule>
  </conditionalFormatting>
  <conditionalFormatting sqref="I1482:L1482">
    <cfRule type="cellIs" dxfId="6794" priority="6789" stopIfTrue="1" operator="equal">
      <formula>"Pass"</formula>
    </cfRule>
    <cfRule type="cellIs" dxfId="6793" priority="6790" stopIfTrue="1" operator="equal">
      <formula>"Fail"</formula>
    </cfRule>
  </conditionalFormatting>
  <conditionalFormatting sqref="J1482:L1482">
    <cfRule type="cellIs" dxfId="6792" priority="6787" stopIfTrue="1" operator="equal">
      <formula>"Pass"</formula>
    </cfRule>
    <cfRule type="cellIs" dxfId="6791" priority="6788" stopIfTrue="1" operator="equal">
      <formula>"Fail"</formula>
    </cfRule>
  </conditionalFormatting>
  <conditionalFormatting sqref="I1482">
    <cfRule type="cellIs" dxfId="6790" priority="6785" stopIfTrue="1" operator="equal">
      <formula>"Pass"</formula>
    </cfRule>
    <cfRule type="cellIs" dxfId="6789" priority="6786" stopIfTrue="1" operator="equal">
      <formula>"Fail"</formula>
    </cfRule>
  </conditionalFormatting>
  <conditionalFormatting sqref="I1482:L1482">
    <cfRule type="cellIs" dxfId="6788" priority="6783" stopIfTrue="1" operator="equal">
      <formula>"Pass"</formula>
    </cfRule>
    <cfRule type="cellIs" dxfId="6787" priority="6784" stopIfTrue="1" operator="equal">
      <formula>"Fail"</formula>
    </cfRule>
  </conditionalFormatting>
  <conditionalFormatting sqref="I1482:L1482">
    <cfRule type="cellIs" dxfId="6786" priority="6781" stopIfTrue="1" operator="equal">
      <formula>"Pass"</formula>
    </cfRule>
    <cfRule type="cellIs" dxfId="6785" priority="6782" stopIfTrue="1" operator="equal">
      <formula>"Fail"</formula>
    </cfRule>
  </conditionalFormatting>
  <conditionalFormatting sqref="I1482:L1482">
    <cfRule type="cellIs" dxfId="6784" priority="6779" stopIfTrue="1" operator="equal">
      <formula>"Pass"</formula>
    </cfRule>
    <cfRule type="cellIs" dxfId="6783" priority="6780" stopIfTrue="1" operator="equal">
      <formula>"Fail"</formula>
    </cfRule>
  </conditionalFormatting>
  <conditionalFormatting sqref="J1482:L1482">
    <cfRule type="cellIs" dxfId="6782" priority="6777" stopIfTrue="1" operator="equal">
      <formula>"Pass"</formula>
    </cfRule>
    <cfRule type="cellIs" dxfId="6781" priority="6778" stopIfTrue="1" operator="equal">
      <formula>"Fail"</formula>
    </cfRule>
  </conditionalFormatting>
  <conditionalFormatting sqref="I1482">
    <cfRule type="cellIs" dxfId="6780" priority="6775" stopIfTrue="1" operator="equal">
      <formula>"Pass"</formula>
    </cfRule>
    <cfRule type="cellIs" dxfId="6779" priority="6776" stopIfTrue="1" operator="equal">
      <formula>"Fail"</formula>
    </cfRule>
  </conditionalFormatting>
  <conditionalFormatting sqref="I1482:L1482">
    <cfRule type="cellIs" dxfId="6778" priority="6773" stopIfTrue="1" operator="equal">
      <formula>"Pass"</formula>
    </cfRule>
    <cfRule type="cellIs" dxfId="6777" priority="6774" stopIfTrue="1" operator="equal">
      <formula>"Fail"</formula>
    </cfRule>
  </conditionalFormatting>
  <conditionalFormatting sqref="J1482:L1482">
    <cfRule type="cellIs" dxfId="6776" priority="6771" stopIfTrue="1" operator="equal">
      <formula>"Pass"</formula>
    </cfRule>
    <cfRule type="cellIs" dxfId="6775" priority="6772" stopIfTrue="1" operator="equal">
      <formula>"Fail"</formula>
    </cfRule>
  </conditionalFormatting>
  <conditionalFormatting sqref="I1482">
    <cfRule type="cellIs" dxfId="6774" priority="6769" stopIfTrue="1" operator="equal">
      <formula>"Pass"</formula>
    </cfRule>
    <cfRule type="cellIs" dxfId="6773" priority="6770" stopIfTrue="1" operator="equal">
      <formula>"Fail"</formula>
    </cfRule>
  </conditionalFormatting>
  <conditionalFormatting sqref="I1482:L1482">
    <cfRule type="cellIs" dxfId="6772" priority="6767" stopIfTrue="1" operator="equal">
      <formula>"Pass"</formula>
    </cfRule>
    <cfRule type="cellIs" dxfId="6771" priority="6768" stopIfTrue="1" operator="equal">
      <formula>"Fail"</formula>
    </cfRule>
  </conditionalFormatting>
  <conditionalFormatting sqref="I1482:L1482">
    <cfRule type="cellIs" dxfId="6770" priority="6765" stopIfTrue="1" operator="equal">
      <formula>"Pass"</formula>
    </cfRule>
    <cfRule type="cellIs" dxfId="6769" priority="6766" stopIfTrue="1" operator="equal">
      <formula>"Fail"</formula>
    </cfRule>
  </conditionalFormatting>
  <conditionalFormatting sqref="I1482:L1482">
    <cfRule type="cellIs" dxfId="6768" priority="6763" stopIfTrue="1" operator="equal">
      <formula>"Pass"</formula>
    </cfRule>
    <cfRule type="cellIs" dxfId="6767" priority="6764" stopIfTrue="1" operator="equal">
      <formula>"Fail"</formula>
    </cfRule>
  </conditionalFormatting>
  <conditionalFormatting sqref="J1482:L1482">
    <cfRule type="cellIs" dxfId="6766" priority="6761" stopIfTrue="1" operator="equal">
      <formula>"Pass"</formula>
    </cfRule>
    <cfRule type="cellIs" dxfId="6765" priority="6762" stopIfTrue="1" operator="equal">
      <formula>"Fail"</formula>
    </cfRule>
  </conditionalFormatting>
  <conditionalFormatting sqref="I1482">
    <cfRule type="cellIs" dxfId="6764" priority="6759" stopIfTrue="1" operator="equal">
      <formula>"Pass"</formula>
    </cfRule>
    <cfRule type="cellIs" dxfId="6763" priority="6760" stopIfTrue="1" operator="equal">
      <formula>"Fail"</formula>
    </cfRule>
  </conditionalFormatting>
  <conditionalFormatting sqref="I1482:L1482">
    <cfRule type="cellIs" dxfId="6762" priority="6757" stopIfTrue="1" operator="equal">
      <formula>"Pass"</formula>
    </cfRule>
    <cfRule type="cellIs" dxfId="6761" priority="6758" stopIfTrue="1" operator="equal">
      <formula>"Fail"</formula>
    </cfRule>
  </conditionalFormatting>
  <conditionalFormatting sqref="J1482:L1482">
    <cfRule type="cellIs" dxfId="6760" priority="6755" stopIfTrue="1" operator="equal">
      <formula>"Pass"</formula>
    </cfRule>
    <cfRule type="cellIs" dxfId="6759" priority="6756" stopIfTrue="1" operator="equal">
      <formula>"Fail"</formula>
    </cfRule>
  </conditionalFormatting>
  <conditionalFormatting sqref="I1482">
    <cfRule type="cellIs" dxfId="6758" priority="6753" stopIfTrue="1" operator="equal">
      <formula>"Pass"</formula>
    </cfRule>
    <cfRule type="cellIs" dxfId="6757" priority="6754" stopIfTrue="1" operator="equal">
      <formula>"Fail"</formula>
    </cfRule>
  </conditionalFormatting>
  <conditionalFormatting sqref="I1482:L1482">
    <cfRule type="cellIs" dxfId="6756" priority="6751" stopIfTrue="1" operator="equal">
      <formula>"Pass"</formula>
    </cfRule>
    <cfRule type="cellIs" dxfId="6755" priority="6752" stopIfTrue="1" operator="equal">
      <formula>"Fail"</formula>
    </cfRule>
  </conditionalFormatting>
  <conditionalFormatting sqref="H1482">
    <cfRule type="cellIs" dxfId="6754" priority="6749" stopIfTrue="1" operator="equal">
      <formula>"Pass"</formula>
    </cfRule>
    <cfRule type="cellIs" dxfId="6753" priority="6750" stopIfTrue="1" operator="equal">
      <formula>"Fail"</formula>
    </cfRule>
  </conditionalFormatting>
  <conditionalFormatting sqref="H1482">
    <cfRule type="cellIs" dxfId="6752" priority="6747" stopIfTrue="1" operator="equal">
      <formula>"Pass"</formula>
    </cfRule>
    <cfRule type="cellIs" dxfId="6751" priority="6748" stopIfTrue="1" operator="equal">
      <formula>"Fail"</formula>
    </cfRule>
  </conditionalFormatting>
  <conditionalFormatting sqref="H1482">
    <cfRule type="cellIs" dxfId="6750" priority="6745" stopIfTrue="1" operator="equal">
      <formula>"Pass"</formula>
    </cfRule>
    <cfRule type="cellIs" dxfId="6749" priority="6746" stopIfTrue="1" operator="equal">
      <formula>"Fail"</formula>
    </cfRule>
  </conditionalFormatting>
  <conditionalFormatting sqref="I1482:L1482">
    <cfRule type="cellIs" dxfId="6748" priority="6743" stopIfTrue="1" operator="equal">
      <formula>"Pass"</formula>
    </cfRule>
    <cfRule type="cellIs" dxfId="6747" priority="6744" stopIfTrue="1" operator="equal">
      <formula>"Fail"</formula>
    </cfRule>
  </conditionalFormatting>
  <conditionalFormatting sqref="I1482:L1482">
    <cfRule type="cellIs" dxfId="6746" priority="6741" stopIfTrue="1" operator="equal">
      <formula>"Pass"</formula>
    </cfRule>
    <cfRule type="cellIs" dxfId="6745" priority="6742" stopIfTrue="1" operator="equal">
      <formula>"Fail"</formula>
    </cfRule>
  </conditionalFormatting>
  <conditionalFormatting sqref="J1482:L1482">
    <cfRule type="cellIs" dxfId="6744" priority="6739" stopIfTrue="1" operator="equal">
      <formula>"Pass"</formula>
    </cfRule>
    <cfRule type="cellIs" dxfId="6743" priority="6740" stopIfTrue="1" operator="equal">
      <formula>"Fail"</formula>
    </cfRule>
  </conditionalFormatting>
  <conditionalFormatting sqref="I1482">
    <cfRule type="cellIs" dxfId="6742" priority="6737" stopIfTrue="1" operator="equal">
      <formula>"Pass"</formula>
    </cfRule>
    <cfRule type="cellIs" dxfId="6741" priority="6738" stopIfTrue="1" operator="equal">
      <formula>"Fail"</formula>
    </cfRule>
  </conditionalFormatting>
  <conditionalFormatting sqref="I1482:L1482">
    <cfRule type="cellIs" dxfId="6740" priority="6735" stopIfTrue="1" operator="equal">
      <formula>"Pass"</formula>
    </cfRule>
    <cfRule type="cellIs" dxfId="6739" priority="6736" stopIfTrue="1" operator="equal">
      <formula>"Fail"</formula>
    </cfRule>
  </conditionalFormatting>
  <conditionalFormatting sqref="J1482:L1482">
    <cfRule type="cellIs" dxfId="6738" priority="6733" stopIfTrue="1" operator="equal">
      <formula>"Pass"</formula>
    </cfRule>
    <cfRule type="cellIs" dxfId="6737" priority="6734" stopIfTrue="1" operator="equal">
      <formula>"Fail"</formula>
    </cfRule>
  </conditionalFormatting>
  <conditionalFormatting sqref="I1482">
    <cfRule type="cellIs" dxfId="6736" priority="6731" stopIfTrue="1" operator="equal">
      <formula>"Pass"</formula>
    </cfRule>
    <cfRule type="cellIs" dxfId="6735" priority="6732" stopIfTrue="1" operator="equal">
      <formula>"Fail"</formula>
    </cfRule>
  </conditionalFormatting>
  <conditionalFormatting sqref="I1482:L1482">
    <cfRule type="cellIs" dxfId="6734" priority="6729" stopIfTrue="1" operator="equal">
      <formula>"Pass"</formula>
    </cfRule>
    <cfRule type="cellIs" dxfId="6733" priority="6730" stopIfTrue="1" operator="equal">
      <formula>"Fail"</formula>
    </cfRule>
  </conditionalFormatting>
  <conditionalFormatting sqref="H1482">
    <cfRule type="cellIs" dxfId="6732" priority="6727" stopIfTrue="1" operator="equal">
      <formula>"Pass"</formula>
    </cfRule>
    <cfRule type="cellIs" dxfId="6731" priority="6728" stopIfTrue="1" operator="equal">
      <formula>"Fail"</formula>
    </cfRule>
  </conditionalFormatting>
  <conditionalFormatting sqref="H1482">
    <cfRule type="cellIs" dxfId="6730" priority="6725" stopIfTrue="1" operator="equal">
      <formula>"Pass"</formula>
    </cfRule>
    <cfRule type="cellIs" dxfId="6729" priority="6726" stopIfTrue="1" operator="equal">
      <formula>"Fail"</formula>
    </cfRule>
  </conditionalFormatting>
  <conditionalFormatting sqref="H1482">
    <cfRule type="cellIs" dxfId="6728" priority="6723" stopIfTrue="1" operator="equal">
      <formula>"Pass"</formula>
    </cfRule>
    <cfRule type="cellIs" dxfId="6727" priority="6724" stopIfTrue="1" operator="equal">
      <formula>"Fail"</formula>
    </cfRule>
  </conditionalFormatting>
  <conditionalFormatting sqref="I1482:L1482">
    <cfRule type="cellIs" dxfId="6726" priority="6721" stopIfTrue="1" operator="equal">
      <formula>"Pass"</formula>
    </cfRule>
    <cfRule type="cellIs" dxfId="6725" priority="6722" stopIfTrue="1" operator="equal">
      <formula>"Fail"</formula>
    </cfRule>
  </conditionalFormatting>
  <conditionalFormatting sqref="I1482:L1482">
    <cfRule type="cellIs" dxfId="6724" priority="6719" stopIfTrue="1" operator="equal">
      <formula>"Pass"</formula>
    </cfRule>
    <cfRule type="cellIs" dxfId="6723" priority="6720" stopIfTrue="1" operator="equal">
      <formula>"Fail"</formula>
    </cfRule>
  </conditionalFormatting>
  <conditionalFormatting sqref="J1482:L1482">
    <cfRule type="cellIs" dxfId="6722" priority="6717" stopIfTrue="1" operator="equal">
      <formula>"Pass"</formula>
    </cfRule>
    <cfRule type="cellIs" dxfId="6721" priority="6718" stopIfTrue="1" operator="equal">
      <formula>"Fail"</formula>
    </cfRule>
  </conditionalFormatting>
  <conditionalFormatting sqref="I1482">
    <cfRule type="cellIs" dxfId="6720" priority="6715" stopIfTrue="1" operator="equal">
      <formula>"Pass"</formula>
    </cfRule>
    <cfRule type="cellIs" dxfId="6719" priority="6716" stopIfTrue="1" operator="equal">
      <formula>"Fail"</formula>
    </cfRule>
  </conditionalFormatting>
  <conditionalFormatting sqref="I1482:L1482">
    <cfRule type="cellIs" dxfId="6718" priority="6713" stopIfTrue="1" operator="equal">
      <formula>"Pass"</formula>
    </cfRule>
    <cfRule type="cellIs" dxfId="6717" priority="6714" stopIfTrue="1" operator="equal">
      <formula>"Fail"</formula>
    </cfRule>
  </conditionalFormatting>
  <conditionalFormatting sqref="J1482:L1482">
    <cfRule type="cellIs" dxfId="6716" priority="6711" stopIfTrue="1" operator="equal">
      <formula>"Pass"</formula>
    </cfRule>
    <cfRule type="cellIs" dxfId="6715" priority="6712" stopIfTrue="1" operator="equal">
      <formula>"Fail"</formula>
    </cfRule>
  </conditionalFormatting>
  <conditionalFormatting sqref="I1482">
    <cfRule type="cellIs" dxfId="6714" priority="6709" stopIfTrue="1" operator="equal">
      <formula>"Pass"</formula>
    </cfRule>
    <cfRule type="cellIs" dxfId="6713" priority="6710" stopIfTrue="1" operator="equal">
      <formula>"Fail"</formula>
    </cfRule>
  </conditionalFormatting>
  <conditionalFormatting sqref="I1482:L1482">
    <cfRule type="cellIs" dxfId="6712" priority="6707" stopIfTrue="1" operator="equal">
      <formula>"Pass"</formula>
    </cfRule>
    <cfRule type="cellIs" dxfId="6711" priority="6708" stopIfTrue="1" operator="equal">
      <formula>"Fail"</formula>
    </cfRule>
  </conditionalFormatting>
  <conditionalFormatting sqref="H1482:L1482">
    <cfRule type="cellIs" dxfId="6710" priority="6705" stopIfTrue="1" operator="equal">
      <formula>"Pass"</formula>
    </cfRule>
    <cfRule type="cellIs" dxfId="6709" priority="6706" stopIfTrue="1" operator="equal">
      <formula>"Fail"</formula>
    </cfRule>
  </conditionalFormatting>
  <conditionalFormatting sqref="H1482:L1482">
    <cfRule type="cellIs" dxfId="6708" priority="6703" stopIfTrue="1" operator="equal">
      <formula>"Pass"</formula>
    </cfRule>
    <cfRule type="cellIs" dxfId="6707" priority="6704" stopIfTrue="1" operator="equal">
      <formula>"Fail"</formula>
    </cfRule>
  </conditionalFormatting>
  <conditionalFormatting sqref="H1482:L1482">
    <cfRule type="cellIs" dxfId="6706" priority="6701" stopIfTrue="1" operator="equal">
      <formula>"Pass"</formula>
    </cfRule>
    <cfRule type="cellIs" dxfId="6705" priority="6702" stopIfTrue="1" operator="equal">
      <formula>"Fail"</formula>
    </cfRule>
  </conditionalFormatting>
  <conditionalFormatting sqref="H1482:L1482">
    <cfRule type="cellIs" dxfId="6704" priority="6699" stopIfTrue="1" operator="equal">
      <formula>"Pass"</formula>
    </cfRule>
    <cfRule type="cellIs" dxfId="6703" priority="6700" stopIfTrue="1" operator="equal">
      <formula>"Fail"</formula>
    </cfRule>
  </conditionalFormatting>
  <conditionalFormatting sqref="H1482:L1482">
    <cfRule type="cellIs" dxfId="6702" priority="6697" stopIfTrue="1" operator="equal">
      <formula>"Pass"</formula>
    </cfRule>
    <cfRule type="cellIs" dxfId="6701" priority="6698" stopIfTrue="1" operator="equal">
      <formula>"Fail"</formula>
    </cfRule>
  </conditionalFormatting>
  <conditionalFormatting sqref="J1483:L1483">
    <cfRule type="cellIs" dxfId="6700" priority="6695" stopIfTrue="1" operator="equal">
      <formula>"Pass"</formula>
    </cfRule>
    <cfRule type="cellIs" dxfId="6699" priority="6696" stopIfTrue="1" operator="equal">
      <formula>"Fail"</formula>
    </cfRule>
  </conditionalFormatting>
  <conditionalFormatting sqref="I1483">
    <cfRule type="cellIs" dxfId="6698" priority="6693" stopIfTrue="1" operator="equal">
      <formula>"Pass"</formula>
    </cfRule>
    <cfRule type="cellIs" dxfId="6697" priority="6694" stopIfTrue="1" operator="equal">
      <formula>"Fail"</formula>
    </cfRule>
  </conditionalFormatting>
  <conditionalFormatting sqref="I1483:L1483">
    <cfRule type="cellIs" dxfId="6696" priority="6691" stopIfTrue="1" operator="equal">
      <formula>"Pass"</formula>
    </cfRule>
    <cfRule type="cellIs" dxfId="6695" priority="6692" stopIfTrue="1" operator="equal">
      <formula>"Fail"</formula>
    </cfRule>
  </conditionalFormatting>
  <conditionalFormatting sqref="J1483:L1483">
    <cfRule type="cellIs" dxfId="6694" priority="6689" stopIfTrue="1" operator="equal">
      <formula>"Pass"</formula>
    </cfRule>
    <cfRule type="cellIs" dxfId="6693" priority="6690" stopIfTrue="1" operator="equal">
      <formula>"Fail"</formula>
    </cfRule>
  </conditionalFormatting>
  <conditionalFormatting sqref="I1483">
    <cfRule type="cellIs" dxfId="6692" priority="6687" stopIfTrue="1" operator="equal">
      <formula>"Pass"</formula>
    </cfRule>
    <cfRule type="cellIs" dxfId="6691" priority="6688" stopIfTrue="1" operator="equal">
      <formula>"Fail"</formula>
    </cfRule>
  </conditionalFormatting>
  <conditionalFormatting sqref="I1483:L1483">
    <cfRule type="cellIs" dxfId="6690" priority="6685" stopIfTrue="1" operator="equal">
      <formula>"Pass"</formula>
    </cfRule>
    <cfRule type="cellIs" dxfId="6689" priority="6686" stopIfTrue="1" operator="equal">
      <formula>"Fail"</formula>
    </cfRule>
  </conditionalFormatting>
  <conditionalFormatting sqref="J1483:L1483">
    <cfRule type="cellIs" dxfId="6688" priority="6683" stopIfTrue="1" operator="equal">
      <formula>"Pass"</formula>
    </cfRule>
    <cfRule type="cellIs" dxfId="6687" priority="6684" stopIfTrue="1" operator="equal">
      <formula>"Fail"</formula>
    </cfRule>
  </conditionalFormatting>
  <conditionalFormatting sqref="I1483">
    <cfRule type="cellIs" dxfId="6686" priority="6681" stopIfTrue="1" operator="equal">
      <formula>"Pass"</formula>
    </cfRule>
    <cfRule type="cellIs" dxfId="6685" priority="6682" stopIfTrue="1" operator="equal">
      <formula>"Fail"</formula>
    </cfRule>
  </conditionalFormatting>
  <conditionalFormatting sqref="I1483:L1483">
    <cfRule type="cellIs" dxfId="6684" priority="6679" stopIfTrue="1" operator="equal">
      <formula>"Pass"</formula>
    </cfRule>
    <cfRule type="cellIs" dxfId="6683" priority="6680" stopIfTrue="1" operator="equal">
      <formula>"Fail"</formula>
    </cfRule>
  </conditionalFormatting>
  <conditionalFormatting sqref="J1483:L1483">
    <cfRule type="cellIs" dxfId="6682" priority="6677" stopIfTrue="1" operator="equal">
      <formula>"Pass"</formula>
    </cfRule>
    <cfRule type="cellIs" dxfId="6681" priority="6678" stopIfTrue="1" operator="equal">
      <formula>"Fail"</formula>
    </cfRule>
  </conditionalFormatting>
  <conditionalFormatting sqref="I1483">
    <cfRule type="cellIs" dxfId="6680" priority="6675" stopIfTrue="1" operator="equal">
      <formula>"Pass"</formula>
    </cfRule>
    <cfRule type="cellIs" dxfId="6679" priority="6676" stopIfTrue="1" operator="equal">
      <formula>"Fail"</formula>
    </cfRule>
  </conditionalFormatting>
  <conditionalFormatting sqref="I1483:L1483">
    <cfRule type="cellIs" dxfId="6678" priority="6673" stopIfTrue="1" operator="equal">
      <formula>"Pass"</formula>
    </cfRule>
    <cfRule type="cellIs" dxfId="6677" priority="6674" stopIfTrue="1" operator="equal">
      <formula>"Fail"</formula>
    </cfRule>
  </conditionalFormatting>
  <conditionalFormatting sqref="J1483:L1483">
    <cfRule type="cellIs" dxfId="6676" priority="6671" stopIfTrue="1" operator="equal">
      <formula>"Pass"</formula>
    </cfRule>
    <cfRule type="cellIs" dxfId="6675" priority="6672" stopIfTrue="1" operator="equal">
      <formula>"Fail"</formula>
    </cfRule>
  </conditionalFormatting>
  <conditionalFormatting sqref="I1483">
    <cfRule type="cellIs" dxfId="6674" priority="6669" stopIfTrue="1" operator="equal">
      <formula>"Pass"</formula>
    </cfRule>
    <cfRule type="cellIs" dxfId="6673" priority="6670" stopIfTrue="1" operator="equal">
      <formula>"Fail"</formula>
    </cfRule>
  </conditionalFormatting>
  <conditionalFormatting sqref="I1483:L1483">
    <cfRule type="cellIs" dxfId="6672" priority="6667" stopIfTrue="1" operator="equal">
      <formula>"Pass"</formula>
    </cfRule>
    <cfRule type="cellIs" dxfId="6671" priority="6668" stopIfTrue="1" operator="equal">
      <formula>"Fail"</formula>
    </cfRule>
  </conditionalFormatting>
  <conditionalFormatting sqref="J1483:L1483">
    <cfRule type="cellIs" dxfId="6670" priority="6665" stopIfTrue="1" operator="equal">
      <formula>"Pass"</formula>
    </cfRule>
    <cfRule type="cellIs" dxfId="6669" priority="6666" stopIfTrue="1" operator="equal">
      <formula>"Fail"</formula>
    </cfRule>
  </conditionalFormatting>
  <conditionalFormatting sqref="I1483">
    <cfRule type="cellIs" dxfId="6668" priority="6663" stopIfTrue="1" operator="equal">
      <formula>"Pass"</formula>
    </cfRule>
    <cfRule type="cellIs" dxfId="6667" priority="6664" stopIfTrue="1" operator="equal">
      <formula>"Fail"</formula>
    </cfRule>
  </conditionalFormatting>
  <conditionalFormatting sqref="I1483:L1483">
    <cfRule type="cellIs" dxfId="6666" priority="6661" stopIfTrue="1" operator="equal">
      <formula>"Pass"</formula>
    </cfRule>
    <cfRule type="cellIs" dxfId="6665" priority="6662" stopIfTrue="1" operator="equal">
      <formula>"Fail"</formula>
    </cfRule>
  </conditionalFormatting>
  <conditionalFormatting sqref="J1483:L1483">
    <cfRule type="cellIs" dxfId="6664" priority="6659" stopIfTrue="1" operator="equal">
      <formula>"Pass"</formula>
    </cfRule>
    <cfRule type="cellIs" dxfId="6663" priority="6660" stopIfTrue="1" operator="equal">
      <formula>"Fail"</formula>
    </cfRule>
  </conditionalFormatting>
  <conditionalFormatting sqref="I1483">
    <cfRule type="cellIs" dxfId="6662" priority="6657" stopIfTrue="1" operator="equal">
      <formula>"Pass"</formula>
    </cfRule>
    <cfRule type="cellIs" dxfId="6661" priority="6658" stopIfTrue="1" operator="equal">
      <formula>"Fail"</formula>
    </cfRule>
  </conditionalFormatting>
  <conditionalFormatting sqref="I1483:L1483">
    <cfRule type="cellIs" dxfId="6660" priority="6655" stopIfTrue="1" operator="equal">
      <formula>"Pass"</formula>
    </cfRule>
    <cfRule type="cellIs" dxfId="6659" priority="6656" stopIfTrue="1" operator="equal">
      <formula>"Fail"</formula>
    </cfRule>
  </conditionalFormatting>
  <conditionalFormatting sqref="J1483:L1483">
    <cfRule type="cellIs" dxfId="6658" priority="6653" stopIfTrue="1" operator="equal">
      <formula>"Pass"</formula>
    </cfRule>
    <cfRule type="cellIs" dxfId="6657" priority="6654" stopIfTrue="1" operator="equal">
      <formula>"Fail"</formula>
    </cfRule>
  </conditionalFormatting>
  <conditionalFormatting sqref="I1483">
    <cfRule type="cellIs" dxfId="6656" priority="6651" stopIfTrue="1" operator="equal">
      <formula>"Pass"</formula>
    </cfRule>
    <cfRule type="cellIs" dxfId="6655" priority="6652" stopIfTrue="1" operator="equal">
      <formula>"Fail"</formula>
    </cfRule>
  </conditionalFormatting>
  <conditionalFormatting sqref="I1483:L1483">
    <cfRule type="cellIs" dxfId="6654" priority="6649" stopIfTrue="1" operator="equal">
      <formula>"Pass"</formula>
    </cfRule>
    <cfRule type="cellIs" dxfId="6653" priority="6650" stopIfTrue="1" operator="equal">
      <formula>"Fail"</formula>
    </cfRule>
  </conditionalFormatting>
  <conditionalFormatting sqref="J1483:L1483">
    <cfRule type="cellIs" dxfId="6652" priority="6647" stopIfTrue="1" operator="equal">
      <formula>"Pass"</formula>
    </cfRule>
    <cfRule type="cellIs" dxfId="6651" priority="6648" stopIfTrue="1" operator="equal">
      <formula>"Fail"</formula>
    </cfRule>
  </conditionalFormatting>
  <conditionalFormatting sqref="I1483">
    <cfRule type="cellIs" dxfId="6650" priority="6645" stopIfTrue="1" operator="equal">
      <formula>"Pass"</formula>
    </cfRule>
    <cfRule type="cellIs" dxfId="6649" priority="6646" stopIfTrue="1" operator="equal">
      <formula>"Fail"</formula>
    </cfRule>
  </conditionalFormatting>
  <conditionalFormatting sqref="I1483:L1483">
    <cfRule type="cellIs" dxfId="6648" priority="6643" stopIfTrue="1" operator="equal">
      <formula>"Pass"</formula>
    </cfRule>
    <cfRule type="cellIs" dxfId="6647" priority="6644" stopIfTrue="1" operator="equal">
      <formula>"Fail"</formula>
    </cfRule>
  </conditionalFormatting>
  <conditionalFormatting sqref="J1483:L1483">
    <cfRule type="cellIs" dxfId="6646" priority="6641" stopIfTrue="1" operator="equal">
      <formula>"Pass"</formula>
    </cfRule>
    <cfRule type="cellIs" dxfId="6645" priority="6642" stopIfTrue="1" operator="equal">
      <formula>"Fail"</formula>
    </cfRule>
  </conditionalFormatting>
  <conditionalFormatting sqref="I1483">
    <cfRule type="cellIs" dxfId="6644" priority="6639" stopIfTrue="1" operator="equal">
      <formula>"Pass"</formula>
    </cfRule>
    <cfRule type="cellIs" dxfId="6643" priority="6640" stopIfTrue="1" operator="equal">
      <formula>"Fail"</formula>
    </cfRule>
  </conditionalFormatting>
  <conditionalFormatting sqref="I1483:L1483">
    <cfRule type="cellIs" dxfId="6642" priority="6637" stopIfTrue="1" operator="equal">
      <formula>"Pass"</formula>
    </cfRule>
    <cfRule type="cellIs" dxfId="6641" priority="6638" stopIfTrue="1" operator="equal">
      <formula>"Fail"</formula>
    </cfRule>
  </conditionalFormatting>
  <conditionalFormatting sqref="J1483:L1483">
    <cfRule type="cellIs" dxfId="6640" priority="6635" stopIfTrue="1" operator="equal">
      <formula>"Pass"</formula>
    </cfRule>
    <cfRule type="cellIs" dxfId="6639" priority="6636" stopIfTrue="1" operator="equal">
      <formula>"Fail"</formula>
    </cfRule>
  </conditionalFormatting>
  <conditionalFormatting sqref="I1483">
    <cfRule type="cellIs" dxfId="6638" priority="6633" stopIfTrue="1" operator="equal">
      <formula>"Pass"</formula>
    </cfRule>
    <cfRule type="cellIs" dxfId="6637" priority="6634" stopIfTrue="1" operator="equal">
      <formula>"Fail"</formula>
    </cfRule>
  </conditionalFormatting>
  <conditionalFormatting sqref="I1483:L1483">
    <cfRule type="cellIs" dxfId="6636" priority="6631" stopIfTrue="1" operator="equal">
      <formula>"Pass"</formula>
    </cfRule>
    <cfRule type="cellIs" dxfId="6635" priority="6632" stopIfTrue="1" operator="equal">
      <formula>"Fail"</formula>
    </cfRule>
  </conditionalFormatting>
  <conditionalFormatting sqref="J1483:L1483">
    <cfRule type="cellIs" dxfId="6634" priority="6629" stopIfTrue="1" operator="equal">
      <formula>"Pass"</formula>
    </cfRule>
    <cfRule type="cellIs" dxfId="6633" priority="6630" stopIfTrue="1" operator="equal">
      <formula>"Fail"</formula>
    </cfRule>
  </conditionalFormatting>
  <conditionalFormatting sqref="I1483">
    <cfRule type="cellIs" dxfId="6632" priority="6627" stopIfTrue="1" operator="equal">
      <formula>"Pass"</formula>
    </cfRule>
    <cfRule type="cellIs" dxfId="6631" priority="6628" stopIfTrue="1" operator="equal">
      <formula>"Fail"</formula>
    </cfRule>
  </conditionalFormatting>
  <conditionalFormatting sqref="I1483:L1483">
    <cfRule type="cellIs" dxfId="6630" priority="6625" stopIfTrue="1" operator="equal">
      <formula>"Pass"</formula>
    </cfRule>
    <cfRule type="cellIs" dxfId="6629" priority="6626" stopIfTrue="1" operator="equal">
      <formula>"Fail"</formula>
    </cfRule>
  </conditionalFormatting>
  <conditionalFormatting sqref="J1483:L1483">
    <cfRule type="cellIs" dxfId="6628" priority="6623" stopIfTrue="1" operator="equal">
      <formula>"Pass"</formula>
    </cfRule>
    <cfRule type="cellIs" dxfId="6627" priority="6624" stopIfTrue="1" operator="equal">
      <formula>"Fail"</formula>
    </cfRule>
  </conditionalFormatting>
  <conditionalFormatting sqref="I1483">
    <cfRule type="cellIs" dxfId="6626" priority="6621" stopIfTrue="1" operator="equal">
      <formula>"Pass"</formula>
    </cfRule>
    <cfRule type="cellIs" dxfId="6625" priority="6622" stopIfTrue="1" operator="equal">
      <formula>"Fail"</formula>
    </cfRule>
  </conditionalFormatting>
  <conditionalFormatting sqref="I1483:L1483">
    <cfRule type="cellIs" dxfId="6624" priority="6619" stopIfTrue="1" operator="equal">
      <formula>"Pass"</formula>
    </cfRule>
    <cfRule type="cellIs" dxfId="6623" priority="6620" stopIfTrue="1" operator="equal">
      <formula>"Fail"</formula>
    </cfRule>
  </conditionalFormatting>
  <conditionalFormatting sqref="J1483:L1483">
    <cfRule type="cellIs" dxfId="6622" priority="6617" stopIfTrue="1" operator="equal">
      <formula>"Pass"</formula>
    </cfRule>
    <cfRule type="cellIs" dxfId="6621" priority="6618" stopIfTrue="1" operator="equal">
      <formula>"Fail"</formula>
    </cfRule>
  </conditionalFormatting>
  <conditionalFormatting sqref="I1483">
    <cfRule type="cellIs" dxfId="6620" priority="6615" stopIfTrue="1" operator="equal">
      <formula>"Pass"</formula>
    </cfRule>
    <cfRule type="cellIs" dxfId="6619" priority="6616" stopIfTrue="1" operator="equal">
      <formula>"Fail"</formula>
    </cfRule>
  </conditionalFormatting>
  <conditionalFormatting sqref="I1483:L1483">
    <cfRule type="cellIs" dxfId="6618" priority="6613" stopIfTrue="1" operator="equal">
      <formula>"Pass"</formula>
    </cfRule>
    <cfRule type="cellIs" dxfId="6617" priority="6614" stopIfTrue="1" operator="equal">
      <formula>"Fail"</formula>
    </cfRule>
  </conditionalFormatting>
  <conditionalFormatting sqref="J1483:L1483">
    <cfRule type="cellIs" dxfId="6616" priority="6611" stopIfTrue="1" operator="equal">
      <formula>"Pass"</formula>
    </cfRule>
    <cfRule type="cellIs" dxfId="6615" priority="6612" stopIfTrue="1" operator="equal">
      <formula>"Fail"</formula>
    </cfRule>
  </conditionalFormatting>
  <conditionalFormatting sqref="I1483">
    <cfRule type="cellIs" dxfId="6614" priority="6609" stopIfTrue="1" operator="equal">
      <formula>"Pass"</formula>
    </cfRule>
    <cfRule type="cellIs" dxfId="6613" priority="6610" stopIfTrue="1" operator="equal">
      <formula>"Fail"</formula>
    </cfRule>
  </conditionalFormatting>
  <conditionalFormatting sqref="I1483:L1483">
    <cfRule type="cellIs" dxfId="6612" priority="6607" stopIfTrue="1" operator="equal">
      <formula>"Pass"</formula>
    </cfRule>
    <cfRule type="cellIs" dxfId="6611" priority="6608" stopIfTrue="1" operator="equal">
      <formula>"Fail"</formula>
    </cfRule>
  </conditionalFormatting>
  <conditionalFormatting sqref="J1483:L1483">
    <cfRule type="cellIs" dxfId="6610" priority="6605" stopIfTrue="1" operator="equal">
      <formula>"Pass"</formula>
    </cfRule>
    <cfRule type="cellIs" dxfId="6609" priority="6606" stopIfTrue="1" operator="equal">
      <formula>"Fail"</formula>
    </cfRule>
  </conditionalFormatting>
  <conditionalFormatting sqref="I1483">
    <cfRule type="cellIs" dxfId="6608" priority="6603" stopIfTrue="1" operator="equal">
      <formula>"Pass"</formula>
    </cfRule>
    <cfRule type="cellIs" dxfId="6607" priority="6604" stopIfTrue="1" operator="equal">
      <formula>"Fail"</formula>
    </cfRule>
  </conditionalFormatting>
  <conditionalFormatting sqref="I1483:L1483">
    <cfRule type="cellIs" dxfId="6606" priority="6601" stopIfTrue="1" operator="equal">
      <formula>"Pass"</formula>
    </cfRule>
    <cfRule type="cellIs" dxfId="6605" priority="6602" stopIfTrue="1" operator="equal">
      <formula>"Fail"</formula>
    </cfRule>
  </conditionalFormatting>
  <conditionalFormatting sqref="J1483:L1483">
    <cfRule type="cellIs" dxfId="6604" priority="6599" stopIfTrue="1" operator="equal">
      <formula>"Pass"</formula>
    </cfRule>
    <cfRule type="cellIs" dxfId="6603" priority="6600" stopIfTrue="1" operator="equal">
      <formula>"Fail"</formula>
    </cfRule>
  </conditionalFormatting>
  <conditionalFormatting sqref="I1483">
    <cfRule type="cellIs" dxfId="6602" priority="6597" stopIfTrue="1" operator="equal">
      <formula>"Pass"</formula>
    </cfRule>
    <cfRule type="cellIs" dxfId="6601" priority="6598" stopIfTrue="1" operator="equal">
      <formula>"Fail"</formula>
    </cfRule>
  </conditionalFormatting>
  <conditionalFormatting sqref="I1483:L1483">
    <cfRule type="cellIs" dxfId="6600" priority="6595" stopIfTrue="1" operator="equal">
      <formula>"Pass"</formula>
    </cfRule>
    <cfRule type="cellIs" dxfId="6599" priority="6596" stopIfTrue="1" operator="equal">
      <formula>"Fail"</formula>
    </cfRule>
  </conditionalFormatting>
  <conditionalFormatting sqref="J1483:L1483">
    <cfRule type="cellIs" dxfId="6598" priority="6593" stopIfTrue="1" operator="equal">
      <formula>"Pass"</formula>
    </cfRule>
    <cfRule type="cellIs" dxfId="6597" priority="6594" stopIfTrue="1" operator="equal">
      <formula>"Fail"</formula>
    </cfRule>
  </conditionalFormatting>
  <conditionalFormatting sqref="I1483">
    <cfRule type="cellIs" dxfId="6596" priority="6591" stopIfTrue="1" operator="equal">
      <formula>"Pass"</formula>
    </cfRule>
    <cfRule type="cellIs" dxfId="6595" priority="6592" stopIfTrue="1" operator="equal">
      <formula>"Fail"</formula>
    </cfRule>
  </conditionalFormatting>
  <conditionalFormatting sqref="I1483:L1483">
    <cfRule type="cellIs" dxfId="6594" priority="6589" stopIfTrue="1" operator="equal">
      <formula>"Pass"</formula>
    </cfRule>
    <cfRule type="cellIs" dxfId="6593" priority="6590" stopIfTrue="1" operator="equal">
      <formula>"Fail"</formula>
    </cfRule>
  </conditionalFormatting>
  <conditionalFormatting sqref="J1483:L1483">
    <cfRule type="cellIs" dxfId="6592" priority="6587" stopIfTrue="1" operator="equal">
      <formula>"Pass"</formula>
    </cfRule>
    <cfRule type="cellIs" dxfId="6591" priority="6588" stopIfTrue="1" operator="equal">
      <formula>"Fail"</formula>
    </cfRule>
  </conditionalFormatting>
  <conditionalFormatting sqref="I1483">
    <cfRule type="cellIs" dxfId="6590" priority="6585" stopIfTrue="1" operator="equal">
      <formula>"Pass"</formula>
    </cfRule>
    <cfRule type="cellIs" dxfId="6589" priority="6586" stopIfTrue="1" operator="equal">
      <formula>"Fail"</formula>
    </cfRule>
  </conditionalFormatting>
  <conditionalFormatting sqref="I1483:L1483">
    <cfRule type="cellIs" dxfId="6588" priority="6583" stopIfTrue="1" operator="equal">
      <formula>"Pass"</formula>
    </cfRule>
    <cfRule type="cellIs" dxfId="6587" priority="6584" stopIfTrue="1" operator="equal">
      <formula>"Fail"</formula>
    </cfRule>
  </conditionalFormatting>
  <conditionalFormatting sqref="J1483:L1483">
    <cfRule type="cellIs" dxfId="6586" priority="6581" stopIfTrue="1" operator="equal">
      <formula>"Pass"</formula>
    </cfRule>
    <cfRule type="cellIs" dxfId="6585" priority="6582" stopIfTrue="1" operator="equal">
      <formula>"Fail"</formula>
    </cfRule>
  </conditionalFormatting>
  <conditionalFormatting sqref="I1483">
    <cfRule type="cellIs" dxfId="6584" priority="6579" stopIfTrue="1" operator="equal">
      <formula>"Pass"</formula>
    </cfRule>
    <cfRule type="cellIs" dxfId="6583" priority="6580" stopIfTrue="1" operator="equal">
      <formula>"Fail"</formula>
    </cfRule>
  </conditionalFormatting>
  <conditionalFormatting sqref="I1483:L1483">
    <cfRule type="cellIs" dxfId="6582" priority="6577" stopIfTrue="1" operator="equal">
      <formula>"Pass"</formula>
    </cfRule>
    <cfRule type="cellIs" dxfId="6581" priority="6578" stopIfTrue="1" operator="equal">
      <formula>"Fail"</formula>
    </cfRule>
  </conditionalFormatting>
  <conditionalFormatting sqref="J1483:L1483">
    <cfRule type="cellIs" dxfId="6580" priority="6575" stopIfTrue="1" operator="equal">
      <formula>"Pass"</formula>
    </cfRule>
    <cfRule type="cellIs" dxfId="6579" priority="6576" stopIfTrue="1" operator="equal">
      <formula>"Fail"</formula>
    </cfRule>
  </conditionalFormatting>
  <conditionalFormatting sqref="I1483">
    <cfRule type="cellIs" dxfId="6578" priority="6573" stopIfTrue="1" operator="equal">
      <formula>"Pass"</formula>
    </cfRule>
    <cfRule type="cellIs" dxfId="6577" priority="6574" stopIfTrue="1" operator="equal">
      <formula>"Fail"</formula>
    </cfRule>
  </conditionalFormatting>
  <conditionalFormatting sqref="I1483:L1483">
    <cfRule type="cellIs" dxfId="6576" priority="6571" stopIfTrue="1" operator="equal">
      <formula>"Pass"</formula>
    </cfRule>
    <cfRule type="cellIs" dxfId="6575" priority="6572" stopIfTrue="1" operator="equal">
      <formula>"Fail"</formula>
    </cfRule>
  </conditionalFormatting>
  <conditionalFormatting sqref="J1483:L1483">
    <cfRule type="cellIs" dxfId="6574" priority="6569" stopIfTrue="1" operator="equal">
      <formula>"Pass"</formula>
    </cfRule>
    <cfRule type="cellIs" dxfId="6573" priority="6570" stopIfTrue="1" operator="equal">
      <formula>"Fail"</formula>
    </cfRule>
  </conditionalFormatting>
  <conditionalFormatting sqref="I1483">
    <cfRule type="cellIs" dxfId="6572" priority="6567" stopIfTrue="1" operator="equal">
      <formula>"Pass"</formula>
    </cfRule>
    <cfRule type="cellIs" dxfId="6571" priority="6568" stopIfTrue="1" operator="equal">
      <formula>"Fail"</formula>
    </cfRule>
  </conditionalFormatting>
  <conditionalFormatting sqref="I1483:L1483">
    <cfRule type="cellIs" dxfId="6570" priority="6565" stopIfTrue="1" operator="equal">
      <formula>"Pass"</formula>
    </cfRule>
    <cfRule type="cellIs" dxfId="6569" priority="6566" stopIfTrue="1" operator="equal">
      <formula>"Fail"</formula>
    </cfRule>
  </conditionalFormatting>
  <conditionalFormatting sqref="J1483:L1483">
    <cfRule type="cellIs" dxfId="6568" priority="6563" stopIfTrue="1" operator="equal">
      <formula>"Pass"</formula>
    </cfRule>
    <cfRule type="cellIs" dxfId="6567" priority="6564" stopIfTrue="1" operator="equal">
      <formula>"Fail"</formula>
    </cfRule>
  </conditionalFormatting>
  <conditionalFormatting sqref="I1483">
    <cfRule type="cellIs" dxfId="6566" priority="6561" stopIfTrue="1" operator="equal">
      <formula>"Pass"</formula>
    </cfRule>
    <cfRule type="cellIs" dxfId="6565" priority="6562" stopIfTrue="1" operator="equal">
      <formula>"Fail"</formula>
    </cfRule>
  </conditionalFormatting>
  <conditionalFormatting sqref="I1483:L1483">
    <cfRule type="cellIs" dxfId="6564" priority="6559" stopIfTrue="1" operator="equal">
      <formula>"Pass"</formula>
    </cfRule>
    <cfRule type="cellIs" dxfId="6563" priority="6560" stopIfTrue="1" operator="equal">
      <formula>"Fail"</formula>
    </cfRule>
  </conditionalFormatting>
  <conditionalFormatting sqref="J1483:L1483">
    <cfRule type="cellIs" dxfId="6562" priority="6557" stopIfTrue="1" operator="equal">
      <formula>"Pass"</formula>
    </cfRule>
    <cfRule type="cellIs" dxfId="6561" priority="6558" stopIfTrue="1" operator="equal">
      <formula>"Fail"</formula>
    </cfRule>
  </conditionalFormatting>
  <conditionalFormatting sqref="I1483">
    <cfRule type="cellIs" dxfId="6560" priority="6555" stopIfTrue="1" operator="equal">
      <formula>"Pass"</formula>
    </cfRule>
    <cfRule type="cellIs" dxfId="6559" priority="6556" stopIfTrue="1" operator="equal">
      <formula>"Fail"</formula>
    </cfRule>
  </conditionalFormatting>
  <conditionalFormatting sqref="I1483:L1483">
    <cfRule type="cellIs" dxfId="6558" priority="6553" stopIfTrue="1" operator="equal">
      <formula>"Pass"</formula>
    </cfRule>
    <cfRule type="cellIs" dxfId="6557" priority="6554" stopIfTrue="1" operator="equal">
      <formula>"Fail"</formula>
    </cfRule>
  </conditionalFormatting>
  <conditionalFormatting sqref="I1483:L1483">
    <cfRule type="cellIs" dxfId="6556" priority="6551" stopIfTrue="1" operator="equal">
      <formula>"Pass"</formula>
    </cfRule>
    <cfRule type="cellIs" dxfId="6555" priority="6552" stopIfTrue="1" operator="equal">
      <formula>"Fail"</formula>
    </cfRule>
  </conditionalFormatting>
  <conditionalFormatting sqref="J1483:L1483">
    <cfRule type="cellIs" dxfId="6554" priority="6549" stopIfTrue="1" operator="equal">
      <formula>"Pass"</formula>
    </cfRule>
    <cfRule type="cellIs" dxfId="6553" priority="6550" stopIfTrue="1" operator="equal">
      <formula>"Fail"</formula>
    </cfRule>
  </conditionalFormatting>
  <conditionalFormatting sqref="I1483">
    <cfRule type="cellIs" dxfId="6552" priority="6547" stopIfTrue="1" operator="equal">
      <formula>"Pass"</formula>
    </cfRule>
    <cfRule type="cellIs" dxfId="6551" priority="6548" stopIfTrue="1" operator="equal">
      <formula>"Fail"</formula>
    </cfRule>
  </conditionalFormatting>
  <conditionalFormatting sqref="I1483:L1483">
    <cfRule type="cellIs" dxfId="6550" priority="6545" stopIfTrue="1" operator="equal">
      <formula>"Pass"</formula>
    </cfRule>
    <cfRule type="cellIs" dxfId="6549" priority="6546" stopIfTrue="1" operator="equal">
      <formula>"Fail"</formula>
    </cfRule>
  </conditionalFormatting>
  <conditionalFormatting sqref="J1483:L1483">
    <cfRule type="cellIs" dxfId="6548" priority="6543" stopIfTrue="1" operator="equal">
      <formula>"Pass"</formula>
    </cfRule>
    <cfRule type="cellIs" dxfId="6547" priority="6544" stopIfTrue="1" operator="equal">
      <formula>"Fail"</formula>
    </cfRule>
  </conditionalFormatting>
  <conditionalFormatting sqref="I1483">
    <cfRule type="cellIs" dxfId="6546" priority="6541" stopIfTrue="1" operator="equal">
      <formula>"Pass"</formula>
    </cfRule>
    <cfRule type="cellIs" dxfId="6545" priority="6542" stopIfTrue="1" operator="equal">
      <formula>"Fail"</formula>
    </cfRule>
  </conditionalFormatting>
  <conditionalFormatting sqref="I1483:L1483">
    <cfRule type="cellIs" dxfId="6544" priority="6539" stopIfTrue="1" operator="equal">
      <formula>"Pass"</formula>
    </cfRule>
    <cfRule type="cellIs" dxfId="6543" priority="6540" stopIfTrue="1" operator="equal">
      <formula>"Fail"</formula>
    </cfRule>
  </conditionalFormatting>
  <conditionalFormatting sqref="I1483:L1483">
    <cfRule type="cellIs" dxfId="6542" priority="6537" stopIfTrue="1" operator="equal">
      <formula>"Pass"</formula>
    </cfRule>
    <cfRule type="cellIs" dxfId="6541" priority="6538" stopIfTrue="1" operator="equal">
      <formula>"Fail"</formula>
    </cfRule>
  </conditionalFormatting>
  <conditionalFormatting sqref="J1483:L1483">
    <cfRule type="cellIs" dxfId="6540" priority="6535" stopIfTrue="1" operator="equal">
      <formula>"Pass"</formula>
    </cfRule>
    <cfRule type="cellIs" dxfId="6539" priority="6536" stopIfTrue="1" operator="equal">
      <formula>"Fail"</formula>
    </cfRule>
  </conditionalFormatting>
  <conditionalFormatting sqref="I1483">
    <cfRule type="cellIs" dxfId="6538" priority="6533" stopIfTrue="1" operator="equal">
      <formula>"Pass"</formula>
    </cfRule>
    <cfRule type="cellIs" dxfId="6537" priority="6534" stopIfTrue="1" operator="equal">
      <formula>"Fail"</formula>
    </cfRule>
  </conditionalFormatting>
  <conditionalFormatting sqref="I1483:L1483">
    <cfRule type="cellIs" dxfId="6536" priority="6531" stopIfTrue="1" operator="equal">
      <formula>"Pass"</formula>
    </cfRule>
    <cfRule type="cellIs" dxfId="6535" priority="6532" stopIfTrue="1" operator="equal">
      <formula>"Fail"</formula>
    </cfRule>
  </conditionalFormatting>
  <conditionalFormatting sqref="J1483:L1483">
    <cfRule type="cellIs" dxfId="6534" priority="6529" stopIfTrue="1" operator="equal">
      <formula>"Pass"</formula>
    </cfRule>
    <cfRule type="cellIs" dxfId="6533" priority="6530" stopIfTrue="1" operator="equal">
      <formula>"Fail"</formula>
    </cfRule>
  </conditionalFormatting>
  <conditionalFormatting sqref="I1483">
    <cfRule type="cellIs" dxfId="6532" priority="6527" stopIfTrue="1" operator="equal">
      <formula>"Pass"</formula>
    </cfRule>
    <cfRule type="cellIs" dxfId="6531" priority="6528" stopIfTrue="1" operator="equal">
      <formula>"Fail"</formula>
    </cfRule>
  </conditionalFormatting>
  <conditionalFormatting sqref="I1483:L1483">
    <cfRule type="cellIs" dxfId="6530" priority="6525" stopIfTrue="1" operator="equal">
      <formula>"Pass"</formula>
    </cfRule>
    <cfRule type="cellIs" dxfId="6529" priority="6526" stopIfTrue="1" operator="equal">
      <formula>"Fail"</formula>
    </cfRule>
  </conditionalFormatting>
  <conditionalFormatting sqref="I1483:L1483">
    <cfRule type="cellIs" dxfId="6528" priority="6523" stopIfTrue="1" operator="equal">
      <formula>"Pass"</formula>
    </cfRule>
    <cfRule type="cellIs" dxfId="6527" priority="6524" stopIfTrue="1" operator="equal">
      <formula>"Fail"</formula>
    </cfRule>
  </conditionalFormatting>
  <conditionalFormatting sqref="J1483:L1483">
    <cfRule type="cellIs" dxfId="6526" priority="6521" stopIfTrue="1" operator="equal">
      <formula>"Pass"</formula>
    </cfRule>
    <cfRule type="cellIs" dxfId="6525" priority="6522" stopIfTrue="1" operator="equal">
      <formula>"Fail"</formula>
    </cfRule>
  </conditionalFormatting>
  <conditionalFormatting sqref="I1483">
    <cfRule type="cellIs" dxfId="6524" priority="6519" stopIfTrue="1" operator="equal">
      <formula>"Pass"</formula>
    </cfRule>
    <cfRule type="cellIs" dxfId="6523" priority="6520" stopIfTrue="1" operator="equal">
      <formula>"Fail"</formula>
    </cfRule>
  </conditionalFormatting>
  <conditionalFormatting sqref="I1483:L1483">
    <cfRule type="cellIs" dxfId="6522" priority="6517" stopIfTrue="1" operator="equal">
      <formula>"Pass"</formula>
    </cfRule>
    <cfRule type="cellIs" dxfId="6521" priority="6518" stopIfTrue="1" operator="equal">
      <formula>"Fail"</formula>
    </cfRule>
  </conditionalFormatting>
  <conditionalFormatting sqref="J1483:L1483">
    <cfRule type="cellIs" dxfId="6520" priority="6515" stopIfTrue="1" operator="equal">
      <formula>"Pass"</formula>
    </cfRule>
    <cfRule type="cellIs" dxfId="6519" priority="6516" stopIfTrue="1" operator="equal">
      <formula>"Fail"</formula>
    </cfRule>
  </conditionalFormatting>
  <conditionalFormatting sqref="I1483">
    <cfRule type="cellIs" dxfId="6518" priority="6513" stopIfTrue="1" operator="equal">
      <formula>"Pass"</formula>
    </cfRule>
    <cfRule type="cellIs" dxfId="6517" priority="6514" stopIfTrue="1" operator="equal">
      <formula>"Fail"</formula>
    </cfRule>
  </conditionalFormatting>
  <conditionalFormatting sqref="I1483:L1483">
    <cfRule type="cellIs" dxfId="6516" priority="6511" stopIfTrue="1" operator="equal">
      <formula>"Pass"</formula>
    </cfRule>
    <cfRule type="cellIs" dxfId="6515" priority="6512" stopIfTrue="1" operator="equal">
      <formula>"Fail"</formula>
    </cfRule>
  </conditionalFormatting>
  <conditionalFormatting sqref="I1483:L1483">
    <cfRule type="cellIs" dxfId="6514" priority="6509" stopIfTrue="1" operator="equal">
      <formula>"Pass"</formula>
    </cfRule>
    <cfRule type="cellIs" dxfId="6513" priority="6510" stopIfTrue="1" operator="equal">
      <formula>"Fail"</formula>
    </cfRule>
  </conditionalFormatting>
  <conditionalFormatting sqref="J1483:L1483">
    <cfRule type="cellIs" dxfId="6512" priority="6507" stopIfTrue="1" operator="equal">
      <formula>"Pass"</formula>
    </cfRule>
    <cfRule type="cellIs" dxfId="6511" priority="6508" stopIfTrue="1" operator="equal">
      <formula>"Fail"</formula>
    </cfRule>
  </conditionalFormatting>
  <conditionalFormatting sqref="I1483">
    <cfRule type="cellIs" dxfId="6510" priority="6505" stopIfTrue="1" operator="equal">
      <formula>"Pass"</formula>
    </cfRule>
    <cfRule type="cellIs" dxfId="6509" priority="6506" stopIfTrue="1" operator="equal">
      <formula>"Fail"</formula>
    </cfRule>
  </conditionalFormatting>
  <conditionalFormatting sqref="I1483:L1483">
    <cfRule type="cellIs" dxfId="6508" priority="6503" stopIfTrue="1" operator="equal">
      <formula>"Pass"</formula>
    </cfRule>
    <cfRule type="cellIs" dxfId="6507" priority="6504" stopIfTrue="1" operator="equal">
      <formula>"Fail"</formula>
    </cfRule>
  </conditionalFormatting>
  <conditionalFormatting sqref="J1483:L1483">
    <cfRule type="cellIs" dxfId="6506" priority="6501" stopIfTrue="1" operator="equal">
      <formula>"Pass"</formula>
    </cfRule>
    <cfRule type="cellIs" dxfId="6505" priority="6502" stopIfTrue="1" operator="equal">
      <formula>"Fail"</formula>
    </cfRule>
  </conditionalFormatting>
  <conditionalFormatting sqref="I1483">
    <cfRule type="cellIs" dxfId="6504" priority="6499" stopIfTrue="1" operator="equal">
      <formula>"Pass"</formula>
    </cfRule>
    <cfRule type="cellIs" dxfId="6503" priority="6500" stopIfTrue="1" operator="equal">
      <formula>"Fail"</formula>
    </cfRule>
  </conditionalFormatting>
  <conditionalFormatting sqref="I1483:L1483">
    <cfRule type="cellIs" dxfId="6502" priority="6497" stopIfTrue="1" operator="equal">
      <formula>"Pass"</formula>
    </cfRule>
    <cfRule type="cellIs" dxfId="6501" priority="6498" stopIfTrue="1" operator="equal">
      <formula>"Fail"</formula>
    </cfRule>
  </conditionalFormatting>
  <conditionalFormatting sqref="I1483:L1483">
    <cfRule type="cellIs" dxfId="6500" priority="6495" stopIfTrue="1" operator="equal">
      <formula>"Pass"</formula>
    </cfRule>
    <cfRule type="cellIs" dxfId="6499" priority="6496" stopIfTrue="1" operator="equal">
      <formula>"Fail"</formula>
    </cfRule>
  </conditionalFormatting>
  <conditionalFormatting sqref="J1483:L1483">
    <cfRule type="cellIs" dxfId="6498" priority="6493" stopIfTrue="1" operator="equal">
      <formula>"Pass"</formula>
    </cfRule>
    <cfRule type="cellIs" dxfId="6497" priority="6494" stopIfTrue="1" operator="equal">
      <formula>"Fail"</formula>
    </cfRule>
  </conditionalFormatting>
  <conditionalFormatting sqref="I1483">
    <cfRule type="cellIs" dxfId="6496" priority="6491" stopIfTrue="1" operator="equal">
      <formula>"Pass"</formula>
    </cfRule>
    <cfRule type="cellIs" dxfId="6495" priority="6492" stopIfTrue="1" operator="equal">
      <formula>"Fail"</formula>
    </cfRule>
  </conditionalFormatting>
  <conditionalFormatting sqref="I1483:L1483">
    <cfRule type="cellIs" dxfId="6494" priority="6489" stopIfTrue="1" operator="equal">
      <formula>"Pass"</formula>
    </cfRule>
    <cfRule type="cellIs" dxfId="6493" priority="6490" stopIfTrue="1" operator="equal">
      <formula>"Fail"</formula>
    </cfRule>
  </conditionalFormatting>
  <conditionalFormatting sqref="J1483:L1483">
    <cfRule type="cellIs" dxfId="6492" priority="6487" stopIfTrue="1" operator="equal">
      <formula>"Pass"</formula>
    </cfRule>
    <cfRule type="cellIs" dxfId="6491" priority="6488" stopIfTrue="1" operator="equal">
      <formula>"Fail"</formula>
    </cfRule>
  </conditionalFormatting>
  <conditionalFormatting sqref="I1483">
    <cfRule type="cellIs" dxfId="6490" priority="6485" stopIfTrue="1" operator="equal">
      <formula>"Pass"</formula>
    </cfRule>
    <cfRule type="cellIs" dxfId="6489" priority="6486" stopIfTrue="1" operator="equal">
      <formula>"Fail"</formula>
    </cfRule>
  </conditionalFormatting>
  <conditionalFormatting sqref="I1483:L1483">
    <cfRule type="cellIs" dxfId="6488" priority="6483" stopIfTrue="1" operator="equal">
      <formula>"Pass"</formula>
    </cfRule>
    <cfRule type="cellIs" dxfId="6487" priority="6484" stopIfTrue="1" operator="equal">
      <formula>"Fail"</formula>
    </cfRule>
  </conditionalFormatting>
  <conditionalFormatting sqref="I1483:L1483">
    <cfRule type="cellIs" dxfId="6486" priority="6481" stopIfTrue="1" operator="equal">
      <formula>"Pass"</formula>
    </cfRule>
    <cfRule type="cellIs" dxfId="6485" priority="6482" stopIfTrue="1" operator="equal">
      <formula>"Fail"</formula>
    </cfRule>
  </conditionalFormatting>
  <conditionalFormatting sqref="I1483:L1483">
    <cfRule type="cellIs" dxfId="6484" priority="6479" stopIfTrue="1" operator="equal">
      <formula>"Pass"</formula>
    </cfRule>
    <cfRule type="cellIs" dxfId="6483" priority="6480" stopIfTrue="1" operator="equal">
      <formula>"Fail"</formula>
    </cfRule>
  </conditionalFormatting>
  <conditionalFormatting sqref="J1483:L1483">
    <cfRule type="cellIs" dxfId="6482" priority="6477" stopIfTrue="1" operator="equal">
      <formula>"Pass"</formula>
    </cfRule>
    <cfRule type="cellIs" dxfId="6481" priority="6478" stopIfTrue="1" operator="equal">
      <formula>"Fail"</formula>
    </cfRule>
  </conditionalFormatting>
  <conditionalFormatting sqref="I1483">
    <cfRule type="cellIs" dxfId="6480" priority="6475" stopIfTrue="1" operator="equal">
      <formula>"Pass"</formula>
    </cfRule>
    <cfRule type="cellIs" dxfId="6479" priority="6476" stopIfTrue="1" operator="equal">
      <formula>"Fail"</formula>
    </cfRule>
  </conditionalFormatting>
  <conditionalFormatting sqref="I1483:L1483">
    <cfRule type="cellIs" dxfId="6478" priority="6473" stopIfTrue="1" operator="equal">
      <formula>"Pass"</formula>
    </cfRule>
    <cfRule type="cellIs" dxfId="6477" priority="6474" stopIfTrue="1" operator="equal">
      <formula>"Fail"</formula>
    </cfRule>
  </conditionalFormatting>
  <conditionalFormatting sqref="J1483:L1483">
    <cfRule type="cellIs" dxfId="6476" priority="6471" stopIfTrue="1" operator="equal">
      <formula>"Pass"</formula>
    </cfRule>
    <cfRule type="cellIs" dxfId="6475" priority="6472" stopIfTrue="1" operator="equal">
      <formula>"Fail"</formula>
    </cfRule>
  </conditionalFormatting>
  <conditionalFormatting sqref="I1483">
    <cfRule type="cellIs" dxfId="6474" priority="6469" stopIfTrue="1" operator="equal">
      <formula>"Pass"</formula>
    </cfRule>
    <cfRule type="cellIs" dxfId="6473" priority="6470" stopIfTrue="1" operator="equal">
      <formula>"Fail"</formula>
    </cfRule>
  </conditionalFormatting>
  <conditionalFormatting sqref="I1483:L1483">
    <cfRule type="cellIs" dxfId="6472" priority="6467" stopIfTrue="1" operator="equal">
      <formula>"Pass"</formula>
    </cfRule>
    <cfRule type="cellIs" dxfId="6471" priority="6468" stopIfTrue="1" operator="equal">
      <formula>"Fail"</formula>
    </cfRule>
  </conditionalFormatting>
  <conditionalFormatting sqref="I1483:L1483">
    <cfRule type="cellIs" dxfId="6470" priority="6465" stopIfTrue="1" operator="equal">
      <formula>"Pass"</formula>
    </cfRule>
    <cfRule type="cellIs" dxfId="6469" priority="6466" stopIfTrue="1" operator="equal">
      <formula>"Fail"</formula>
    </cfRule>
  </conditionalFormatting>
  <conditionalFormatting sqref="I1483:L1483">
    <cfRule type="cellIs" dxfId="6468" priority="6463" stopIfTrue="1" operator="equal">
      <formula>"Pass"</formula>
    </cfRule>
    <cfRule type="cellIs" dxfId="6467" priority="6464" stopIfTrue="1" operator="equal">
      <formula>"Fail"</formula>
    </cfRule>
  </conditionalFormatting>
  <conditionalFormatting sqref="J1483:L1483">
    <cfRule type="cellIs" dxfId="6466" priority="6461" stopIfTrue="1" operator="equal">
      <formula>"Pass"</formula>
    </cfRule>
    <cfRule type="cellIs" dxfId="6465" priority="6462" stopIfTrue="1" operator="equal">
      <formula>"Fail"</formula>
    </cfRule>
  </conditionalFormatting>
  <conditionalFormatting sqref="I1483">
    <cfRule type="cellIs" dxfId="6464" priority="6459" stopIfTrue="1" operator="equal">
      <formula>"Pass"</formula>
    </cfRule>
    <cfRule type="cellIs" dxfId="6463" priority="6460" stopIfTrue="1" operator="equal">
      <formula>"Fail"</formula>
    </cfRule>
  </conditionalFormatting>
  <conditionalFormatting sqref="I1483:L1483">
    <cfRule type="cellIs" dxfId="6462" priority="6457" stopIfTrue="1" operator="equal">
      <formula>"Pass"</formula>
    </cfRule>
    <cfRule type="cellIs" dxfId="6461" priority="6458" stopIfTrue="1" operator="equal">
      <formula>"Fail"</formula>
    </cfRule>
  </conditionalFormatting>
  <conditionalFormatting sqref="J1483:L1483">
    <cfRule type="cellIs" dxfId="6460" priority="6455" stopIfTrue="1" operator="equal">
      <formula>"Pass"</formula>
    </cfRule>
    <cfRule type="cellIs" dxfId="6459" priority="6456" stopIfTrue="1" operator="equal">
      <formula>"Fail"</formula>
    </cfRule>
  </conditionalFormatting>
  <conditionalFormatting sqref="I1483">
    <cfRule type="cellIs" dxfId="6458" priority="6453" stopIfTrue="1" operator="equal">
      <formula>"Pass"</formula>
    </cfRule>
    <cfRule type="cellIs" dxfId="6457" priority="6454" stopIfTrue="1" operator="equal">
      <formula>"Fail"</formula>
    </cfRule>
  </conditionalFormatting>
  <conditionalFormatting sqref="I1483:L1483">
    <cfRule type="cellIs" dxfId="6456" priority="6451" stopIfTrue="1" operator="equal">
      <formula>"Pass"</formula>
    </cfRule>
    <cfRule type="cellIs" dxfId="6455" priority="6452" stopIfTrue="1" operator="equal">
      <formula>"Fail"</formula>
    </cfRule>
  </conditionalFormatting>
  <conditionalFormatting sqref="I1483:L1483">
    <cfRule type="cellIs" dxfId="6454" priority="6449" stopIfTrue="1" operator="equal">
      <formula>"Pass"</formula>
    </cfRule>
    <cfRule type="cellIs" dxfId="6453" priority="6450" stopIfTrue="1" operator="equal">
      <formula>"Fail"</formula>
    </cfRule>
  </conditionalFormatting>
  <conditionalFormatting sqref="I1483:L1483">
    <cfRule type="cellIs" dxfId="6452" priority="6447" stopIfTrue="1" operator="equal">
      <formula>"Pass"</formula>
    </cfRule>
    <cfRule type="cellIs" dxfId="6451" priority="6448" stopIfTrue="1" operator="equal">
      <formula>"Fail"</formula>
    </cfRule>
  </conditionalFormatting>
  <conditionalFormatting sqref="J1483:L1483">
    <cfRule type="cellIs" dxfId="6450" priority="6445" stopIfTrue="1" operator="equal">
      <formula>"Pass"</formula>
    </cfRule>
    <cfRule type="cellIs" dxfId="6449" priority="6446" stopIfTrue="1" operator="equal">
      <formula>"Fail"</formula>
    </cfRule>
  </conditionalFormatting>
  <conditionalFormatting sqref="I1483">
    <cfRule type="cellIs" dxfId="6448" priority="6443" stopIfTrue="1" operator="equal">
      <formula>"Pass"</formula>
    </cfRule>
    <cfRule type="cellIs" dxfId="6447" priority="6444" stopIfTrue="1" operator="equal">
      <formula>"Fail"</formula>
    </cfRule>
  </conditionalFormatting>
  <conditionalFormatting sqref="I1483:L1483">
    <cfRule type="cellIs" dxfId="6446" priority="6441" stopIfTrue="1" operator="equal">
      <formula>"Pass"</formula>
    </cfRule>
    <cfRule type="cellIs" dxfId="6445" priority="6442" stopIfTrue="1" operator="equal">
      <formula>"Fail"</formula>
    </cfRule>
  </conditionalFormatting>
  <conditionalFormatting sqref="J1483:L1483">
    <cfRule type="cellIs" dxfId="6444" priority="6439" stopIfTrue="1" operator="equal">
      <formula>"Pass"</formula>
    </cfRule>
    <cfRule type="cellIs" dxfId="6443" priority="6440" stopIfTrue="1" operator="equal">
      <formula>"Fail"</formula>
    </cfRule>
  </conditionalFormatting>
  <conditionalFormatting sqref="I1483">
    <cfRule type="cellIs" dxfId="6442" priority="6437" stopIfTrue="1" operator="equal">
      <formula>"Pass"</formula>
    </cfRule>
    <cfRule type="cellIs" dxfId="6441" priority="6438" stopIfTrue="1" operator="equal">
      <formula>"Fail"</formula>
    </cfRule>
  </conditionalFormatting>
  <conditionalFormatting sqref="I1483:L1483">
    <cfRule type="cellIs" dxfId="6440" priority="6435" stopIfTrue="1" operator="equal">
      <formula>"Pass"</formula>
    </cfRule>
    <cfRule type="cellIs" dxfId="6439" priority="6436" stopIfTrue="1" operator="equal">
      <formula>"Fail"</formula>
    </cfRule>
  </conditionalFormatting>
  <conditionalFormatting sqref="H1483">
    <cfRule type="cellIs" dxfId="6438" priority="6433" stopIfTrue="1" operator="equal">
      <formula>"Pass"</formula>
    </cfRule>
    <cfRule type="cellIs" dxfId="6437" priority="6434" stopIfTrue="1" operator="equal">
      <formula>"Fail"</formula>
    </cfRule>
  </conditionalFormatting>
  <conditionalFormatting sqref="H1483">
    <cfRule type="cellIs" dxfId="6436" priority="6431" stopIfTrue="1" operator="equal">
      <formula>"Pass"</formula>
    </cfRule>
    <cfRule type="cellIs" dxfId="6435" priority="6432" stopIfTrue="1" operator="equal">
      <formula>"Fail"</formula>
    </cfRule>
  </conditionalFormatting>
  <conditionalFormatting sqref="H1483">
    <cfRule type="cellIs" dxfId="6434" priority="6429" stopIfTrue="1" operator="equal">
      <formula>"Pass"</formula>
    </cfRule>
    <cfRule type="cellIs" dxfId="6433" priority="6430" stopIfTrue="1" operator="equal">
      <formula>"Fail"</formula>
    </cfRule>
  </conditionalFormatting>
  <conditionalFormatting sqref="I1483:L1483">
    <cfRule type="cellIs" dxfId="6432" priority="6427" stopIfTrue="1" operator="equal">
      <formula>"Pass"</formula>
    </cfRule>
    <cfRule type="cellIs" dxfId="6431" priority="6428" stopIfTrue="1" operator="equal">
      <formula>"Fail"</formula>
    </cfRule>
  </conditionalFormatting>
  <conditionalFormatting sqref="I1483:L1483">
    <cfRule type="cellIs" dxfId="6430" priority="6425" stopIfTrue="1" operator="equal">
      <formula>"Pass"</formula>
    </cfRule>
    <cfRule type="cellIs" dxfId="6429" priority="6426" stopIfTrue="1" operator="equal">
      <formula>"Fail"</formula>
    </cfRule>
  </conditionalFormatting>
  <conditionalFormatting sqref="J1483:L1483">
    <cfRule type="cellIs" dxfId="6428" priority="6423" stopIfTrue="1" operator="equal">
      <formula>"Pass"</formula>
    </cfRule>
    <cfRule type="cellIs" dxfId="6427" priority="6424" stopIfTrue="1" operator="equal">
      <formula>"Fail"</formula>
    </cfRule>
  </conditionalFormatting>
  <conditionalFormatting sqref="I1483">
    <cfRule type="cellIs" dxfId="6426" priority="6421" stopIfTrue="1" operator="equal">
      <formula>"Pass"</formula>
    </cfRule>
    <cfRule type="cellIs" dxfId="6425" priority="6422" stopIfTrue="1" operator="equal">
      <formula>"Fail"</formula>
    </cfRule>
  </conditionalFormatting>
  <conditionalFormatting sqref="I1483:L1483">
    <cfRule type="cellIs" dxfId="6424" priority="6419" stopIfTrue="1" operator="equal">
      <formula>"Pass"</formula>
    </cfRule>
    <cfRule type="cellIs" dxfId="6423" priority="6420" stopIfTrue="1" operator="equal">
      <formula>"Fail"</formula>
    </cfRule>
  </conditionalFormatting>
  <conditionalFormatting sqref="J1483:L1483">
    <cfRule type="cellIs" dxfId="6422" priority="6417" stopIfTrue="1" operator="equal">
      <formula>"Pass"</formula>
    </cfRule>
    <cfRule type="cellIs" dxfId="6421" priority="6418" stopIfTrue="1" operator="equal">
      <formula>"Fail"</formula>
    </cfRule>
  </conditionalFormatting>
  <conditionalFormatting sqref="I1483">
    <cfRule type="cellIs" dxfId="6420" priority="6415" stopIfTrue="1" operator="equal">
      <formula>"Pass"</formula>
    </cfRule>
    <cfRule type="cellIs" dxfId="6419" priority="6416" stopIfTrue="1" operator="equal">
      <formula>"Fail"</formula>
    </cfRule>
  </conditionalFormatting>
  <conditionalFormatting sqref="I1483:L1483">
    <cfRule type="cellIs" dxfId="6418" priority="6413" stopIfTrue="1" operator="equal">
      <formula>"Pass"</formula>
    </cfRule>
    <cfRule type="cellIs" dxfId="6417" priority="6414" stopIfTrue="1" operator="equal">
      <formula>"Fail"</formula>
    </cfRule>
  </conditionalFormatting>
  <conditionalFormatting sqref="H1483">
    <cfRule type="cellIs" dxfId="6416" priority="6411" stopIfTrue="1" operator="equal">
      <formula>"Pass"</formula>
    </cfRule>
    <cfRule type="cellIs" dxfId="6415" priority="6412" stopIfTrue="1" operator="equal">
      <formula>"Fail"</formula>
    </cfRule>
  </conditionalFormatting>
  <conditionalFormatting sqref="H1483">
    <cfRule type="cellIs" dxfId="6414" priority="6409" stopIfTrue="1" operator="equal">
      <formula>"Pass"</formula>
    </cfRule>
    <cfRule type="cellIs" dxfId="6413" priority="6410" stopIfTrue="1" operator="equal">
      <formula>"Fail"</formula>
    </cfRule>
  </conditionalFormatting>
  <conditionalFormatting sqref="H1483">
    <cfRule type="cellIs" dxfId="6412" priority="6407" stopIfTrue="1" operator="equal">
      <formula>"Pass"</formula>
    </cfRule>
    <cfRule type="cellIs" dxfId="6411" priority="6408" stopIfTrue="1" operator="equal">
      <formula>"Fail"</formula>
    </cfRule>
  </conditionalFormatting>
  <conditionalFormatting sqref="I1483:L1483">
    <cfRule type="cellIs" dxfId="6410" priority="6405" stopIfTrue="1" operator="equal">
      <formula>"Pass"</formula>
    </cfRule>
    <cfRule type="cellIs" dxfId="6409" priority="6406" stopIfTrue="1" operator="equal">
      <formula>"Fail"</formula>
    </cfRule>
  </conditionalFormatting>
  <conditionalFormatting sqref="I1483:L1483">
    <cfRule type="cellIs" dxfId="6408" priority="6403" stopIfTrue="1" operator="equal">
      <formula>"Pass"</formula>
    </cfRule>
    <cfRule type="cellIs" dxfId="6407" priority="6404" stopIfTrue="1" operator="equal">
      <formula>"Fail"</formula>
    </cfRule>
  </conditionalFormatting>
  <conditionalFormatting sqref="J1483:L1483">
    <cfRule type="cellIs" dxfId="6406" priority="6401" stopIfTrue="1" operator="equal">
      <formula>"Pass"</formula>
    </cfRule>
    <cfRule type="cellIs" dxfId="6405" priority="6402" stopIfTrue="1" operator="equal">
      <formula>"Fail"</formula>
    </cfRule>
  </conditionalFormatting>
  <conditionalFormatting sqref="I1483">
    <cfRule type="cellIs" dxfId="6404" priority="6399" stopIfTrue="1" operator="equal">
      <formula>"Pass"</formula>
    </cfRule>
    <cfRule type="cellIs" dxfId="6403" priority="6400" stopIfTrue="1" operator="equal">
      <formula>"Fail"</formula>
    </cfRule>
  </conditionalFormatting>
  <conditionalFormatting sqref="I1483:L1483">
    <cfRule type="cellIs" dxfId="6402" priority="6397" stopIfTrue="1" operator="equal">
      <formula>"Pass"</formula>
    </cfRule>
    <cfRule type="cellIs" dxfId="6401" priority="6398" stopIfTrue="1" operator="equal">
      <formula>"Fail"</formula>
    </cfRule>
  </conditionalFormatting>
  <conditionalFormatting sqref="J1483:L1483">
    <cfRule type="cellIs" dxfId="6400" priority="6395" stopIfTrue="1" operator="equal">
      <formula>"Pass"</formula>
    </cfRule>
    <cfRule type="cellIs" dxfId="6399" priority="6396" stopIfTrue="1" operator="equal">
      <formula>"Fail"</formula>
    </cfRule>
  </conditionalFormatting>
  <conditionalFormatting sqref="I1483">
    <cfRule type="cellIs" dxfId="6398" priority="6393" stopIfTrue="1" operator="equal">
      <formula>"Pass"</formula>
    </cfRule>
    <cfRule type="cellIs" dxfId="6397" priority="6394" stopIfTrue="1" operator="equal">
      <formula>"Fail"</formula>
    </cfRule>
  </conditionalFormatting>
  <conditionalFormatting sqref="I1483:L1483">
    <cfRule type="cellIs" dxfId="6396" priority="6391" stopIfTrue="1" operator="equal">
      <formula>"Pass"</formula>
    </cfRule>
    <cfRule type="cellIs" dxfId="6395" priority="6392" stopIfTrue="1" operator="equal">
      <formula>"Fail"</formula>
    </cfRule>
  </conditionalFormatting>
  <conditionalFormatting sqref="H1483:L1483">
    <cfRule type="cellIs" dxfId="6394" priority="6389" stopIfTrue="1" operator="equal">
      <formula>"Pass"</formula>
    </cfRule>
    <cfRule type="cellIs" dxfId="6393" priority="6390" stopIfTrue="1" operator="equal">
      <formula>"Fail"</formula>
    </cfRule>
  </conditionalFormatting>
  <conditionalFormatting sqref="H1483:L1483">
    <cfRule type="cellIs" dxfId="6392" priority="6387" stopIfTrue="1" operator="equal">
      <formula>"Pass"</formula>
    </cfRule>
    <cfRule type="cellIs" dxfId="6391" priority="6388" stopIfTrue="1" operator="equal">
      <formula>"Fail"</formula>
    </cfRule>
  </conditionalFormatting>
  <conditionalFormatting sqref="H1483:L1483">
    <cfRule type="cellIs" dxfId="6390" priority="6385" stopIfTrue="1" operator="equal">
      <formula>"Pass"</formula>
    </cfRule>
    <cfRule type="cellIs" dxfId="6389" priority="6386" stopIfTrue="1" operator="equal">
      <formula>"Fail"</formula>
    </cfRule>
  </conditionalFormatting>
  <conditionalFormatting sqref="H1483:L1483">
    <cfRule type="cellIs" dxfId="6388" priority="6383" stopIfTrue="1" operator="equal">
      <formula>"Pass"</formula>
    </cfRule>
    <cfRule type="cellIs" dxfId="6387" priority="6384" stopIfTrue="1" operator="equal">
      <formula>"Fail"</formula>
    </cfRule>
  </conditionalFormatting>
  <conditionalFormatting sqref="H1483:L1483">
    <cfRule type="cellIs" dxfId="6386" priority="6381" stopIfTrue="1" operator="equal">
      <formula>"Pass"</formula>
    </cfRule>
    <cfRule type="cellIs" dxfId="6385" priority="6382" stopIfTrue="1" operator="equal">
      <formula>"Fail"</formula>
    </cfRule>
  </conditionalFormatting>
  <conditionalFormatting sqref="H1483:L1483">
    <cfRule type="cellIs" dxfId="6384" priority="6379" stopIfTrue="1" operator="equal">
      <formula>"Pass"</formula>
    </cfRule>
    <cfRule type="cellIs" dxfId="6383" priority="6380" stopIfTrue="1" operator="equal">
      <formula>"Fail"</formula>
    </cfRule>
  </conditionalFormatting>
  <conditionalFormatting sqref="J1483:L1483">
    <cfRule type="cellIs" dxfId="6382" priority="6377" stopIfTrue="1" operator="equal">
      <formula>"Pass"</formula>
    </cfRule>
    <cfRule type="cellIs" dxfId="6381" priority="6378" stopIfTrue="1" operator="equal">
      <formula>"Fail"</formula>
    </cfRule>
  </conditionalFormatting>
  <conditionalFormatting sqref="I1483">
    <cfRule type="cellIs" dxfId="6380" priority="6375" stopIfTrue="1" operator="equal">
      <formula>"Pass"</formula>
    </cfRule>
    <cfRule type="cellIs" dxfId="6379" priority="6376" stopIfTrue="1" operator="equal">
      <formula>"Fail"</formula>
    </cfRule>
  </conditionalFormatting>
  <conditionalFormatting sqref="I1483:L1483">
    <cfRule type="cellIs" dxfId="6378" priority="6373" stopIfTrue="1" operator="equal">
      <formula>"Pass"</formula>
    </cfRule>
    <cfRule type="cellIs" dxfId="6377" priority="6374" stopIfTrue="1" operator="equal">
      <formula>"Fail"</formula>
    </cfRule>
  </conditionalFormatting>
  <conditionalFormatting sqref="J1483:L1483">
    <cfRule type="cellIs" dxfId="6376" priority="6371" stopIfTrue="1" operator="equal">
      <formula>"Pass"</formula>
    </cfRule>
    <cfRule type="cellIs" dxfId="6375" priority="6372" stopIfTrue="1" operator="equal">
      <formula>"Fail"</formula>
    </cfRule>
  </conditionalFormatting>
  <conditionalFormatting sqref="I1483">
    <cfRule type="cellIs" dxfId="6374" priority="6369" stopIfTrue="1" operator="equal">
      <formula>"Pass"</formula>
    </cfRule>
    <cfRule type="cellIs" dxfId="6373" priority="6370" stopIfTrue="1" operator="equal">
      <formula>"Fail"</formula>
    </cfRule>
  </conditionalFormatting>
  <conditionalFormatting sqref="I1483:L1483">
    <cfRule type="cellIs" dxfId="6372" priority="6367" stopIfTrue="1" operator="equal">
      <formula>"Pass"</formula>
    </cfRule>
    <cfRule type="cellIs" dxfId="6371" priority="6368" stopIfTrue="1" operator="equal">
      <formula>"Fail"</formula>
    </cfRule>
  </conditionalFormatting>
  <conditionalFormatting sqref="J1483:L1483">
    <cfRule type="cellIs" dxfId="6370" priority="6365" stopIfTrue="1" operator="equal">
      <formula>"Pass"</formula>
    </cfRule>
    <cfRule type="cellIs" dxfId="6369" priority="6366" stopIfTrue="1" operator="equal">
      <formula>"Fail"</formula>
    </cfRule>
  </conditionalFormatting>
  <conditionalFormatting sqref="I1483">
    <cfRule type="cellIs" dxfId="6368" priority="6363" stopIfTrue="1" operator="equal">
      <formula>"Pass"</formula>
    </cfRule>
    <cfRule type="cellIs" dxfId="6367" priority="6364" stopIfTrue="1" operator="equal">
      <formula>"Fail"</formula>
    </cfRule>
  </conditionalFormatting>
  <conditionalFormatting sqref="I1483:L1483">
    <cfRule type="cellIs" dxfId="6366" priority="6361" stopIfTrue="1" operator="equal">
      <formula>"Pass"</formula>
    </cfRule>
    <cfRule type="cellIs" dxfId="6365" priority="6362" stopIfTrue="1" operator="equal">
      <formula>"Fail"</formula>
    </cfRule>
  </conditionalFormatting>
  <conditionalFormatting sqref="J1483:L1483">
    <cfRule type="cellIs" dxfId="6364" priority="6359" stopIfTrue="1" operator="equal">
      <formula>"Pass"</formula>
    </cfRule>
    <cfRule type="cellIs" dxfId="6363" priority="6360" stopIfTrue="1" operator="equal">
      <formula>"Fail"</formula>
    </cfRule>
  </conditionalFormatting>
  <conditionalFormatting sqref="I1483">
    <cfRule type="cellIs" dxfId="6362" priority="6357" stopIfTrue="1" operator="equal">
      <formula>"Pass"</formula>
    </cfRule>
    <cfRule type="cellIs" dxfId="6361" priority="6358" stopIfTrue="1" operator="equal">
      <formula>"Fail"</formula>
    </cfRule>
  </conditionalFormatting>
  <conditionalFormatting sqref="I1483:L1483">
    <cfRule type="cellIs" dxfId="6360" priority="6355" stopIfTrue="1" operator="equal">
      <formula>"Pass"</formula>
    </cfRule>
    <cfRule type="cellIs" dxfId="6359" priority="6356" stopIfTrue="1" operator="equal">
      <formula>"Fail"</formula>
    </cfRule>
  </conditionalFormatting>
  <conditionalFormatting sqref="J1483:L1483">
    <cfRule type="cellIs" dxfId="6358" priority="6353" stopIfTrue="1" operator="equal">
      <formula>"Pass"</formula>
    </cfRule>
    <cfRule type="cellIs" dxfId="6357" priority="6354" stopIfTrue="1" operator="equal">
      <formula>"Fail"</formula>
    </cfRule>
  </conditionalFormatting>
  <conditionalFormatting sqref="I1483">
    <cfRule type="cellIs" dxfId="6356" priority="6351" stopIfTrue="1" operator="equal">
      <formula>"Pass"</formula>
    </cfRule>
    <cfRule type="cellIs" dxfId="6355" priority="6352" stopIfTrue="1" operator="equal">
      <formula>"Fail"</formula>
    </cfRule>
  </conditionalFormatting>
  <conditionalFormatting sqref="I1483:L1483">
    <cfRule type="cellIs" dxfId="6354" priority="6349" stopIfTrue="1" operator="equal">
      <formula>"Pass"</formula>
    </cfRule>
    <cfRule type="cellIs" dxfId="6353" priority="6350" stopIfTrue="1" operator="equal">
      <formula>"Fail"</formula>
    </cfRule>
  </conditionalFormatting>
  <conditionalFormatting sqref="J1483:L1483">
    <cfRule type="cellIs" dxfId="6352" priority="6347" stopIfTrue="1" operator="equal">
      <formula>"Pass"</formula>
    </cfRule>
    <cfRule type="cellIs" dxfId="6351" priority="6348" stopIfTrue="1" operator="equal">
      <formula>"Fail"</formula>
    </cfRule>
  </conditionalFormatting>
  <conditionalFormatting sqref="I1483">
    <cfRule type="cellIs" dxfId="6350" priority="6345" stopIfTrue="1" operator="equal">
      <formula>"Pass"</formula>
    </cfRule>
    <cfRule type="cellIs" dxfId="6349" priority="6346" stopIfTrue="1" operator="equal">
      <formula>"Fail"</formula>
    </cfRule>
  </conditionalFormatting>
  <conditionalFormatting sqref="I1483:L1483">
    <cfRule type="cellIs" dxfId="6348" priority="6343" stopIfTrue="1" operator="equal">
      <formula>"Pass"</formula>
    </cfRule>
    <cfRule type="cellIs" dxfId="6347" priority="6344" stopIfTrue="1" operator="equal">
      <formula>"Fail"</formula>
    </cfRule>
  </conditionalFormatting>
  <conditionalFormatting sqref="J1483:L1483">
    <cfRule type="cellIs" dxfId="6346" priority="6341" stopIfTrue="1" operator="equal">
      <formula>"Pass"</formula>
    </cfRule>
    <cfRule type="cellIs" dxfId="6345" priority="6342" stopIfTrue="1" operator="equal">
      <formula>"Fail"</formula>
    </cfRule>
  </conditionalFormatting>
  <conditionalFormatting sqref="I1483">
    <cfRule type="cellIs" dxfId="6344" priority="6339" stopIfTrue="1" operator="equal">
      <formula>"Pass"</formula>
    </cfRule>
    <cfRule type="cellIs" dxfId="6343" priority="6340" stopIfTrue="1" operator="equal">
      <formula>"Fail"</formula>
    </cfRule>
  </conditionalFormatting>
  <conditionalFormatting sqref="I1483:L1483">
    <cfRule type="cellIs" dxfId="6342" priority="6337" stopIfTrue="1" operator="equal">
      <formula>"Pass"</formula>
    </cfRule>
    <cfRule type="cellIs" dxfId="6341" priority="6338" stopIfTrue="1" operator="equal">
      <formula>"Fail"</formula>
    </cfRule>
  </conditionalFormatting>
  <conditionalFormatting sqref="J1483:L1483">
    <cfRule type="cellIs" dxfId="6340" priority="6335" stopIfTrue="1" operator="equal">
      <formula>"Pass"</formula>
    </cfRule>
    <cfRule type="cellIs" dxfId="6339" priority="6336" stopIfTrue="1" operator="equal">
      <formula>"Fail"</formula>
    </cfRule>
  </conditionalFormatting>
  <conditionalFormatting sqref="I1483">
    <cfRule type="cellIs" dxfId="6338" priority="6333" stopIfTrue="1" operator="equal">
      <formula>"Pass"</formula>
    </cfRule>
    <cfRule type="cellIs" dxfId="6337" priority="6334" stopIfTrue="1" operator="equal">
      <formula>"Fail"</formula>
    </cfRule>
  </conditionalFormatting>
  <conditionalFormatting sqref="I1483:L1483">
    <cfRule type="cellIs" dxfId="6336" priority="6331" stopIfTrue="1" operator="equal">
      <formula>"Pass"</formula>
    </cfRule>
    <cfRule type="cellIs" dxfId="6335" priority="6332" stopIfTrue="1" operator="equal">
      <formula>"Fail"</formula>
    </cfRule>
  </conditionalFormatting>
  <conditionalFormatting sqref="J1483:L1483">
    <cfRule type="cellIs" dxfId="6334" priority="6329" stopIfTrue="1" operator="equal">
      <formula>"Pass"</formula>
    </cfRule>
    <cfRule type="cellIs" dxfId="6333" priority="6330" stopIfTrue="1" operator="equal">
      <formula>"Fail"</formula>
    </cfRule>
  </conditionalFormatting>
  <conditionalFormatting sqref="I1483">
    <cfRule type="cellIs" dxfId="6332" priority="6327" stopIfTrue="1" operator="equal">
      <formula>"Pass"</formula>
    </cfRule>
    <cfRule type="cellIs" dxfId="6331" priority="6328" stopIfTrue="1" operator="equal">
      <formula>"Fail"</formula>
    </cfRule>
  </conditionalFormatting>
  <conditionalFormatting sqref="I1483:L1483">
    <cfRule type="cellIs" dxfId="6330" priority="6325" stopIfTrue="1" operator="equal">
      <formula>"Pass"</formula>
    </cfRule>
    <cfRule type="cellIs" dxfId="6329" priority="6326" stopIfTrue="1" operator="equal">
      <formula>"Fail"</formula>
    </cfRule>
  </conditionalFormatting>
  <conditionalFormatting sqref="J1483:L1483">
    <cfRule type="cellIs" dxfId="6328" priority="6323" stopIfTrue="1" operator="equal">
      <formula>"Pass"</formula>
    </cfRule>
    <cfRule type="cellIs" dxfId="6327" priority="6324" stopIfTrue="1" operator="equal">
      <formula>"Fail"</formula>
    </cfRule>
  </conditionalFormatting>
  <conditionalFormatting sqref="I1483">
    <cfRule type="cellIs" dxfId="6326" priority="6321" stopIfTrue="1" operator="equal">
      <formula>"Pass"</formula>
    </cfRule>
    <cfRule type="cellIs" dxfId="6325" priority="6322" stopIfTrue="1" operator="equal">
      <formula>"Fail"</formula>
    </cfRule>
  </conditionalFormatting>
  <conditionalFormatting sqref="I1483:L1483">
    <cfRule type="cellIs" dxfId="6324" priority="6319" stopIfTrue="1" operator="equal">
      <formula>"Pass"</formula>
    </cfRule>
    <cfRule type="cellIs" dxfId="6323" priority="6320" stopIfTrue="1" operator="equal">
      <formula>"Fail"</formula>
    </cfRule>
  </conditionalFormatting>
  <conditionalFormatting sqref="J1483:L1483">
    <cfRule type="cellIs" dxfId="6322" priority="6317" stopIfTrue="1" operator="equal">
      <formula>"Pass"</formula>
    </cfRule>
    <cfRule type="cellIs" dxfId="6321" priority="6318" stopIfTrue="1" operator="equal">
      <formula>"Fail"</formula>
    </cfRule>
  </conditionalFormatting>
  <conditionalFormatting sqref="I1483">
    <cfRule type="cellIs" dxfId="6320" priority="6315" stopIfTrue="1" operator="equal">
      <formula>"Pass"</formula>
    </cfRule>
    <cfRule type="cellIs" dxfId="6319" priority="6316" stopIfTrue="1" operator="equal">
      <formula>"Fail"</formula>
    </cfRule>
  </conditionalFormatting>
  <conditionalFormatting sqref="I1483:L1483">
    <cfRule type="cellIs" dxfId="6318" priority="6313" stopIfTrue="1" operator="equal">
      <formula>"Pass"</formula>
    </cfRule>
    <cfRule type="cellIs" dxfId="6317" priority="6314" stopIfTrue="1" operator="equal">
      <formula>"Fail"</formula>
    </cfRule>
  </conditionalFormatting>
  <conditionalFormatting sqref="J1483:L1483">
    <cfRule type="cellIs" dxfId="6316" priority="6311" stopIfTrue="1" operator="equal">
      <formula>"Pass"</formula>
    </cfRule>
    <cfRule type="cellIs" dxfId="6315" priority="6312" stopIfTrue="1" operator="equal">
      <formula>"Fail"</formula>
    </cfRule>
  </conditionalFormatting>
  <conditionalFormatting sqref="I1483">
    <cfRule type="cellIs" dxfId="6314" priority="6309" stopIfTrue="1" operator="equal">
      <formula>"Pass"</formula>
    </cfRule>
    <cfRule type="cellIs" dxfId="6313" priority="6310" stopIfTrue="1" operator="equal">
      <formula>"Fail"</formula>
    </cfRule>
  </conditionalFormatting>
  <conditionalFormatting sqref="I1483:L1483">
    <cfRule type="cellIs" dxfId="6312" priority="6307" stopIfTrue="1" operator="equal">
      <formula>"Pass"</formula>
    </cfRule>
    <cfRule type="cellIs" dxfId="6311" priority="6308" stopIfTrue="1" operator="equal">
      <formula>"Fail"</formula>
    </cfRule>
  </conditionalFormatting>
  <conditionalFormatting sqref="J1483:L1483">
    <cfRule type="cellIs" dxfId="6310" priority="6305" stopIfTrue="1" operator="equal">
      <formula>"Pass"</formula>
    </cfRule>
    <cfRule type="cellIs" dxfId="6309" priority="6306" stopIfTrue="1" operator="equal">
      <formula>"Fail"</formula>
    </cfRule>
  </conditionalFormatting>
  <conditionalFormatting sqref="I1483">
    <cfRule type="cellIs" dxfId="6308" priority="6303" stopIfTrue="1" operator="equal">
      <formula>"Pass"</formula>
    </cfRule>
    <cfRule type="cellIs" dxfId="6307" priority="6304" stopIfTrue="1" operator="equal">
      <formula>"Fail"</formula>
    </cfRule>
  </conditionalFormatting>
  <conditionalFormatting sqref="I1483:L1483">
    <cfRule type="cellIs" dxfId="6306" priority="6301" stopIfTrue="1" operator="equal">
      <formula>"Pass"</formula>
    </cfRule>
    <cfRule type="cellIs" dxfId="6305" priority="6302" stopIfTrue="1" operator="equal">
      <formula>"Fail"</formula>
    </cfRule>
  </conditionalFormatting>
  <conditionalFormatting sqref="J1483:L1483">
    <cfRule type="cellIs" dxfId="6304" priority="6299" stopIfTrue="1" operator="equal">
      <formula>"Pass"</formula>
    </cfRule>
    <cfRule type="cellIs" dxfId="6303" priority="6300" stopIfTrue="1" operator="equal">
      <formula>"Fail"</formula>
    </cfRule>
  </conditionalFormatting>
  <conditionalFormatting sqref="I1483">
    <cfRule type="cellIs" dxfId="6302" priority="6297" stopIfTrue="1" operator="equal">
      <formula>"Pass"</formula>
    </cfRule>
    <cfRule type="cellIs" dxfId="6301" priority="6298" stopIfTrue="1" operator="equal">
      <formula>"Fail"</formula>
    </cfRule>
  </conditionalFormatting>
  <conditionalFormatting sqref="I1483:L1483">
    <cfRule type="cellIs" dxfId="6300" priority="6295" stopIfTrue="1" operator="equal">
      <formula>"Pass"</formula>
    </cfRule>
    <cfRule type="cellIs" dxfId="6299" priority="6296" stopIfTrue="1" operator="equal">
      <formula>"Fail"</formula>
    </cfRule>
  </conditionalFormatting>
  <conditionalFormatting sqref="J1483:L1483">
    <cfRule type="cellIs" dxfId="6298" priority="6293" stopIfTrue="1" operator="equal">
      <formula>"Pass"</formula>
    </cfRule>
    <cfRule type="cellIs" dxfId="6297" priority="6294" stopIfTrue="1" operator="equal">
      <formula>"Fail"</formula>
    </cfRule>
  </conditionalFormatting>
  <conditionalFormatting sqref="I1483">
    <cfRule type="cellIs" dxfId="6296" priority="6291" stopIfTrue="1" operator="equal">
      <formula>"Pass"</formula>
    </cfRule>
    <cfRule type="cellIs" dxfId="6295" priority="6292" stopIfTrue="1" operator="equal">
      <formula>"Fail"</formula>
    </cfRule>
  </conditionalFormatting>
  <conditionalFormatting sqref="I1483:L1483">
    <cfRule type="cellIs" dxfId="6294" priority="6289" stopIfTrue="1" operator="equal">
      <formula>"Pass"</formula>
    </cfRule>
    <cfRule type="cellIs" dxfId="6293" priority="6290" stopIfTrue="1" operator="equal">
      <formula>"Fail"</formula>
    </cfRule>
  </conditionalFormatting>
  <conditionalFormatting sqref="J1483:L1483">
    <cfRule type="cellIs" dxfId="6292" priority="6287" stopIfTrue="1" operator="equal">
      <formula>"Pass"</formula>
    </cfRule>
    <cfRule type="cellIs" dxfId="6291" priority="6288" stopIfTrue="1" operator="equal">
      <formula>"Fail"</formula>
    </cfRule>
  </conditionalFormatting>
  <conditionalFormatting sqref="I1483">
    <cfRule type="cellIs" dxfId="6290" priority="6285" stopIfTrue="1" operator="equal">
      <formula>"Pass"</formula>
    </cfRule>
    <cfRule type="cellIs" dxfId="6289" priority="6286" stopIfTrue="1" operator="equal">
      <formula>"Fail"</formula>
    </cfRule>
  </conditionalFormatting>
  <conditionalFormatting sqref="I1483:L1483">
    <cfRule type="cellIs" dxfId="6288" priority="6283" stopIfTrue="1" operator="equal">
      <formula>"Pass"</formula>
    </cfRule>
    <cfRule type="cellIs" dxfId="6287" priority="6284" stopIfTrue="1" operator="equal">
      <formula>"Fail"</formula>
    </cfRule>
  </conditionalFormatting>
  <conditionalFormatting sqref="J1483:L1483">
    <cfRule type="cellIs" dxfId="6286" priority="6281" stopIfTrue="1" operator="equal">
      <formula>"Pass"</formula>
    </cfRule>
    <cfRule type="cellIs" dxfId="6285" priority="6282" stopIfTrue="1" operator="equal">
      <formula>"Fail"</formula>
    </cfRule>
  </conditionalFormatting>
  <conditionalFormatting sqref="I1483">
    <cfRule type="cellIs" dxfId="6284" priority="6279" stopIfTrue="1" operator="equal">
      <formula>"Pass"</formula>
    </cfRule>
    <cfRule type="cellIs" dxfId="6283" priority="6280" stopIfTrue="1" operator="equal">
      <formula>"Fail"</formula>
    </cfRule>
  </conditionalFormatting>
  <conditionalFormatting sqref="I1483:L1483">
    <cfRule type="cellIs" dxfId="6282" priority="6277" stopIfTrue="1" operator="equal">
      <formula>"Pass"</formula>
    </cfRule>
    <cfRule type="cellIs" dxfId="6281" priority="6278" stopIfTrue="1" operator="equal">
      <formula>"Fail"</formula>
    </cfRule>
  </conditionalFormatting>
  <conditionalFormatting sqref="J1483:L1483">
    <cfRule type="cellIs" dxfId="6280" priority="6275" stopIfTrue="1" operator="equal">
      <formula>"Pass"</formula>
    </cfRule>
    <cfRule type="cellIs" dxfId="6279" priority="6276" stopIfTrue="1" operator="equal">
      <formula>"Fail"</formula>
    </cfRule>
  </conditionalFormatting>
  <conditionalFormatting sqref="I1483">
    <cfRule type="cellIs" dxfId="6278" priority="6273" stopIfTrue="1" operator="equal">
      <formula>"Pass"</formula>
    </cfRule>
    <cfRule type="cellIs" dxfId="6277" priority="6274" stopIfTrue="1" operator="equal">
      <formula>"Fail"</formula>
    </cfRule>
  </conditionalFormatting>
  <conditionalFormatting sqref="I1483:L1483">
    <cfRule type="cellIs" dxfId="6276" priority="6271" stopIfTrue="1" operator="equal">
      <formula>"Pass"</formula>
    </cfRule>
    <cfRule type="cellIs" dxfId="6275" priority="6272" stopIfTrue="1" operator="equal">
      <formula>"Fail"</formula>
    </cfRule>
  </conditionalFormatting>
  <conditionalFormatting sqref="J1483:L1483">
    <cfRule type="cellIs" dxfId="6274" priority="6269" stopIfTrue="1" operator="equal">
      <formula>"Pass"</formula>
    </cfRule>
    <cfRule type="cellIs" dxfId="6273" priority="6270" stopIfTrue="1" operator="equal">
      <formula>"Fail"</formula>
    </cfRule>
  </conditionalFormatting>
  <conditionalFormatting sqref="I1483">
    <cfRule type="cellIs" dxfId="6272" priority="6267" stopIfTrue="1" operator="equal">
      <formula>"Pass"</formula>
    </cfRule>
    <cfRule type="cellIs" dxfId="6271" priority="6268" stopIfTrue="1" operator="equal">
      <formula>"Fail"</formula>
    </cfRule>
  </conditionalFormatting>
  <conditionalFormatting sqref="I1483:L1483">
    <cfRule type="cellIs" dxfId="6270" priority="6265" stopIfTrue="1" operator="equal">
      <formula>"Pass"</formula>
    </cfRule>
    <cfRule type="cellIs" dxfId="6269" priority="6266" stopIfTrue="1" operator="equal">
      <formula>"Fail"</formula>
    </cfRule>
  </conditionalFormatting>
  <conditionalFormatting sqref="J1483:L1483">
    <cfRule type="cellIs" dxfId="6268" priority="6263" stopIfTrue="1" operator="equal">
      <formula>"Pass"</formula>
    </cfRule>
    <cfRule type="cellIs" dxfId="6267" priority="6264" stopIfTrue="1" operator="equal">
      <formula>"Fail"</formula>
    </cfRule>
  </conditionalFormatting>
  <conditionalFormatting sqref="I1483">
    <cfRule type="cellIs" dxfId="6266" priority="6261" stopIfTrue="1" operator="equal">
      <formula>"Pass"</formula>
    </cfRule>
    <cfRule type="cellIs" dxfId="6265" priority="6262" stopIfTrue="1" operator="equal">
      <formula>"Fail"</formula>
    </cfRule>
  </conditionalFormatting>
  <conditionalFormatting sqref="I1483:L1483">
    <cfRule type="cellIs" dxfId="6264" priority="6259" stopIfTrue="1" operator="equal">
      <formula>"Pass"</formula>
    </cfRule>
    <cfRule type="cellIs" dxfId="6263" priority="6260" stopIfTrue="1" operator="equal">
      <formula>"Fail"</formula>
    </cfRule>
  </conditionalFormatting>
  <conditionalFormatting sqref="J1483:L1483">
    <cfRule type="cellIs" dxfId="6262" priority="6257" stopIfTrue="1" operator="equal">
      <formula>"Pass"</formula>
    </cfRule>
    <cfRule type="cellIs" dxfId="6261" priority="6258" stopIfTrue="1" operator="equal">
      <formula>"Fail"</formula>
    </cfRule>
  </conditionalFormatting>
  <conditionalFormatting sqref="I1483">
    <cfRule type="cellIs" dxfId="6260" priority="6255" stopIfTrue="1" operator="equal">
      <formula>"Pass"</formula>
    </cfRule>
    <cfRule type="cellIs" dxfId="6259" priority="6256" stopIfTrue="1" operator="equal">
      <formula>"Fail"</formula>
    </cfRule>
  </conditionalFormatting>
  <conditionalFormatting sqref="I1483:L1483">
    <cfRule type="cellIs" dxfId="6258" priority="6253" stopIfTrue="1" operator="equal">
      <formula>"Pass"</formula>
    </cfRule>
    <cfRule type="cellIs" dxfId="6257" priority="6254" stopIfTrue="1" operator="equal">
      <formula>"Fail"</formula>
    </cfRule>
  </conditionalFormatting>
  <conditionalFormatting sqref="J1483:L1483">
    <cfRule type="cellIs" dxfId="6256" priority="6251" stopIfTrue="1" operator="equal">
      <formula>"Pass"</formula>
    </cfRule>
    <cfRule type="cellIs" dxfId="6255" priority="6252" stopIfTrue="1" operator="equal">
      <formula>"Fail"</formula>
    </cfRule>
  </conditionalFormatting>
  <conditionalFormatting sqref="I1483">
    <cfRule type="cellIs" dxfId="6254" priority="6249" stopIfTrue="1" operator="equal">
      <formula>"Pass"</formula>
    </cfRule>
    <cfRule type="cellIs" dxfId="6253" priority="6250" stopIfTrue="1" operator="equal">
      <formula>"Fail"</formula>
    </cfRule>
  </conditionalFormatting>
  <conditionalFormatting sqref="I1483:L1483">
    <cfRule type="cellIs" dxfId="6252" priority="6247" stopIfTrue="1" operator="equal">
      <formula>"Pass"</formula>
    </cfRule>
    <cfRule type="cellIs" dxfId="6251" priority="6248" stopIfTrue="1" operator="equal">
      <formula>"Fail"</formula>
    </cfRule>
  </conditionalFormatting>
  <conditionalFormatting sqref="J1483:L1483">
    <cfRule type="cellIs" dxfId="6250" priority="6245" stopIfTrue="1" operator="equal">
      <formula>"Pass"</formula>
    </cfRule>
    <cfRule type="cellIs" dxfId="6249" priority="6246" stopIfTrue="1" operator="equal">
      <formula>"Fail"</formula>
    </cfRule>
  </conditionalFormatting>
  <conditionalFormatting sqref="I1483">
    <cfRule type="cellIs" dxfId="6248" priority="6243" stopIfTrue="1" operator="equal">
      <formula>"Pass"</formula>
    </cfRule>
    <cfRule type="cellIs" dxfId="6247" priority="6244" stopIfTrue="1" operator="equal">
      <formula>"Fail"</formula>
    </cfRule>
  </conditionalFormatting>
  <conditionalFormatting sqref="I1483:L1483">
    <cfRule type="cellIs" dxfId="6246" priority="6241" stopIfTrue="1" operator="equal">
      <formula>"Pass"</formula>
    </cfRule>
    <cfRule type="cellIs" dxfId="6245" priority="6242" stopIfTrue="1" operator="equal">
      <formula>"Fail"</formula>
    </cfRule>
  </conditionalFormatting>
  <conditionalFormatting sqref="J1483:L1483">
    <cfRule type="cellIs" dxfId="6244" priority="6239" stopIfTrue="1" operator="equal">
      <formula>"Pass"</formula>
    </cfRule>
    <cfRule type="cellIs" dxfId="6243" priority="6240" stopIfTrue="1" operator="equal">
      <formula>"Fail"</formula>
    </cfRule>
  </conditionalFormatting>
  <conditionalFormatting sqref="I1483">
    <cfRule type="cellIs" dxfId="6242" priority="6237" stopIfTrue="1" operator="equal">
      <formula>"Pass"</formula>
    </cfRule>
    <cfRule type="cellIs" dxfId="6241" priority="6238" stopIfTrue="1" operator="equal">
      <formula>"Fail"</formula>
    </cfRule>
  </conditionalFormatting>
  <conditionalFormatting sqref="I1483:L1483">
    <cfRule type="cellIs" dxfId="6240" priority="6235" stopIfTrue="1" operator="equal">
      <formula>"Pass"</formula>
    </cfRule>
    <cfRule type="cellIs" dxfId="6239" priority="6236" stopIfTrue="1" operator="equal">
      <formula>"Fail"</formula>
    </cfRule>
  </conditionalFormatting>
  <conditionalFormatting sqref="I1483:L1483">
    <cfRule type="cellIs" dxfId="6238" priority="6233" stopIfTrue="1" operator="equal">
      <formula>"Pass"</formula>
    </cfRule>
    <cfRule type="cellIs" dxfId="6237" priority="6234" stopIfTrue="1" operator="equal">
      <formula>"Fail"</formula>
    </cfRule>
  </conditionalFormatting>
  <conditionalFormatting sqref="J1483:L1483">
    <cfRule type="cellIs" dxfId="6236" priority="6231" stopIfTrue="1" operator="equal">
      <formula>"Pass"</formula>
    </cfRule>
    <cfRule type="cellIs" dxfId="6235" priority="6232" stopIfTrue="1" operator="equal">
      <formula>"Fail"</formula>
    </cfRule>
  </conditionalFormatting>
  <conditionalFormatting sqref="I1483">
    <cfRule type="cellIs" dxfId="6234" priority="6229" stopIfTrue="1" operator="equal">
      <formula>"Pass"</formula>
    </cfRule>
    <cfRule type="cellIs" dxfId="6233" priority="6230" stopIfTrue="1" operator="equal">
      <formula>"Fail"</formula>
    </cfRule>
  </conditionalFormatting>
  <conditionalFormatting sqref="I1483:L1483">
    <cfRule type="cellIs" dxfId="6232" priority="6227" stopIfTrue="1" operator="equal">
      <formula>"Pass"</formula>
    </cfRule>
    <cfRule type="cellIs" dxfId="6231" priority="6228" stopIfTrue="1" operator="equal">
      <formula>"Fail"</formula>
    </cfRule>
  </conditionalFormatting>
  <conditionalFormatting sqref="J1483:L1483">
    <cfRule type="cellIs" dxfId="6230" priority="6225" stopIfTrue="1" operator="equal">
      <formula>"Pass"</formula>
    </cfRule>
    <cfRule type="cellIs" dxfId="6229" priority="6226" stopIfTrue="1" operator="equal">
      <formula>"Fail"</formula>
    </cfRule>
  </conditionalFormatting>
  <conditionalFormatting sqref="I1483">
    <cfRule type="cellIs" dxfId="6228" priority="6223" stopIfTrue="1" operator="equal">
      <formula>"Pass"</formula>
    </cfRule>
    <cfRule type="cellIs" dxfId="6227" priority="6224" stopIfTrue="1" operator="equal">
      <formula>"Fail"</formula>
    </cfRule>
  </conditionalFormatting>
  <conditionalFormatting sqref="I1483:L1483">
    <cfRule type="cellIs" dxfId="6226" priority="6221" stopIfTrue="1" operator="equal">
      <formula>"Pass"</formula>
    </cfRule>
    <cfRule type="cellIs" dxfId="6225" priority="6222" stopIfTrue="1" operator="equal">
      <formula>"Fail"</formula>
    </cfRule>
  </conditionalFormatting>
  <conditionalFormatting sqref="I1483:L1483">
    <cfRule type="cellIs" dxfId="6224" priority="6219" stopIfTrue="1" operator="equal">
      <formula>"Pass"</formula>
    </cfRule>
    <cfRule type="cellIs" dxfId="6223" priority="6220" stopIfTrue="1" operator="equal">
      <formula>"Fail"</formula>
    </cfRule>
  </conditionalFormatting>
  <conditionalFormatting sqref="J1483:L1483">
    <cfRule type="cellIs" dxfId="6222" priority="6217" stopIfTrue="1" operator="equal">
      <formula>"Pass"</formula>
    </cfRule>
    <cfRule type="cellIs" dxfId="6221" priority="6218" stopIfTrue="1" operator="equal">
      <formula>"Fail"</formula>
    </cfRule>
  </conditionalFormatting>
  <conditionalFormatting sqref="I1483">
    <cfRule type="cellIs" dxfId="6220" priority="6215" stopIfTrue="1" operator="equal">
      <formula>"Pass"</formula>
    </cfRule>
    <cfRule type="cellIs" dxfId="6219" priority="6216" stopIfTrue="1" operator="equal">
      <formula>"Fail"</formula>
    </cfRule>
  </conditionalFormatting>
  <conditionalFormatting sqref="I1483:L1483">
    <cfRule type="cellIs" dxfId="6218" priority="6213" stopIfTrue="1" operator="equal">
      <formula>"Pass"</formula>
    </cfRule>
    <cfRule type="cellIs" dxfId="6217" priority="6214" stopIfTrue="1" operator="equal">
      <formula>"Fail"</formula>
    </cfRule>
  </conditionalFormatting>
  <conditionalFormatting sqref="J1483:L1483">
    <cfRule type="cellIs" dxfId="6216" priority="6211" stopIfTrue="1" operator="equal">
      <formula>"Pass"</formula>
    </cfRule>
    <cfRule type="cellIs" dxfId="6215" priority="6212" stopIfTrue="1" operator="equal">
      <formula>"Fail"</formula>
    </cfRule>
  </conditionalFormatting>
  <conditionalFormatting sqref="I1483">
    <cfRule type="cellIs" dxfId="6214" priority="6209" stopIfTrue="1" operator="equal">
      <formula>"Pass"</formula>
    </cfRule>
    <cfRule type="cellIs" dxfId="6213" priority="6210" stopIfTrue="1" operator="equal">
      <formula>"Fail"</formula>
    </cfRule>
  </conditionalFormatting>
  <conditionalFormatting sqref="I1483:L1483">
    <cfRule type="cellIs" dxfId="6212" priority="6207" stopIfTrue="1" operator="equal">
      <formula>"Pass"</formula>
    </cfRule>
    <cfRule type="cellIs" dxfId="6211" priority="6208" stopIfTrue="1" operator="equal">
      <formula>"Fail"</formula>
    </cfRule>
  </conditionalFormatting>
  <conditionalFormatting sqref="I1483:L1483">
    <cfRule type="cellIs" dxfId="6210" priority="6205" stopIfTrue="1" operator="equal">
      <formula>"Pass"</formula>
    </cfRule>
    <cfRule type="cellIs" dxfId="6209" priority="6206" stopIfTrue="1" operator="equal">
      <formula>"Fail"</formula>
    </cfRule>
  </conditionalFormatting>
  <conditionalFormatting sqref="J1483:L1483">
    <cfRule type="cellIs" dxfId="6208" priority="6203" stopIfTrue="1" operator="equal">
      <formula>"Pass"</formula>
    </cfRule>
    <cfRule type="cellIs" dxfId="6207" priority="6204" stopIfTrue="1" operator="equal">
      <formula>"Fail"</formula>
    </cfRule>
  </conditionalFormatting>
  <conditionalFormatting sqref="I1483">
    <cfRule type="cellIs" dxfId="6206" priority="6201" stopIfTrue="1" operator="equal">
      <formula>"Pass"</formula>
    </cfRule>
    <cfRule type="cellIs" dxfId="6205" priority="6202" stopIfTrue="1" operator="equal">
      <formula>"Fail"</formula>
    </cfRule>
  </conditionalFormatting>
  <conditionalFormatting sqref="I1483:L1483">
    <cfRule type="cellIs" dxfId="6204" priority="6199" stopIfTrue="1" operator="equal">
      <formula>"Pass"</formula>
    </cfRule>
    <cfRule type="cellIs" dxfId="6203" priority="6200" stopIfTrue="1" operator="equal">
      <formula>"Fail"</formula>
    </cfRule>
  </conditionalFormatting>
  <conditionalFormatting sqref="J1483:L1483">
    <cfRule type="cellIs" dxfId="6202" priority="6197" stopIfTrue="1" operator="equal">
      <formula>"Pass"</formula>
    </cfRule>
    <cfRule type="cellIs" dxfId="6201" priority="6198" stopIfTrue="1" operator="equal">
      <formula>"Fail"</formula>
    </cfRule>
  </conditionalFormatting>
  <conditionalFormatting sqref="I1483">
    <cfRule type="cellIs" dxfId="6200" priority="6195" stopIfTrue="1" operator="equal">
      <formula>"Pass"</formula>
    </cfRule>
    <cfRule type="cellIs" dxfId="6199" priority="6196" stopIfTrue="1" operator="equal">
      <formula>"Fail"</formula>
    </cfRule>
  </conditionalFormatting>
  <conditionalFormatting sqref="I1483:L1483">
    <cfRule type="cellIs" dxfId="6198" priority="6193" stopIfTrue="1" operator="equal">
      <formula>"Pass"</formula>
    </cfRule>
    <cfRule type="cellIs" dxfId="6197" priority="6194" stopIfTrue="1" operator="equal">
      <formula>"Fail"</formula>
    </cfRule>
  </conditionalFormatting>
  <conditionalFormatting sqref="I1483:L1483">
    <cfRule type="cellIs" dxfId="6196" priority="6191" stopIfTrue="1" operator="equal">
      <formula>"Pass"</formula>
    </cfRule>
    <cfRule type="cellIs" dxfId="6195" priority="6192" stopIfTrue="1" operator="equal">
      <formula>"Fail"</formula>
    </cfRule>
  </conditionalFormatting>
  <conditionalFormatting sqref="J1483:L1483">
    <cfRule type="cellIs" dxfId="6194" priority="6189" stopIfTrue="1" operator="equal">
      <formula>"Pass"</formula>
    </cfRule>
    <cfRule type="cellIs" dxfId="6193" priority="6190" stopIfTrue="1" operator="equal">
      <formula>"Fail"</formula>
    </cfRule>
  </conditionalFormatting>
  <conditionalFormatting sqref="I1483">
    <cfRule type="cellIs" dxfId="6192" priority="6187" stopIfTrue="1" operator="equal">
      <formula>"Pass"</formula>
    </cfRule>
    <cfRule type="cellIs" dxfId="6191" priority="6188" stopIfTrue="1" operator="equal">
      <formula>"Fail"</formula>
    </cfRule>
  </conditionalFormatting>
  <conditionalFormatting sqref="I1483:L1483">
    <cfRule type="cellIs" dxfId="6190" priority="6185" stopIfTrue="1" operator="equal">
      <formula>"Pass"</formula>
    </cfRule>
    <cfRule type="cellIs" dxfId="6189" priority="6186" stopIfTrue="1" operator="equal">
      <formula>"Fail"</formula>
    </cfRule>
  </conditionalFormatting>
  <conditionalFormatting sqref="J1483:L1483">
    <cfRule type="cellIs" dxfId="6188" priority="6183" stopIfTrue="1" operator="equal">
      <formula>"Pass"</formula>
    </cfRule>
    <cfRule type="cellIs" dxfId="6187" priority="6184" stopIfTrue="1" operator="equal">
      <formula>"Fail"</formula>
    </cfRule>
  </conditionalFormatting>
  <conditionalFormatting sqref="I1483">
    <cfRule type="cellIs" dxfId="6186" priority="6181" stopIfTrue="1" operator="equal">
      <formula>"Pass"</formula>
    </cfRule>
    <cfRule type="cellIs" dxfId="6185" priority="6182" stopIfTrue="1" operator="equal">
      <formula>"Fail"</formula>
    </cfRule>
  </conditionalFormatting>
  <conditionalFormatting sqref="I1483:L1483">
    <cfRule type="cellIs" dxfId="6184" priority="6179" stopIfTrue="1" operator="equal">
      <formula>"Pass"</formula>
    </cfRule>
    <cfRule type="cellIs" dxfId="6183" priority="6180" stopIfTrue="1" operator="equal">
      <formula>"Fail"</formula>
    </cfRule>
  </conditionalFormatting>
  <conditionalFormatting sqref="I1483:L1483">
    <cfRule type="cellIs" dxfId="6182" priority="6177" stopIfTrue="1" operator="equal">
      <formula>"Pass"</formula>
    </cfRule>
    <cfRule type="cellIs" dxfId="6181" priority="6178" stopIfTrue="1" operator="equal">
      <formula>"Fail"</formula>
    </cfRule>
  </conditionalFormatting>
  <conditionalFormatting sqref="J1483:L1483">
    <cfRule type="cellIs" dxfId="6180" priority="6175" stopIfTrue="1" operator="equal">
      <formula>"Pass"</formula>
    </cfRule>
    <cfRule type="cellIs" dxfId="6179" priority="6176" stopIfTrue="1" operator="equal">
      <formula>"Fail"</formula>
    </cfRule>
  </conditionalFormatting>
  <conditionalFormatting sqref="I1483">
    <cfRule type="cellIs" dxfId="6178" priority="6173" stopIfTrue="1" operator="equal">
      <formula>"Pass"</formula>
    </cfRule>
    <cfRule type="cellIs" dxfId="6177" priority="6174" stopIfTrue="1" operator="equal">
      <formula>"Fail"</formula>
    </cfRule>
  </conditionalFormatting>
  <conditionalFormatting sqref="I1483:L1483">
    <cfRule type="cellIs" dxfId="6176" priority="6171" stopIfTrue="1" operator="equal">
      <formula>"Pass"</formula>
    </cfRule>
    <cfRule type="cellIs" dxfId="6175" priority="6172" stopIfTrue="1" operator="equal">
      <formula>"Fail"</formula>
    </cfRule>
  </conditionalFormatting>
  <conditionalFormatting sqref="J1483:L1483">
    <cfRule type="cellIs" dxfId="6174" priority="6169" stopIfTrue="1" operator="equal">
      <formula>"Pass"</formula>
    </cfRule>
    <cfRule type="cellIs" dxfId="6173" priority="6170" stopIfTrue="1" operator="equal">
      <formula>"Fail"</formula>
    </cfRule>
  </conditionalFormatting>
  <conditionalFormatting sqref="I1483">
    <cfRule type="cellIs" dxfId="6172" priority="6167" stopIfTrue="1" operator="equal">
      <formula>"Pass"</formula>
    </cfRule>
    <cfRule type="cellIs" dxfId="6171" priority="6168" stopIfTrue="1" operator="equal">
      <formula>"Fail"</formula>
    </cfRule>
  </conditionalFormatting>
  <conditionalFormatting sqref="I1483:L1483">
    <cfRule type="cellIs" dxfId="6170" priority="6165" stopIfTrue="1" operator="equal">
      <formula>"Pass"</formula>
    </cfRule>
    <cfRule type="cellIs" dxfId="6169" priority="6166" stopIfTrue="1" operator="equal">
      <formula>"Fail"</formula>
    </cfRule>
  </conditionalFormatting>
  <conditionalFormatting sqref="I1483:L1483">
    <cfRule type="cellIs" dxfId="6168" priority="6163" stopIfTrue="1" operator="equal">
      <formula>"Pass"</formula>
    </cfRule>
    <cfRule type="cellIs" dxfId="6167" priority="6164" stopIfTrue="1" operator="equal">
      <formula>"Fail"</formula>
    </cfRule>
  </conditionalFormatting>
  <conditionalFormatting sqref="I1483:L1483">
    <cfRule type="cellIs" dxfId="6166" priority="6161" stopIfTrue="1" operator="equal">
      <formula>"Pass"</formula>
    </cfRule>
    <cfRule type="cellIs" dxfId="6165" priority="6162" stopIfTrue="1" operator="equal">
      <formula>"Fail"</formula>
    </cfRule>
  </conditionalFormatting>
  <conditionalFormatting sqref="J1483:L1483">
    <cfRule type="cellIs" dxfId="6164" priority="6159" stopIfTrue="1" operator="equal">
      <formula>"Pass"</formula>
    </cfRule>
    <cfRule type="cellIs" dxfId="6163" priority="6160" stopIfTrue="1" operator="equal">
      <formula>"Fail"</formula>
    </cfRule>
  </conditionalFormatting>
  <conditionalFormatting sqref="I1483">
    <cfRule type="cellIs" dxfId="6162" priority="6157" stopIfTrue="1" operator="equal">
      <formula>"Pass"</formula>
    </cfRule>
    <cfRule type="cellIs" dxfId="6161" priority="6158" stopIfTrue="1" operator="equal">
      <formula>"Fail"</formula>
    </cfRule>
  </conditionalFormatting>
  <conditionalFormatting sqref="I1483:L1483">
    <cfRule type="cellIs" dxfId="6160" priority="6155" stopIfTrue="1" operator="equal">
      <formula>"Pass"</formula>
    </cfRule>
    <cfRule type="cellIs" dxfId="6159" priority="6156" stopIfTrue="1" operator="equal">
      <formula>"Fail"</formula>
    </cfRule>
  </conditionalFormatting>
  <conditionalFormatting sqref="J1483:L1483">
    <cfRule type="cellIs" dxfId="6158" priority="6153" stopIfTrue="1" operator="equal">
      <formula>"Pass"</formula>
    </cfRule>
    <cfRule type="cellIs" dxfId="6157" priority="6154" stopIfTrue="1" operator="equal">
      <formula>"Fail"</formula>
    </cfRule>
  </conditionalFormatting>
  <conditionalFormatting sqref="I1483">
    <cfRule type="cellIs" dxfId="6156" priority="6151" stopIfTrue="1" operator="equal">
      <formula>"Pass"</formula>
    </cfRule>
    <cfRule type="cellIs" dxfId="6155" priority="6152" stopIfTrue="1" operator="equal">
      <formula>"Fail"</formula>
    </cfRule>
  </conditionalFormatting>
  <conditionalFormatting sqref="I1483:L1483">
    <cfRule type="cellIs" dxfId="6154" priority="6149" stopIfTrue="1" operator="equal">
      <formula>"Pass"</formula>
    </cfRule>
    <cfRule type="cellIs" dxfId="6153" priority="6150" stopIfTrue="1" operator="equal">
      <formula>"Fail"</formula>
    </cfRule>
  </conditionalFormatting>
  <conditionalFormatting sqref="I1483:L1483">
    <cfRule type="cellIs" dxfId="6152" priority="6147" stopIfTrue="1" operator="equal">
      <formula>"Pass"</formula>
    </cfRule>
    <cfRule type="cellIs" dxfId="6151" priority="6148" stopIfTrue="1" operator="equal">
      <formula>"Fail"</formula>
    </cfRule>
  </conditionalFormatting>
  <conditionalFormatting sqref="I1483:L1483">
    <cfRule type="cellIs" dxfId="6150" priority="6145" stopIfTrue="1" operator="equal">
      <formula>"Pass"</formula>
    </cfRule>
    <cfRule type="cellIs" dxfId="6149" priority="6146" stopIfTrue="1" operator="equal">
      <formula>"Fail"</formula>
    </cfRule>
  </conditionalFormatting>
  <conditionalFormatting sqref="J1483:L1483">
    <cfRule type="cellIs" dxfId="6148" priority="6143" stopIfTrue="1" operator="equal">
      <formula>"Pass"</formula>
    </cfRule>
    <cfRule type="cellIs" dxfId="6147" priority="6144" stopIfTrue="1" operator="equal">
      <formula>"Fail"</formula>
    </cfRule>
  </conditionalFormatting>
  <conditionalFormatting sqref="I1483">
    <cfRule type="cellIs" dxfId="6146" priority="6141" stopIfTrue="1" operator="equal">
      <formula>"Pass"</formula>
    </cfRule>
    <cfRule type="cellIs" dxfId="6145" priority="6142" stopIfTrue="1" operator="equal">
      <formula>"Fail"</formula>
    </cfRule>
  </conditionalFormatting>
  <conditionalFormatting sqref="I1483:L1483">
    <cfRule type="cellIs" dxfId="6144" priority="6139" stopIfTrue="1" operator="equal">
      <formula>"Pass"</formula>
    </cfRule>
    <cfRule type="cellIs" dxfId="6143" priority="6140" stopIfTrue="1" operator="equal">
      <formula>"Fail"</formula>
    </cfRule>
  </conditionalFormatting>
  <conditionalFormatting sqref="J1483:L1483">
    <cfRule type="cellIs" dxfId="6142" priority="6137" stopIfTrue="1" operator="equal">
      <formula>"Pass"</formula>
    </cfRule>
    <cfRule type="cellIs" dxfId="6141" priority="6138" stopIfTrue="1" operator="equal">
      <formula>"Fail"</formula>
    </cfRule>
  </conditionalFormatting>
  <conditionalFormatting sqref="I1483">
    <cfRule type="cellIs" dxfId="6140" priority="6135" stopIfTrue="1" operator="equal">
      <formula>"Pass"</formula>
    </cfRule>
    <cfRule type="cellIs" dxfId="6139" priority="6136" stopIfTrue="1" operator="equal">
      <formula>"Fail"</formula>
    </cfRule>
  </conditionalFormatting>
  <conditionalFormatting sqref="I1483:L1483">
    <cfRule type="cellIs" dxfId="6138" priority="6133" stopIfTrue="1" operator="equal">
      <formula>"Pass"</formula>
    </cfRule>
    <cfRule type="cellIs" dxfId="6137" priority="6134" stopIfTrue="1" operator="equal">
      <formula>"Fail"</formula>
    </cfRule>
  </conditionalFormatting>
  <conditionalFormatting sqref="I1483:L1483">
    <cfRule type="cellIs" dxfId="6136" priority="6131" stopIfTrue="1" operator="equal">
      <formula>"Pass"</formula>
    </cfRule>
    <cfRule type="cellIs" dxfId="6135" priority="6132" stopIfTrue="1" operator="equal">
      <formula>"Fail"</formula>
    </cfRule>
  </conditionalFormatting>
  <conditionalFormatting sqref="I1483:L1483">
    <cfRule type="cellIs" dxfId="6134" priority="6129" stopIfTrue="1" operator="equal">
      <formula>"Pass"</formula>
    </cfRule>
    <cfRule type="cellIs" dxfId="6133" priority="6130" stopIfTrue="1" operator="equal">
      <formula>"Fail"</formula>
    </cfRule>
  </conditionalFormatting>
  <conditionalFormatting sqref="J1483:L1483">
    <cfRule type="cellIs" dxfId="6132" priority="6127" stopIfTrue="1" operator="equal">
      <formula>"Pass"</formula>
    </cfRule>
    <cfRule type="cellIs" dxfId="6131" priority="6128" stopIfTrue="1" operator="equal">
      <formula>"Fail"</formula>
    </cfRule>
  </conditionalFormatting>
  <conditionalFormatting sqref="I1483">
    <cfRule type="cellIs" dxfId="6130" priority="6125" stopIfTrue="1" operator="equal">
      <formula>"Pass"</formula>
    </cfRule>
    <cfRule type="cellIs" dxfId="6129" priority="6126" stopIfTrue="1" operator="equal">
      <formula>"Fail"</formula>
    </cfRule>
  </conditionalFormatting>
  <conditionalFormatting sqref="I1483:L1483">
    <cfRule type="cellIs" dxfId="6128" priority="6123" stopIfTrue="1" operator="equal">
      <formula>"Pass"</formula>
    </cfRule>
    <cfRule type="cellIs" dxfId="6127" priority="6124" stopIfTrue="1" operator="equal">
      <formula>"Fail"</formula>
    </cfRule>
  </conditionalFormatting>
  <conditionalFormatting sqref="J1483:L1483">
    <cfRule type="cellIs" dxfId="6126" priority="6121" stopIfTrue="1" operator="equal">
      <formula>"Pass"</formula>
    </cfRule>
    <cfRule type="cellIs" dxfId="6125" priority="6122" stopIfTrue="1" operator="equal">
      <formula>"Fail"</formula>
    </cfRule>
  </conditionalFormatting>
  <conditionalFormatting sqref="I1483">
    <cfRule type="cellIs" dxfId="6124" priority="6119" stopIfTrue="1" operator="equal">
      <formula>"Pass"</formula>
    </cfRule>
    <cfRule type="cellIs" dxfId="6123" priority="6120" stopIfTrue="1" operator="equal">
      <formula>"Fail"</formula>
    </cfRule>
  </conditionalFormatting>
  <conditionalFormatting sqref="I1483:L1483">
    <cfRule type="cellIs" dxfId="6122" priority="6117" stopIfTrue="1" operator="equal">
      <formula>"Pass"</formula>
    </cfRule>
    <cfRule type="cellIs" dxfId="6121" priority="6118" stopIfTrue="1" operator="equal">
      <formula>"Fail"</formula>
    </cfRule>
  </conditionalFormatting>
  <conditionalFormatting sqref="H1483">
    <cfRule type="cellIs" dxfId="6120" priority="6115" stopIfTrue="1" operator="equal">
      <formula>"Pass"</formula>
    </cfRule>
    <cfRule type="cellIs" dxfId="6119" priority="6116" stopIfTrue="1" operator="equal">
      <formula>"Fail"</formula>
    </cfRule>
  </conditionalFormatting>
  <conditionalFormatting sqref="H1483">
    <cfRule type="cellIs" dxfId="6118" priority="6113" stopIfTrue="1" operator="equal">
      <formula>"Pass"</formula>
    </cfRule>
    <cfRule type="cellIs" dxfId="6117" priority="6114" stopIfTrue="1" operator="equal">
      <formula>"Fail"</formula>
    </cfRule>
  </conditionalFormatting>
  <conditionalFormatting sqref="H1483">
    <cfRule type="cellIs" dxfId="6116" priority="6111" stopIfTrue="1" operator="equal">
      <formula>"Pass"</formula>
    </cfRule>
    <cfRule type="cellIs" dxfId="6115" priority="6112" stopIfTrue="1" operator="equal">
      <formula>"Fail"</formula>
    </cfRule>
  </conditionalFormatting>
  <conditionalFormatting sqref="I1483:L1483">
    <cfRule type="cellIs" dxfId="6114" priority="6109" stopIfTrue="1" operator="equal">
      <formula>"Pass"</formula>
    </cfRule>
    <cfRule type="cellIs" dxfId="6113" priority="6110" stopIfTrue="1" operator="equal">
      <formula>"Fail"</formula>
    </cfRule>
  </conditionalFormatting>
  <conditionalFormatting sqref="I1483:L1483">
    <cfRule type="cellIs" dxfId="6112" priority="6107" stopIfTrue="1" operator="equal">
      <formula>"Pass"</formula>
    </cfRule>
    <cfRule type="cellIs" dxfId="6111" priority="6108" stopIfTrue="1" operator="equal">
      <formula>"Fail"</formula>
    </cfRule>
  </conditionalFormatting>
  <conditionalFormatting sqref="J1483:L1483">
    <cfRule type="cellIs" dxfId="6110" priority="6105" stopIfTrue="1" operator="equal">
      <formula>"Pass"</formula>
    </cfRule>
    <cfRule type="cellIs" dxfId="6109" priority="6106" stopIfTrue="1" operator="equal">
      <formula>"Fail"</formula>
    </cfRule>
  </conditionalFormatting>
  <conditionalFormatting sqref="I1483">
    <cfRule type="cellIs" dxfId="6108" priority="6103" stopIfTrue="1" operator="equal">
      <formula>"Pass"</formula>
    </cfRule>
    <cfRule type="cellIs" dxfId="6107" priority="6104" stopIfTrue="1" operator="equal">
      <formula>"Fail"</formula>
    </cfRule>
  </conditionalFormatting>
  <conditionalFormatting sqref="I1483:L1483">
    <cfRule type="cellIs" dxfId="6106" priority="6101" stopIfTrue="1" operator="equal">
      <formula>"Pass"</formula>
    </cfRule>
    <cfRule type="cellIs" dxfId="6105" priority="6102" stopIfTrue="1" operator="equal">
      <formula>"Fail"</formula>
    </cfRule>
  </conditionalFormatting>
  <conditionalFormatting sqref="J1483:L1483">
    <cfRule type="cellIs" dxfId="6104" priority="6099" stopIfTrue="1" operator="equal">
      <formula>"Pass"</formula>
    </cfRule>
    <cfRule type="cellIs" dxfId="6103" priority="6100" stopIfTrue="1" operator="equal">
      <formula>"Fail"</formula>
    </cfRule>
  </conditionalFormatting>
  <conditionalFormatting sqref="I1483">
    <cfRule type="cellIs" dxfId="6102" priority="6097" stopIfTrue="1" operator="equal">
      <formula>"Pass"</formula>
    </cfRule>
    <cfRule type="cellIs" dxfId="6101" priority="6098" stopIfTrue="1" operator="equal">
      <formula>"Fail"</formula>
    </cfRule>
  </conditionalFormatting>
  <conditionalFormatting sqref="I1483:L1483">
    <cfRule type="cellIs" dxfId="6100" priority="6095" stopIfTrue="1" operator="equal">
      <formula>"Pass"</formula>
    </cfRule>
    <cfRule type="cellIs" dxfId="6099" priority="6096" stopIfTrue="1" operator="equal">
      <formula>"Fail"</formula>
    </cfRule>
  </conditionalFormatting>
  <conditionalFormatting sqref="H1483">
    <cfRule type="cellIs" dxfId="6098" priority="6093" stopIfTrue="1" operator="equal">
      <formula>"Pass"</formula>
    </cfRule>
    <cfRule type="cellIs" dxfId="6097" priority="6094" stopIfTrue="1" operator="equal">
      <formula>"Fail"</formula>
    </cfRule>
  </conditionalFormatting>
  <conditionalFormatting sqref="H1483">
    <cfRule type="cellIs" dxfId="6096" priority="6091" stopIfTrue="1" operator="equal">
      <formula>"Pass"</formula>
    </cfRule>
    <cfRule type="cellIs" dxfId="6095" priority="6092" stopIfTrue="1" operator="equal">
      <formula>"Fail"</formula>
    </cfRule>
  </conditionalFormatting>
  <conditionalFormatting sqref="H1483">
    <cfRule type="cellIs" dxfId="6094" priority="6089" stopIfTrue="1" operator="equal">
      <formula>"Pass"</formula>
    </cfRule>
    <cfRule type="cellIs" dxfId="6093" priority="6090" stopIfTrue="1" operator="equal">
      <formula>"Fail"</formula>
    </cfRule>
  </conditionalFormatting>
  <conditionalFormatting sqref="I1483:L1483">
    <cfRule type="cellIs" dxfId="6092" priority="6087" stopIfTrue="1" operator="equal">
      <formula>"Pass"</formula>
    </cfRule>
    <cfRule type="cellIs" dxfId="6091" priority="6088" stopIfTrue="1" operator="equal">
      <formula>"Fail"</formula>
    </cfRule>
  </conditionalFormatting>
  <conditionalFormatting sqref="I1483:L1483">
    <cfRule type="cellIs" dxfId="6090" priority="6085" stopIfTrue="1" operator="equal">
      <formula>"Pass"</formula>
    </cfRule>
    <cfRule type="cellIs" dxfId="6089" priority="6086" stopIfTrue="1" operator="equal">
      <formula>"Fail"</formula>
    </cfRule>
  </conditionalFormatting>
  <conditionalFormatting sqref="J1483:L1483">
    <cfRule type="cellIs" dxfId="6088" priority="6083" stopIfTrue="1" operator="equal">
      <formula>"Pass"</formula>
    </cfRule>
    <cfRule type="cellIs" dxfId="6087" priority="6084" stopIfTrue="1" operator="equal">
      <formula>"Fail"</formula>
    </cfRule>
  </conditionalFormatting>
  <conditionalFormatting sqref="I1483">
    <cfRule type="cellIs" dxfId="6086" priority="6081" stopIfTrue="1" operator="equal">
      <formula>"Pass"</formula>
    </cfRule>
    <cfRule type="cellIs" dxfId="6085" priority="6082" stopIfTrue="1" operator="equal">
      <formula>"Fail"</formula>
    </cfRule>
  </conditionalFormatting>
  <conditionalFormatting sqref="I1483:L1483">
    <cfRule type="cellIs" dxfId="6084" priority="6079" stopIfTrue="1" operator="equal">
      <formula>"Pass"</formula>
    </cfRule>
    <cfRule type="cellIs" dxfId="6083" priority="6080" stopIfTrue="1" operator="equal">
      <formula>"Fail"</formula>
    </cfRule>
  </conditionalFormatting>
  <conditionalFormatting sqref="J1483:L1483">
    <cfRule type="cellIs" dxfId="6082" priority="6077" stopIfTrue="1" operator="equal">
      <formula>"Pass"</formula>
    </cfRule>
    <cfRule type="cellIs" dxfId="6081" priority="6078" stopIfTrue="1" operator="equal">
      <formula>"Fail"</formula>
    </cfRule>
  </conditionalFormatting>
  <conditionalFormatting sqref="I1483">
    <cfRule type="cellIs" dxfId="6080" priority="6075" stopIfTrue="1" operator="equal">
      <formula>"Pass"</formula>
    </cfRule>
    <cfRule type="cellIs" dxfId="6079" priority="6076" stopIfTrue="1" operator="equal">
      <formula>"Fail"</formula>
    </cfRule>
  </conditionalFormatting>
  <conditionalFormatting sqref="I1483:L1483">
    <cfRule type="cellIs" dxfId="6078" priority="6073" stopIfTrue="1" operator="equal">
      <formula>"Pass"</formula>
    </cfRule>
    <cfRule type="cellIs" dxfId="6077" priority="6074" stopIfTrue="1" operator="equal">
      <formula>"Fail"</formula>
    </cfRule>
  </conditionalFormatting>
  <conditionalFormatting sqref="H1483:L1483">
    <cfRule type="cellIs" dxfId="6076" priority="6071" stopIfTrue="1" operator="equal">
      <formula>"Pass"</formula>
    </cfRule>
    <cfRule type="cellIs" dxfId="6075" priority="6072" stopIfTrue="1" operator="equal">
      <formula>"Fail"</formula>
    </cfRule>
  </conditionalFormatting>
  <conditionalFormatting sqref="H1483:L1483">
    <cfRule type="cellIs" dxfId="6074" priority="6069" stopIfTrue="1" operator="equal">
      <formula>"Pass"</formula>
    </cfRule>
    <cfRule type="cellIs" dxfId="6073" priority="6070" stopIfTrue="1" operator="equal">
      <formula>"Fail"</formula>
    </cfRule>
  </conditionalFormatting>
  <conditionalFormatting sqref="H1483:L1483">
    <cfRule type="cellIs" dxfId="6072" priority="6067" stopIfTrue="1" operator="equal">
      <formula>"Pass"</formula>
    </cfRule>
    <cfRule type="cellIs" dxfId="6071" priority="6068" stopIfTrue="1" operator="equal">
      <formula>"Fail"</formula>
    </cfRule>
  </conditionalFormatting>
  <conditionalFormatting sqref="H1483:L1483">
    <cfRule type="cellIs" dxfId="6070" priority="6065" stopIfTrue="1" operator="equal">
      <formula>"Pass"</formula>
    </cfRule>
    <cfRule type="cellIs" dxfId="6069" priority="6066" stopIfTrue="1" operator="equal">
      <formula>"Fail"</formula>
    </cfRule>
  </conditionalFormatting>
  <conditionalFormatting sqref="H1483:L1483">
    <cfRule type="cellIs" dxfId="6068" priority="6063" stopIfTrue="1" operator="equal">
      <formula>"Pass"</formula>
    </cfRule>
    <cfRule type="cellIs" dxfId="6067" priority="6064" stopIfTrue="1" operator="equal">
      <formula>"Fail"</formula>
    </cfRule>
  </conditionalFormatting>
  <conditionalFormatting sqref="H1483:L1483">
    <cfRule type="cellIs" dxfId="6066" priority="6061" stopIfTrue="1" operator="equal">
      <formula>"Pass"</formula>
    </cfRule>
    <cfRule type="cellIs" dxfId="6065" priority="6062" stopIfTrue="1" operator="equal">
      <formula>"Fail"</formula>
    </cfRule>
  </conditionalFormatting>
  <conditionalFormatting sqref="J1483:L1483">
    <cfRule type="cellIs" dxfId="6064" priority="6059" stopIfTrue="1" operator="equal">
      <formula>"Pass"</formula>
    </cfRule>
    <cfRule type="cellIs" dxfId="6063" priority="6060" stopIfTrue="1" operator="equal">
      <formula>"Fail"</formula>
    </cfRule>
  </conditionalFormatting>
  <conditionalFormatting sqref="I1483">
    <cfRule type="cellIs" dxfId="6062" priority="6057" stopIfTrue="1" operator="equal">
      <formula>"Pass"</formula>
    </cfRule>
    <cfRule type="cellIs" dxfId="6061" priority="6058" stopIfTrue="1" operator="equal">
      <formula>"Fail"</formula>
    </cfRule>
  </conditionalFormatting>
  <conditionalFormatting sqref="I1483:L1483">
    <cfRule type="cellIs" dxfId="6060" priority="6055" stopIfTrue="1" operator="equal">
      <formula>"Pass"</formula>
    </cfRule>
    <cfRule type="cellIs" dxfId="6059" priority="6056" stopIfTrue="1" operator="equal">
      <formula>"Fail"</formula>
    </cfRule>
  </conditionalFormatting>
  <conditionalFormatting sqref="J1483:L1483">
    <cfRule type="cellIs" dxfId="6058" priority="6053" stopIfTrue="1" operator="equal">
      <formula>"Pass"</formula>
    </cfRule>
    <cfRule type="cellIs" dxfId="6057" priority="6054" stopIfTrue="1" operator="equal">
      <formula>"Fail"</formula>
    </cfRule>
  </conditionalFormatting>
  <conditionalFormatting sqref="I1483">
    <cfRule type="cellIs" dxfId="6056" priority="6051" stopIfTrue="1" operator="equal">
      <formula>"Pass"</formula>
    </cfRule>
    <cfRule type="cellIs" dxfId="6055" priority="6052" stopIfTrue="1" operator="equal">
      <formula>"Fail"</formula>
    </cfRule>
  </conditionalFormatting>
  <conditionalFormatting sqref="I1483:L1483">
    <cfRule type="cellIs" dxfId="6054" priority="6049" stopIfTrue="1" operator="equal">
      <formula>"Pass"</formula>
    </cfRule>
    <cfRule type="cellIs" dxfId="6053" priority="6050" stopIfTrue="1" operator="equal">
      <formula>"Fail"</formula>
    </cfRule>
  </conditionalFormatting>
  <conditionalFormatting sqref="J1483:L1483">
    <cfRule type="cellIs" dxfId="6052" priority="6047" stopIfTrue="1" operator="equal">
      <formula>"Pass"</formula>
    </cfRule>
    <cfRule type="cellIs" dxfId="6051" priority="6048" stopIfTrue="1" operator="equal">
      <formula>"Fail"</formula>
    </cfRule>
  </conditionalFormatting>
  <conditionalFormatting sqref="I1483">
    <cfRule type="cellIs" dxfId="6050" priority="6045" stopIfTrue="1" operator="equal">
      <formula>"Pass"</formula>
    </cfRule>
    <cfRule type="cellIs" dxfId="6049" priority="6046" stopIfTrue="1" operator="equal">
      <formula>"Fail"</formula>
    </cfRule>
  </conditionalFormatting>
  <conditionalFormatting sqref="I1483:L1483">
    <cfRule type="cellIs" dxfId="6048" priority="6043" stopIfTrue="1" operator="equal">
      <formula>"Pass"</formula>
    </cfRule>
    <cfRule type="cellIs" dxfId="6047" priority="6044" stopIfTrue="1" operator="equal">
      <formula>"Fail"</formula>
    </cfRule>
  </conditionalFormatting>
  <conditionalFormatting sqref="J1483:L1483">
    <cfRule type="cellIs" dxfId="6046" priority="6041" stopIfTrue="1" operator="equal">
      <formula>"Pass"</formula>
    </cfRule>
    <cfRule type="cellIs" dxfId="6045" priority="6042" stopIfTrue="1" operator="equal">
      <formula>"Fail"</formula>
    </cfRule>
  </conditionalFormatting>
  <conditionalFormatting sqref="I1483">
    <cfRule type="cellIs" dxfId="6044" priority="6039" stopIfTrue="1" operator="equal">
      <formula>"Pass"</formula>
    </cfRule>
    <cfRule type="cellIs" dxfId="6043" priority="6040" stopIfTrue="1" operator="equal">
      <formula>"Fail"</formula>
    </cfRule>
  </conditionalFormatting>
  <conditionalFormatting sqref="I1483:L1483">
    <cfRule type="cellIs" dxfId="6042" priority="6037" stopIfTrue="1" operator="equal">
      <formula>"Pass"</formula>
    </cfRule>
    <cfRule type="cellIs" dxfId="6041" priority="6038" stopIfTrue="1" operator="equal">
      <formula>"Fail"</formula>
    </cfRule>
  </conditionalFormatting>
  <conditionalFormatting sqref="J1483:L1483">
    <cfRule type="cellIs" dxfId="6040" priority="6035" stopIfTrue="1" operator="equal">
      <formula>"Pass"</formula>
    </cfRule>
    <cfRule type="cellIs" dxfId="6039" priority="6036" stopIfTrue="1" operator="equal">
      <formula>"Fail"</formula>
    </cfRule>
  </conditionalFormatting>
  <conditionalFormatting sqref="I1483">
    <cfRule type="cellIs" dxfId="6038" priority="6033" stopIfTrue="1" operator="equal">
      <formula>"Pass"</formula>
    </cfRule>
    <cfRule type="cellIs" dxfId="6037" priority="6034" stopIfTrue="1" operator="equal">
      <formula>"Fail"</formula>
    </cfRule>
  </conditionalFormatting>
  <conditionalFormatting sqref="I1483:L1483">
    <cfRule type="cellIs" dxfId="6036" priority="6031" stopIfTrue="1" operator="equal">
      <formula>"Pass"</formula>
    </cfRule>
    <cfRule type="cellIs" dxfId="6035" priority="6032" stopIfTrue="1" operator="equal">
      <formula>"Fail"</formula>
    </cfRule>
  </conditionalFormatting>
  <conditionalFormatting sqref="J1483:L1483">
    <cfRule type="cellIs" dxfId="6034" priority="6029" stopIfTrue="1" operator="equal">
      <formula>"Pass"</formula>
    </cfRule>
    <cfRule type="cellIs" dxfId="6033" priority="6030" stopIfTrue="1" operator="equal">
      <formula>"Fail"</formula>
    </cfRule>
  </conditionalFormatting>
  <conditionalFormatting sqref="I1483">
    <cfRule type="cellIs" dxfId="6032" priority="6027" stopIfTrue="1" operator="equal">
      <formula>"Pass"</formula>
    </cfRule>
    <cfRule type="cellIs" dxfId="6031" priority="6028" stopIfTrue="1" operator="equal">
      <formula>"Fail"</formula>
    </cfRule>
  </conditionalFormatting>
  <conditionalFormatting sqref="I1483:L1483">
    <cfRule type="cellIs" dxfId="6030" priority="6025" stopIfTrue="1" operator="equal">
      <formula>"Pass"</formula>
    </cfRule>
    <cfRule type="cellIs" dxfId="6029" priority="6026" stopIfTrue="1" operator="equal">
      <formula>"Fail"</formula>
    </cfRule>
  </conditionalFormatting>
  <conditionalFormatting sqref="J1483:L1483">
    <cfRule type="cellIs" dxfId="6028" priority="6023" stopIfTrue="1" operator="equal">
      <formula>"Pass"</formula>
    </cfRule>
    <cfRule type="cellIs" dxfId="6027" priority="6024" stopIfTrue="1" operator="equal">
      <formula>"Fail"</formula>
    </cfRule>
  </conditionalFormatting>
  <conditionalFormatting sqref="I1483">
    <cfRule type="cellIs" dxfId="6026" priority="6021" stopIfTrue="1" operator="equal">
      <formula>"Pass"</formula>
    </cfRule>
    <cfRule type="cellIs" dxfId="6025" priority="6022" stopIfTrue="1" operator="equal">
      <formula>"Fail"</formula>
    </cfRule>
  </conditionalFormatting>
  <conditionalFormatting sqref="I1483:L1483">
    <cfRule type="cellIs" dxfId="6024" priority="6019" stopIfTrue="1" operator="equal">
      <formula>"Pass"</formula>
    </cfRule>
    <cfRule type="cellIs" dxfId="6023" priority="6020" stopIfTrue="1" operator="equal">
      <formula>"Fail"</formula>
    </cfRule>
  </conditionalFormatting>
  <conditionalFormatting sqref="J1483:L1483">
    <cfRule type="cellIs" dxfId="6022" priority="6017" stopIfTrue="1" operator="equal">
      <formula>"Pass"</formula>
    </cfRule>
    <cfRule type="cellIs" dxfId="6021" priority="6018" stopIfTrue="1" operator="equal">
      <formula>"Fail"</formula>
    </cfRule>
  </conditionalFormatting>
  <conditionalFormatting sqref="I1483">
    <cfRule type="cellIs" dxfId="6020" priority="6015" stopIfTrue="1" operator="equal">
      <formula>"Pass"</formula>
    </cfRule>
    <cfRule type="cellIs" dxfId="6019" priority="6016" stopIfTrue="1" operator="equal">
      <formula>"Fail"</formula>
    </cfRule>
  </conditionalFormatting>
  <conditionalFormatting sqref="I1483:L1483">
    <cfRule type="cellIs" dxfId="6018" priority="6013" stopIfTrue="1" operator="equal">
      <formula>"Pass"</formula>
    </cfRule>
    <cfRule type="cellIs" dxfId="6017" priority="6014" stopIfTrue="1" operator="equal">
      <formula>"Fail"</formula>
    </cfRule>
  </conditionalFormatting>
  <conditionalFormatting sqref="J1483:L1483">
    <cfRule type="cellIs" dxfId="6016" priority="6011" stopIfTrue="1" operator="equal">
      <formula>"Pass"</formula>
    </cfRule>
    <cfRule type="cellIs" dxfId="6015" priority="6012" stopIfTrue="1" operator="equal">
      <formula>"Fail"</formula>
    </cfRule>
  </conditionalFormatting>
  <conditionalFormatting sqref="I1483">
    <cfRule type="cellIs" dxfId="6014" priority="6009" stopIfTrue="1" operator="equal">
      <formula>"Pass"</formula>
    </cfRule>
    <cfRule type="cellIs" dxfId="6013" priority="6010" stopIfTrue="1" operator="equal">
      <formula>"Fail"</formula>
    </cfRule>
  </conditionalFormatting>
  <conditionalFormatting sqref="I1483:L1483">
    <cfRule type="cellIs" dxfId="6012" priority="6007" stopIfTrue="1" operator="equal">
      <formula>"Pass"</formula>
    </cfRule>
    <cfRule type="cellIs" dxfId="6011" priority="6008" stopIfTrue="1" operator="equal">
      <formula>"Fail"</formula>
    </cfRule>
  </conditionalFormatting>
  <conditionalFormatting sqref="J1483:L1483">
    <cfRule type="cellIs" dxfId="6010" priority="6005" stopIfTrue="1" operator="equal">
      <formula>"Pass"</formula>
    </cfRule>
    <cfRule type="cellIs" dxfId="6009" priority="6006" stopIfTrue="1" operator="equal">
      <formula>"Fail"</formula>
    </cfRule>
  </conditionalFormatting>
  <conditionalFormatting sqref="I1483">
    <cfRule type="cellIs" dxfId="6008" priority="6003" stopIfTrue="1" operator="equal">
      <formula>"Pass"</formula>
    </cfRule>
    <cfRule type="cellIs" dxfId="6007" priority="6004" stopIfTrue="1" operator="equal">
      <formula>"Fail"</formula>
    </cfRule>
  </conditionalFormatting>
  <conditionalFormatting sqref="I1483:L1483">
    <cfRule type="cellIs" dxfId="6006" priority="6001" stopIfTrue="1" operator="equal">
      <formula>"Pass"</formula>
    </cfRule>
    <cfRule type="cellIs" dxfId="6005" priority="6002" stopIfTrue="1" operator="equal">
      <formula>"Fail"</formula>
    </cfRule>
  </conditionalFormatting>
  <conditionalFormatting sqref="J1483:L1483">
    <cfRule type="cellIs" dxfId="6004" priority="5999" stopIfTrue="1" operator="equal">
      <formula>"Pass"</formula>
    </cfRule>
    <cfRule type="cellIs" dxfId="6003" priority="6000" stopIfTrue="1" operator="equal">
      <formula>"Fail"</formula>
    </cfRule>
  </conditionalFormatting>
  <conditionalFormatting sqref="I1483">
    <cfRule type="cellIs" dxfId="6002" priority="5997" stopIfTrue="1" operator="equal">
      <formula>"Pass"</formula>
    </cfRule>
    <cfRule type="cellIs" dxfId="6001" priority="5998" stopIfTrue="1" operator="equal">
      <formula>"Fail"</formula>
    </cfRule>
  </conditionalFormatting>
  <conditionalFormatting sqref="I1483:L1483">
    <cfRule type="cellIs" dxfId="6000" priority="5995" stopIfTrue="1" operator="equal">
      <formula>"Pass"</formula>
    </cfRule>
    <cfRule type="cellIs" dxfId="5999" priority="5996" stopIfTrue="1" operator="equal">
      <formula>"Fail"</formula>
    </cfRule>
  </conditionalFormatting>
  <conditionalFormatting sqref="J1483:L1483">
    <cfRule type="cellIs" dxfId="5998" priority="5993" stopIfTrue="1" operator="equal">
      <formula>"Pass"</formula>
    </cfRule>
    <cfRule type="cellIs" dxfId="5997" priority="5994" stopIfTrue="1" operator="equal">
      <formula>"Fail"</formula>
    </cfRule>
  </conditionalFormatting>
  <conditionalFormatting sqref="I1483">
    <cfRule type="cellIs" dxfId="5996" priority="5991" stopIfTrue="1" operator="equal">
      <formula>"Pass"</formula>
    </cfRule>
    <cfRule type="cellIs" dxfId="5995" priority="5992" stopIfTrue="1" operator="equal">
      <formula>"Fail"</formula>
    </cfRule>
  </conditionalFormatting>
  <conditionalFormatting sqref="I1483:L1483">
    <cfRule type="cellIs" dxfId="5994" priority="5989" stopIfTrue="1" operator="equal">
      <formula>"Pass"</formula>
    </cfRule>
    <cfRule type="cellIs" dxfId="5993" priority="5990" stopIfTrue="1" operator="equal">
      <formula>"Fail"</formula>
    </cfRule>
  </conditionalFormatting>
  <conditionalFormatting sqref="J1483:L1483">
    <cfRule type="cellIs" dxfId="5992" priority="5987" stopIfTrue="1" operator="equal">
      <formula>"Pass"</formula>
    </cfRule>
    <cfRule type="cellIs" dxfId="5991" priority="5988" stopIfTrue="1" operator="equal">
      <formula>"Fail"</formula>
    </cfRule>
  </conditionalFormatting>
  <conditionalFormatting sqref="I1483">
    <cfRule type="cellIs" dxfId="5990" priority="5985" stopIfTrue="1" operator="equal">
      <formula>"Pass"</formula>
    </cfRule>
    <cfRule type="cellIs" dxfId="5989" priority="5986" stopIfTrue="1" operator="equal">
      <formula>"Fail"</formula>
    </cfRule>
  </conditionalFormatting>
  <conditionalFormatting sqref="I1483:L1483">
    <cfRule type="cellIs" dxfId="5988" priority="5983" stopIfTrue="1" operator="equal">
      <formula>"Pass"</formula>
    </cfRule>
    <cfRule type="cellIs" dxfId="5987" priority="5984" stopIfTrue="1" operator="equal">
      <formula>"Fail"</formula>
    </cfRule>
  </conditionalFormatting>
  <conditionalFormatting sqref="J1483:L1483">
    <cfRule type="cellIs" dxfId="5986" priority="5981" stopIfTrue="1" operator="equal">
      <formula>"Pass"</formula>
    </cfRule>
    <cfRule type="cellIs" dxfId="5985" priority="5982" stopIfTrue="1" operator="equal">
      <formula>"Fail"</formula>
    </cfRule>
  </conditionalFormatting>
  <conditionalFormatting sqref="I1483">
    <cfRule type="cellIs" dxfId="5984" priority="5979" stopIfTrue="1" operator="equal">
      <formula>"Pass"</formula>
    </cfRule>
    <cfRule type="cellIs" dxfId="5983" priority="5980" stopIfTrue="1" operator="equal">
      <formula>"Fail"</formula>
    </cfRule>
  </conditionalFormatting>
  <conditionalFormatting sqref="I1483:L1483">
    <cfRule type="cellIs" dxfId="5982" priority="5977" stopIfTrue="1" operator="equal">
      <formula>"Pass"</formula>
    </cfRule>
    <cfRule type="cellIs" dxfId="5981" priority="5978" stopIfTrue="1" operator="equal">
      <formula>"Fail"</formula>
    </cfRule>
  </conditionalFormatting>
  <conditionalFormatting sqref="J1483:L1483">
    <cfRule type="cellIs" dxfId="5980" priority="5975" stopIfTrue="1" operator="equal">
      <formula>"Pass"</formula>
    </cfRule>
    <cfRule type="cellIs" dxfId="5979" priority="5976" stopIfTrue="1" operator="equal">
      <formula>"Fail"</formula>
    </cfRule>
  </conditionalFormatting>
  <conditionalFormatting sqref="I1483">
    <cfRule type="cellIs" dxfId="5978" priority="5973" stopIfTrue="1" operator="equal">
      <formula>"Pass"</formula>
    </cfRule>
    <cfRule type="cellIs" dxfId="5977" priority="5974" stopIfTrue="1" operator="equal">
      <formula>"Fail"</formula>
    </cfRule>
  </conditionalFormatting>
  <conditionalFormatting sqref="I1483:L1483">
    <cfRule type="cellIs" dxfId="5976" priority="5971" stopIfTrue="1" operator="equal">
      <formula>"Pass"</formula>
    </cfRule>
    <cfRule type="cellIs" dxfId="5975" priority="5972" stopIfTrue="1" operator="equal">
      <formula>"Fail"</formula>
    </cfRule>
  </conditionalFormatting>
  <conditionalFormatting sqref="J1483:L1483">
    <cfRule type="cellIs" dxfId="5974" priority="5969" stopIfTrue="1" operator="equal">
      <formula>"Pass"</formula>
    </cfRule>
    <cfRule type="cellIs" dxfId="5973" priority="5970" stopIfTrue="1" operator="equal">
      <formula>"Fail"</formula>
    </cfRule>
  </conditionalFormatting>
  <conditionalFormatting sqref="I1483">
    <cfRule type="cellIs" dxfId="5972" priority="5967" stopIfTrue="1" operator="equal">
      <formula>"Pass"</formula>
    </cfRule>
    <cfRule type="cellIs" dxfId="5971" priority="5968" stopIfTrue="1" operator="equal">
      <formula>"Fail"</formula>
    </cfRule>
  </conditionalFormatting>
  <conditionalFormatting sqref="I1483:L1483">
    <cfRule type="cellIs" dxfId="5970" priority="5965" stopIfTrue="1" operator="equal">
      <formula>"Pass"</formula>
    </cfRule>
    <cfRule type="cellIs" dxfId="5969" priority="5966" stopIfTrue="1" operator="equal">
      <formula>"Fail"</formula>
    </cfRule>
  </conditionalFormatting>
  <conditionalFormatting sqref="J1483:L1483">
    <cfRule type="cellIs" dxfId="5968" priority="5963" stopIfTrue="1" operator="equal">
      <formula>"Pass"</formula>
    </cfRule>
    <cfRule type="cellIs" dxfId="5967" priority="5964" stopIfTrue="1" operator="equal">
      <formula>"Fail"</formula>
    </cfRule>
  </conditionalFormatting>
  <conditionalFormatting sqref="I1483">
    <cfRule type="cellIs" dxfId="5966" priority="5961" stopIfTrue="1" operator="equal">
      <formula>"Pass"</formula>
    </cfRule>
    <cfRule type="cellIs" dxfId="5965" priority="5962" stopIfTrue="1" operator="equal">
      <formula>"Fail"</formula>
    </cfRule>
  </conditionalFormatting>
  <conditionalFormatting sqref="I1483:L1483">
    <cfRule type="cellIs" dxfId="5964" priority="5959" stopIfTrue="1" operator="equal">
      <formula>"Pass"</formula>
    </cfRule>
    <cfRule type="cellIs" dxfId="5963" priority="5960" stopIfTrue="1" operator="equal">
      <formula>"Fail"</formula>
    </cfRule>
  </conditionalFormatting>
  <conditionalFormatting sqref="J1483:L1483">
    <cfRule type="cellIs" dxfId="5962" priority="5957" stopIfTrue="1" operator="equal">
      <formula>"Pass"</formula>
    </cfRule>
    <cfRule type="cellIs" dxfId="5961" priority="5958" stopIfTrue="1" operator="equal">
      <formula>"Fail"</formula>
    </cfRule>
  </conditionalFormatting>
  <conditionalFormatting sqref="I1483">
    <cfRule type="cellIs" dxfId="5960" priority="5955" stopIfTrue="1" operator="equal">
      <formula>"Pass"</formula>
    </cfRule>
    <cfRule type="cellIs" dxfId="5959" priority="5956" stopIfTrue="1" operator="equal">
      <formula>"Fail"</formula>
    </cfRule>
  </conditionalFormatting>
  <conditionalFormatting sqref="I1483:L1483">
    <cfRule type="cellIs" dxfId="5958" priority="5953" stopIfTrue="1" operator="equal">
      <formula>"Pass"</formula>
    </cfRule>
    <cfRule type="cellIs" dxfId="5957" priority="5954" stopIfTrue="1" operator="equal">
      <formula>"Fail"</formula>
    </cfRule>
  </conditionalFormatting>
  <conditionalFormatting sqref="J1483:L1483">
    <cfRule type="cellIs" dxfId="5956" priority="5951" stopIfTrue="1" operator="equal">
      <formula>"Pass"</formula>
    </cfRule>
    <cfRule type="cellIs" dxfId="5955" priority="5952" stopIfTrue="1" operator="equal">
      <formula>"Fail"</formula>
    </cfRule>
  </conditionalFormatting>
  <conditionalFormatting sqref="I1483">
    <cfRule type="cellIs" dxfId="5954" priority="5949" stopIfTrue="1" operator="equal">
      <formula>"Pass"</formula>
    </cfRule>
    <cfRule type="cellIs" dxfId="5953" priority="5950" stopIfTrue="1" operator="equal">
      <formula>"Fail"</formula>
    </cfRule>
  </conditionalFormatting>
  <conditionalFormatting sqref="I1483:L1483">
    <cfRule type="cellIs" dxfId="5952" priority="5947" stopIfTrue="1" operator="equal">
      <formula>"Pass"</formula>
    </cfRule>
    <cfRule type="cellIs" dxfId="5951" priority="5948" stopIfTrue="1" operator="equal">
      <formula>"Fail"</formula>
    </cfRule>
  </conditionalFormatting>
  <conditionalFormatting sqref="J1483:L1483">
    <cfRule type="cellIs" dxfId="5950" priority="5945" stopIfTrue="1" operator="equal">
      <formula>"Pass"</formula>
    </cfRule>
    <cfRule type="cellIs" dxfId="5949" priority="5946" stopIfTrue="1" operator="equal">
      <formula>"Fail"</formula>
    </cfRule>
  </conditionalFormatting>
  <conditionalFormatting sqref="I1483">
    <cfRule type="cellIs" dxfId="5948" priority="5943" stopIfTrue="1" operator="equal">
      <formula>"Pass"</formula>
    </cfRule>
    <cfRule type="cellIs" dxfId="5947" priority="5944" stopIfTrue="1" operator="equal">
      <formula>"Fail"</formula>
    </cfRule>
  </conditionalFormatting>
  <conditionalFormatting sqref="I1483:L1483">
    <cfRule type="cellIs" dxfId="5946" priority="5941" stopIfTrue="1" operator="equal">
      <formula>"Pass"</formula>
    </cfRule>
    <cfRule type="cellIs" dxfId="5945" priority="5942" stopIfTrue="1" operator="equal">
      <formula>"Fail"</formula>
    </cfRule>
  </conditionalFormatting>
  <conditionalFormatting sqref="J1483:L1483">
    <cfRule type="cellIs" dxfId="5944" priority="5939" stopIfTrue="1" operator="equal">
      <formula>"Pass"</formula>
    </cfRule>
    <cfRule type="cellIs" dxfId="5943" priority="5940" stopIfTrue="1" operator="equal">
      <formula>"Fail"</formula>
    </cfRule>
  </conditionalFormatting>
  <conditionalFormatting sqref="I1483">
    <cfRule type="cellIs" dxfId="5942" priority="5937" stopIfTrue="1" operator="equal">
      <formula>"Pass"</formula>
    </cfRule>
    <cfRule type="cellIs" dxfId="5941" priority="5938" stopIfTrue="1" operator="equal">
      <formula>"Fail"</formula>
    </cfRule>
  </conditionalFormatting>
  <conditionalFormatting sqref="I1483:L1483">
    <cfRule type="cellIs" dxfId="5940" priority="5935" stopIfTrue="1" operator="equal">
      <formula>"Pass"</formula>
    </cfRule>
    <cfRule type="cellIs" dxfId="5939" priority="5936" stopIfTrue="1" operator="equal">
      <formula>"Fail"</formula>
    </cfRule>
  </conditionalFormatting>
  <conditionalFormatting sqref="J1483:L1483">
    <cfRule type="cellIs" dxfId="5938" priority="5933" stopIfTrue="1" operator="equal">
      <formula>"Pass"</formula>
    </cfRule>
    <cfRule type="cellIs" dxfId="5937" priority="5934" stopIfTrue="1" operator="equal">
      <formula>"Fail"</formula>
    </cfRule>
  </conditionalFormatting>
  <conditionalFormatting sqref="I1483">
    <cfRule type="cellIs" dxfId="5936" priority="5931" stopIfTrue="1" operator="equal">
      <formula>"Pass"</formula>
    </cfRule>
    <cfRule type="cellIs" dxfId="5935" priority="5932" stopIfTrue="1" operator="equal">
      <formula>"Fail"</formula>
    </cfRule>
  </conditionalFormatting>
  <conditionalFormatting sqref="I1483:L1483">
    <cfRule type="cellIs" dxfId="5934" priority="5929" stopIfTrue="1" operator="equal">
      <formula>"Pass"</formula>
    </cfRule>
    <cfRule type="cellIs" dxfId="5933" priority="5930" stopIfTrue="1" operator="equal">
      <formula>"Fail"</formula>
    </cfRule>
  </conditionalFormatting>
  <conditionalFormatting sqref="J1483:L1483">
    <cfRule type="cellIs" dxfId="5932" priority="5927" stopIfTrue="1" operator="equal">
      <formula>"Pass"</formula>
    </cfRule>
    <cfRule type="cellIs" dxfId="5931" priority="5928" stopIfTrue="1" operator="equal">
      <formula>"Fail"</formula>
    </cfRule>
  </conditionalFormatting>
  <conditionalFormatting sqref="I1483">
    <cfRule type="cellIs" dxfId="5930" priority="5925" stopIfTrue="1" operator="equal">
      <formula>"Pass"</formula>
    </cfRule>
    <cfRule type="cellIs" dxfId="5929" priority="5926" stopIfTrue="1" operator="equal">
      <formula>"Fail"</formula>
    </cfRule>
  </conditionalFormatting>
  <conditionalFormatting sqref="I1483:L1483">
    <cfRule type="cellIs" dxfId="5928" priority="5923" stopIfTrue="1" operator="equal">
      <formula>"Pass"</formula>
    </cfRule>
    <cfRule type="cellIs" dxfId="5927" priority="5924" stopIfTrue="1" operator="equal">
      <formula>"Fail"</formula>
    </cfRule>
  </conditionalFormatting>
  <conditionalFormatting sqref="J1483:L1483">
    <cfRule type="cellIs" dxfId="5926" priority="5921" stopIfTrue="1" operator="equal">
      <formula>"Pass"</formula>
    </cfRule>
    <cfRule type="cellIs" dxfId="5925" priority="5922" stopIfTrue="1" operator="equal">
      <formula>"Fail"</formula>
    </cfRule>
  </conditionalFormatting>
  <conditionalFormatting sqref="I1483">
    <cfRule type="cellIs" dxfId="5924" priority="5919" stopIfTrue="1" operator="equal">
      <formula>"Pass"</formula>
    </cfRule>
    <cfRule type="cellIs" dxfId="5923" priority="5920" stopIfTrue="1" operator="equal">
      <formula>"Fail"</formula>
    </cfRule>
  </conditionalFormatting>
  <conditionalFormatting sqref="I1483:L1483">
    <cfRule type="cellIs" dxfId="5922" priority="5917" stopIfTrue="1" operator="equal">
      <formula>"Pass"</formula>
    </cfRule>
    <cfRule type="cellIs" dxfId="5921" priority="5918" stopIfTrue="1" operator="equal">
      <formula>"Fail"</formula>
    </cfRule>
  </conditionalFormatting>
  <conditionalFormatting sqref="I1483:L1483">
    <cfRule type="cellIs" dxfId="5920" priority="5915" stopIfTrue="1" operator="equal">
      <formula>"Pass"</formula>
    </cfRule>
    <cfRule type="cellIs" dxfId="5919" priority="5916" stopIfTrue="1" operator="equal">
      <formula>"Fail"</formula>
    </cfRule>
  </conditionalFormatting>
  <conditionalFormatting sqref="J1483:L1483">
    <cfRule type="cellIs" dxfId="5918" priority="5913" stopIfTrue="1" operator="equal">
      <formula>"Pass"</formula>
    </cfRule>
    <cfRule type="cellIs" dxfId="5917" priority="5914" stopIfTrue="1" operator="equal">
      <formula>"Fail"</formula>
    </cfRule>
  </conditionalFormatting>
  <conditionalFormatting sqref="I1483">
    <cfRule type="cellIs" dxfId="5916" priority="5911" stopIfTrue="1" operator="equal">
      <formula>"Pass"</formula>
    </cfRule>
    <cfRule type="cellIs" dxfId="5915" priority="5912" stopIfTrue="1" operator="equal">
      <formula>"Fail"</formula>
    </cfRule>
  </conditionalFormatting>
  <conditionalFormatting sqref="I1483:L1483">
    <cfRule type="cellIs" dxfId="5914" priority="5909" stopIfTrue="1" operator="equal">
      <formula>"Pass"</formula>
    </cfRule>
    <cfRule type="cellIs" dxfId="5913" priority="5910" stopIfTrue="1" operator="equal">
      <formula>"Fail"</formula>
    </cfRule>
  </conditionalFormatting>
  <conditionalFormatting sqref="J1483:L1483">
    <cfRule type="cellIs" dxfId="5912" priority="5907" stopIfTrue="1" operator="equal">
      <formula>"Pass"</formula>
    </cfRule>
    <cfRule type="cellIs" dxfId="5911" priority="5908" stopIfTrue="1" operator="equal">
      <formula>"Fail"</formula>
    </cfRule>
  </conditionalFormatting>
  <conditionalFormatting sqref="I1483">
    <cfRule type="cellIs" dxfId="5910" priority="5905" stopIfTrue="1" operator="equal">
      <formula>"Pass"</formula>
    </cfRule>
    <cfRule type="cellIs" dxfId="5909" priority="5906" stopIfTrue="1" operator="equal">
      <formula>"Fail"</formula>
    </cfRule>
  </conditionalFormatting>
  <conditionalFormatting sqref="I1483:L1483">
    <cfRule type="cellIs" dxfId="5908" priority="5903" stopIfTrue="1" operator="equal">
      <formula>"Pass"</formula>
    </cfRule>
    <cfRule type="cellIs" dxfId="5907" priority="5904" stopIfTrue="1" operator="equal">
      <formula>"Fail"</formula>
    </cfRule>
  </conditionalFormatting>
  <conditionalFormatting sqref="I1483:L1483">
    <cfRule type="cellIs" dxfId="5906" priority="5901" stopIfTrue="1" operator="equal">
      <formula>"Pass"</formula>
    </cfRule>
    <cfRule type="cellIs" dxfId="5905" priority="5902" stopIfTrue="1" operator="equal">
      <formula>"Fail"</formula>
    </cfRule>
  </conditionalFormatting>
  <conditionalFormatting sqref="J1483:L1483">
    <cfRule type="cellIs" dxfId="5904" priority="5899" stopIfTrue="1" operator="equal">
      <formula>"Pass"</formula>
    </cfRule>
    <cfRule type="cellIs" dxfId="5903" priority="5900" stopIfTrue="1" operator="equal">
      <formula>"Fail"</formula>
    </cfRule>
  </conditionalFormatting>
  <conditionalFormatting sqref="I1483">
    <cfRule type="cellIs" dxfId="5902" priority="5897" stopIfTrue="1" operator="equal">
      <formula>"Pass"</formula>
    </cfRule>
    <cfRule type="cellIs" dxfId="5901" priority="5898" stopIfTrue="1" operator="equal">
      <formula>"Fail"</formula>
    </cfRule>
  </conditionalFormatting>
  <conditionalFormatting sqref="I1483:L1483">
    <cfRule type="cellIs" dxfId="5900" priority="5895" stopIfTrue="1" operator="equal">
      <formula>"Pass"</formula>
    </cfRule>
    <cfRule type="cellIs" dxfId="5899" priority="5896" stopIfTrue="1" operator="equal">
      <formula>"Fail"</formula>
    </cfRule>
  </conditionalFormatting>
  <conditionalFormatting sqref="J1483:L1483">
    <cfRule type="cellIs" dxfId="5898" priority="5893" stopIfTrue="1" operator="equal">
      <formula>"Pass"</formula>
    </cfRule>
    <cfRule type="cellIs" dxfId="5897" priority="5894" stopIfTrue="1" operator="equal">
      <formula>"Fail"</formula>
    </cfRule>
  </conditionalFormatting>
  <conditionalFormatting sqref="I1483">
    <cfRule type="cellIs" dxfId="5896" priority="5891" stopIfTrue="1" operator="equal">
      <formula>"Pass"</formula>
    </cfRule>
    <cfRule type="cellIs" dxfId="5895" priority="5892" stopIfTrue="1" operator="equal">
      <formula>"Fail"</formula>
    </cfRule>
  </conditionalFormatting>
  <conditionalFormatting sqref="I1483:L1483">
    <cfRule type="cellIs" dxfId="5894" priority="5889" stopIfTrue="1" operator="equal">
      <formula>"Pass"</formula>
    </cfRule>
    <cfRule type="cellIs" dxfId="5893" priority="5890" stopIfTrue="1" operator="equal">
      <formula>"Fail"</formula>
    </cfRule>
  </conditionalFormatting>
  <conditionalFormatting sqref="I1483:L1483">
    <cfRule type="cellIs" dxfId="5892" priority="5887" stopIfTrue="1" operator="equal">
      <formula>"Pass"</formula>
    </cfRule>
    <cfRule type="cellIs" dxfId="5891" priority="5888" stopIfTrue="1" operator="equal">
      <formula>"Fail"</formula>
    </cfRule>
  </conditionalFormatting>
  <conditionalFormatting sqref="J1483:L1483">
    <cfRule type="cellIs" dxfId="5890" priority="5885" stopIfTrue="1" operator="equal">
      <formula>"Pass"</formula>
    </cfRule>
    <cfRule type="cellIs" dxfId="5889" priority="5886" stopIfTrue="1" operator="equal">
      <formula>"Fail"</formula>
    </cfRule>
  </conditionalFormatting>
  <conditionalFormatting sqref="I1483">
    <cfRule type="cellIs" dxfId="5888" priority="5883" stopIfTrue="1" operator="equal">
      <formula>"Pass"</formula>
    </cfRule>
    <cfRule type="cellIs" dxfId="5887" priority="5884" stopIfTrue="1" operator="equal">
      <formula>"Fail"</formula>
    </cfRule>
  </conditionalFormatting>
  <conditionalFormatting sqref="I1483:L1483">
    <cfRule type="cellIs" dxfId="5886" priority="5881" stopIfTrue="1" operator="equal">
      <formula>"Pass"</formula>
    </cfRule>
    <cfRule type="cellIs" dxfId="5885" priority="5882" stopIfTrue="1" operator="equal">
      <formula>"Fail"</formula>
    </cfRule>
  </conditionalFormatting>
  <conditionalFormatting sqref="J1483:L1483">
    <cfRule type="cellIs" dxfId="5884" priority="5879" stopIfTrue="1" operator="equal">
      <formula>"Pass"</formula>
    </cfRule>
    <cfRule type="cellIs" dxfId="5883" priority="5880" stopIfTrue="1" operator="equal">
      <formula>"Fail"</formula>
    </cfRule>
  </conditionalFormatting>
  <conditionalFormatting sqref="I1483">
    <cfRule type="cellIs" dxfId="5882" priority="5877" stopIfTrue="1" operator="equal">
      <formula>"Pass"</formula>
    </cfRule>
    <cfRule type="cellIs" dxfId="5881" priority="5878" stopIfTrue="1" operator="equal">
      <formula>"Fail"</formula>
    </cfRule>
  </conditionalFormatting>
  <conditionalFormatting sqref="I1483:L1483">
    <cfRule type="cellIs" dxfId="5880" priority="5875" stopIfTrue="1" operator="equal">
      <formula>"Pass"</formula>
    </cfRule>
    <cfRule type="cellIs" dxfId="5879" priority="5876" stopIfTrue="1" operator="equal">
      <formula>"Fail"</formula>
    </cfRule>
  </conditionalFormatting>
  <conditionalFormatting sqref="I1483:L1483">
    <cfRule type="cellIs" dxfId="5878" priority="5873" stopIfTrue="1" operator="equal">
      <formula>"Pass"</formula>
    </cfRule>
    <cfRule type="cellIs" dxfId="5877" priority="5874" stopIfTrue="1" operator="equal">
      <formula>"Fail"</formula>
    </cfRule>
  </conditionalFormatting>
  <conditionalFormatting sqref="J1483:L1483">
    <cfRule type="cellIs" dxfId="5876" priority="5871" stopIfTrue="1" operator="equal">
      <formula>"Pass"</formula>
    </cfRule>
    <cfRule type="cellIs" dxfId="5875" priority="5872" stopIfTrue="1" operator="equal">
      <formula>"Fail"</formula>
    </cfRule>
  </conditionalFormatting>
  <conditionalFormatting sqref="I1483">
    <cfRule type="cellIs" dxfId="5874" priority="5869" stopIfTrue="1" operator="equal">
      <formula>"Pass"</formula>
    </cfRule>
    <cfRule type="cellIs" dxfId="5873" priority="5870" stopIfTrue="1" operator="equal">
      <formula>"Fail"</formula>
    </cfRule>
  </conditionalFormatting>
  <conditionalFormatting sqref="I1483:L1483">
    <cfRule type="cellIs" dxfId="5872" priority="5867" stopIfTrue="1" operator="equal">
      <formula>"Pass"</formula>
    </cfRule>
    <cfRule type="cellIs" dxfId="5871" priority="5868" stopIfTrue="1" operator="equal">
      <formula>"Fail"</formula>
    </cfRule>
  </conditionalFormatting>
  <conditionalFormatting sqref="J1483:L1483">
    <cfRule type="cellIs" dxfId="5870" priority="5865" stopIfTrue="1" operator="equal">
      <formula>"Pass"</formula>
    </cfRule>
    <cfRule type="cellIs" dxfId="5869" priority="5866" stopIfTrue="1" operator="equal">
      <formula>"Fail"</formula>
    </cfRule>
  </conditionalFormatting>
  <conditionalFormatting sqref="I1483">
    <cfRule type="cellIs" dxfId="5868" priority="5863" stopIfTrue="1" operator="equal">
      <formula>"Pass"</formula>
    </cfRule>
    <cfRule type="cellIs" dxfId="5867" priority="5864" stopIfTrue="1" operator="equal">
      <formula>"Fail"</formula>
    </cfRule>
  </conditionalFormatting>
  <conditionalFormatting sqref="I1483:L1483">
    <cfRule type="cellIs" dxfId="5866" priority="5861" stopIfTrue="1" operator="equal">
      <formula>"Pass"</formula>
    </cfRule>
    <cfRule type="cellIs" dxfId="5865" priority="5862" stopIfTrue="1" operator="equal">
      <formula>"Fail"</formula>
    </cfRule>
  </conditionalFormatting>
  <conditionalFormatting sqref="I1483:L1483">
    <cfRule type="cellIs" dxfId="5864" priority="5859" stopIfTrue="1" operator="equal">
      <formula>"Pass"</formula>
    </cfRule>
    <cfRule type="cellIs" dxfId="5863" priority="5860" stopIfTrue="1" operator="equal">
      <formula>"Fail"</formula>
    </cfRule>
  </conditionalFormatting>
  <conditionalFormatting sqref="J1483:L1483">
    <cfRule type="cellIs" dxfId="5862" priority="5857" stopIfTrue="1" operator="equal">
      <formula>"Pass"</formula>
    </cfRule>
    <cfRule type="cellIs" dxfId="5861" priority="5858" stopIfTrue="1" operator="equal">
      <formula>"Fail"</formula>
    </cfRule>
  </conditionalFormatting>
  <conditionalFormatting sqref="I1483">
    <cfRule type="cellIs" dxfId="5860" priority="5855" stopIfTrue="1" operator="equal">
      <formula>"Pass"</formula>
    </cfRule>
    <cfRule type="cellIs" dxfId="5859" priority="5856" stopIfTrue="1" operator="equal">
      <formula>"Fail"</formula>
    </cfRule>
  </conditionalFormatting>
  <conditionalFormatting sqref="I1483:L1483">
    <cfRule type="cellIs" dxfId="5858" priority="5853" stopIfTrue="1" operator="equal">
      <formula>"Pass"</formula>
    </cfRule>
    <cfRule type="cellIs" dxfId="5857" priority="5854" stopIfTrue="1" operator="equal">
      <formula>"Fail"</formula>
    </cfRule>
  </conditionalFormatting>
  <conditionalFormatting sqref="J1483:L1483">
    <cfRule type="cellIs" dxfId="5856" priority="5851" stopIfTrue="1" operator="equal">
      <formula>"Pass"</formula>
    </cfRule>
    <cfRule type="cellIs" dxfId="5855" priority="5852" stopIfTrue="1" operator="equal">
      <formula>"Fail"</formula>
    </cfRule>
  </conditionalFormatting>
  <conditionalFormatting sqref="I1483">
    <cfRule type="cellIs" dxfId="5854" priority="5849" stopIfTrue="1" operator="equal">
      <formula>"Pass"</formula>
    </cfRule>
    <cfRule type="cellIs" dxfId="5853" priority="5850" stopIfTrue="1" operator="equal">
      <formula>"Fail"</formula>
    </cfRule>
  </conditionalFormatting>
  <conditionalFormatting sqref="I1483:L1483">
    <cfRule type="cellIs" dxfId="5852" priority="5847" stopIfTrue="1" operator="equal">
      <formula>"Pass"</formula>
    </cfRule>
    <cfRule type="cellIs" dxfId="5851" priority="5848" stopIfTrue="1" operator="equal">
      <formula>"Fail"</formula>
    </cfRule>
  </conditionalFormatting>
  <conditionalFormatting sqref="I1483:L1483">
    <cfRule type="cellIs" dxfId="5850" priority="5845" stopIfTrue="1" operator="equal">
      <formula>"Pass"</formula>
    </cfRule>
    <cfRule type="cellIs" dxfId="5849" priority="5846" stopIfTrue="1" operator="equal">
      <formula>"Fail"</formula>
    </cfRule>
  </conditionalFormatting>
  <conditionalFormatting sqref="I1483:L1483">
    <cfRule type="cellIs" dxfId="5848" priority="5843" stopIfTrue="1" operator="equal">
      <formula>"Pass"</formula>
    </cfRule>
    <cfRule type="cellIs" dxfId="5847" priority="5844" stopIfTrue="1" operator="equal">
      <formula>"Fail"</formula>
    </cfRule>
  </conditionalFormatting>
  <conditionalFormatting sqref="J1483:L1483">
    <cfRule type="cellIs" dxfId="5846" priority="5841" stopIfTrue="1" operator="equal">
      <formula>"Pass"</formula>
    </cfRule>
    <cfRule type="cellIs" dxfId="5845" priority="5842" stopIfTrue="1" operator="equal">
      <formula>"Fail"</formula>
    </cfRule>
  </conditionalFormatting>
  <conditionalFormatting sqref="I1483">
    <cfRule type="cellIs" dxfId="5844" priority="5839" stopIfTrue="1" operator="equal">
      <formula>"Pass"</formula>
    </cfRule>
    <cfRule type="cellIs" dxfId="5843" priority="5840" stopIfTrue="1" operator="equal">
      <formula>"Fail"</formula>
    </cfRule>
  </conditionalFormatting>
  <conditionalFormatting sqref="I1483:L1483">
    <cfRule type="cellIs" dxfId="5842" priority="5837" stopIfTrue="1" operator="equal">
      <formula>"Pass"</formula>
    </cfRule>
    <cfRule type="cellIs" dxfId="5841" priority="5838" stopIfTrue="1" operator="equal">
      <formula>"Fail"</formula>
    </cfRule>
  </conditionalFormatting>
  <conditionalFormatting sqref="J1483:L1483">
    <cfRule type="cellIs" dxfId="5840" priority="5835" stopIfTrue="1" operator="equal">
      <formula>"Pass"</formula>
    </cfRule>
    <cfRule type="cellIs" dxfId="5839" priority="5836" stopIfTrue="1" operator="equal">
      <formula>"Fail"</formula>
    </cfRule>
  </conditionalFormatting>
  <conditionalFormatting sqref="I1483">
    <cfRule type="cellIs" dxfId="5838" priority="5833" stopIfTrue="1" operator="equal">
      <formula>"Pass"</formula>
    </cfRule>
    <cfRule type="cellIs" dxfId="5837" priority="5834" stopIfTrue="1" operator="equal">
      <formula>"Fail"</formula>
    </cfRule>
  </conditionalFormatting>
  <conditionalFormatting sqref="I1483:L1483">
    <cfRule type="cellIs" dxfId="5836" priority="5831" stopIfTrue="1" operator="equal">
      <formula>"Pass"</formula>
    </cfRule>
    <cfRule type="cellIs" dxfId="5835" priority="5832" stopIfTrue="1" operator="equal">
      <formula>"Fail"</formula>
    </cfRule>
  </conditionalFormatting>
  <conditionalFormatting sqref="I1483:L1483">
    <cfRule type="cellIs" dxfId="5834" priority="5829" stopIfTrue="1" operator="equal">
      <formula>"Pass"</formula>
    </cfRule>
    <cfRule type="cellIs" dxfId="5833" priority="5830" stopIfTrue="1" operator="equal">
      <formula>"Fail"</formula>
    </cfRule>
  </conditionalFormatting>
  <conditionalFormatting sqref="I1483:L1483">
    <cfRule type="cellIs" dxfId="5832" priority="5827" stopIfTrue="1" operator="equal">
      <formula>"Pass"</formula>
    </cfRule>
    <cfRule type="cellIs" dxfId="5831" priority="5828" stopIfTrue="1" operator="equal">
      <formula>"Fail"</formula>
    </cfRule>
  </conditionalFormatting>
  <conditionalFormatting sqref="J1483:L1483">
    <cfRule type="cellIs" dxfId="5830" priority="5825" stopIfTrue="1" operator="equal">
      <formula>"Pass"</formula>
    </cfRule>
    <cfRule type="cellIs" dxfId="5829" priority="5826" stopIfTrue="1" operator="equal">
      <formula>"Fail"</formula>
    </cfRule>
  </conditionalFormatting>
  <conditionalFormatting sqref="I1483">
    <cfRule type="cellIs" dxfId="5828" priority="5823" stopIfTrue="1" operator="equal">
      <formula>"Pass"</formula>
    </cfRule>
    <cfRule type="cellIs" dxfId="5827" priority="5824" stopIfTrue="1" operator="equal">
      <formula>"Fail"</formula>
    </cfRule>
  </conditionalFormatting>
  <conditionalFormatting sqref="I1483:L1483">
    <cfRule type="cellIs" dxfId="5826" priority="5821" stopIfTrue="1" operator="equal">
      <formula>"Pass"</formula>
    </cfRule>
    <cfRule type="cellIs" dxfId="5825" priority="5822" stopIfTrue="1" operator="equal">
      <formula>"Fail"</formula>
    </cfRule>
  </conditionalFormatting>
  <conditionalFormatting sqref="J1483:L1483">
    <cfRule type="cellIs" dxfId="5824" priority="5819" stopIfTrue="1" operator="equal">
      <formula>"Pass"</formula>
    </cfRule>
    <cfRule type="cellIs" dxfId="5823" priority="5820" stopIfTrue="1" operator="equal">
      <formula>"Fail"</formula>
    </cfRule>
  </conditionalFormatting>
  <conditionalFormatting sqref="I1483">
    <cfRule type="cellIs" dxfId="5822" priority="5817" stopIfTrue="1" operator="equal">
      <formula>"Pass"</formula>
    </cfRule>
    <cfRule type="cellIs" dxfId="5821" priority="5818" stopIfTrue="1" operator="equal">
      <formula>"Fail"</formula>
    </cfRule>
  </conditionalFormatting>
  <conditionalFormatting sqref="I1483:L1483">
    <cfRule type="cellIs" dxfId="5820" priority="5815" stopIfTrue="1" operator="equal">
      <formula>"Pass"</formula>
    </cfRule>
    <cfRule type="cellIs" dxfId="5819" priority="5816" stopIfTrue="1" operator="equal">
      <formula>"Fail"</formula>
    </cfRule>
  </conditionalFormatting>
  <conditionalFormatting sqref="I1483:L1483">
    <cfRule type="cellIs" dxfId="5818" priority="5813" stopIfTrue="1" operator="equal">
      <formula>"Pass"</formula>
    </cfRule>
    <cfRule type="cellIs" dxfId="5817" priority="5814" stopIfTrue="1" operator="equal">
      <formula>"Fail"</formula>
    </cfRule>
  </conditionalFormatting>
  <conditionalFormatting sqref="I1483:L1483">
    <cfRule type="cellIs" dxfId="5816" priority="5811" stopIfTrue="1" operator="equal">
      <formula>"Pass"</formula>
    </cfRule>
    <cfRule type="cellIs" dxfId="5815" priority="5812" stopIfTrue="1" operator="equal">
      <formula>"Fail"</formula>
    </cfRule>
  </conditionalFormatting>
  <conditionalFormatting sqref="J1483:L1483">
    <cfRule type="cellIs" dxfId="5814" priority="5809" stopIfTrue="1" operator="equal">
      <formula>"Pass"</formula>
    </cfRule>
    <cfRule type="cellIs" dxfId="5813" priority="5810" stopIfTrue="1" operator="equal">
      <formula>"Fail"</formula>
    </cfRule>
  </conditionalFormatting>
  <conditionalFormatting sqref="I1483">
    <cfRule type="cellIs" dxfId="5812" priority="5807" stopIfTrue="1" operator="equal">
      <formula>"Pass"</formula>
    </cfRule>
    <cfRule type="cellIs" dxfId="5811" priority="5808" stopIfTrue="1" operator="equal">
      <formula>"Fail"</formula>
    </cfRule>
  </conditionalFormatting>
  <conditionalFormatting sqref="I1483:L1483">
    <cfRule type="cellIs" dxfId="5810" priority="5805" stopIfTrue="1" operator="equal">
      <formula>"Pass"</formula>
    </cfRule>
    <cfRule type="cellIs" dxfId="5809" priority="5806" stopIfTrue="1" operator="equal">
      <formula>"Fail"</formula>
    </cfRule>
  </conditionalFormatting>
  <conditionalFormatting sqref="J1483:L1483">
    <cfRule type="cellIs" dxfId="5808" priority="5803" stopIfTrue="1" operator="equal">
      <formula>"Pass"</formula>
    </cfRule>
    <cfRule type="cellIs" dxfId="5807" priority="5804" stopIfTrue="1" operator="equal">
      <formula>"Fail"</formula>
    </cfRule>
  </conditionalFormatting>
  <conditionalFormatting sqref="I1483">
    <cfRule type="cellIs" dxfId="5806" priority="5801" stopIfTrue="1" operator="equal">
      <formula>"Pass"</formula>
    </cfRule>
    <cfRule type="cellIs" dxfId="5805" priority="5802" stopIfTrue="1" operator="equal">
      <formula>"Fail"</formula>
    </cfRule>
  </conditionalFormatting>
  <conditionalFormatting sqref="I1483:L1483">
    <cfRule type="cellIs" dxfId="5804" priority="5799" stopIfTrue="1" operator="equal">
      <formula>"Pass"</formula>
    </cfRule>
    <cfRule type="cellIs" dxfId="5803" priority="5800" stopIfTrue="1" operator="equal">
      <formula>"Fail"</formula>
    </cfRule>
  </conditionalFormatting>
  <conditionalFormatting sqref="H1483">
    <cfRule type="cellIs" dxfId="5802" priority="5797" stopIfTrue="1" operator="equal">
      <formula>"Pass"</formula>
    </cfRule>
    <cfRule type="cellIs" dxfId="5801" priority="5798" stopIfTrue="1" operator="equal">
      <formula>"Fail"</formula>
    </cfRule>
  </conditionalFormatting>
  <conditionalFormatting sqref="H1483">
    <cfRule type="cellIs" dxfId="5800" priority="5795" stopIfTrue="1" operator="equal">
      <formula>"Pass"</formula>
    </cfRule>
    <cfRule type="cellIs" dxfId="5799" priority="5796" stopIfTrue="1" operator="equal">
      <formula>"Fail"</formula>
    </cfRule>
  </conditionalFormatting>
  <conditionalFormatting sqref="H1483">
    <cfRule type="cellIs" dxfId="5798" priority="5793" stopIfTrue="1" operator="equal">
      <formula>"Pass"</formula>
    </cfRule>
    <cfRule type="cellIs" dxfId="5797" priority="5794" stopIfTrue="1" operator="equal">
      <formula>"Fail"</formula>
    </cfRule>
  </conditionalFormatting>
  <conditionalFormatting sqref="I1483:L1483">
    <cfRule type="cellIs" dxfId="5796" priority="5791" stopIfTrue="1" operator="equal">
      <formula>"Pass"</formula>
    </cfRule>
    <cfRule type="cellIs" dxfId="5795" priority="5792" stopIfTrue="1" operator="equal">
      <formula>"Fail"</formula>
    </cfRule>
  </conditionalFormatting>
  <conditionalFormatting sqref="I1483:L1483">
    <cfRule type="cellIs" dxfId="5794" priority="5789" stopIfTrue="1" operator="equal">
      <formula>"Pass"</formula>
    </cfRule>
    <cfRule type="cellIs" dxfId="5793" priority="5790" stopIfTrue="1" operator="equal">
      <formula>"Fail"</formula>
    </cfRule>
  </conditionalFormatting>
  <conditionalFormatting sqref="J1483:L1483">
    <cfRule type="cellIs" dxfId="5792" priority="5787" stopIfTrue="1" operator="equal">
      <formula>"Pass"</formula>
    </cfRule>
    <cfRule type="cellIs" dxfId="5791" priority="5788" stopIfTrue="1" operator="equal">
      <formula>"Fail"</formula>
    </cfRule>
  </conditionalFormatting>
  <conditionalFormatting sqref="I1483">
    <cfRule type="cellIs" dxfId="5790" priority="5785" stopIfTrue="1" operator="equal">
      <formula>"Pass"</formula>
    </cfRule>
    <cfRule type="cellIs" dxfId="5789" priority="5786" stopIfTrue="1" operator="equal">
      <formula>"Fail"</formula>
    </cfRule>
  </conditionalFormatting>
  <conditionalFormatting sqref="I1483:L1483">
    <cfRule type="cellIs" dxfId="5788" priority="5783" stopIfTrue="1" operator="equal">
      <formula>"Pass"</formula>
    </cfRule>
    <cfRule type="cellIs" dxfId="5787" priority="5784" stopIfTrue="1" operator="equal">
      <formula>"Fail"</formula>
    </cfRule>
  </conditionalFormatting>
  <conditionalFormatting sqref="J1483:L1483">
    <cfRule type="cellIs" dxfId="5786" priority="5781" stopIfTrue="1" operator="equal">
      <formula>"Pass"</formula>
    </cfRule>
    <cfRule type="cellIs" dxfId="5785" priority="5782" stopIfTrue="1" operator="equal">
      <formula>"Fail"</formula>
    </cfRule>
  </conditionalFormatting>
  <conditionalFormatting sqref="I1483">
    <cfRule type="cellIs" dxfId="5784" priority="5779" stopIfTrue="1" operator="equal">
      <formula>"Pass"</formula>
    </cfRule>
    <cfRule type="cellIs" dxfId="5783" priority="5780" stopIfTrue="1" operator="equal">
      <formula>"Fail"</formula>
    </cfRule>
  </conditionalFormatting>
  <conditionalFormatting sqref="I1483:L1483">
    <cfRule type="cellIs" dxfId="5782" priority="5777" stopIfTrue="1" operator="equal">
      <formula>"Pass"</formula>
    </cfRule>
    <cfRule type="cellIs" dxfId="5781" priority="5778" stopIfTrue="1" operator="equal">
      <formula>"Fail"</formula>
    </cfRule>
  </conditionalFormatting>
  <conditionalFormatting sqref="H1483">
    <cfRule type="cellIs" dxfId="5780" priority="5775" stopIfTrue="1" operator="equal">
      <formula>"Pass"</formula>
    </cfRule>
    <cfRule type="cellIs" dxfId="5779" priority="5776" stopIfTrue="1" operator="equal">
      <formula>"Fail"</formula>
    </cfRule>
  </conditionalFormatting>
  <conditionalFormatting sqref="H1483">
    <cfRule type="cellIs" dxfId="5778" priority="5773" stopIfTrue="1" operator="equal">
      <formula>"Pass"</formula>
    </cfRule>
    <cfRule type="cellIs" dxfId="5777" priority="5774" stopIfTrue="1" operator="equal">
      <formula>"Fail"</formula>
    </cfRule>
  </conditionalFormatting>
  <conditionalFormatting sqref="H1483">
    <cfRule type="cellIs" dxfId="5776" priority="5771" stopIfTrue="1" operator="equal">
      <formula>"Pass"</formula>
    </cfRule>
    <cfRule type="cellIs" dxfId="5775" priority="5772" stopIfTrue="1" operator="equal">
      <formula>"Fail"</formula>
    </cfRule>
  </conditionalFormatting>
  <conditionalFormatting sqref="I1483:L1483">
    <cfRule type="cellIs" dxfId="5774" priority="5769" stopIfTrue="1" operator="equal">
      <formula>"Pass"</formula>
    </cfRule>
    <cfRule type="cellIs" dxfId="5773" priority="5770" stopIfTrue="1" operator="equal">
      <formula>"Fail"</formula>
    </cfRule>
  </conditionalFormatting>
  <conditionalFormatting sqref="I1483:L1483">
    <cfRule type="cellIs" dxfId="5772" priority="5767" stopIfTrue="1" operator="equal">
      <formula>"Pass"</formula>
    </cfRule>
    <cfRule type="cellIs" dxfId="5771" priority="5768" stopIfTrue="1" operator="equal">
      <formula>"Fail"</formula>
    </cfRule>
  </conditionalFormatting>
  <conditionalFormatting sqref="J1483:L1483">
    <cfRule type="cellIs" dxfId="5770" priority="5765" stopIfTrue="1" operator="equal">
      <formula>"Pass"</formula>
    </cfRule>
    <cfRule type="cellIs" dxfId="5769" priority="5766" stopIfTrue="1" operator="equal">
      <formula>"Fail"</formula>
    </cfRule>
  </conditionalFormatting>
  <conditionalFormatting sqref="I1483">
    <cfRule type="cellIs" dxfId="5768" priority="5763" stopIfTrue="1" operator="equal">
      <formula>"Pass"</formula>
    </cfRule>
    <cfRule type="cellIs" dxfId="5767" priority="5764" stopIfTrue="1" operator="equal">
      <formula>"Fail"</formula>
    </cfRule>
  </conditionalFormatting>
  <conditionalFormatting sqref="I1483:L1483">
    <cfRule type="cellIs" dxfId="5766" priority="5761" stopIfTrue="1" operator="equal">
      <formula>"Pass"</formula>
    </cfRule>
    <cfRule type="cellIs" dxfId="5765" priority="5762" stopIfTrue="1" operator="equal">
      <formula>"Fail"</formula>
    </cfRule>
  </conditionalFormatting>
  <conditionalFormatting sqref="J1483:L1483">
    <cfRule type="cellIs" dxfId="5764" priority="5759" stopIfTrue="1" operator="equal">
      <formula>"Pass"</formula>
    </cfRule>
    <cfRule type="cellIs" dxfId="5763" priority="5760" stopIfTrue="1" operator="equal">
      <formula>"Fail"</formula>
    </cfRule>
  </conditionalFormatting>
  <conditionalFormatting sqref="I1483">
    <cfRule type="cellIs" dxfId="5762" priority="5757" stopIfTrue="1" operator="equal">
      <formula>"Pass"</formula>
    </cfRule>
    <cfRule type="cellIs" dxfId="5761" priority="5758" stopIfTrue="1" operator="equal">
      <formula>"Fail"</formula>
    </cfRule>
  </conditionalFormatting>
  <conditionalFormatting sqref="I1483:L1483">
    <cfRule type="cellIs" dxfId="5760" priority="5755" stopIfTrue="1" operator="equal">
      <formula>"Pass"</formula>
    </cfRule>
    <cfRule type="cellIs" dxfId="5759" priority="5756" stopIfTrue="1" operator="equal">
      <formula>"Fail"</formula>
    </cfRule>
  </conditionalFormatting>
  <conditionalFormatting sqref="H1483:L1483">
    <cfRule type="cellIs" dxfId="5758" priority="5753" stopIfTrue="1" operator="equal">
      <formula>"Pass"</formula>
    </cfRule>
    <cfRule type="cellIs" dxfId="5757" priority="5754" stopIfTrue="1" operator="equal">
      <formula>"Fail"</formula>
    </cfRule>
  </conditionalFormatting>
  <conditionalFormatting sqref="H1483:L1483">
    <cfRule type="cellIs" dxfId="5756" priority="5751" stopIfTrue="1" operator="equal">
      <formula>"Pass"</formula>
    </cfRule>
    <cfRule type="cellIs" dxfId="5755" priority="5752" stopIfTrue="1" operator="equal">
      <formula>"Fail"</formula>
    </cfRule>
  </conditionalFormatting>
  <conditionalFormatting sqref="H1483:L1483">
    <cfRule type="cellIs" dxfId="5754" priority="5749" stopIfTrue="1" operator="equal">
      <formula>"Pass"</formula>
    </cfRule>
    <cfRule type="cellIs" dxfId="5753" priority="5750" stopIfTrue="1" operator="equal">
      <formula>"Fail"</formula>
    </cfRule>
  </conditionalFormatting>
  <conditionalFormatting sqref="H1483:L1483">
    <cfRule type="cellIs" dxfId="5752" priority="5747" stopIfTrue="1" operator="equal">
      <formula>"Pass"</formula>
    </cfRule>
    <cfRule type="cellIs" dxfId="5751" priority="5748" stopIfTrue="1" operator="equal">
      <formula>"Fail"</formula>
    </cfRule>
  </conditionalFormatting>
  <conditionalFormatting sqref="H1483:L1483">
    <cfRule type="cellIs" dxfId="5750" priority="5745" stopIfTrue="1" operator="equal">
      <formula>"Pass"</formula>
    </cfRule>
    <cfRule type="cellIs" dxfId="5749" priority="5746" stopIfTrue="1" operator="equal">
      <formula>"Fail"</formula>
    </cfRule>
  </conditionalFormatting>
  <conditionalFormatting sqref="I1485:L1485">
    <cfRule type="cellIs" dxfId="5748" priority="5743" stopIfTrue="1" operator="equal">
      <formula>"Pass"</formula>
    </cfRule>
    <cfRule type="cellIs" dxfId="5747" priority="5744" stopIfTrue="1" operator="equal">
      <formula>"Fail"</formula>
    </cfRule>
  </conditionalFormatting>
  <conditionalFormatting sqref="I1485:L1485">
    <cfRule type="cellIs" dxfId="5746" priority="5741" stopIfTrue="1" operator="equal">
      <formula>"Pass"</formula>
    </cfRule>
    <cfRule type="cellIs" dxfId="5745" priority="5742" stopIfTrue="1" operator="equal">
      <formula>"Fail"</formula>
    </cfRule>
  </conditionalFormatting>
  <conditionalFormatting sqref="I1485:L1485">
    <cfRule type="cellIs" dxfId="5744" priority="5739" stopIfTrue="1" operator="equal">
      <formula>"Pass"</formula>
    </cfRule>
    <cfRule type="cellIs" dxfId="5743" priority="5740" stopIfTrue="1" operator="equal">
      <formula>"Fail"</formula>
    </cfRule>
  </conditionalFormatting>
  <conditionalFormatting sqref="I1485:L1485">
    <cfRule type="cellIs" dxfId="5742" priority="5737" stopIfTrue="1" operator="equal">
      <formula>"Pass"</formula>
    </cfRule>
    <cfRule type="cellIs" dxfId="5741" priority="5738" stopIfTrue="1" operator="equal">
      <formula>"Fail"</formula>
    </cfRule>
  </conditionalFormatting>
  <conditionalFormatting sqref="I1485:L1485">
    <cfRule type="cellIs" dxfId="5740" priority="5735" stopIfTrue="1" operator="equal">
      <formula>"Pass"</formula>
    </cfRule>
    <cfRule type="cellIs" dxfId="5739" priority="5736" stopIfTrue="1" operator="equal">
      <formula>"Fail"</formula>
    </cfRule>
  </conditionalFormatting>
  <conditionalFormatting sqref="I1485:L1485">
    <cfRule type="cellIs" dxfId="5738" priority="5733" stopIfTrue="1" operator="equal">
      <formula>"Pass"</formula>
    </cfRule>
    <cfRule type="cellIs" dxfId="5737" priority="5734" stopIfTrue="1" operator="equal">
      <formula>"Fail"</formula>
    </cfRule>
  </conditionalFormatting>
  <conditionalFormatting sqref="I1485:L1485">
    <cfRule type="cellIs" dxfId="5736" priority="5731" stopIfTrue="1" operator="equal">
      <formula>"Pass"</formula>
    </cfRule>
    <cfRule type="cellIs" dxfId="5735" priority="5732" stopIfTrue="1" operator="equal">
      <formula>"Fail"</formula>
    </cfRule>
  </conditionalFormatting>
  <conditionalFormatting sqref="I1485:L1485">
    <cfRule type="cellIs" dxfId="5734" priority="5729" stopIfTrue="1" operator="equal">
      <formula>"Pass"</formula>
    </cfRule>
    <cfRule type="cellIs" dxfId="5733" priority="5730" stopIfTrue="1" operator="equal">
      <formula>"Fail"</formula>
    </cfRule>
  </conditionalFormatting>
  <conditionalFormatting sqref="I1485:L1485">
    <cfRule type="cellIs" dxfId="5732" priority="5727" stopIfTrue="1" operator="equal">
      <formula>"Pass"</formula>
    </cfRule>
    <cfRule type="cellIs" dxfId="5731" priority="5728" stopIfTrue="1" operator="equal">
      <formula>"Fail"</formula>
    </cfRule>
  </conditionalFormatting>
  <conditionalFormatting sqref="I1485:L1485">
    <cfRule type="cellIs" dxfId="5730" priority="5725" stopIfTrue="1" operator="equal">
      <formula>"Pass"</formula>
    </cfRule>
    <cfRule type="cellIs" dxfId="5729" priority="5726" stopIfTrue="1" operator="equal">
      <formula>"Fail"</formula>
    </cfRule>
  </conditionalFormatting>
  <conditionalFormatting sqref="I1485:L1485">
    <cfRule type="cellIs" dxfId="5728" priority="5723" stopIfTrue="1" operator="equal">
      <formula>"Pass"</formula>
    </cfRule>
    <cfRule type="cellIs" dxfId="5727" priority="5724" stopIfTrue="1" operator="equal">
      <formula>"Fail"</formula>
    </cfRule>
  </conditionalFormatting>
  <conditionalFormatting sqref="I1485:L1485">
    <cfRule type="cellIs" dxfId="5726" priority="5721" stopIfTrue="1" operator="equal">
      <formula>"Pass"</formula>
    </cfRule>
    <cfRule type="cellIs" dxfId="5725" priority="5722" stopIfTrue="1" operator="equal">
      <formula>"Fail"</formula>
    </cfRule>
  </conditionalFormatting>
  <conditionalFormatting sqref="I1485:L1485">
    <cfRule type="cellIs" dxfId="5724" priority="5719" stopIfTrue="1" operator="equal">
      <formula>"Pass"</formula>
    </cfRule>
    <cfRule type="cellIs" dxfId="5723" priority="5720" stopIfTrue="1" operator="equal">
      <formula>"Fail"</formula>
    </cfRule>
  </conditionalFormatting>
  <conditionalFormatting sqref="I1485:L1485">
    <cfRule type="cellIs" dxfId="5722" priority="5717" stopIfTrue="1" operator="equal">
      <formula>"Pass"</formula>
    </cfRule>
    <cfRule type="cellIs" dxfId="5721" priority="5718" stopIfTrue="1" operator="equal">
      <formula>"Fail"</formula>
    </cfRule>
  </conditionalFormatting>
  <conditionalFormatting sqref="I1485:L1485">
    <cfRule type="cellIs" dxfId="5720" priority="5715" stopIfTrue="1" operator="equal">
      <formula>"Pass"</formula>
    </cfRule>
    <cfRule type="cellIs" dxfId="5719" priority="5716" stopIfTrue="1" operator="equal">
      <formula>"Fail"</formula>
    </cfRule>
  </conditionalFormatting>
  <conditionalFormatting sqref="I1485:L1485">
    <cfRule type="cellIs" dxfId="5718" priority="5713" stopIfTrue="1" operator="equal">
      <formula>"Pass"</formula>
    </cfRule>
    <cfRule type="cellIs" dxfId="5717" priority="5714" stopIfTrue="1" operator="equal">
      <formula>"Fail"</formula>
    </cfRule>
  </conditionalFormatting>
  <conditionalFormatting sqref="I1485:L1485">
    <cfRule type="cellIs" dxfId="5716" priority="5711" stopIfTrue="1" operator="equal">
      <formula>"Pass"</formula>
    </cfRule>
    <cfRule type="cellIs" dxfId="5715" priority="5712" stopIfTrue="1" operator="equal">
      <formula>"Fail"</formula>
    </cfRule>
  </conditionalFormatting>
  <conditionalFormatting sqref="I1485:L1485">
    <cfRule type="cellIs" dxfId="5714" priority="5709" stopIfTrue="1" operator="equal">
      <formula>"Pass"</formula>
    </cfRule>
    <cfRule type="cellIs" dxfId="5713" priority="5710" stopIfTrue="1" operator="equal">
      <formula>"Fail"</formula>
    </cfRule>
  </conditionalFormatting>
  <conditionalFormatting sqref="I1485:L1485">
    <cfRule type="cellIs" dxfId="5712" priority="5707" stopIfTrue="1" operator="equal">
      <formula>"Pass"</formula>
    </cfRule>
    <cfRule type="cellIs" dxfId="5711" priority="5708" stopIfTrue="1" operator="equal">
      <formula>"Fail"</formula>
    </cfRule>
  </conditionalFormatting>
  <conditionalFormatting sqref="I1485:L1485">
    <cfRule type="cellIs" dxfId="5710" priority="5705" stopIfTrue="1" operator="equal">
      <formula>"Pass"</formula>
    </cfRule>
    <cfRule type="cellIs" dxfId="5709" priority="5706" stopIfTrue="1" operator="equal">
      <formula>"Fail"</formula>
    </cfRule>
  </conditionalFormatting>
  <conditionalFormatting sqref="I1485:L1485">
    <cfRule type="cellIs" dxfId="5708" priority="5703" stopIfTrue="1" operator="equal">
      <formula>"Pass"</formula>
    </cfRule>
    <cfRule type="cellIs" dxfId="5707" priority="5704" stopIfTrue="1" operator="equal">
      <formula>"Fail"</formula>
    </cfRule>
  </conditionalFormatting>
  <conditionalFormatting sqref="I1485:L1485">
    <cfRule type="cellIs" dxfId="5706" priority="5701" stopIfTrue="1" operator="equal">
      <formula>"Pass"</formula>
    </cfRule>
    <cfRule type="cellIs" dxfId="5705" priority="5702" stopIfTrue="1" operator="equal">
      <formula>"Fail"</formula>
    </cfRule>
  </conditionalFormatting>
  <conditionalFormatting sqref="J1485:L1485">
    <cfRule type="cellIs" dxfId="5704" priority="5699" stopIfTrue="1" operator="equal">
      <formula>"Pass"</formula>
    </cfRule>
    <cfRule type="cellIs" dxfId="5703" priority="5700" stopIfTrue="1" operator="equal">
      <formula>"Fail"</formula>
    </cfRule>
  </conditionalFormatting>
  <conditionalFormatting sqref="I1485">
    <cfRule type="cellIs" dxfId="5702" priority="5697" stopIfTrue="1" operator="equal">
      <formula>"Pass"</formula>
    </cfRule>
    <cfRule type="cellIs" dxfId="5701" priority="5698" stopIfTrue="1" operator="equal">
      <formula>"Fail"</formula>
    </cfRule>
  </conditionalFormatting>
  <conditionalFormatting sqref="I1485:L1485">
    <cfRule type="cellIs" dxfId="5700" priority="5695" stopIfTrue="1" operator="equal">
      <formula>"Pass"</formula>
    </cfRule>
    <cfRule type="cellIs" dxfId="5699" priority="5696" stopIfTrue="1" operator="equal">
      <formula>"Fail"</formula>
    </cfRule>
  </conditionalFormatting>
  <conditionalFormatting sqref="J1485:L1485">
    <cfRule type="cellIs" dxfId="5698" priority="5693" stopIfTrue="1" operator="equal">
      <formula>"Pass"</formula>
    </cfRule>
    <cfRule type="cellIs" dxfId="5697" priority="5694" stopIfTrue="1" operator="equal">
      <formula>"Fail"</formula>
    </cfRule>
  </conditionalFormatting>
  <conditionalFormatting sqref="I1485">
    <cfRule type="cellIs" dxfId="5696" priority="5691" stopIfTrue="1" operator="equal">
      <formula>"Pass"</formula>
    </cfRule>
    <cfRule type="cellIs" dxfId="5695" priority="5692" stopIfTrue="1" operator="equal">
      <formula>"Fail"</formula>
    </cfRule>
  </conditionalFormatting>
  <conditionalFormatting sqref="I1485:L1485">
    <cfRule type="cellIs" dxfId="5694" priority="5689" stopIfTrue="1" operator="equal">
      <formula>"Pass"</formula>
    </cfRule>
    <cfRule type="cellIs" dxfId="5693" priority="5690" stopIfTrue="1" operator="equal">
      <formula>"Fail"</formula>
    </cfRule>
  </conditionalFormatting>
  <conditionalFormatting sqref="I1485:L1485">
    <cfRule type="cellIs" dxfId="5692" priority="5687" stopIfTrue="1" operator="equal">
      <formula>"Pass"</formula>
    </cfRule>
    <cfRule type="cellIs" dxfId="5691" priority="5688" stopIfTrue="1" operator="equal">
      <formula>"Fail"</formula>
    </cfRule>
  </conditionalFormatting>
  <conditionalFormatting sqref="I1485:L1485">
    <cfRule type="cellIs" dxfId="5690" priority="5685" stopIfTrue="1" operator="equal">
      <formula>"Pass"</formula>
    </cfRule>
    <cfRule type="cellIs" dxfId="5689" priority="5686" stopIfTrue="1" operator="equal">
      <formula>"Fail"</formula>
    </cfRule>
  </conditionalFormatting>
  <conditionalFormatting sqref="I1485:L1485">
    <cfRule type="cellIs" dxfId="5688" priority="5683" stopIfTrue="1" operator="equal">
      <formula>"Pass"</formula>
    </cfRule>
    <cfRule type="cellIs" dxfId="5687" priority="5684" stopIfTrue="1" operator="equal">
      <formula>"Fail"</formula>
    </cfRule>
  </conditionalFormatting>
  <conditionalFormatting sqref="I1485:L1485">
    <cfRule type="cellIs" dxfId="5686" priority="5681" stopIfTrue="1" operator="equal">
      <formula>"Pass"</formula>
    </cfRule>
    <cfRule type="cellIs" dxfId="5685" priority="5682" stopIfTrue="1" operator="equal">
      <formula>"Fail"</formula>
    </cfRule>
  </conditionalFormatting>
  <conditionalFormatting sqref="I1485:L1485">
    <cfRule type="cellIs" dxfId="5684" priority="5679" stopIfTrue="1" operator="equal">
      <formula>"Pass"</formula>
    </cfRule>
    <cfRule type="cellIs" dxfId="5683" priority="5680" stopIfTrue="1" operator="equal">
      <formula>"Fail"</formula>
    </cfRule>
  </conditionalFormatting>
  <conditionalFormatting sqref="I1485:L1485">
    <cfRule type="cellIs" dxfId="5682" priority="5677" stopIfTrue="1" operator="equal">
      <formula>"Pass"</formula>
    </cfRule>
    <cfRule type="cellIs" dxfId="5681" priority="5678" stopIfTrue="1" operator="equal">
      <formula>"Fail"</formula>
    </cfRule>
  </conditionalFormatting>
  <conditionalFormatting sqref="I1485:L1485">
    <cfRule type="cellIs" dxfId="5680" priority="5675" stopIfTrue="1" operator="equal">
      <formula>"Pass"</formula>
    </cfRule>
    <cfRule type="cellIs" dxfId="5679" priority="5676" stopIfTrue="1" operator="equal">
      <formula>"Fail"</formula>
    </cfRule>
  </conditionalFormatting>
  <conditionalFormatting sqref="I1485:L1485">
    <cfRule type="cellIs" dxfId="5678" priority="5673" stopIfTrue="1" operator="equal">
      <formula>"Pass"</formula>
    </cfRule>
    <cfRule type="cellIs" dxfId="5677" priority="5674" stopIfTrue="1" operator="equal">
      <formula>"Fail"</formula>
    </cfRule>
  </conditionalFormatting>
  <conditionalFormatting sqref="J1485:L1485">
    <cfRule type="cellIs" dxfId="5676" priority="5671" stopIfTrue="1" operator="equal">
      <formula>"Pass"</formula>
    </cfRule>
    <cfRule type="cellIs" dxfId="5675" priority="5672" stopIfTrue="1" operator="equal">
      <formula>"Fail"</formula>
    </cfRule>
  </conditionalFormatting>
  <conditionalFormatting sqref="I1485">
    <cfRule type="cellIs" dxfId="5674" priority="5669" stopIfTrue="1" operator="equal">
      <formula>"Pass"</formula>
    </cfRule>
    <cfRule type="cellIs" dxfId="5673" priority="5670" stopIfTrue="1" operator="equal">
      <formula>"Fail"</formula>
    </cfRule>
  </conditionalFormatting>
  <conditionalFormatting sqref="I1485:L1485">
    <cfRule type="cellIs" dxfId="5672" priority="5667" stopIfTrue="1" operator="equal">
      <formula>"Pass"</formula>
    </cfRule>
    <cfRule type="cellIs" dxfId="5671" priority="5668" stopIfTrue="1" operator="equal">
      <formula>"Fail"</formula>
    </cfRule>
  </conditionalFormatting>
  <conditionalFormatting sqref="J1485:L1485">
    <cfRule type="cellIs" dxfId="5670" priority="5665" stopIfTrue="1" operator="equal">
      <formula>"Pass"</formula>
    </cfRule>
    <cfRule type="cellIs" dxfId="5669" priority="5666" stopIfTrue="1" operator="equal">
      <formula>"Fail"</formula>
    </cfRule>
  </conditionalFormatting>
  <conditionalFormatting sqref="I1485">
    <cfRule type="cellIs" dxfId="5668" priority="5663" stopIfTrue="1" operator="equal">
      <formula>"Pass"</formula>
    </cfRule>
    <cfRule type="cellIs" dxfId="5667" priority="5664" stopIfTrue="1" operator="equal">
      <formula>"Fail"</formula>
    </cfRule>
  </conditionalFormatting>
  <conditionalFormatting sqref="I1485:L1485">
    <cfRule type="cellIs" dxfId="5666" priority="5661" stopIfTrue="1" operator="equal">
      <formula>"Pass"</formula>
    </cfRule>
    <cfRule type="cellIs" dxfId="5665" priority="5662" stopIfTrue="1" operator="equal">
      <formula>"Fail"</formula>
    </cfRule>
  </conditionalFormatting>
  <conditionalFormatting sqref="I1485:L1485">
    <cfRule type="cellIs" dxfId="5664" priority="5659" stopIfTrue="1" operator="equal">
      <formula>"Pass"</formula>
    </cfRule>
    <cfRule type="cellIs" dxfId="5663" priority="5660" stopIfTrue="1" operator="equal">
      <formula>"Fail"</formula>
    </cfRule>
  </conditionalFormatting>
  <conditionalFormatting sqref="I1485:L1485">
    <cfRule type="cellIs" dxfId="5662" priority="5657" stopIfTrue="1" operator="equal">
      <formula>"Pass"</formula>
    </cfRule>
    <cfRule type="cellIs" dxfId="5661" priority="5658" stopIfTrue="1" operator="equal">
      <formula>"Fail"</formula>
    </cfRule>
  </conditionalFormatting>
  <conditionalFormatting sqref="I1485:L1485">
    <cfRule type="cellIs" dxfId="5660" priority="5655" stopIfTrue="1" operator="equal">
      <formula>"Pass"</formula>
    </cfRule>
    <cfRule type="cellIs" dxfId="5659" priority="5656" stopIfTrue="1" operator="equal">
      <formula>"Fail"</formula>
    </cfRule>
  </conditionalFormatting>
  <conditionalFormatting sqref="I1485:L1485">
    <cfRule type="cellIs" dxfId="5658" priority="5653" stopIfTrue="1" operator="equal">
      <formula>"Pass"</formula>
    </cfRule>
    <cfRule type="cellIs" dxfId="5657" priority="5654" stopIfTrue="1" operator="equal">
      <formula>"Fail"</formula>
    </cfRule>
  </conditionalFormatting>
  <conditionalFormatting sqref="I1485:L1485">
    <cfRule type="cellIs" dxfId="5656" priority="5651" stopIfTrue="1" operator="equal">
      <formula>"Pass"</formula>
    </cfRule>
    <cfRule type="cellIs" dxfId="5655" priority="5652" stopIfTrue="1" operator="equal">
      <formula>"Fail"</formula>
    </cfRule>
  </conditionalFormatting>
  <conditionalFormatting sqref="I1485:L1485">
    <cfRule type="cellIs" dxfId="5654" priority="5649" stopIfTrue="1" operator="equal">
      <formula>"Pass"</formula>
    </cfRule>
    <cfRule type="cellIs" dxfId="5653" priority="5650" stopIfTrue="1" operator="equal">
      <formula>"Fail"</formula>
    </cfRule>
  </conditionalFormatting>
  <conditionalFormatting sqref="I1485:L1485">
    <cfRule type="cellIs" dxfId="5652" priority="5647" stopIfTrue="1" operator="equal">
      <formula>"Pass"</formula>
    </cfRule>
    <cfRule type="cellIs" dxfId="5651" priority="5648" stopIfTrue="1" operator="equal">
      <formula>"Fail"</formula>
    </cfRule>
  </conditionalFormatting>
  <conditionalFormatting sqref="I1485:L1485">
    <cfRule type="cellIs" dxfId="5650" priority="5645" stopIfTrue="1" operator="equal">
      <formula>"Pass"</formula>
    </cfRule>
    <cfRule type="cellIs" dxfId="5649" priority="5646" stopIfTrue="1" operator="equal">
      <formula>"Fail"</formula>
    </cfRule>
  </conditionalFormatting>
  <conditionalFormatting sqref="I1485:L1485">
    <cfRule type="cellIs" dxfId="5648" priority="5643" stopIfTrue="1" operator="equal">
      <formula>"Pass"</formula>
    </cfRule>
    <cfRule type="cellIs" dxfId="5647" priority="5644" stopIfTrue="1" operator="equal">
      <formula>"Fail"</formula>
    </cfRule>
  </conditionalFormatting>
  <conditionalFormatting sqref="I1485:L1485">
    <cfRule type="cellIs" dxfId="5646" priority="5641" stopIfTrue="1" operator="equal">
      <formula>"Pass"</formula>
    </cfRule>
    <cfRule type="cellIs" dxfId="5645" priority="5642" stopIfTrue="1" operator="equal">
      <formula>"Fail"</formula>
    </cfRule>
  </conditionalFormatting>
  <conditionalFormatting sqref="I1485:L1485">
    <cfRule type="cellIs" dxfId="5644" priority="5639" stopIfTrue="1" operator="equal">
      <formula>"Pass"</formula>
    </cfRule>
    <cfRule type="cellIs" dxfId="5643" priority="5640" stopIfTrue="1" operator="equal">
      <formula>"Fail"</formula>
    </cfRule>
  </conditionalFormatting>
  <conditionalFormatting sqref="I1485:L1485">
    <cfRule type="cellIs" dxfId="5642" priority="5637" stopIfTrue="1" operator="equal">
      <formula>"Pass"</formula>
    </cfRule>
    <cfRule type="cellIs" dxfId="5641" priority="5638" stopIfTrue="1" operator="equal">
      <formula>"Fail"</formula>
    </cfRule>
  </conditionalFormatting>
  <conditionalFormatting sqref="I1485:L1485">
    <cfRule type="cellIs" dxfId="5640" priority="5635" stopIfTrue="1" operator="equal">
      <formula>"Pass"</formula>
    </cfRule>
    <cfRule type="cellIs" dxfId="5639" priority="5636" stopIfTrue="1" operator="equal">
      <formula>"Fail"</formula>
    </cfRule>
  </conditionalFormatting>
  <conditionalFormatting sqref="I1485:L1485">
    <cfRule type="cellIs" dxfId="5638" priority="5633" stopIfTrue="1" operator="equal">
      <formula>"Pass"</formula>
    </cfRule>
    <cfRule type="cellIs" dxfId="5637" priority="5634" stopIfTrue="1" operator="equal">
      <formula>"Fail"</formula>
    </cfRule>
  </conditionalFormatting>
  <conditionalFormatting sqref="I1485:L1485">
    <cfRule type="cellIs" dxfId="5636" priority="5631" stopIfTrue="1" operator="equal">
      <formula>"Pass"</formula>
    </cfRule>
    <cfRule type="cellIs" dxfId="5635" priority="5632" stopIfTrue="1" operator="equal">
      <formula>"Fail"</formula>
    </cfRule>
  </conditionalFormatting>
  <conditionalFormatting sqref="I1485:L1485">
    <cfRule type="cellIs" dxfId="5634" priority="5629" stopIfTrue="1" operator="equal">
      <formula>"Pass"</formula>
    </cfRule>
    <cfRule type="cellIs" dxfId="5633" priority="5630" stopIfTrue="1" operator="equal">
      <formula>"Fail"</formula>
    </cfRule>
  </conditionalFormatting>
  <conditionalFormatting sqref="I1485:L1485">
    <cfRule type="cellIs" dxfId="5632" priority="5627" stopIfTrue="1" operator="equal">
      <formula>"Pass"</formula>
    </cfRule>
    <cfRule type="cellIs" dxfId="5631" priority="5628" stopIfTrue="1" operator="equal">
      <formula>"Fail"</formula>
    </cfRule>
  </conditionalFormatting>
  <conditionalFormatting sqref="I1485:L1485">
    <cfRule type="cellIs" dxfId="5630" priority="5625" stopIfTrue="1" operator="equal">
      <formula>"Pass"</formula>
    </cfRule>
    <cfRule type="cellIs" dxfId="5629" priority="5626" stopIfTrue="1" operator="equal">
      <formula>"Fail"</formula>
    </cfRule>
  </conditionalFormatting>
  <conditionalFormatting sqref="J1485:L1485">
    <cfRule type="cellIs" dxfId="5628" priority="5623" stopIfTrue="1" operator="equal">
      <formula>"Pass"</formula>
    </cfRule>
    <cfRule type="cellIs" dxfId="5627" priority="5624" stopIfTrue="1" operator="equal">
      <formula>"Fail"</formula>
    </cfRule>
  </conditionalFormatting>
  <conditionalFormatting sqref="I1485">
    <cfRule type="cellIs" dxfId="5626" priority="5621" stopIfTrue="1" operator="equal">
      <formula>"Pass"</formula>
    </cfRule>
    <cfRule type="cellIs" dxfId="5625" priority="5622" stopIfTrue="1" operator="equal">
      <formula>"Fail"</formula>
    </cfRule>
  </conditionalFormatting>
  <conditionalFormatting sqref="I1485:L1485">
    <cfRule type="cellIs" dxfId="5624" priority="5619" stopIfTrue="1" operator="equal">
      <formula>"Pass"</formula>
    </cfRule>
    <cfRule type="cellIs" dxfId="5623" priority="5620" stopIfTrue="1" operator="equal">
      <formula>"Fail"</formula>
    </cfRule>
  </conditionalFormatting>
  <conditionalFormatting sqref="J1485:L1485">
    <cfRule type="cellIs" dxfId="5622" priority="5617" stopIfTrue="1" operator="equal">
      <formula>"Pass"</formula>
    </cfRule>
    <cfRule type="cellIs" dxfId="5621" priority="5618" stopIfTrue="1" operator="equal">
      <formula>"Fail"</formula>
    </cfRule>
  </conditionalFormatting>
  <conditionalFormatting sqref="I1485">
    <cfRule type="cellIs" dxfId="5620" priority="5615" stopIfTrue="1" operator="equal">
      <formula>"Pass"</formula>
    </cfRule>
    <cfRule type="cellIs" dxfId="5619" priority="5616" stopIfTrue="1" operator="equal">
      <formula>"Fail"</formula>
    </cfRule>
  </conditionalFormatting>
  <conditionalFormatting sqref="I1485:L1485">
    <cfRule type="cellIs" dxfId="5618" priority="5613" stopIfTrue="1" operator="equal">
      <formula>"Pass"</formula>
    </cfRule>
    <cfRule type="cellIs" dxfId="5617" priority="5614" stopIfTrue="1" operator="equal">
      <formula>"Fail"</formula>
    </cfRule>
  </conditionalFormatting>
  <conditionalFormatting sqref="I1485:L1485">
    <cfRule type="cellIs" dxfId="5616" priority="5611" stopIfTrue="1" operator="equal">
      <formula>"Pass"</formula>
    </cfRule>
    <cfRule type="cellIs" dxfId="5615" priority="5612" stopIfTrue="1" operator="equal">
      <formula>"Fail"</formula>
    </cfRule>
  </conditionalFormatting>
  <conditionalFormatting sqref="I1485:L1485">
    <cfRule type="cellIs" dxfId="5614" priority="5609" stopIfTrue="1" operator="equal">
      <formula>"Pass"</formula>
    </cfRule>
    <cfRule type="cellIs" dxfId="5613" priority="5610" stopIfTrue="1" operator="equal">
      <formula>"Fail"</formula>
    </cfRule>
  </conditionalFormatting>
  <conditionalFormatting sqref="I1485:L1485">
    <cfRule type="cellIs" dxfId="5612" priority="5607" stopIfTrue="1" operator="equal">
      <formula>"Pass"</formula>
    </cfRule>
    <cfRule type="cellIs" dxfId="5611" priority="5608" stopIfTrue="1" operator="equal">
      <formula>"Fail"</formula>
    </cfRule>
  </conditionalFormatting>
  <conditionalFormatting sqref="I1485:L1485">
    <cfRule type="cellIs" dxfId="5610" priority="5605" stopIfTrue="1" operator="equal">
      <formula>"Pass"</formula>
    </cfRule>
    <cfRule type="cellIs" dxfId="5609" priority="5606" stopIfTrue="1" operator="equal">
      <formula>"Fail"</formula>
    </cfRule>
  </conditionalFormatting>
  <conditionalFormatting sqref="I1485:L1485">
    <cfRule type="cellIs" dxfId="5608" priority="5603" stopIfTrue="1" operator="equal">
      <formula>"Pass"</formula>
    </cfRule>
    <cfRule type="cellIs" dxfId="5607" priority="5604" stopIfTrue="1" operator="equal">
      <formula>"Fail"</formula>
    </cfRule>
  </conditionalFormatting>
  <conditionalFormatting sqref="I1485:L1485">
    <cfRule type="cellIs" dxfId="5606" priority="5601" stopIfTrue="1" operator="equal">
      <formula>"Pass"</formula>
    </cfRule>
    <cfRule type="cellIs" dxfId="5605" priority="5602" stopIfTrue="1" operator="equal">
      <formula>"Fail"</formula>
    </cfRule>
  </conditionalFormatting>
  <conditionalFormatting sqref="I1485:L1485">
    <cfRule type="cellIs" dxfId="5604" priority="5599" stopIfTrue="1" operator="equal">
      <formula>"Pass"</formula>
    </cfRule>
    <cfRule type="cellIs" dxfId="5603" priority="5600" stopIfTrue="1" operator="equal">
      <formula>"Fail"</formula>
    </cfRule>
  </conditionalFormatting>
  <conditionalFormatting sqref="I1485:L1485">
    <cfRule type="cellIs" dxfId="5602" priority="5597" stopIfTrue="1" operator="equal">
      <formula>"Pass"</formula>
    </cfRule>
    <cfRule type="cellIs" dxfId="5601" priority="5598" stopIfTrue="1" operator="equal">
      <formula>"Fail"</formula>
    </cfRule>
  </conditionalFormatting>
  <conditionalFormatting sqref="I1485:L1485">
    <cfRule type="cellIs" dxfId="5600" priority="5595" stopIfTrue="1" operator="equal">
      <formula>"Pass"</formula>
    </cfRule>
    <cfRule type="cellIs" dxfId="5599" priority="5596" stopIfTrue="1" operator="equal">
      <formula>"Fail"</formula>
    </cfRule>
  </conditionalFormatting>
  <conditionalFormatting sqref="I1485:L1485">
    <cfRule type="cellIs" dxfId="5598" priority="5593" stopIfTrue="1" operator="equal">
      <formula>"Pass"</formula>
    </cfRule>
    <cfRule type="cellIs" dxfId="5597" priority="5594" stopIfTrue="1" operator="equal">
      <formula>"Fail"</formula>
    </cfRule>
  </conditionalFormatting>
  <conditionalFormatting sqref="I1485:L1485">
    <cfRule type="cellIs" dxfId="5596" priority="5591" stopIfTrue="1" operator="equal">
      <formula>"Pass"</formula>
    </cfRule>
    <cfRule type="cellIs" dxfId="5595" priority="5592" stopIfTrue="1" operator="equal">
      <formula>"Fail"</formula>
    </cfRule>
  </conditionalFormatting>
  <conditionalFormatting sqref="I1485:L1485">
    <cfRule type="cellIs" dxfId="5594" priority="5589" stopIfTrue="1" operator="equal">
      <formula>"Pass"</formula>
    </cfRule>
    <cfRule type="cellIs" dxfId="5593" priority="5590" stopIfTrue="1" operator="equal">
      <formula>"Fail"</formula>
    </cfRule>
  </conditionalFormatting>
  <conditionalFormatting sqref="I1485:L1485">
    <cfRule type="cellIs" dxfId="5592" priority="5587" stopIfTrue="1" operator="equal">
      <formula>"Pass"</formula>
    </cfRule>
    <cfRule type="cellIs" dxfId="5591" priority="5588" stopIfTrue="1" operator="equal">
      <formula>"Fail"</formula>
    </cfRule>
  </conditionalFormatting>
  <conditionalFormatting sqref="I1485:L1485">
    <cfRule type="cellIs" dxfId="5590" priority="5585" stopIfTrue="1" operator="equal">
      <formula>"Pass"</formula>
    </cfRule>
    <cfRule type="cellIs" dxfId="5589" priority="5586" stopIfTrue="1" operator="equal">
      <formula>"Fail"</formula>
    </cfRule>
  </conditionalFormatting>
  <conditionalFormatting sqref="I1485:L1485">
    <cfRule type="cellIs" dxfId="5588" priority="5583" stopIfTrue="1" operator="equal">
      <formula>"Pass"</formula>
    </cfRule>
    <cfRule type="cellIs" dxfId="5587" priority="5584" stopIfTrue="1" operator="equal">
      <formula>"Fail"</formula>
    </cfRule>
  </conditionalFormatting>
  <conditionalFormatting sqref="I1485:L1485">
    <cfRule type="cellIs" dxfId="5586" priority="5581" stopIfTrue="1" operator="equal">
      <formula>"Pass"</formula>
    </cfRule>
    <cfRule type="cellIs" dxfId="5585" priority="5582" stopIfTrue="1" operator="equal">
      <formula>"Fail"</formula>
    </cfRule>
  </conditionalFormatting>
  <conditionalFormatting sqref="I1485:L1485">
    <cfRule type="cellIs" dxfId="5584" priority="5579" stopIfTrue="1" operator="equal">
      <formula>"Pass"</formula>
    </cfRule>
    <cfRule type="cellIs" dxfId="5583" priority="5580" stopIfTrue="1" operator="equal">
      <formula>"Fail"</formula>
    </cfRule>
  </conditionalFormatting>
  <conditionalFormatting sqref="I1485:L1485">
    <cfRule type="cellIs" dxfId="5582" priority="5577" stopIfTrue="1" operator="equal">
      <formula>"Pass"</formula>
    </cfRule>
    <cfRule type="cellIs" dxfId="5581" priority="5578" stopIfTrue="1" operator="equal">
      <formula>"Fail"</formula>
    </cfRule>
  </conditionalFormatting>
  <conditionalFormatting sqref="J1485:L1485">
    <cfRule type="cellIs" dxfId="5580" priority="5575" stopIfTrue="1" operator="equal">
      <formula>"Pass"</formula>
    </cfRule>
    <cfRule type="cellIs" dxfId="5579" priority="5576" stopIfTrue="1" operator="equal">
      <formula>"Fail"</formula>
    </cfRule>
  </conditionalFormatting>
  <conditionalFormatting sqref="I1485">
    <cfRule type="cellIs" dxfId="5578" priority="5573" stopIfTrue="1" operator="equal">
      <formula>"Pass"</formula>
    </cfRule>
    <cfRule type="cellIs" dxfId="5577" priority="5574" stopIfTrue="1" operator="equal">
      <formula>"Fail"</formula>
    </cfRule>
  </conditionalFormatting>
  <conditionalFormatting sqref="I1485:L1485">
    <cfRule type="cellIs" dxfId="5576" priority="5571" stopIfTrue="1" operator="equal">
      <formula>"Pass"</formula>
    </cfRule>
    <cfRule type="cellIs" dxfId="5575" priority="5572" stopIfTrue="1" operator="equal">
      <formula>"Fail"</formula>
    </cfRule>
  </conditionalFormatting>
  <conditionalFormatting sqref="J1485:L1485">
    <cfRule type="cellIs" dxfId="5574" priority="5569" stopIfTrue="1" operator="equal">
      <formula>"Pass"</formula>
    </cfRule>
    <cfRule type="cellIs" dxfId="5573" priority="5570" stopIfTrue="1" operator="equal">
      <formula>"Fail"</formula>
    </cfRule>
  </conditionalFormatting>
  <conditionalFormatting sqref="I1485">
    <cfRule type="cellIs" dxfId="5572" priority="5567" stopIfTrue="1" operator="equal">
      <formula>"Pass"</formula>
    </cfRule>
    <cfRule type="cellIs" dxfId="5571" priority="5568" stopIfTrue="1" operator="equal">
      <formula>"Fail"</formula>
    </cfRule>
  </conditionalFormatting>
  <conditionalFormatting sqref="I1485:L1485">
    <cfRule type="cellIs" dxfId="5570" priority="5565" stopIfTrue="1" operator="equal">
      <formula>"Pass"</formula>
    </cfRule>
    <cfRule type="cellIs" dxfId="5569" priority="5566" stopIfTrue="1" operator="equal">
      <formula>"Fail"</formula>
    </cfRule>
  </conditionalFormatting>
  <conditionalFormatting sqref="I1485:L1485">
    <cfRule type="cellIs" dxfId="5568" priority="5563" stopIfTrue="1" operator="equal">
      <formula>"Pass"</formula>
    </cfRule>
    <cfRule type="cellIs" dxfId="5567" priority="5564" stopIfTrue="1" operator="equal">
      <formula>"Fail"</formula>
    </cfRule>
  </conditionalFormatting>
  <conditionalFormatting sqref="I1485:L1485">
    <cfRule type="cellIs" dxfId="5566" priority="5561" stopIfTrue="1" operator="equal">
      <formula>"Pass"</formula>
    </cfRule>
    <cfRule type="cellIs" dxfId="5565" priority="5562" stopIfTrue="1" operator="equal">
      <formula>"Fail"</formula>
    </cfRule>
  </conditionalFormatting>
  <conditionalFormatting sqref="I1485:L1485">
    <cfRule type="cellIs" dxfId="5564" priority="5559" stopIfTrue="1" operator="equal">
      <formula>"Pass"</formula>
    </cfRule>
    <cfRule type="cellIs" dxfId="5563" priority="5560" stopIfTrue="1" operator="equal">
      <formula>"Fail"</formula>
    </cfRule>
  </conditionalFormatting>
  <conditionalFormatting sqref="I1485:L1485">
    <cfRule type="cellIs" dxfId="5562" priority="5557" stopIfTrue="1" operator="equal">
      <formula>"Pass"</formula>
    </cfRule>
    <cfRule type="cellIs" dxfId="5561" priority="5558" stopIfTrue="1" operator="equal">
      <formula>"Fail"</formula>
    </cfRule>
  </conditionalFormatting>
  <conditionalFormatting sqref="I1485:L1485">
    <cfRule type="cellIs" dxfId="5560" priority="5555" stopIfTrue="1" operator="equal">
      <formula>"Pass"</formula>
    </cfRule>
    <cfRule type="cellIs" dxfId="5559" priority="5556" stopIfTrue="1" operator="equal">
      <formula>"Fail"</formula>
    </cfRule>
  </conditionalFormatting>
  <conditionalFormatting sqref="I1485:L1485">
    <cfRule type="cellIs" dxfId="5558" priority="5553" stopIfTrue="1" operator="equal">
      <formula>"Pass"</formula>
    </cfRule>
    <cfRule type="cellIs" dxfId="5557" priority="5554" stopIfTrue="1" operator="equal">
      <formula>"Fail"</formula>
    </cfRule>
  </conditionalFormatting>
  <conditionalFormatting sqref="I1485:L1485">
    <cfRule type="cellIs" dxfId="5556" priority="5551" stopIfTrue="1" operator="equal">
      <formula>"Pass"</formula>
    </cfRule>
    <cfRule type="cellIs" dxfId="5555" priority="5552" stopIfTrue="1" operator="equal">
      <formula>"Fail"</formula>
    </cfRule>
  </conditionalFormatting>
  <conditionalFormatting sqref="I1485:L1485">
    <cfRule type="cellIs" dxfId="5554" priority="5549" stopIfTrue="1" operator="equal">
      <formula>"Pass"</formula>
    </cfRule>
    <cfRule type="cellIs" dxfId="5553" priority="5550" stopIfTrue="1" operator="equal">
      <formula>"Fail"</formula>
    </cfRule>
  </conditionalFormatting>
  <conditionalFormatting sqref="I1485:L1485">
    <cfRule type="cellIs" dxfId="5552" priority="5547" stopIfTrue="1" operator="equal">
      <formula>"Pass"</formula>
    </cfRule>
    <cfRule type="cellIs" dxfId="5551" priority="5548" stopIfTrue="1" operator="equal">
      <formula>"Fail"</formula>
    </cfRule>
  </conditionalFormatting>
  <conditionalFormatting sqref="I1485:L1485">
    <cfRule type="cellIs" dxfId="5550" priority="5545" stopIfTrue="1" operator="equal">
      <formula>"Pass"</formula>
    </cfRule>
    <cfRule type="cellIs" dxfId="5549" priority="5546" stopIfTrue="1" operator="equal">
      <formula>"Fail"</formula>
    </cfRule>
  </conditionalFormatting>
  <conditionalFormatting sqref="I1485:L1485">
    <cfRule type="cellIs" dxfId="5548" priority="5543" stopIfTrue="1" operator="equal">
      <formula>"Pass"</formula>
    </cfRule>
    <cfRule type="cellIs" dxfId="5547" priority="5544" stopIfTrue="1" operator="equal">
      <formula>"Fail"</formula>
    </cfRule>
  </conditionalFormatting>
  <conditionalFormatting sqref="I1485:L1485">
    <cfRule type="cellIs" dxfId="5546" priority="5541" stopIfTrue="1" operator="equal">
      <formula>"Pass"</formula>
    </cfRule>
    <cfRule type="cellIs" dxfId="5545" priority="5542" stopIfTrue="1" operator="equal">
      <formula>"Fail"</formula>
    </cfRule>
  </conditionalFormatting>
  <conditionalFormatting sqref="I1485:L1485">
    <cfRule type="cellIs" dxfId="5544" priority="5539" stopIfTrue="1" operator="equal">
      <formula>"Pass"</formula>
    </cfRule>
    <cfRule type="cellIs" dxfId="5543" priority="5540" stopIfTrue="1" operator="equal">
      <formula>"Fail"</formula>
    </cfRule>
  </conditionalFormatting>
  <conditionalFormatting sqref="I1485:L1485">
    <cfRule type="cellIs" dxfId="5542" priority="5537" stopIfTrue="1" operator="equal">
      <formula>"Pass"</formula>
    </cfRule>
    <cfRule type="cellIs" dxfId="5541" priority="5538" stopIfTrue="1" operator="equal">
      <formula>"Fail"</formula>
    </cfRule>
  </conditionalFormatting>
  <conditionalFormatting sqref="I1485:L1485">
    <cfRule type="cellIs" dxfId="5540" priority="5535" stopIfTrue="1" operator="equal">
      <formula>"Pass"</formula>
    </cfRule>
    <cfRule type="cellIs" dxfId="5539" priority="5536" stopIfTrue="1" operator="equal">
      <formula>"Fail"</formula>
    </cfRule>
  </conditionalFormatting>
  <conditionalFormatting sqref="I1485:L1485">
    <cfRule type="cellIs" dxfId="5538" priority="5533" stopIfTrue="1" operator="equal">
      <formula>"Pass"</formula>
    </cfRule>
    <cfRule type="cellIs" dxfId="5537" priority="5534" stopIfTrue="1" operator="equal">
      <formula>"Fail"</formula>
    </cfRule>
  </conditionalFormatting>
  <conditionalFormatting sqref="I1485:L1485">
    <cfRule type="cellIs" dxfId="5536" priority="5531" stopIfTrue="1" operator="equal">
      <formula>"Pass"</formula>
    </cfRule>
    <cfRule type="cellIs" dxfId="5535" priority="5532" stopIfTrue="1" operator="equal">
      <formula>"Fail"</formula>
    </cfRule>
  </conditionalFormatting>
  <conditionalFormatting sqref="I1485:L1485">
    <cfRule type="cellIs" dxfId="5534" priority="5529" stopIfTrue="1" operator="equal">
      <formula>"Pass"</formula>
    </cfRule>
    <cfRule type="cellIs" dxfId="5533" priority="5530" stopIfTrue="1" operator="equal">
      <formula>"Fail"</formula>
    </cfRule>
  </conditionalFormatting>
  <conditionalFormatting sqref="I1485:L1485">
    <cfRule type="cellIs" dxfId="5532" priority="5527" stopIfTrue="1" operator="equal">
      <formula>"Pass"</formula>
    </cfRule>
    <cfRule type="cellIs" dxfId="5531" priority="5528" stopIfTrue="1" operator="equal">
      <formula>"Fail"</formula>
    </cfRule>
  </conditionalFormatting>
  <conditionalFormatting sqref="I1485:L1485">
    <cfRule type="cellIs" dxfId="5530" priority="5525" stopIfTrue="1" operator="equal">
      <formula>"Pass"</formula>
    </cfRule>
    <cfRule type="cellIs" dxfId="5529" priority="5526" stopIfTrue="1" operator="equal">
      <formula>"Fail"</formula>
    </cfRule>
  </conditionalFormatting>
  <conditionalFormatting sqref="I1485:L1485">
    <cfRule type="cellIs" dxfId="5528" priority="5523" stopIfTrue="1" operator="equal">
      <formula>"Pass"</formula>
    </cfRule>
    <cfRule type="cellIs" dxfId="5527" priority="5524" stopIfTrue="1" operator="equal">
      <formula>"Fail"</formula>
    </cfRule>
  </conditionalFormatting>
  <conditionalFormatting sqref="I1485:L1485">
    <cfRule type="cellIs" dxfId="5526" priority="5521" stopIfTrue="1" operator="equal">
      <formula>"Pass"</formula>
    </cfRule>
    <cfRule type="cellIs" dxfId="5525" priority="5522" stopIfTrue="1" operator="equal">
      <formula>"Fail"</formula>
    </cfRule>
  </conditionalFormatting>
  <conditionalFormatting sqref="I1485:L1485">
    <cfRule type="cellIs" dxfId="5524" priority="5519" stopIfTrue="1" operator="equal">
      <formula>"Pass"</formula>
    </cfRule>
    <cfRule type="cellIs" dxfId="5523" priority="5520" stopIfTrue="1" operator="equal">
      <formula>"Fail"</formula>
    </cfRule>
  </conditionalFormatting>
  <conditionalFormatting sqref="I1485:L1485">
    <cfRule type="cellIs" dxfId="5522" priority="5517" stopIfTrue="1" operator="equal">
      <formula>"Pass"</formula>
    </cfRule>
    <cfRule type="cellIs" dxfId="5521" priority="5518" stopIfTrue="1" operator="equal">
      <formula>"Fail"</formula>
    </cfRule>
  </conditionalFormatting>
  <conditionalFormatting sqref="I1485:L1485">
    <cfRule type="cellIs" dxfId="5520" priority="5515" stopIfTrue="1" operator="equal">
      <formula>"Pass"</formula>
    </cfRule>
    <cfRule type="cellIs" dxfId="5519" priority="5516" stopIfTrue="1" operator="equal">
      <formula>"Fail"</formula>
    </cfRule>
  </conditionalFormatting>
  <conditionalFormatting sqref="I1485:L1485">
    <cfRule type="cellIs" dxfId="5518" priority="5513" stopIfTrue="1" operator="equal">
      <formula>"Pass"</formula>
    </cfRule>
    <cfRule type="cellIs" dxfId="5517" priority="5514" stopIfTrue="1" operator="equal">
      <formula>"Fail"</formula>
    </cfRule>
  </conditionalFormatting>
  <conditionalFormatting sqref="I1485:L1485">
    <cfRule type="cellIs" dxfId="5516" priority="5511" stopIfTrue="1" operator="equal">
      <formula>"Pass"</formula>
    </cfRule>
    <cfRule type="cellIs" dxfId="5515" priority="5512" stopIfTrue="1" operator="equal">
      <formula>"Fail"</formula>
    </cfRule>
  </conditionalFormatting>
  <conditionalFormatting sqref="I1485:L1485">
    <cfRule type="cellIs" dxfId="5514" priority="5509" stopIfTrue="1" operator="equal">
      <formula>"Pass"</formula>
    </cfRule>
    <cfRule type="cellIs" dxfId="5513" priority="5510" stopIfTrue="1" operator="equal">
      <formula>"Fail"</formula>
    </cfRule>
  </conditionalFormatting>
  <conditionalFormatting sqref="I1485:L1485">
    <cfRule type="cellIs" dxfId="5512" priority="5507" stopIfTrue="1" operator="equal">
      <formula>"Pass"</formula>
    </cfRule>
    <cfRule type="cellIs" dxfId="5511" priority="5508" stopIfTrue="1" operator="equal">
      <formula>"Fail"</formula>
    </cfRule>
  </conditionalFormatting>
  <conditionalFormatting sqref="I1485:L1485">
    <cfRule type="cellIs" dxfId="5510" priority="5505" stopIfTrue="1" operator="equal">
      <formula>"Pass"</formula>
    </cfRule>
    <cfRule type="cellIs" dxfId="5509" priority="5506" stopIfTrue="1" operator="equal">
      <formula>"Fail"</formula>
    </cfRule>
  </conditionalFormatting>
  <conditionalFormatting sqref="I1485:L1485">
    <cfRule type="cellIs" dxfId="5508" priority="5503" stopIfTrue="1" operator="equal">
      <formula>"Pass"</formula>
    </cfRule>
    <cfRule type="cellIs" dxfId="5507" priority="5504" stopIfTrue="1" operator="equal">
      <formula>"Fail"</formula>
    </cfRule>
  </conditionalFormatting>
  <conditionalFormatting sqref="I1485:L1485">
    <cfRule type="cellIs" dxfId="5506" priority="5501" stopIfTrue="1" operator="equal">
      <formula>"Pass"</formula>
    </cfRule>
    <cfRule type="cellIs" dxfId="5505" priority="5502" stopIfTrue="1" operator="equal">
      <formula>"Fail"</formula>
    </cfRule>
  </conditionalFormatting>
  <conditionalFormatting sqref="I1485:L1485">
    <cfRule type="cellIs" dxfId="5504" priority="5499" stopIfTrue="1" operator="equal">
      <formula>"Pass"</formula>
    </cfRule>
    <cfRule type="cellIs" dxfId="5503" priority="5500" stopIfTrue="1" operator="equal">
      <formula>"Fail"</formula>
    </cfRule>
  </conditionalFormatting>
  <conditionalFormatting sqref="I1485:L1485">
    <cfRule type="cellIs" dxfId="5502" priority="5497" stopIfTrue="1" operator="equal">
      <formula>"Pass"</formula>
    </cfRule>
    <cfRule type="cellIs" dxfId="5501" priority="5498" stopIfTrue="1" operator="equal">
      <formula>"Fail"</formula>
    </cfRule>
  </conditionalFormatting>
  <conditionalFormatting sqref="I1485:L1485">
    <cfRule type="cellIs" dxfId="5500" priority="5495" stopIfTrue="1" operator="equal">
      <formula>"Pass"</formula>
    </cfRule>
    <cfRule type="cellIs" dxfId="5499" priority="5496" stopIfTrue="1" operator="equal">
      <formula>"Fail"</formula>
    </cfRule>
  </conditionalFormatting>
  <conditionalFormatting sqref="I1485:L1485">
    <cfRule type="cellIs" dxfId="5498" priority="5493" stopIfTrue="1" operator="equal">
      <formula>"Pass"</formula>
    </cfRule>
    <cfRule type="cellIs" dxfId="5497" priority="5494" stopIfTrue="1" operator="equal">
      <formula>"Fail"</formula>
    </cfRule>
  </conditionalFormatting>
  <conditionalFormatting sqref="I1485:L1485">
    <cfRule type="cellIs" dxfId="5496" priority="5491" stopIfTrue="1" operator="equal">
      <formula>"Pass"</formula>
    </cfRule>
    <cfRule type="cellIs" dxfId="5495" priority="5492" stopIfTrue="1" operator="equal">
      <formula>"Fail"</formula>
    </cfRule>
  </conditionalFormatting>
  <conditionalFormatting sqref="I1485:L1485">
    <cfRule type="cellIs" dxfId="5494" priority="5489" stopIfTrue="1" operator="equal">
      <formula>"Pass"</formula>
    </cfRule>
    <cfRule type="cellIs" dxfId="5493" priority="5490" stopIfTrue="1" operator="equal">
      <formula>"Fail"</formula>
    </cfRule>
  </conditionalFormatting>
  <conditionalFormatting sqref="H1485:L1485">
    <cfRule type="cellIs" dxfId="5492" priority="5487" stopIfTrue="1" operator="equal">
      <formula>"Pass"</formula>
    </cfRule>
    <cfRule type="cellIs" dxfId="5491" priority="5488" stopIfTrue="1" operator="equal">
      <formula>"Fail"</formula>
    </cfRule>
  </conditionalFormatting>
  <conditionalFormatting sqref="H1485:L1485">
    <cfRule type="cellIs" dxfId="5490" priority="5485" stopIfTrue="1" operator="equal">
      <formula>"Pass"</formula>
    </cfRule>
    <cfRule type="cellIs" dxfId="5489" priority="5486" stopIfTrue="1" operator="equal">
      <formula>"Fail"</formula>
    </cfRule>
  </conditionalFormatting>
  <conditionalFormatting sqref="H1485:L1485">
    <cfRule type="cellIs" dxfId="5488" priority="5483" stopIfTrue="1" operator="equal">
      <formula>"Pass"</formula>
    </cfRule>
    <cfRule type="cellIs" dxfId="5487" priority="5484" stopIfTrue="1" operator="equal">
      <formula>"Fail"</formula>
    </cfRule>
  </conditionalFormatting>
  <conditionalFormatting sqref="H1485:L1485">
    <cfRule type="cellIs" dxfId="5486" priority="5481" stopIfTrue="1" operator="equal">
      <formula>"Pass"</formula>
    </cfRule>
    <cfRule type="cellIs" dxfId="5485" priority="5482" stopIfTrue="1" operator="equal">
      <formula>"Fail"</formula>
    </cfRule>
  </conditionalFormatting>
  <conditionalFormatting sqref="H1485:L1485">
    <cfRule type="cellIs" dxfId="5484" priority="5479" stopIfTrue="1" operator="equal">
      <formula>"Pass"</formula>
    </cfRule>
    <cfRule type="cellIs" dxfId="5483" priority="5480" stopIfTrue="1" operator="equal">
      <formula>"Fail"</formula>
    </cfRule>
  </conditionalFormatting>
  <conditionalFormatting sqref="H1485:L1485">
    <cfRule type="cellIs" dxfId="5482" priority="5477" stopIfTrue="1" operator="equal">
      <formula>"Pass"</formula>
    </cfRule>
    <cfRule type="cellIs" dxfId="5481" priority="5478" stopIfTrue="1" operator="equal">
      <formula>"Fail"</formula>
    </cfRule>
  </conditionalFormatting>
  <conditionalFormatting sqref="H1485:L1485">
    <cfRule type="cellIs" dxfId="5480" priority="5475" stopIfTrue="1" operator="equal">
      <formula>"Pass"</formula>
    </cfRule>
    <cfRule type="cellIs" dxfId="5479" priority="5476" stopIfTrue="1" operator="equal">
      <formula>"Fail"</formula>
    </cfRule>
  </conditionalFormatting>
  <conditionalFormatting sqref="H1485:L1485">
    <cfRule type="cellIs" dxfId="5478" priority="5473" stopIfTrue="1" operator="equal">
      <formula>"Pass"</formula>
    </cfRule>
    <cfRule type="cellIs" dxfId="5477" priority="5474" stopIfTrue="1" operator="equal">
      <formula>"Fail"</formula>
    </cfRule>
  </conditionalFormatting>
  <conditionalFormatting sqref="H1485:L1485">
    <cfRule type="cellIs" dxfId="5476" priority="5471" stopIfTrue="1" operator="equal">
      <formula>"Pass"</formula>
    </cfRule>
    <cfRule type="cellIs" dxfId="5475" priority="5472" stopIfTrue="1" operator="equal">
      <formula>"Fail"</formula>
    </cfRule>
  </conditionalFormatting>
  <conditionalFormatting sqref="I1485">
    <cfRule type="cellIs" dxfId="5474" priority="5469" stopIfTrue="1" operator="equal">
      <formula>"Pass"</formula>
    </cfRule>
    <cfRule type="cellIs" dxfId="5473" priority="5470" stopIfTrue="1" operator="equal">
      <formula>"Fail"</formula>
    </cfRule>
  </conditionalFormatting>
  <conditionalFormatting sqref="H1485:L1485">
    <cfRule type="cellIs" dxfId="5472" priority="5467" stopIfTrue="1" operator="equal">
      <formula>"Pass"</formula>
    </cfRule>
    <cfRule type="cellIs" dxfId="5471" priority="5468" stopIfTrue="1" operator="equal">
      <formula>"Fail"</formula>
    </cfRule>
  </conditionalFormatting>
  <conditionalFormatting sqref="H1485:L1485">
    <cfRule type="cellIs" dxfId="5470" priority="5465" stopIfTrue="1" operator="equal">
      <formula>"Pass"</formula>
    </cfRule>
    <cfRule type="cellIs" dxfId="5469" priority="5466" stopIfTrue="1" operator="equal">
      <formula>"Fail"</formula>
    </cfRule>
  </conditionalFormatting>
  <conditionalFormatting sqref="H1485:L1485">
    <cfRule type="cellIs" dxfId="5468" priority="5463" stopIfTrue="1" operator="equal">
      <formula>"Pass"</formula>
    </cfRule>
    <cfRule type="cellIs" dxfId="5467" priority="5464" stopIfTrue="1" operator="equal">
      <formula>"Fail"</formula>
    </cfRule>
  </conditionalFormatting>
  <conditionalFormatting sqref="H1485:L1485">
    <cfRule type="cellIs" dxfId="5466" priority="5461" stopIfTrue="1" operator="equal">
      <formula>"Pass"</formula>
    </cfRule>
    <cfRule type="cellIs" dxfId="5465" priority="5462" stopIfTrue="1" operator="equal">
      <formula>"Fail"</formula>
    </cfRule>
  </conditionalFormatting>
  <conditionalFormatting sqref="H1485:L1485">
    <cfRule type="cellIs" dxfId="5464" priority="5459" stopIfTrue="1" operator="equal">
      <formula>"Pass"</formula>
    </cfRule>
    <cfRule type="cellIs" dxfId="5463" priority="5460" stopIfTrue="1" operator="equal">
      <formula>"Fail"</formula>
    </cfRule>
  </conditionalFormatting>
  <conditionalFormatting sqref="H1485:L1485">
    <cfRule type="cellIs" dxfId="5462" priority="5457" stopIfTrue="1" operator="equal">
      <formula>"Pass"</formula>
    </cfRule>
    <cfRule type="cellIs" dxfId="5461" priority="5458" stopIfTrue="1" operator="equal">
      <formula>"Fail"</formula>
    </cfRule>
  </conditionalFormatting>
  <conditionalFormatting sqref="H1485:L1485">
    <cfRule type="cellIs" dxfId="5460" priority="5455" stopIfTrue="1" operator="equal">
      <formula>"Pass"</formula>
    </cfRule>
    <cfRule type="cellIs" dxfId="5459" priority="5456" stopIfTrue="1" operator="equal">
      <formula>"Fail"</formula>
    </cfRule>
  </conditionalFormatting>
  <conditionalFormatting sqref="H1485:L1485">
    <cfRule type="cellIs" dxfId="5458" priority="5453" stopIfTrue="1" operator="equal">
      <formula>"Pass"</formula>
    </cfRule>
    <cfRule type="cellIs" dxfId="5457" priority="5454" stopIfTrue="1" operator="equal">
      <formula>"Fail"</formula>
    </cfRule>
  </conditionalFormatting>
  <conditionalFormatting sqref="H1485:L1485">
    <cfRule type="cellIs" dxfId="5456" priority="5451" stopIfTrue="1" operator="equal">
      <formula>"Pass"</formula>
    </cfRule>
    <cfRule type="cellIs" dxfId="5455" priority="5452" stopIfTrue="1" operator="equal">
      <formula>"Fail"</formula>
    </cfRule>
  </conditionalFormatting>
  <conditionalFormatting sqref="H1485:L1485">
    <cfRule type="cellIs" dxfId="5454" priority="5449" stopIfTrue="1" operator="equal">
      <formula>"Pass"</formula>
    </cfRule>
    <cfRule type="cellIs" dxfId="5453" priority="5450" stopIfTrue="1" operator="equal">
      <formula>"Fail"</formula>
    </cfRule>
  </conditionalFormatting>
  <conditionalFormatting sqref="I1485:L1485">
    <cfRule type="cellIs" dxfId="5452" priority="5447" stopIfTrue="1" operator="equal">
      <formula>"Pass"</formula>
    </cfRule>
    <cfRule type="cellIs" dxfId="5451" priority="5448" stopIfTrue="1" operator="equal">
      <formula>"Fail"</formula>
    </cfRule>
  </conditionalFormatting>
  <conditionalFormatting sqref="I1485:L1485">
    <cfRule type="cellIs" dxfId="5450" priority="5445" stopIfTrue="1" operator="equal">
      <formula>"Pass"</formula>
    </cfRule>
    <cfRule type="cellIs" dxfId="5449" priority="5446" stopIfTrue="1" operator="equal">
      <formula>"Fail"</formula>
    </cfRule>
  </conditionalFormatting>
  <conditionalFormatting sqref="I1485:L1485">
    <cfRule type="cellIs" dxfId="5448" priority="5443" stopIfTrue="1" operator="equal">
      <formula>"Pass"</formula>
    </cfRule>
    <cfRule type="cellIs" dxfId="5447" priority="5444" stopIfTrue="1" operator="equal">
      <formula>"Fail"</formula>
    </cfRule>
  </conditionalFormatting>
  <conditionalFormatting sqref="I1485:L1485">
    <cfRule type="cellIs" dxfId="5446" priority="5441" stopIfTrue="1" operator="equal">
      <formula>"Pass"</formula>
    </cfRule>
    <cfRule type="cellIs" dxfId="5445" priority="5442" stopIfTrue="1" operator="equal">
      <formula>"Fail"</formula>
    </cfRule>
  </conditionalFormatting>
  <conditionalFormatting sqref="I1485:L1485">
    <cfRule type="cellIs" dxfId="5444" priority="5439" stopIfTrue="1" operator="equal">
      <formula>"Pass"</formula>
    </cfRule>
    <cfRule type="cellIs" dxfId="5443" priority="5440" stopIfTrue="1" operator="equal">
      <formula>"Fail"</formula>
    </cfRule>
  </conditionalFormatting>
  <conditionalFormatting sqref="I1485:L1485">
    <cfRule type="cellIs" dxfId="5442" priority="5437" stopIfTrue="1" operator="equal">
      <formula>"Pass"</formula>
    </cfRule>
    <cfRule type="cellIs" dxfId="5441" priority="5438" stopIfTrue="1" operator="equal">
      <formula>"Fail"</formula>
    </cfRule>
  </conditionalFormatting>
  <conditionalFormatting sqref="I1485:L1485">
    <cfRule type="cellIs" dxfId="5440" priority="5435" stopIfTrue="1" operator="equal">
      <formula>"Pass"</formula>
    </cfRule>
    <cfRule type="cellIs" dxfId="5439" priority="5436" stopIfTrue="1" operator="equal">
      <formula>"Fail"</formula>
    </cfRule>
  </conditionalFormatting>
  <conditionalFormatting sqref="I1485:L1485">
    <cfRule type="cellIs" dxfId="5438" priority="5433" stopIfTrue="1" operator="equal">
      <formula>"Pass"</formula>
    </cfRule>
    <cfRule type="cellIs" dxfId="5437" priority="5434" stopIfTrue="1" operator="equal">
      <formula>"Fail"</formula>
    </cfRule>
  </conditionalFormatting>
  <conditionalFormatting sqref="I1485:L1485">
    <cfRule type="cellIs" dxfId="5436" priority="5431" stopIfTrue="1" operator="equal">
      <formula>"Pass"</formula>
    </cfRule>
    <cfRule type="cellIs" dxfId="5435" priority="5432" stopIfTrue="1" operator="equal">
      <formula>"Fail"</formula>
    </cfRule>
  </conditionalFormatting>
  <conditionalFormatting sqref="I1485:L1485">
    <cfRule type="cellIs" dxfId="5434" priority="5429" stopIfTrue="1" operator="equal">
      <formula>"Pass"</formula>
    </cfRule>
    <cfRule type="cellIs" dxfId="5433" priority="5430" stopIfTrue="1" operator="equal">
      <formula>"Fail"</formula>
    </cfRule>
  </conditionalFormatting>
  <conditionalFormatting sqref="I1485:L1485">
    <cfRule type="cellIs" dxfId="5432" priority="5427" stopIfTrue="1" operator="equal">
      <formula>"Pass"</formula>
    </cfRule>
    <cfRule type="cellIs" dxfId="5431" priority="5428" stopIfTrue="1" operator="equal">
      <formula>"Fail"</formula>
    </cfRule>
  </conditionalFormatting>
  <conditionalFormatting sqref="I1485:L1485">
    <cfRule type="cellIs" dxfId="5430" priority="5425" stopIfTrue="1" operator="equal">
      <formula>"Pass"</formula>
    </cfRule>
    <cfRule type="cellIs" dxfId="5429" priority="5426" stopIfTrue="1" operator="equal">
      <formula>"Fail"</formula>
    </cfRule>
  </conditionalFormatting>
  <conditionalFormatting sqref="I1485:L1485">
    <cfRule type="cellIs" dxfId="5428" priority="5423" stopIfTrue="1" operator="equal">
      <formula>"Pass"</formula>
    </cfRule>
    <cfRule type="cellIs" dxfId="5427" priority="5424" stopIfTrue="1" operator="equal">
      <formula>"Fail"</formula>
    </cfRule>
  </conditionalFormatting>
  <conditionalFormatting sqref="I1485:L1485">
    <cfRule type="cellIs" dxfId="5426" priority="5421" stopIfTrue="1" operator="equal">
      <formula>"Pass"</formula>
    </cfRule>
    <cfRule type="cellIs" dxfId="5425" priority="5422" stopIfTrue="1" operator="equal">
      <formula>"Fail"</formula>
    </cfRule>
  </conditionalFormatting>
  <conditionalFormatting sqref="I1485:L1485">
    <cfRule type="cellIs" dxfId="5424" priority="5419" stopIfTrue="1" operator="equal">
      <formula>"Pass"</formula>
    </cfRule>
    <cfRule type="cellIs" dxfId="5423" priority="5420" stopIfTrue="1" operator="equal">
      <formula>"Fail"</formula>
    </cfRule>
  </conditionalFormatting>
  <conditionalFormatting sqref="I1485:L1485">
    <cfRule type="cellIs" dxfId="5422" priority="5417" stopIfTrue="1" operator="equal">
      <formula>"Pass"</formula>
    </cfRule>
    <cfRule type="cellIs" dxfId="5421" priority="5418" stopIfTrue="1" operator="equal">
      <formula>"Fail"</formula>
    </cfRule>
  </conditionalFormatting>
  <conditionalFormatting sqref="I1485:L1485">
    <cfRule type="cellIs" dxfId="5420" priority="5415" stopIfTrue="1" operator="equal">
      <formula>"Pass"</formula>
    </cfRule>
    <cfRule type="cellIs" dxfId="5419" priority="5416" stopIfTrue="1" operator="equal">
      <formula>"Fail"</formula>
    </cfRule>
  </conditionalFormatting>
  <conditionalFormatting sqref="I1485:L1485">
    <cfRule type="cellIs" dxfId="5418" priority="5413" stopIfTrue="1" operator="equal">
      <formula>"Pass"</formula>
    </cfRule>
    <cfRule type="cellIs" dxfId="5417" priority="5414" stopIfTrue="1" operator="equal">
      <formula>"Fail"</formula>
    </cfRule>
  </conditionalFormatting>
  <conditionalFormatting sqref="I1485:L1485">
    <cfRule type="cellIs" dxfId="5416" priority="5411" stopIfTrue="1" operator="equal">
      <formula>"Pass"</formula>
    </cfRule>
    <cfRule type="cellIs" dxfId="5415" priority="5412" stopIfTrue="1" operator="equal">
      <formula>"Fail"</formula>
    </cfRule>
  </conditionalFormatting>
  <conditionalFormatting sqref="I1485:L1485">
    <cfRule type="cellIs" dxfId="5414" priority="5409" stopIfTrue="1" operator="equal">
      <formula>"Pass"</formula>
    </cfRule>
    <cfRule type="cellIs" dxfId="5413" priority="5410" stopIfTrue="1" operator="equal">
      <formula>"Fail"</formula>
    </cfRule>
  </conditionalFormatting>
  <conditionalFormatting sqref="I1485:L1485">
    <cfRule type="cellIs" dxfId="5412" priority="5407" stopIfTrue="1" operator="equal">
      <formula>"Pass"</formula>
    </cfRule>
    <cfRule type="cellIs" dxfId="5411" priority="5408" stopIfTrue="1" operator="equal">
      <formula>"Fail"</formula>
    </cfRule>
  </conditionalFormatting>
  <conditionalFormatting sqref="I1485:L1485">
    <cfRule type="cellIs" dxfId="5410" priority="5405" stopIfTrue="1" operator="equal">
      <formula>"Pass"</formula>
    </cfRule>
    <cfRule type="cellIs" dxfId="5409" priority="5406" stopIfTrue="1" operator="equal">
      <formula>"Fail"</formula>
    </cfRule>
  </conditionalFormatting>
  <conditionalFormatting sqref="J1485:L1485">
    <cfRule type="cellIs" dxfId="5408" priority="5403" stopIfTrue="1" operator="equal">
      <formula>"Pass"</formula>
    </cfRule>
    <cfRule type="cellIs" dxfId="5407" priority="5404" stopIfTrue="1" operator="equal">
      <formula>"Fail"</formula>
    </cfRule>
  </conditionalFormatting>
  <conditionalFormatting sqref="I1485">
    <cfRule type="cellIs" dxfId="5406" priority="5401" stopIfTrue="1" operator="equal">
      <formula>"Pass"</formula>
    </cfRule>
    <cfRule type="cellIs" dxfId="5405" priority="5402" stopIfTrue="1" operator="equal">
      <formula>"Fail"</formula>
    </cfRule>
  </conditionalFormatting>
  <conditionalFormatting sqref="I1485:L1485">
    <cfRule type="cellIs" dxfId="5404" priority="5399" stopIfTrue="1" operator="equal">
      <formula>"Pass"</formula>
    </cfRule>
    <cfRule type="cellIs" dxfId="5403" priority="5400" stopIfTrue="1" operator="equal">
      <formula>"Fail"</formula>
    </cfRule>
  </conditionalFormatting>
  <conditionalFormatting sqref="J1485:L1485">
    <cfRule type="cellIs" dxfId="5402" priority="5397" stopIfTrue="1" operator="equal">
      <formula>"Pass"</formula>
    </cfRule>
    <cfRule type="cellIs" dxfId="5401" priority="5398" stopIfTrue="1" operator="equal">
      <formula>"Fail"</formula>
    </cfRule>
  </conditionalFormatting>
  <conditionalFormatting sqref="I1485">
    <cfRule type="cellIs" dxfId="5400" priority="5395" stopIfTrue="1" operator="equal">
      <formula>"Pass"</formula>
    </cfRule>
    <cfRule type="cellIs" dxfId="5399" priority="5396" stopIfTrue="1" operator="equal">
      <formula>"Fail"</formula>
    </cfRule>
  </conditionalFormatting>
  <conditionalFormatting sqref="I1485:L1485">
    <cfRule type="cellIs" dxfId="5398" priority="5393" stopIfTrue="1" operator="equal">
      <formula>"Pass"</formula>
    </cfRule>
    <cfRule type="cellIs" dxfId="5397" priority="5394" stopIfTrue="1" operator="equal">
      <formula>"Fail"</formula>
    </cfRule>
  </conditionalFormatting>
  <conditionalFormatting sqref="I1485:L1485">
    <cfRule type="cellIs" dxfId="5396" priority="5391" stopIfTrue="1" operator="equal">
      <formula>"Pass"</formula>
    </cfRule>
    <cfRule type="cellIs" dxfId="5395" priority="5392" stopIfTrue="1" operator="equal">
      <formula>"Fail"</formula>
    </cfRule>
  </conditionalFormatting>
  <conditionalFormatting sqref="I1485:L1485">
    <cfRule type="cellIs" dxfId="5394" priority="5389" stopIfTrue="1" operator="equal">
      <formula>"Pass"</formula>
    </cfRule>
    <cfRule type="cellIs" dxfId="5393" priority="5390" stopIfTrue="1" operator="equal">
      <formula>"Fail"</formula>
    </cfRule>
  </conditionalFormatting>
  <conditionalFormatting sqref="I1485:L1485">
    <cfRule type="cellIs" dxfId="5392" priority="5387" stopIfTrue="1" operator="equal">
      <formula>"Pass"</formula>
    </cfRule>
    <cfRule type="cellIs" dxfId="5391" priority="5388" stopIfTrue="1" operator="equal">
      <formula>"Fail"</formula>
    </cfRule>
  </conditionalFormatting>
  <conditionalFormatting sqref="I1485:L1485">
    <cfRule type="cellIs" dxfId="5390" priority="5385" stopIfTrue="1" operator="equal">
      <formula>"Pass"</formula>
    </cfRule>
    <cfRule type="cellIs" dxfId="5389" priority="5386" stopIfTrue="1" operator="equal">
      <formula>"Fail"</formula>
    </cfRule>
  </conditionalFormatting>
  <conditionalFormatting sqref="I1485:L1485">
    <cfRule type="cellIs" dxfId="5388" priority="5383" stopIfTrue="1" operator="equal">
      <formula>"Pass"</formula>
    </cfRule>
    <cfRule type="cellIs" dxfId="5387" priority="5384" stopIfTrue="1" operator="equal">
      <formula>"Fail"</formula>
    </cfRule>
  </conditionalFormatting>
  <conditionalFormatting sqref="I1485:L1485">
    <cfRule type="cellIs" dxfId="5386" priority="5381" stopIfTrue="1" operator="equal">
      <formula>"Pass"</formula>
    </cfRule>
    <cfRule type="cellIs" dxfId="5385" priority="5382" stopIfTrue="1" operator="equal">
      <formula>"Fail"</formula>
    </cfRule>
  </conditionalFormatting>
  <conditionalFormatting sqref="I1485:L1485">
    <cfRule type="cellIs" dxfId="5384" priority="5379" stopIfTrue="1" operator="equal">
      <formula>"Pass"</formula>
    </cfRule>
    <cfRule type="cellIs" dxfId="5383" priority="5380" stopIfTrue="1" operator="equal">
      <formula>"Fail"</formula>
    </cfRule>
  </conditionalFormatting>
  <conditionalFormatting sqref="I1485:L1485">
    <cfRule type="cellIs" dxfId="5382" priority="5377" stopIfTrue="1" operator="equal">
      <formula>"Pass"</formula>
    </cfRule>
    <cfRule type="cellIs" dxfId="5381" priority="5378" stopIfTrue="1" operator="equal">
      <formula>"Fail"</formula>
    </cfRule>
  </conditionalFormatting>
  <conditionalFormatting sqref="J1485:L1485">
    <cfRule type="cellIs" dxfId="5380" priority="5375" stopIfTrue="1" operator="equal">
      <formula>"Pass"</formula>
    </cfRule>
    <cfRule type="cellIs" dxfId="5379" priority="5376" stopIfTrue="1" operator="equal">
      <formula>"Fail"</formula>
    </cfRule>
  </conditionalFormatting>
  <conditionalFormatting sqref="I1485">
    <cfRule type="cellIs" dxfId="5378" priority="5373" stopIfTrue="1" operator="equal">
      <formula>"Pass"</formula>
    </cfRule>
    <cfRule type="cellIs" dxfId="5377" priority="5374" stopIfTrue="1" operator="equal">
      <formula>"Fail"</formula>
    </cfRule>
  </conditionalFormatting>
  <conditionalFormatting sqref="I1485:L1485">
    <cfRule type="cellIs" dxfId="5376" priority="5371" stopIfTrue="1" operator="equal">
      <formula>"Pass"</formula>
    </cfRule>
    <cfRule type="cellIs" dxfId="5375" priority="5372" stopIfTrue="1" operator="equal">
      <formula>"Fail"</formula>
    </cfRule>
  </conditionalFormatting>
  <conditionalFormatting sqref="J1485:L1485">
    <cfRule type="cellIs" dxfId="5374" priority="5369" stopIfTrue="1" operator="equal">
      <formula>"Pass"</formula>
    </cfRule>
    <cfRule type="cellIs" dxfId="5373" priority="5370" stopIfTrue="1" operator="equal">
      <formula>"Fail"</formula>
    </cfRule>
  </conditionalFormatting>
  <conditionalFormatting sqref="I1485">
    <cfRule type="cellIs" dxfId="5372" priority="5367" stopIfTrue="1" operator="equal">
      <formula>"Pass"</formula>
    </cfRule>
    <cfRule type="cellIs" dxfId="5371" priority="5368" stopIfTrue="1" operator="equal">
      <formula>"Fail"</formula>
    </cfRule>
  </conditionalFormatting>
  <conditionalFormatting sqref="I1485:L1485">
    <cfRule type="cellIs" dxfId="5370" priority="5365" stopIfTrue="1" operator="equal">
      <formula>"Pass"</formula>
    </cfRule>
    <cfRule type="cellIs" dxfId="5369" priority="5366" stopIfTrue="1" operator="equal">
      <formula>"Fail"</formula>
    </cfRule>
  </conditionalFormatting>
  <conditionalFormatting sqref="I1485:L1485">
    <cfRule type="cellIs" dxfId="5368" priority="5363" stopIfTrue="1" operator="equal">
      <formula>"Pass"</formula>
    </cfRule>
    <cfRule type="cellIs" dxfId="5367" priority="5364" stopIfTrue="1" operator="equal">
      <formula>"Fail"</formula>
    </cfRule>
  </conditionalFormatting>
  <conditionalFormatting sqref="I1485:L1485">
    <cfRule type="cellIs" dxfId="5366" priority="5361" stopIfTrue="1" operator="equal">
      <formula>"Pass"</formula>
    </cfRule>
    <cfRule type="cellIs" dxfId="5365" priority="5362" stopIfTrue="1" operator="equal">
      <formula>"Fail"</formula>
    </cfRule>
  </conditionalFormatting>
  <conditionalFormatting sqref="I1485:L1485">
    <cfRule type="cellIs" dxfId="5364" priority="5359" stopIfTrue="1" operator="equal">
      <formula>"Pass"</formula>
    </cfRule>
    <cfRule type="cellIs" dxfId="5363" priority="5360" stopIfTrue="1" operator="equal">
      <formula>"Fail"</formula>
    </cfRule>
  </conditionalFormatting>
  <conditionalFormatting sqref="I1485:L1485">
    <cfRule type="cellIs" dxfId="5362" priority="5357" stopIfTrue="1" operator="equal">
      <formula>"Pass"</formula>
    </cfRule>
    <cfRule type="cellIs" dxfId="5361" priority="5358" stopIfTrue="1" operator="equal">
      <formula>"Fail"</formula>
    </cfRule>
  </conditionalFormatting>
  <conditionalFormatting sqref="I1485:L1485">
    <cfRule type="cellIs" dxfId="5360" priority="5355" stopIfTrue="1" operator="equal">
      <formula>"Pass"</formula>
    </cfRule>
    <cfRule type="cellIs" dxfId="5359" priority="5356" stopIfTrue="1" operator="equal">
      <formula>"Fail"</formula>
    </cfRule>
  </conditionalFormatting>
  <conditionalFormatting sqref="I1485:L1485">
    <cfRule type="cellIs" dxfId="5358" priority="5353" stopIfTrue="1" operator="equal">
      <formula>"Pass"</formula>
    </cfRule>
    <cfRule type="cellIs" dxfId="5357" priority="5354" stopIfTrue="1" operator="equal">
      <formula>"Fail"</formula>
    </cfRule>
  </conditionalFormatting>
  <conditionalFormatting sqref="I1485:L1485">
    <cfRule type="cellIs" dxfId="5356" priority="5351" stopIfTrue="1" operator="equal">
      <formula>"Pass"</formula>
    </cfRule>
    <cfRule type="cellIs" dxfId="5355" priority="5352" stopIfTrue="1" operator="equal">
      <formula>"Fail"</formula>
    </cfRule>
  </conditionalFormatting>
  <conditionalFormatting sqref="I1485:L1485">
    <cfRule type="cellIs" dxfId="5354" priority="5349" stopIfTrue="1" operator="equal">
      <formula>"Pass"</formula>
    </cfRule>
    <cfRule type="cellIs" dxfId="5353" priority="5350" stopIfTrue="1" operator="equal">
      <formula>"Fail"</formula>
    </cfRule>
  </conditionalFormatting>
  <conditionalFormatting sqref="I1485:L1485">
    <cfRule type="cellIs" dxfId="5352" priority="5347" stopIfTrue="1" operator="equal">
      <formula>"Pass"</formula>
    </cfRule>
    <cfRule type="cellIs" dxfId="5351" priority="5348" stopIfTrue="1" operator="equal">
      <formula>"Fail"</formula>
    </cfRule>
  </conditionalFormatting>
  <conditionalFormatting sqref="I1485:L1485">
    <cfRule type="cellIs" dxfId="5350" priority="5345" stopIfTrue="1" operator="equal">
      <formula>"Pass"</formula>
    </cfRule>
    <cfRule type="cellIs" dxfId="5349" priority="5346" stopIfTrue="1" operator="equal">
      <formula>"Fail"</formula>
    </cfRule>
  </conditionalFormatting>
  <conditionalFormatting sqref="I1485:L1485">
    <cfRule type="cellIs" dxfId="5348" priority="5343" stopIfTrue="1" operator="equal">
      <formula>"Pass"</formula>
    </cfRule>
    <cfRule type="cellIs" dxfId="5347" priority="5344" stopIfTrue="1" operator="equal">
      <formula>"Fail"</formula>
    </cfRule>
  </conditionalFormatting>
  <conditionalFormatting sqref="I1485:L1485">
    <cfRule type="cellIs" dxfId="5346" priority="5341" stopIfTrue="1" operator="equal">
      <formula>"Pass"</formula>
    </cfRule>
    <cfRule type="cellIs" dxfId="5345" priority="5342" stopIfTrue="1" operator="equal">
      <formula>"Fail"</formula>
    </cfRule>
  </conditionalFormatting>
  <conditionalFormatting sqref="I1485:L1485">
    <cfRule type="cellIs" dxfId="5344" priority="5339" stopIfTrue="1" operator="equal">
      <formula>"Pass"</formula>
    </cfRule>
    <cfRule type="cellIs" dxfId="5343" priority="5340" stopIfTrue="1" operator="equal">
      <formula>"Fail"</formula>
    </cfRule>
  </conditionalFormatting>
  <conditionalFormatting sqref="I1485:L1485">
    <cfRule type="cellIs" dxfId="5342" priority="5337" stopIfTrue="1" operator="equal">
      <formula>"Pass"</formula>
    </cfRule>
    <cfRule type="cellIs" dxfId="5341" priority="5338" stopIfTrue="1" operator="equal">
      <formula>"Fail"</formula>
    </cfRule>
  </conditionalFormatting>
  <conditionalFormatting sqref="I1485:L1485">
    <cfRule type="cellIs" dxfId="5340" priority="5335" stopIfTrue="1" operator="equal">
      <formula>"Pass"</formula>
    </cfRule>
    <cfRule type="cellIs" dxfId="5339" priority="5336" stopIfTrue="1" operator="equal">
      <formula>"Fail"</formula>
    </cfRule>
  </conditionalFormatting>
  <conditionalFormatting sqref="I1485:L1485">
    <cfRule type="cellIs" dxfId="5338" priority="5333" stopIfTrue="1" operator="equal">
      <formula>"Pass"</formula>
    </cfRule>
    <cfRule type="cellIs" dxfId="5337" priority="5334" stopIfTrue="1" operator="equal">
      <formula>"Fail"</formula>
    </cfRule>
  </conditionalFormatting>
  <conditionalFormatting sqref="I1485:L1485">
    <cfRule type="cellIs" dxfId="5336" priority="5331" stopIfTrue="1" operator="equal">
      <formula>"Pass"</formula>
    </cfRule>
    <cfRule type="cellIs" dxfId="5335" priority="5332" stopIfTrue="1" operator="equal">
      <formula>"Fail"</formula>
    </cfRule>
  </conditionalFormatting>
  <conditionalFormatting sqref="I1485:L1485">
    <cfRule type="cellIs" dxfId="5334" priority="5329" stopIfTrue="1" operator="equal">
      <formula>"Pass"</formula>
    </cfRule>
    <cfRule type="cellIs" dxfId="5333" priority="5330" stopIfTrue="1" operator="equal">
      <formula>"Fail"</formula>
    </cfRule>
  </conditionalFormatting>
  <conditionalFormatting sqref="J1485:L1485">
    <cfRule type="cellIs" dxfId="5332" priority="5327" stopIfTrue="1" operator="equal">
      <formula>"Pass"</formula>
    </cfRule>
    <cfRule type="cellIs" dxfId="5331" priority="5328" stopIfTrue="1" operator="equal">
      <formula>"Fail"</formula>
    </cfRule>
  </conditionalFormatting>
  <conditionalFormatting sqref="I1485">
    <cfRule type="cellIs" dxfId="5330" priority="5325" stopIfTrue="1" operator="equal">
      <formula>"Pass"</formula>
    </cfRule>
    <cfRule type="cellIs" dxfId="5329" priority="5326" stopIfTrue="1" operator="equal">
      <formula>"Fail"</formula>
    </cfRule>
  </conditionalFormatting>
  <conditionalFormatting sqref="I1485:L1485">
    <cfRule type="cellIs" dxfId="5328" priority="5323" stopIfTrue="1" operator="equal">
      <formula>"Pass"</formula>
    </cfRule>
    <cfRule type="cellIs" dxfId="5327" priority="5324" stopIfTrue="1" operator="equal">
      <formula>"Fail"</formula>
    </cfRule>
  </conditionalFormatting>
  <conditionalFormatting sqref="J1485:L1485">
    <cfRule type="cellIs" dxfId="5326" priority="5321" stopIfTrue="1" operator="equal">
      <formula>"Pass"</formula>
    </cfRule>
    <cfRule type="cellIs" dxfId="5325" priority="5322" stopIfTrue="1" operator="equal">
      <formula>"Fail"</formula>
    </cfRule>
  </conditionalFormatting>
  <conditionalFormatting sqref="I1485">
    <cfRule type="cellIs" dxfId="5324" priority="5319" stopIfTrue="1" operator="equal">
      <formula>"Pass"</formula>
    </cfRule>
    <cfRule type="cellIs" dxfId="5323" priority="5320" stopIfTrue="1" operator="equal">
      <formula>"Fail"</formula>
    </cfRule>
  </conditionalFormatting>
  <conditionalFormatting sqref="I1485:L1485">
    <cfRule type="cellIs" dxfId="5322" priority="5317" stopIfTrue="1" operator="equal">
      <formula>"Pass"</formula>
    </cfRule>
    <cfRule type="cellIs" dxfId="5321" priority="5318" stopIfTrue="1" operator="equal">
      <formula>"Fail"</formula>
    </cfRule>
  </conditionalFormatting>
  <conditionalFormatting sqref="I1485:L1485">
    <cfRule type="cellIs" dxfId="5320" priority="5315" stopIfTrue="1" operator="equal">
      <formula>"Pass"</formula>
    </cfRule>
    <cfRule type="cellIs" dxfId="5319" priority="5316" stopIfTrue="1" operator="equal">
      <formula>"Fail"</formula>
    </cfRule>
  </conditionalFormatting>
  <conditionalFormatting sqref="I1485:L1485">
    <cfRule type="cellIs" dxfId="5318" priority="5313" stopIfTrue="1" operator="equal">
      <formula>"Pass"</formula>
    </cfRule>
    <cfRule type="cellIs" dxfId="5317" priority="5314" stopIfTrue="1" operator="equal">
      <formula>"Fail"</formula>
    </cfRule>
  </conditionalFormatting>
  <conditionalFormatting sqref="I1485:L1485">
    <cfRule type="cellIs" dxfId="5316" priority="5311" stopIfTrue="1" operator="equal">
      <formula>"Pass"</formula>
    </cfRule>
    <cfRule type="cellIs" dxfId="5315" priority="5312" stopIfTrue="1" operator="equal">
      <formula>"Fail"</formula>
    </cfRule>
  </conditionalFormatting>
  <conditionalFormatting sqref="I1485:L1485">
    <cfRule type="cellIs" dxfId="5314" priority="5309" stopIfTrue="1" operator="equal">
      <formula>"Pass"</formula>
    </cfRule>
    <cfRule type="cellIs" dxfId="5313" priority="5310" stopIfTrue="1" operator="equal">
      <formula>"Fail"</formula>
    </cfRule>
  </conditionalFormatting>
  <conditionalFormatting sqref="I1485:L1485">
    <cfRule type="cellIs" dxfId="5312" priority="5307" stopIfTrue="1" operator="equal">
      <formula>"Pass"</formula>
    </cfRule>
    <cfRule type="cellIs" dxfId="5311" priority="5308" stopIfTrue="1" operator="equal">
      <formula>"Fail"</formula>
    </cfRule>
  </conditionalFormatting>
  <conditionalFormatting sqref="I1485:L1485">
    <cfRule type="cellIs" dxfId="5310" priority="5305" stopIfTrue="1" operator="equal">
      <formula>"Pass"</formula>
    </cfRule>
    <cfRule type="cellIs" dxfId="5309" priority="5306" stopIfTrue="1" operator="equal">
      <formula>"Fail"</formula>
    </cfRule>
  </conditionalFormatting>
  <conditionalFormatting sqref="I1485:L1485">
    <cfRule type="cellIs" dxfId="5308" priority="5303" stopIfTrue="1" operator="equal">
      <formula>"Pass"</formula>
    </cfRule>
    <cfRule type="cellIs" dxfId="5307" priority="5304" stopIfTrue="1" operator="equal">
      <formula>"Fail"</formula>
    </cfRule>
  </conditionalFormatting>
  <conditionalFormatting sqref="I1485:L1485">
    <cfRule type="cellIs" dxfId="5306" priority="5301" stopIfTrue="1" operator="equal">
      <formula>"Pass"</formula>
    </cfRule>
    <cfRule type="cellIs" dxfId="5305" priority="5302" stopIfTrue="1" operator="equal">
      <formula>"Fail"</formula>
    </cfRule>
  </conditionalFormatting>
  <conditionalFormatting sqref="I1485:L1485">
    <cfRule type="cellIs" dxfId="5304" priority="5299" stopIfTrue="1" operator="equal">
      <formula>"Pass"</formula>
    </cfRule>
    <cfRule type="cellIs" dxfId="5303" priority="5300" stopIfTrue="1" operator="equal">
      <formula>"Fail"</formula>
    </cfRule>
  </conditionalFormatting>
  <conditionalFormatting sqref="I1485:L1485">
    <cfRule type="cellIs" dxfId="5302" priority="5297" stopIfTrue="1" operator="equal">
      <formula>"Pass"</formula>
    </cfRule>
    <cfRule type="cellIs" dxfId="5301" priority="5298" stopIfTrue="1" operator="equal">
      <formula>"Fail"</formula>
    </cfRule>
  </conditionalFormatting>
  <conditionalFormatting sqref="I1485:L1485">
    <cfRule type="cellIs" dxfId="5300" priority="5295" stopIfTrue="1" operator="equal">
      <formula>"Pass"</formula>
    </cfRule>
    <cfRule type="cellIs" dxfId="5299" priority="5296" stopIfTrue="1" operator="equal">
      <formula>"Fail"</formula>
    </cfRule>
  </conditionalFormatting>
  <conditionalFormatting sqref="I1485:L1485">
    <cfRule type="cellIs" dxfId="5298" priority="5293" stopIfTrue="1" operator="equal">
      <formula>"Pass"</formula>
    </cfRule>
    <cfRule type="cellIs" dxfId="5297" priority="5294" stopIfTrue="1" operator="equal">
      <formula>"Fail"</formula>
    </cfRule>
  </conditionalFormatting>
  <conditionalFormatting sqref="I1485:L1485">
    <cfRule type="cellIs" dxfId="5296" priority="5291" stopIfTrue="1" operator="equal">
      <formula>"Pass"</formula>
    </cfRule>
    <cfRule type="cellIs" dxfId="5295" priority="5292" stopIfTrue="1" operator="equal">
      <formula>"Fail"</formula>
    </cfRule>
  </conditionalFormatting>
  <conditionalFormatting sqref="I1485:L1485">
    <cfRule type="cellIs" dxfId="5294" priority="5289" stopIfTrue="1" operator="equal">
      <formula>"Pass"</formula>
    </cfRule>
    <cfRule type="cellIs" dxfId="5293" priority="5290" stopIfTrue="1" operator="equal">
      <formula>"Fail"</formula>
    </cfRule>
  </conditionalFormatting>
  <conditionalFormatting sqref="I1485:L1485">
    <cfRule type="cellIs" dxfId="5292" priority="5287" stopIfTrue="1" operator="equal">
      <formula>"Pass"</formula>
    </cfRule>
    <cfRule type="cellIs" dxfId="5291" priority="5288" stopIfTrue="1" operator="equal">
      <formula>"Fail"</formula>
    </cfRule>
  </conditionalFormatting>
  <conditionalFormatting sqref="I1485:L1485">
    <cfRule type="cellIs" dxfId="5290" priority="5285" stopIfTrue="1" operator="equal">
      <formula>"Pass"</formula>
    </cfRule>
    <cfRule type="cellIs" dxfId="5289" priority="5286" stopIfTrue="1" operator="equal">
      <formula>"Fail"</formula>
    </cfRule>
  </conditionalFormatting>
  <conditionalFormatting sqref="I1485:L1485">
    <cfRule type="cellIs" dxfId="5288" priority="5283" stopIfTrue="1" operator="equal">
      <formula>"Pass"</formula>
    </cfRule>
    <cfRule type="cellIs" dxfId="5287" priority="5284" stopIfTrue="1" operator="equal">
      <formula>"Fail"</formula>
    </cfRule>
  </conditionalFormatting>
  <conditionalFormatting sqref="I1485:L1485">
    <cfRule type="cellIs" dxfId="5286" priority="5281" stopIfTrue="1" operator="equal">
      <formula>"Pass"</formula>
    </cfRule>
    <cfRule type="cellIs" dxfId="5285" priority="5282" stopIfTrue="1" operator="equal">
      <formula>"Fail"</formula>
    </cfRule>
  </conditionalFormatting>
  <conditionalFormatting sqref="J1485:L1485">
    <cfRule type="cellIs" dxfId="5284" priority="5279" stopIfTrue="1" operator="equal">
      <formula>"Pass"</formula>
    </cfRule>
    <cfRule type="cellIs" dxfId="5283" priority="5280" stopIfTrue="1" operator="equal">
      <formula>"Fail"</formula>
    </cfRule>
  </conditionalFormatting>
  <conditionalFormatting sqref="I1485">
    <cfRule type="cellIs" dxfId="5282" priority="5277" stopIfTrue="1" operator="equal">
      <formula>"Pass"</formula>
    </cfRule>
    <cfRule type="cellIs" dxfId="5281" priority="5278" stopIfTrue="1" operator="equal">
      <formula>"Fail"</formula>
    </cfRule>
  </conditionalFormatting>
  <conditionalFormatting sqref="I1485:L1485">
    <cfRule type="cellIs" dxfId="5280" priority="5275" stopIfTrue="1" operator="equal">
      <formula>"Pass"</formula>
    </cfRule>
    <cfRule type="cellIs" dxfId="5279" priority="5276" stopIfTrue="1" operator="equal">
      <formula>"Fail"</formula>
    </cfRule>
  </conditionalFormatting>
  <conditionalFormatting sqref="J1485:L1485">
    <cfRule type="cellIs" dxfId="5278" priority="5273" stopIfTrue="1" operator="equal">
      <formula>"Pass"</formula>
    </cfRule>
    <cfRule type="cellIs" dxfId="5277" priority="5274" stopIfTrue="1" operator="equal">
      <formula>"Fail"</formula>
    </cfRule>
  </conditionalFormatting>
  <conditionalFormatting sqref="I1485">
    <cfRule type="cellIs" dxfId="5276" priority="5271" stopIfTrue="1" operator="equal">
      <formula>"Pass"</formula>
    </cfRule>
    <cfRule type="cellIs" dxfId="5275" priority="5272" stopIfTrue="1" operator="equal">
      <formula>"Fail"</formula>
    </cfRule>
  </conditionalFormatting>
  <conditionalFormatting sqref="I1485:L1485">
    <cfRule type="cellIs" dxfId="5274" priority="5269" stopIfTrue="1" operator="equal">
      <formula>"Pass"</formula>
    </cfRule>
    <cfRule type="cellIs" dxfId="5273" priority="5270" stopIfTrue="1" operator="equal">
      <formula>"Fail"</formula>
    </cfRule>
  </conditionalFormatting>
  <conditionalFormatting sqref="I1485:L1485">
    <cfRule type="cellIs" dxfId="5272" priority="5267" stopIfTrue="1" operator="equal">
      <formula>"Pass"</formula>
    </cfRule>
    <cfRule type="cellIs" dxfId="5271" priority="5268" stopIfTrue="1" operator="equal">
      <formula>"Fail"</formula>
    </cfRule>
  </conditionalFormatting>
  <conditionalFormatting sqref="I1485:L1485">
    <cfRule type="cellIs" dxfId="5270" priority="5265" stopIfTrue="1" operator="equal">
      <formula>"Pass"</formula>
    </cfRule>
    <cfRule type="cellIs" dxfId="5269" priority="5266" stopIfTrue="1" operator="equal">
      <formula>"Fail"</formula>
    </cfRule>
  </conditionalFormatting>
  <conditionalFormatting sqref="I1485:L1485">
    <cfRule type="cellIs" dxfId="5268" priority="5263" stopIfTrue="1" operator="equal">
      <formula>"Pass"</formula>
    </cfRule>
    <cfRule type="cellIs" dxfId="5267" priority="5264" stopIfTrue="1" operator="equal">
      <formula>"Fail"</formula>
    </cfRule>
  </conditionalFormatting>
  <conditionalFormatting sqref="I1485:L1485">
    <cfRule type="cellIs" dxfId="5266" priority="5261" stopIfTrue="1" operator="equal">
      <formula>"Pass"</formula>
    </cfRule>
    <cfRule type="cellIs" dxfId="5265" priority="5262" stopIfTrue="1" operator="equal">
      <formula>"Fail"</formula>
    </cfRule>
  </conditionalFormatting>
  <conditionalFormatting sqref="I1485:L1485">
    <cfRule type="cellIs" dxfId="5264" priority="5259" stopIfTrue="1" operator="equal">
      <formula>"Pass"</formula>
    </cfRule>
    <cfRule type="cellIs" dxfId="5263" priority="5260" stopIfTrue="1" operator="equal">
      <formula>"Fail"</formula>
    </cfRule>
  </conditionalFormatting>
  <conditionalFormatting sqref="I1485:L1485">
    <cfRule type="cellIs" dxfId="5262" priority="5257" stopIfTrue="1" operator="equal">
      <formula>"Pass"</formula>
    </cfRule>
    <cfRule type="cellIs" dxfId="5261" priority="5258" stopIfTrue="1" operator="equal">
      <formula>"Fail"</formula>
    </cfRule>
  </conditionalFormatting>
  <conditionalFormatting sqref="I1485:L1485">
    <cfRule type="cellIs" dxfId="5260" priority="5255" stopIfTrue="1" operator="equal">
      <formula>"Pass"</formula>
    </cfRule>
    <cfRule type="cellIs" dxfId="5259" priority="5256" stopIfTrue="1" operator="equal">
      <formula>"Fail"</formula>
    </cfRule>
  </conditionalFormatting>
  <conditionalFormatting sqref="I1485:L1485">
    <cfRule type="cellIs" dxfId="5258" priority="5253" stopIfTrue="1" operator="equal">
      <formula>"Pass"</formula>
    </cfRule>
    <cfRule type="cellIs" dxfId="5257" priority="5254" stopIfTrue="1" operator="equal">
      <formula>"Fail"</formula>
    </cfRule>
  </conditionalFormatting>
  <conditionalFormatting sqref="I1485:L1485">
    <cfRule type="cellIs" dxfId="5256" priority="5251" stopIfTrue="1" operator="equal">
      <formula>"Pass"</formula>
    </cfRule>
    <cfRule type="cellIs" dxfId="5255" priority="5252" stopIfTrue="1" operator="equal">
      <formula>"Fail"</formula>
    </cfRule>
  </conditionalFormatting>
  <conditionalFormatting sqref="I1485:L1485">
    <cfRule type="cellIs" dxfId="5254" priority="5249" stopIfTrue="1" operator="equal">
      <formula>"Pass"</formula>
    </cfRule>
    <cfRule type="cellIs" dxfId="5253" priority="5250" stopIfTrue="1" operator="equal">
      <formula>"Fail"</formula>
    </cfRule>
  </conditionalFormatting>
  <conditionalFormatting sqref="I1485:L1485">
    <cfRule type="cellIs" dxfId="5252" priority="5247" stopIfTrue="1" operator="equal">
      <formula>"Pass"</formula>
    </cfRule>
    <cfRule type="cellIs" dxfId="5251" priority="5248" stopIfTrue="1" operator="equal">
      <formula>"Fail"</formula>
    </cfRule>
  </conditionalFormatting>
  <conditionalFormatting sqref="I1485:L1485">
    <cfRule type="cellIs" dxfId="5250" priority="5245" stopIfTrue="1" operator="equal">
      <formula>"Pass"</formula>
    </cfRule>
    <cfRule type="cellIs" dxfId="5249" priority="5246" stopIfTrue="1" operator="equal">
      <formula>"Fail"</formula>
    </cfRule>
  </conditionalFormatting>
  <conditionalFormatting sqref="I1485:L1485">
    <cfRule type="cellIs" dxfId="5248" priority="5243" stopIfTrue="1" operator="equal">
      <formula>"Pass"</formula>
    </cfRule>
    <cfRule type="cellIs" dxfId="5247" priority="5244" stopIfTrue="1" operator="equal">
      <formula>"Fail"</formula>
    </cfRule>
  </conditionalFormatting>
  <conditionalFormatting sqref="I1485:L1485">
    <cfRule type="cellIs" dxfId="5246" priority="5241" stopIfTrue="1" operator="equal">
      <formula>"Pass"</formula>
    </cfRule>
    <cfRule type="cellIs" dxfId="5245" priority="5242" stopIfTrue="1" operator="equal">
      <formula>"Fail"</formula>
    </cfRule>
  </conditionalFormatting>
  <conditionalFormatting sqref="I1485:L1485">
    <cfRule type="cellIs" dxfId="5244" priority="5239" stopIfTrue="1" operator="equal">
      <formula>"Pass"</formula>
    </cfRule>
    <cfRule type="cellIs" dxfId="5243" priority="5240" stopIfTrue="1" operator="equal">
      <formula>"Fail"</formula>
    </cfRule>
  </conditionalFormatting>
  <conditionalFormatting sqref="I1485:L1485">
    <cfRule type="cellIs" dxfId="5242" priority="5237" stopIfTrue="1" operator="equal">
      <formula>"Pass"</formula>
    </cfRule>
    <cfRule type="cellIs" dxfId="5241" priority="5238" stopIfTrue="1" operator="equal">
      <formula>"Fail"</formula>
    </cfRule>
  </conditionalFormatting>
  <conditionalFormatting sqref="I1485:L1485">
    <cfRule type="cellIs" dxfId="5240" priority="5235" stopIfTrue="1" operator="equal">
      <formula>"Pass"</formula>
    </cfRule>
    <cfRule type="cellIs" dxfId="5239" priority="5236" stopIfTrue="1" operator="equal">
      <formula>"Fail"</formula>
    </cfRule>
  </conditionalFormatting>
  <conditionalFormatting sqref="I1485:L1485">
    <cfRule type="cellIs" dxfId="5238" priority="5233" stopIfTrue="1" operator="equal">
      <formula>"Pass"</formula>
    </cfRule>
    <cfRule type="cellIs" dxfId="5237" priority="5234" stopIfTrue="1" operator="equal">
      <formula>"Fail"</formula>
    </cfRule>
  </conditionalFormatting>
  <conditionalFormatting sqref="I1485:L1485">
    <cfRule type="cellIs" dxfId="5236" priority="5231" stopIfTrue="1" operator="equal">
      <formula>"Pass"</formula>
    </cfRule>
    <cfRule type="cellIs" dxfId="5235" priority="5232" stopIfTrue="1" operator="equal">
      <formula>"Fail"</formula>
    </cfRule>
  </conditionalFormatting>
  <conditionalFormatting sqref="I1485:L1485">
    <cfRule type="cellIs" dxfId="5234" priority="5229" stopIfTrue="1" operator="equal">
      <formula>"Pass"</formula>
    </cfRule>
    <cfRule type="cellIs" dxfId="5233" priority="5230" stopIfTrue="1" operator="equal">
      <formula>"Fail"</formula>
    </cfRule>
  </conditionalFormatting>
  <conditionalFormatting sqref="I1485:L1485">
    <cfRule type="cellIs" dxfId="5232" priority="5227" stopIfTrue="1" operator="equal">
      <formula>"Pass"</formula>
    </cfRule>
    <cfRule type="cellIs" dxfId="5231" priority="5228" stopIfTrue="1" operator="equal">
      <formula>"Fail"</formula>
    </cfRule>
  </conditionalFormatting>
  <conditionalFormatting sqref="I1485:L1485">
    <cfRule type="cellIs" dxfId="5230" priority="5225" stopIfTrue="1" operator="equal">
      <formula>"Pass"</formula>
    </cfRule>
    <cfRule type="cellIs" dxfId="5229" priority="5226" stopIfTrue="1" operator="equal">
      <formula>"Fail"</formula>
    </cfRule>
  </conditionalFormatting>
  <conditionalFormatting sqref="I1485:L1485">
    <cfRule type="cellIs" dxfId="5228" priority="5223" stopIfTrue="1" operator="equal">
      <formula>"Pass"</formula>
    </cfRule>
    <cfRule type="cellIs" dxfId="5227" priority="5224" stopIfTrue="1" operator="equal">
      <formula>"Fail"</formula>
    </cfRule>
  </conditionalFormatting>
  <conditionalFormatting sqref="I1485:L1485">
    <cfRule type="cellIs" dxfId="5226" priority="5221" stopIfTrue="1" operator="equal">
      <formula>"Pass"</formula>
    </cfRule>
    <cfRule type="cellIs" dxfId="5225" priority="5222" stopIfTrue="1" operator="equal">
      <formula>"Fail"</formula>
    </cfRule>
  </conditionalFormatting>
  <conditionalFormatting sqref="I1485:L1485">
    <cfRule type="cellIs" dxfId="5224" priority="5219" stopIfTrue="1" operator="equal">
      <formula>"Pass"</formula>
    </cfRule>
    <cfRule type="cellIs" dxfId="5223" priority="5220" stopIfTrue="1" operator="equal">
      <formula>"Fail"</formula>
    </cfRule>
  </conditionalFormatting>
  <conditionalFormatting sqref="I1485:L1485">
    <cfRule type="cellIs" dxfId="5222" priority="5217" stopIfTrue="1" operator="equal">
      <formula>"Pass"</formula>
    </cfRule>
    <cfRule type="cellIs" dxfId="5221" priority="5218" stopIfTrue="1" operator="equal">
      <formula>"Fail"</formula>
    </cfRule>
  </conditionalFormatting>
  <conditionalFormatting sqref="I1485:L1485">
    <cfRule type="cellIs" dxfId="5220" priority="5215" stopIfTrue="1" operator="equal">
      <formula>"Pass"</formula>
    </cfRule>
    <cfRule type="cellIs" dxfId="5219" priority="5216" stopIfTrue="1" operator="equal">
      <formula>"Fail"</formula>
    </cfRule>
  </conditionalFormatting>
  <conditionalFormatting sqref="I1485:L1485">
    <cfRule type="cellIs" dxfId="5218" priority="5213" stopIfTrue="1" operator="equal">
      <formula>"Pass"</formula>
    </cfRule>
    <cfRule type="cellIs" dxfId="5217" priority="5214" stopIfTrue="1" operator="equal">
      <formula>"Fail"</formula>
    </cfRule>
  </conditionalFormatting>
  <conditionalFormatting sqref="I1485:L1485">
    <cfRule type="cellIs" dxfId="5216" priority="5211" stopIfTrue="1" operator="equal">
      <formula>"Pass"</formula>
    </cfRule>
    <cfRule type="cellIs" dxfId="5215" priority="5212" stopIfTrue="1" operator="equal">
      <formula>"Fail"</formula>
    </cfRule>
  </conditionalFormatting>
  <conditionalFormatting sqref="I1485:L1485">
    <cfRule type="cellIs" dxfId="5214" priority="5209" stopIfTrue="1" operator="equal">
      <formula>"Pass"</formula>
    </cfRule>
    <cfRule type="cellIs" dxfId="5213" priority="5210" stopIfTrue="1" operator="equal">
      <formula>"Fail"</formula>
    </cfRule>
  </conditionalFormatting>
  <conditionalFormatting sqref="I1485:L1485">
    <cfRule type="cellIs" dxfId="5212" priority="5207" stopIfTrue="1" operator="equal">
      <formula>"Pass"</formula>
    </cfRule>
    <cfRule type="cellIs" dxfId="5211" priority="5208" stopIfTrue="1" operator="equal">
      <formula>"Fail"</formula>
    </cfRule>
  </conditionalFormatting>
  <conditionalFormatting sqref="I1485:L1485">
    <cfRule type="cellIs" dxfId="5210" priority="5205" stopIfTrue="1" operator="equal">
      <formula>"Pass"</formula>
    </cfRule>
    <cfRule type="cellIs" dxfId="5209" priority="5206" stopIfTrue="1" operator="equal">
      <formula>"Fail"</formula>
    </cfRule>
  </conditionalFormatting>
  <conditionalFormatting sqref="I1485:L1485">
    <cfRule type="cellIs" dxfId="5208" priority="5203" stopIfTrue="1" operator="equal">
      <formula>"Pass"</formula>
    </cfRule>
    <cfRule type="cellIs" dxfId="5207" priority="5204" stopIfTrue="1" operator="equal">
      <formula>"Fail"</formula>
    </cfRule>
  </conditionalFormatting>
  <conditionalFormatting sqref="I1485:L1485">
    <cfRule type="cellIs" dxfId="5206" priority="5201" stopIfTrue="1" operator="equal">
      <formula>"Pass"</formula>
    </cfRule>
    <cfRule type="cellIs" dxfId="5205" priority="5202" stopIfTrue="1" operator="equal">
      <formula>"Fail"</formula>
    </cfRule>
  </conditionalFormatting>
  <conditionalFormatting sqref="I1485:L1485">
    <cfRule type="cellIs" dxfId="5204" priority="5199" stopIfTrue="1" operator="equal">
      <formula>"Pass"</formula>
    </cfRule>
    <cfRule type="cellIs" dxfId="5203" priority="5200" stopIfTrue="1" operator="equal">
      <formula>"Fail"</formula>
    </cfRule>
  </conditionalFormatting>
  <conditionalFormatting sqref="I1485:L1485">
    <cfRule type="cellIs" dxfId="5202" priority="5197" stopIfTrue="1" operator="equal">
      <formula>"Pass"</formula>
    </cfRule>
    <cfRule type="cellIs" dxfId="5201" priority="5198" stopIfTrue="1" operator="equal">
      <formula>"Fail"</formula>
    </cfRule>
  </conditionalFormatting>
  <conditionalFormatting sqref="I1485:L1485">
    <cfRule type="cellIs" dxfId="5200" priority="5195" stopIfTrue="1" operator="equal">
      <formula>"Pass"</formula>
    </cfRule>
    <cfRule type="cellIs" dxfId="5199" priority="5196" stopIfTrue="1" operator="equal">
      <formula>"Fail"</formula>
    </cfRule>
  </conditionalFormatting>
  <conditionalFormatting sqref="I1485:L1485">
    <cfRule type="cellIs" dxfId="5198" priority="5193" stopIfTrue="1" operator="equal">
      <formula>"Pass"</formula>
    </cfRule>
    <cfRule type="cellIs" dxfId="5197" priority="5194" stopIfTrue="1" operator="equal">
      <formula>"Fail"</formula>
    </cfRule>
  </conditionalFormatting>
  <conditionalFormatting sqref="H1485:L1485">
    <cfRule type="cellIs" dxfId="5196" priority="5191" stopIfTrue="1" operator="equal">
      <formula>"Pass"</formula>
    </cfRule>
    <cfRule type="cellIs" dxfId="5195" priority="5192" stopIfTrue="1" operator="equal">
      <formula>"Fail"</formula>
    </cfRule>
  </conditionalFormatting>
  <conditionalFormatting sqref="H1485:L1485">
    <cfRule type="cellIs" dxfId="5194" priority="5189" stopIfTrue="1" operator="equal">
      <formula>"Pass"</formula>
    </cfRule>
    <cfRule type="cellIs" dxfId="5193" priority="5190" stopIfTrue="1" operator="equal">
      <formula>"Fail"</formula>
    </cfRule>
  </conditionalFormatting>
  <conditionalFormatting sqref="H1485:L1485">
    <cfRule type="cellIs" dxfId="5192" priority="5187" stopIfTrue="1" operator="equal">
      <formula>"Pass"</formula>
    </cfRule>
    <cfRule type="cellIs" dxfId="5191" priority="5188" stopIfTrue="1" operator="equal">
      <formula>"Fail"</formula>
    </cfRule>
  </conditionalFormatting>
  <conditionalFormatting sqref="H1485:L1485">
    <cfRule type="cellIs" dxfId="5190" priority="5185" stopIfTrue="1" operator="equal">
      <formula>"Pass"</formula>
    </cfRule>
    <cfRule type="cellIs" dxfId="5189" priority="5186" stopIfTrue="1" operator="equal">
      <formula>"Fail"</formula>
    </cfRule>
  </conditionalFormatting>
  <conditionalFormatting sqref="H1485:L1485">
    <cfRule type="cellIs" dxfId="5188" priority="5183" stopIfTrue="1" operator="equal">
      <formula>"Pass"</formula>
    </cfRule>
    <cfRule type="cellIs" dxfId="5187" priority="5184" stopIfTrue="1" operator="equal">
      <formula>"Fail"</formula>
    </cfRule>
  </conditionalFormatting>
  <conditionalFormatting sqref="H1485:L1485">
    <cfRule type="cellIs" dxfId="5186" priority="5181" stopIfTrue="1" operator="equal">
      <formula>"Pass"</formula>
    </cfRule>
    <cfRule type="cellIs" dxfId="5185" priority="5182" stopIfTrue="1" operator="equal">
      <formula>"Fail"</formula>
    </cfRule>
  </conditionalFormatting>
  <conditionalFormatting sqref="H1485:L1485">
    <cfRule type="cellIs" dxfId="5184" priority="5179" stopIfTrue="1" operator="equal">
      <formula>"Pass"</formula>
    </cfRule>
    <cfRule type="cellIs" dxfId="5183" priority="5180" stopIfTrue="1" operator="equal">
      <formula>"Fail"</formula>
    </cfRule>
  </conditionalFormatting>
  <conditionalFormatting sqref="H1485:L1485">
    <cfRule type="cellIs" dxfId="5182" priority="5177" stopIfTrue="1" operator="equal">
      <formula>"Pass"</formula>
    </cfRule>
    <cfRule type="cellIs" dxfId="5181" priority="5178" stopIfTrue="1" operator="equal">
      <formula>"Fail"</formula>
    </cfRule>
  </conditionalFormatting>
  <conditionalFormatting sqref="H1485:L1485">
    <cfRule type="cellIs" dxfId="5180" priority="5175" stopIfTrue="1" operator="equal">
      <formula>"Pass"</formula>
    </cfRule>
    <cfRule type="cellIs" dxfId="5179" priority="5176" stopIfTrue="1" operator="equal">
      <formula>"Fail"</formula>
    </cfRule>
  </conditionalFormatting>
  <conditionalFormatting sqref="I1485">
    <cfRule type="cellIs" dxfId="5178" priority="5173" stopIfTrue="1" operator="equal">
      <formula>"Pass"</formula>
    </cfRule>
    <cfRule type="cellIs" dxfId="5177" priority="5174" stopIfTrue="1" operator="equal">
      <formula>"Fail"</formula>
    </cfRule>
  </conditionalFormatting>
  <conditionalFormatting sqref="H1485:L1485">
    <cfRule type="cellIs" dxfId="5176" priority="5171" stopIfTrue="1" operator="equal">
      <formula>"Pass"</formula>
    </cfRule>
    <cfRule type="cellIs" dxfId="5175" priority="5172" stopIfTrue="1" operator="equal">
      <formula>"Fail"</formula>
    </cfRule>
  </conditionalFormatting>
  <conditionalFormatting sqref="H1485:L1485">
    <cfRule type="cellIs" dxfId="5174" priority="5169" stopIfTrue="1" operator="equal">
      <formula>"Pass"</formula>
    </cfRule>
    <cfRule type="cellIs" dxfId="5173" priority="5170" stopIfTrue="1" operator="equal">
      <formula>"Fail"</formula>
    </cfRule>
  </conditionalFormatting>
  <conditionalFormatting sqref="H1485:L1485">
    <cfRule type="cellIs" dxfId="5172" priority="5167" stopIfTrue="1" operator="equal">
      <formula>"Pass"</formula>
    </cfRule>
    <cfRule type="cellIs" dxfId="5171" priority="5168" stopIfTrue="1" operator="equal">
      <formula>"Fail"</formula>
    </cfRule>
  </conditionalFormatting>
  <conditionalFormatting sqref="H1485:L1485">
    <cfRule type="cellIs" dxfId="5170" priority="5165" stopIfTrue="1" operator="equal">
      <formula>"Pass"</formula>
    </cfRule>
    <cfRule type="cellIs" dxfId="5169" priority="5166" stopIfTrue="1" operator="equal">
      <formula>"Fail"</formula>
    </cfRule>
  </conditionalFormatting>
  <conditionalFormatting sqref="H1485:L1485">
    <cfRule type="cellIs" dxfId="5168" priority="5163" stopIfTrue="1" operator="equal">
      <formula>"Pass"</formula>
    </cfRule>
    <cfRule type="cellIs" dxfId="5167" priority="5164" stopIfTrue="1" operator="equal">
      <formula>"Fail"</formula>
    </cfRule>
  </conditionalFormatting>
  <conditionalFormatting sqref="H1485:L1485">
    <cfRule type="cellIs" dxfId="5166" priority="5161" stopIfTrue="1" operator="equal">
      <formula>"Pass"</formula>
    </cfRule>
    <cfRule type="cellIs" dxfId="5165" priority="5162" stopIfTrue="1" operator="equal">
      <formula>"Fail"</formula>
    </cfRule>
  </conditionalFormatting>
  <conditionalFormatting sqref="H1485:L1485">
    <cfRule type="cellIs" dxfId="5164" priority="5159" stopIfTrue="1" operator="equal">
      <formula>"Pass"</formula>
    </cfRule>
    <cfRule type="cellIs" dxfId="5163" priority="5160" stopIfTrue="1" operator="equal">
      <formula>"Fail"</formula>
    </cfRule>
  </conditionalFormatting>
  <conditionalFormatting sqref="H1485:L1485">
    <cfRule type="cellIs" dxfId="5162" priority="5157" stopIfTrue="1" operator="equal">
      <formula>"Pass"</formula>
    </cfRule>
    <cfRule type="cellIs" dxfId="5161" priority="5158" stopIfTrue="1" operator="equal">
      <formula>"Fail"</formula>
    </cfRule>
  </conditionalFormatting>
  <conditionalFormatting sqref="I1485:L1485">
    <cfRule type="cellIs" dxfId="5160" priority="5155" stopIfTrue="1" operator="equal">
      <formula>"Pass"</formula>
    </cfRule>
    <cfRule type="cellIs" dxfId="5159" priority="5156" stopIfTrue="1" operator="equal">
      <formula>"Fail"</formula>
    </cfRule>
  </conditionalFormatting>
  <conditionalFormatting sqref="I1485:L1485">
    <cfRule type="cellIs" dxfId="5158" priority="5153" stopIfTrue="1" operator="equal">
      <formula>"Pass"</formula>
    </cfRule>
    <cfRule type="cellIs" dxfId="5157" priority="5154" stopIfTrue="1" operator="equal">
      <formula>"Fail"</formula>
    </cfRule>
  </conditionalFormatting>
  <conditionalFormatting sqref="I1485:L1485">
    <cfRule type="cellIs" dxfId="5156" priority="5151" stopIfTrue="1" operator="equal">
      <formula>"Pass"</formula>
    </cfRule>
    <cfRule type="cellIs" dxfId="5155" priority="5152" stopIfTrue="1" operator="equal">
      <formula>"Fail"</formula>
    </cfRule>
  </conditionalFormatting>
  <conditionalFormatting sqref="I1485:L1485">
    <cfRule type="cellIs" dxfId="5154" priority="5149" stopIfTrue="1" operator="equal">
      <formula>"Pass"</formula>
    </cfRule>
    <cfRule type="cellIs" dxfId="5153" priority="5150" stopIfTrue="1" operator="equal">
      <formula>"Fail"</formula>
    </cfRule>
  </conditionalFormatting>
  <conditionalFormatting sqref="I1485:L1485">
    <cfRule type="cellIs" dxfId="5152" priority="5147" stopIfTrue="1" operator="equal">
      <formula>"Pass"</formula>
    </cfRule>
    <cfRule type="cellIs" dxfId="5151" priority="5148" stopIfTrue="1" operator="equal">
      <formula>"Fail"</formula>
    </cfRule>
  </conditionalFormatting>
  <conditionalFormatting sqref="I1485:L1485">
    <cfRule type="cellIs" dxfId="5150" priority="5145" stopIfTrue="1" operator="equal">
      <formula>"Pass"</formula>
    </cfRule>
    <cfRule type="cellIs" dxfId="5149" priority="5146" stopIfTrue="1" operator="equal">
      <formula>"Fail"</formula>
    </cfRule>
  </conditionalFormatting>
  <conditionalFormatting sqref="I1485:L1485">
    <cfRule type="cellIs" dxfId="5148" priority="5143" stopIfTrue="1" operator="equal">
      <formula>"Pass"</formula>
    </cfRule>
    <cfRule type="cellIs" dxfId="5147" priority="5144" stopIfTrue="1" operator="equal">
      <formula>"Fail"</formula>
    </cfRule>
  </conditionalFormatting>
  <conditionalFormatting sqref="I1485:L1485">
    <cfRule type="cellIs" dxfId="5146" priority="5141" stopIfTrue="1" operator="equal">
      <formula>"Pass"</formula>
    </cfRule>
    <cfRule type="cellIs" dxfId="5145" priority="5142" stopIfTrue="1" operator="equal">
      <formula>"Fail"</formula>
    </cfRule>
  </conditionalFormatting>
  <conditionalFormatting sqref="I1485:L1485">
    <cfRule type="cellIs" dxfId="5144" priority="5139" stopIfTrue="1" operator="equal">
      <formula>"Pass"</formula>
    </cfRule>
    <cfRule type="cellIs" dxfId="5143" priority="5140" stopIfTrue="1" operator="equal">
      <formula>"Fail"</formula>
    </cfRule>
  </conditionalFormatting>
  <conditionalFormatting sqref="I1485:L1485">
    <cfRule type="cellIs" dxfId="5142" priority="5137" stopIfTrue="1" operator="equal">
      <formula>"Pass"</formula>
    </cfRule>
    <cfRule type="cellIs" dxfId="5141" priority="5138" stopIfTrue="1" operator="equal">
      <formula>"Fail"</formula>
    </cfRule>
  </conditionalFormatting>
  <conditionalFormatting sqref="I1485:L1485">
    <cfRule type="cellIs" dxfId="5140" priority="5135" stopIfTrue="1" operator="equal">
      <formula>"Pass"</formula>
    </cfRule>
    <cfRule type="cellIs" dxfId="5139" priority="5136" stopIfTrue="1" operator="equal">
      <formula>"Fail"</formula>
    </cfRule>
  </conditionalFormatting>
  <conditionalFormatting sqref="J1485:L1485">
    <cfRule type="cellIs" dxfId="5138" priority="5133" stopIfTrue="1" operator="equal">
      <formula>"Pass"</formula>
    </cfRule>
    <cfRule type="cellIs" dxfId="5137" priority="5134" stopIfTrue="1" operator="equal">
      <formula>"Fail"</formula>
    </cfRule>
  </conditionalFormatting>
  <conditionalFormatting sqref="I1485">
    <cfRule type="cellIs" dxfId="5136" priority="5131" stopIfTrue="1" operator="equal">
      <formula>"Pass"</formula>
    </cfRule>
    <cfRule type="cellIs" dxfId="5135" priority="5132" stopIfTrue="1" operator="equal">
      <formula>"Fail"</formula>
    </cfRule>
  </conditionalFormatting>
  <conditionalFormatting sqref="I1485:L1485">
    <cfRule type="cellIs" dxfId="5134" priority="5129" stopIfTrue="1" operator="equal">
      <formula>"Pass"</formula>
    </cfRule>
    <cfRule type="cellIs" dxfId="5133" priority="5130" stopIfTrue="1" operator="equal">
      <formula>"Fail"</formula>
    </cfRule>
  </conditionalFormatting>
  <conditionalFormatting sqref="J1485:L1485">
    <cfRule type="cellIs" dxfId="5132" priority="5127" stopIfTrue="1" operator="equal">
      <formula>"Pass"</formula>
    </cfRule>
    <cfRule type="cellIs" dxfId="5131" priority="5128" stopIfTrue="1" operator="equal">
      <formula>"Fail"</formula>
    </cfRule>
  </conditionalFormatting>
  <conditionalFormatting sqref="I1485">
    <cfRule type="cellIs" dxfId="5130" priority="5125" stopIfTrue="1" operator="equal">
      <formula>"Pass"</formula>
    </cfRule>
    <cfRule type="cellIs" dxfId="5129" priority="5126" stopIfTrue="1" operator="equal">
      <formula>"Fail"</formula>
    </cfRule>
  </conditionalFormatting>
  <conditionalFormatting sqref="I1485:L1485">
    <cfRule type="cellIs" dxfId="5128" priority="5123" stopIfTrue="1" operator="equal">
      <formula>"Pass"</formula>
    </cfRule>
    <cfRule type="cellIs" dxfId="5127" priority="5124" stopIfTrue="1" operator="equal">
      <formula>"Fail"</formula>
    </cfRule>
  </conditionalFormatting>
  <conditionalFormatting sqref="I1485:L1485">
    <cfRule type="cellIs" dxfId="5126" priority="5121" stopIfTrue="1" operator="equal">
      <formula>"Pass"</formula>
    </cfRule>
    <cfRule type="cellIs" dxfId="5125" priority="5122" stopIfTrue="1" operator="equal">
      <formula>"Fail"</formula>
    </cfRule>
  </conditionalFormatting>
  <conditionalFormatting sqref="I1485:L1485">
    <cfRule type="cellIs" dxfId="5124" priority="5119" stopIfTrue="1" operator="equal">
      <formula>"Pass"</formula>
    </cfRule>
    <cfRule type="cellIs" dxfId="5123" priority="5120" stopIfTrue="1" operator="equal">
      <formula>"Fail"</formula>
    </cfRule>
  </conditionalFormatting>
  <conditionalFormatting sqref="I1485:L1485">
    <cfRule type="cellIs" dxfId="5122" priority="5117" stopIfTrue="1" operator="equal">
      <formula>"Pass"</formula>
    </cfRule>
    <cfRule type="cellIs" dxfId="5121" priority="5118" stopIfTrue="1" operator="equal">
      <formula>"Fail"</formula>
    </cfRule>
  </conditionalFormatting>
  <conditionalFormatting sqref="I1485:L1485">
    <cfRule type="cellIs" dxfId="5120" priority="5115" stopIfTrue="1" operator="equal">
      <formula>"Pass"</formula>
    </cfRule>
    <cfRule type="cellIs" dxfId="5119" priority="5116" stopIfTrue="1" operator="equal">
      <formula>"Fail"</formula>
    </cfRule>
  </conditionalFormatting>
  <conditionalFormatting sqref="J1485:L1485">
    <cfRule type="cellIs" dxfId="5118" priority="5113" stopIfTrue="1" operator="equal">
      <formula>"Pass"</formula>
    </cfRule>
    <cfRule type="cellIs" dxfId="5117" priority="5114" stopIfTrue="1" operator="equal">
      <formula>"Fail"</formula>
    </cfRule>
  </conditionalFormatting>
  <conditionalFormatting sqref="I1485">
    <cfRule type="cellIs" dxfId="5116" priority="5111" stopIfTrue="1" operator="equal">
      <formula>"Pass"</formula>
    </cfRule>
    <cfRule type="cellIs" dxfId="5115" priority="5112" stopIfTrue="1" operator="equal">
      <formula>"Fail"</formula>
    </cfRule>
  </conditionalFormatting>
  <conditionalFormatting sqref="I1485:L1485">
    <cfRule type="cellIs" dxfId="5114" priority="5109" stopIfTrue="1" operator="equal">
      <formula>"Pass"</formula>
    </cfRule>
    <cfRule type="cellIs" dxfId="5113" priority="5110" stopIfTrue="1" operator="equal">
      <formula>"Fail"</formula>
    </cfRule>
  </conditionalFormatting>
  <conditionalFormatting sqref="J1485:L1485">
    <cfRule type="cellIs" dxfId="5112" priority="5107" stopIfTrue="1" operator="equal">
      <formula>"Pass"</formula>
    </cfRule>
    <cfRule type="cellIs" dxfId="5111" priority="5108" stopIfTrue="1" operator="equal">
      <formula>"Fail"</formula>
    </cfRule>
  </conditionalFormatting>
  <conditionalFormatting sqref="I1485">
    <cfRule type="cellIs" dxfId="5110" priority="5105" stopIfTrue="1" operator="equal">
      <formula>"Pass"</formula>
    </cfRule>
    <cfRule type="cellIs" dxfId="5109" priority="5106" stopIfTrue="1" operator="equal">
      <formula>"Fail"</formula>
    </cfRule>
  </conditionalFormatting>
  <conditionalFormatting sqref="I1485:L1485">
    <cfRule type="cellIs" dxfId="5108" priority="5103" stopIfTrue="1" operator="equal">
      <formula>"Pass"</formula>
    </cfRule>
    <cfRule type="cellIs" dxfId="5107" priority="5104" stopIfTrue="1" operator="equal">
      <formula>"Fail"</formula>
    </cfRule>
  </conditionalFormatting>
  <conditionalFormatting sqref="I1485:L1485">
    <cfRule type="cellIs" dxfId="5106" priority="5101" stopIfTrue="1" operator="equal">
      <formula>"Pass"</formula>
    </cfRule>
    <cfRule type="cellIs" dxfId="5105" priority="5102" stopIfTrue="1" operator="equal">
      <formula>"Fail"</formula>
    </cfRule>
  </conditionalFormatting>
  <conditionalFormatting sqref="I1485:L1485">
    <cfRule type="cellIs" dxfId="5104" priority="5099" stopIfTrue="1" operator="equal">
      <formula>"Pass"</formula>
    </cfRule>
    <cfRule type="cellIs" dxfId="5103" priority="5100" stopIfTrue="1" operator="equal">
      <formula>"Fail"</formula>
    </cfRule>
  </conditionalFormatting>
  <conditionalFormatting sqref="I1485:L1485">
    <cfRule type="cellIs" dxfId="5102" priority="5097" stopIfTrue="1" operator="equal">
      <formula>"Pass"</formula>
    </cfRule>
    <cfRule type="cellIs" dxfId="5101" priority="5098" stopIfTrue="1" operator="equal">
      <formula>"Fail"</formula>
    </cfRule>
  </conditionalFormatting>
  <conditionalFormatting sqref="I1485:L1485">
    <cfRule type="cellIs" dxfId="5100" priority="5095" stopIfTrue="1" operator="equal">
      <formula>"Pass"</formula>
    </cfRule>
    <cfRule type="cellIs" dxfId="5099" priority="5096" stopIfTrue="1" operator="equal">
      <formula>"Fail"</formula>
    </cfRule>
  </conditionalFormatting>
  <conditionalFormatting sqref="I1485:L1485">
    <cfRule type="cellIs" dxfId="5098" priority="5093" stopIfTrue="1" operator="equal">
      <formula>"Pass"</formula>
    </cfRule>
    <cfRule type="cellIs" dxfId="5097" priority="5094" stopIfTrue="1" operator="equal">
      <formula>"Fail"</formula>
    </cfRule>
  </conditionalFormatting>
  <conditionalFormatting sqref="I1485:L1485">
    <cfRule type="cellIs" dxfId="5096" priority="5091" stopIfTrue="1" operator="equal">
      <formula>"Pass"</formula>
    </cfRule>
    <cfRule type="cellIs" dxfId="5095" priority="5092" stopIfTrue="1" operator="equal">
      <formula>"Fail"</formula>
    </cfRule>
  </conditionalFormatting>
  <conditionalFormatting sqref="I1485:L1485">
    <cfRule type="cellIs" dxfId="5094" priority="5089" stopIfTrue="1" operator="equal">
      <formula>"Pass"</formula>
    </cfRule>
    <cfRule type="cellIs" dxfId="5093" priority="5090" stopIfTrue="1" operator="equal">
      <formula>"Fail"</formula>
    </cfRule>
  </conditionalFormatting>
  <conditionalFormatting sqref="I1485:L1485">
    <cfRule type="cellIs" dxfId="5092" priority="5087" stopIfTrue="1" operator="equal">
      <formula>"Pass"</formula>
    </cfRule>
    <cfRule type="cellIs" dxfId="5091" priority="5088" stopIfTrue="1" operator="equal">
      <formula>"Fail"</formula>
    </cfRule>
  </conditionalFormatting>
  <conditionalFormatting sqref="I1485:L1485">
    <cfRule type="cellIs" dxfId="5090" priority="5085" stopIfTrue="1" operator="equal">
      <formula>"Pass"</formula>
    </cfRule>
    <cfRule type="cellIs" dxfId="5089" priority="5086" stopIfTrue="1" operator="equal">
      <formula>"Fail"</formula>
    </cfRule>
  </conditionalFormatting>
  <conditionalFormatting sqref="J1485:L1485">
    <cfRule type="cellIs" dxfId="5088" priority="5083" stopIfTrue="1" operator="equal">
      <formula>"Pass"</formula>
    </cfRule>
    <cfRule type="cellIs" dxfId="5087" priority="5084" stopIfTrue="1" operator="equal">
      <formula>"Fail"</formula>
    </cfRule>
  </conditionalFormatting>
  <conditionalFormatting sqref="I1485">
    <cfRule type="cellIs" dxfId="5086" priority="5081" stopIfTrue="1" operator="equal">
      <formula>"Pass"</formula>
    </cfRule>
    <cfRule type="cellIs" dxfId="5085" priority="5082" stopIfTrue="1" operator="equal">
      <formula>"Fail"</formula>
    </cfRule>
  </conditionalFormatting>
  <conditionalFormatting sqref="I1485:L1485">
    <cfRule type="cellIs" dxfId="5084" priority="5079" stopIfTrue="1" operator="equal">
      <formula>"Pass"</formula>
    </cfRule>
    <cfRule type="cellIs" dxfId="5083" priority="5080" stopIfTrue="1" operator="equal">
      <formula>"Fail"</formula>
    </cfRule>
  </conditionalFormatting>
  <conditionalFormatting sqref="J1485:L1485">
    <cfRule type="cellIs" dxfId="5082" priority="5077" stopIfTrue="1" operator="equal">
      <formula>"Pass"</formula>
    </cfRule>
    <cfRule type="cellIs" dxfId="5081" priority="5078" stopIfTrue="1" operator="equal">
      <formula>"Fail"</formula>
    </cfRule>
  </conditionalFormatting>
  <conditionalFormatting sqref="I1485">
    <cfRule type="cellIs" dxfId="5080" priority="5075" stopIfTrue="1" operator="equal">
      <formula>"Pass"</formula>
    </cfRule>
    <cfRule type="cellIs" dxfId="5079" priority="5076" stopIfTrue="1" operator="equal">
      <formula>"Fail"</formula>
    </cfRule>
  </conditionalFormatting>
  <conditionalFormatting sqref="I1485:L1485">
    <cfRule type="cellIs" dxfId="5078" priority="5073" stopIfTrue="1" operator="equal">
      <formula>"Pass"</formula>
    </cfRule>
    <cfRule type="cellIs" dxfId="5077" priority="5074" stopIfTrue="1" operator="equal">
      <formula>"Fail"</formula>
    </cfRule>
  </conditionalFormatting>
  <conditionalFormatting sqref="I1485:L1485">
    <cfRule type="cellIs" dxfId="5076" priority="5071" stopIfTrue="1" operator="equal">
      <formula>"Pass"</formula>
    </cfRule>
    <cfRule type="cellIs" dxfId="5075" priority="5072" stopIfTrue="1" operator="equal">
      <formula>"Fail"</formula>
    </cfRule>
  </conditionalFormatting>
  <conditionalFormatting sqref="I1485:L1485">
    <cfRule type="cellIs" dxfId="5074" priority="5069" stopIfTrue="1" operator="equal">
      <formula>"Pass"</formula>
    </cfRule>
    <cfRule type="cellIs" dxfId="5073" priority="5070" stopIfTrue="1" operator="equal">
      <formula>"Fail"</formula>
    </cfRule>
  </conditionalFormatting>
  <conditionalFormatting sqref="I1485:L1485">
    <cfRule type="cellIs" dxfId="5072" priority="5067" stopIfTrue="1" operator="equal">
      <formula>"Pass"</formula>
    </cfRule>
    <cfRule type="cellIs" dxfId="5071" priority="5068" stopIfTrue="1" operator="equal">
      <formula>"Fail"</formula>
    </cfRule>
  </conditionalFormatting>
  <conditionalFormatting sqref="I1485:L1485">
    <cfRule type="cellIs" dxfId="5070" priority="5065" stopIfTrue="1" operator="equal">
      <formula>"Pass"</formula>
    </cfRule>
    <cfRule type="cellIs" dxfId="5069" priority="5066" stopIfTrue="1" operator="equal">
      <formula>"Fail"</formula>
    </cfRule>
  </conditionalFormatting>
  <conditionalFormatting sqref="I1485:L1485">
    <cfRule type="cellIs" dxfId="5068" priority="5063" stopIfTrue="1" operator="equal">
      <formula>"Pass"</formula>
    </cfRule>
    <cfRule type="cellIs" dxfId="5067" priority="5064" stopIfTrue="1" operator="equal">
      <formula>"Fail"</formula>
    </cfRule>
  </conditionalFormatting>
  <conditionalFormatting sqref="I1485:L1485">
    <cfRule type="cellIs" dxfId="5066" priority="5061" stopIfTrue="1" operator="equal">
      <formula>"Pass"</formula>
    </cfRule>
    <cfRule type="cellIs" dxfId="5065" priority="5062" stopIfTrue="1" operator="equal">
      <formula>"Fail"</formula>
    </cfRule>
  </conditionalFormatting>
  <conditionalFormatting sqref="I1485:L1485">
    <cfRule type="cellIs" dxfId="5064" priority="5059" stopIfTrue="1" operator="equal">
      <formula>"Pass"</formula>
    </cfRule>
    <cfRule type="cellIs" dxfId="5063" priority="5060" stopIfTrue="1" operator="equal">
      <formula>"Fail"</formula>
    </cfRule>
  </conditionalFormatting>
  <conditionalFormatting sqref="I1485:L1485">
    <cfRule type="cellIs" dxfId="5062" priority="5057" stopIfTrue="1" operator="equal">
      <formula>"Pass"</formula>
    </cfRule>
    <cfRule type="cellIs" dxfId="5061" priority="5058" stopIfTrue="1" operator="equal">
      <formula>"Fail"</formula>
    </cfRule>
  </conditionalFormatting>
  <conditionalFormatting sqref="I1485:L1485">
    <cfRule type="cellIs" dxfId="5060" priority="5055" stopIfTrue="1" operator="equal">
      <formula>"Pass"</formula>
    </cfRule>
    <cfRule type="cellIs" dxfId="5059" priority="5056" stopIfTrue="1" operator="equal">
      <formula>"Fail"</formula>
    </cfRule>
  </conditionalFormatting>
  <conditionalFormatting sqref="J1485:L1485">
    <cfRule type="cellIs" dxfId="5058" priority="5053" stopIfTrue="1" operator="equal">
      <formula>"Pass"</formula>
    </cfRule>
    <cfRule type="cellIs" dxfId="5057" priority="5054" stopIfTrue="1" operator="equal">
      <formula>"Fail"</formula>
    </cfRule>
  </conditionalFormatting>
  <conditionalFormatting sqref="I1485">
    <cfRule type="cellIs" dxfId="5056" priority="5051" stopIfTrue="1" operator="equal">
      <formula>"Pass"</formula>
    </cfRule>
    <cfRule type="cellIs" dxfId="5055" priority="5052" stopIfTrue="1" operator="equal">
      <formula>"Fail"</formula>
    </cfRule>
  </conditionalFormatting>
  <conditionalFormatting sqref="I1485:L1485">
    <cfRule type="cellIs" dxfId="5054" priority="5049" stopIfTrue="1" operator="equal">
      <formula>"Pass"</formula>
    </cfRule>
    <cfRule type="cellIs" dxfId="5053" priority="5050" stopIfTrue="1" operator="equal">
      <formula>"Fail"</formula>
    </cfRule>
  </conditionalFormatting>
  <conditionalFormatting sqref="J1485:L1485">
    <cfRule type="cellIs" dxfId="5052" priority="5047" stopIfTrue="1" operator="equal">
      <formula>"Pass"</formula>
    </cfRule>
    <cfRule type="cellIs" dxfId="5051" priority="5048" stopIfTrue="1" operator="equal">
      <formula>"Fail"</formula>
    </cfRule>
  </conditionalFormatting>
  <conditionalFormatting sqref="I1485">
    <cfRule type="cellIs" dxfId="5050" priority="5045" stopIfTrue="1" operator="equal">
      <formula>"Pass"</formula>
    </cfRule>
    <cfRule type="cellIs" dxfId="5049" priority="5046" stopIfTrue="1" operator="equal">
      <formula>"Fail"</formula>
    </cfRule>
  </conditionalFormatting>
  <conditionalFormatting sqref="I1485:L1485">
    <cfRule type="cellIs" dxfId="5048" priority="5043" stopIfTrue="1" operator="equal">
      <formula>"Pass"</formula>
    </cfRule>
    <cfRule type="cellIs" dxfId="5047" priority="5044" stopIfTrue="1" operator="equal">
      <formula>"Fail"</formula>
    </cfRule>
  </conditionalFormatting>
  <conditionalFormatting sqref="I1485:L1485">
    <cfRule type="cellIs" dxfId="5046" priority="5041" stopIfTrue="1" operator="equal">
      <formula>"Pass"</formula>
    </cfRule>
    <cfRule type="cellIs" dxfId="5045" priority="5042" stopIfTrue="1" operator="equal">
      <formula>"Fail"</formula>
    </cfRule>
  </conditionalFormatting>
  <conditionalFormatting sqref="I1485:L1485">
    <cfRule type="cellIs" dxfId="5044" priority="5039" stopIfTrue="1" operator="equal">
      <formula>"Pass"</formula>
    </cfRule>
    <cfRule type="cellIs" dxfId="5043" priority="5040" stopIfTrue="1" operator="equal">
      <formula>"Fail"</formula>
    </cfRule>
  </conditionalFormatting>
  <conditionalFormatting sqref="I1485:L1485">
    <cfRule type="cellIs" dxfId="5042" priority="5037" stopIfTrue="1" operator="equal">
      <formula>"Pass"</formula>
    </cfRule>
    <cfRule type="cellIs" dxfId="5041" priority="5038" stopIfTrue="1" operator="equal">
      <formula>"Fail"</formula>
    </cfRule>
  </conditionalFormatting>
  <conditionalFormatting sqref="I1485:L1485">
    <cfRule type="cellIs" dxfId="5040" priority="5035" stopIfTrue="1" operator="equal">
      <formula>"Pass"</formula>
    </cfRule>
    <cfRule type="cellIs" dxfId="5039" priority="5036" stopIfTrue="1" operator="equal">
      <formula>"Fail"</formula>
    </cfRule>
  </conditionalFormatting>
  <conditionalFormatting sqref="I1485:L1485">
    <cfRule type="cellIs" dxfId="5038" priority="5033" stopIfTrue="1" operator="equal">
      <formula>"Pass"</formula>
    </cfRule>
    <cfRule type="cellIs" dxfId="5037" priority="5034" stopIfTrue="1" operator="equal">
      <formula>"Fail"</formula>
    </cfRule>
  </conditionalFormatting>
  <conditionalFormatting sqref="I1485:L1485">
    <cfRule type="cellIs" dxfId="5036" priority="5031" stopIfTrue="1" operator="equal">
      <formula>"Pass"</formula>
    </cfRule>
    <cfRule type="cellIs" dxfId="5035" priority="5032" stopIfTrue="1" operator="equal">
      <formula>"Fail"</formula>
    </cfRule>
  </conditionalFormatting>
  <conditionalFormatting sqref="I1485:L1485">
    <cfRule type="cellIs" dxfId="5034" priority="5029" stopIfTrue="1" operator="equal">
      <formula>"Pass"</formula>
    </cfRule>
    <cfRule type="cellIs" dxfId="5033" priority="5030" stopIfTrue="1" operator="equal">
      <formula>"Fail"</formula>
    </cfRule>
  </conditionalFormatting>
  <conditionalFormatting sqref="I1485:L1485">
    <cfRule type="cellIs" dxfId="5032" priority="5027" stopIfTrue="1" operator="equal">
      <formula>"Pass"</formula>
    </cfRule>
    <cfRule type="cellIs" dxfId="5031" priority="5028" stopIfTrue="1" operator="equal">
      <formula>"Fail"</formula>
    </cfRule>
  </conditionalFormatting>
  <conditionalFormatting sqref="I1485:L1485">
    <cfRule type="cellIs" dxfId="5030" priority="5025" stopIfTrue="1" operator="equal">
      <formula>"Pass"</formula>
    </cfRule>
    <cfRule type="cellIs" dxfId="5029" priority="5026" stopIfTrue="1" operator="equal">
      <formula>"Fail"</formula>
    </cfRule>
  </conditionalFormatting>
  <conditionalFormatting sqref="I1485:L1485">
    <cfRule type="cellIs" dxfId="5028" priority="5023" stopIfTrue="1" operator="equal">
      <formula>"Pass"</formula>
    </cfRule>
    <cfRule type="cellIs" dxfId="5027" priority="5024" stopIfTrue="1" operator="equal">
      <formula>"Fail"</formula>
    </cfRule>
  </conditionalFormatting>
  <conditionalFormatting sqref="I1485:L1485">
    <cfRule type="cellIs" dxfId="5026" priority="5021" stopIfTrue="1" operator="equal">
      <formula>"Pass"</formula>
    </cfRule>
    <cfRule type="cellIs" dxfId="5025" priority="5022" stopIfTrue="1" operator="equal">
      <formula>"Fail"</formula>
    </cfRule>
  </conditionalFormatting>
  <conditionalFormatting sqref="I1485:L1485">
    <cfRule type="cellIs" dxfId="5024" priority="5019" stopIfTrue="1" operator="equal">
      <formula>"Pass"</formula>
    </cfRule>
    <cfRule type="cellIs" dxfId="5023" priority="5020" stopIfTrue="1" operator="equal">
      <formula>"Fail"</formula>
    </cfRule>
  </conditionalFormatting>
  <conditionalFormatting sqref="I1485:L1485">
    <cfRule type="cellIs" dxfId="5022" priority="5017" stopIfTrue="1" operator="equal">
      <formula>"Pass"</formula>
    </cfRule>
    <cfRule type="cellIs" dxfId="5021" priority="5018" stopIfTrue="1" operator="equal">
      <formula>"Fail"</formula>
    </cfRule>
  </conditionalFormatting>
  <conditionalFormatting sqref="I1485:L1485">
    <cfRule type="cellIs" dxfId="5020" priority="5015" stopIfTrue="1" operator="equal">
      <formula>"Pass"</formula>
    </cfRule>
    <cfRule type="cellIs" dxfId="5019" priority="5016" stopIfTrue="1" operator="equal">
      <formula>"Fail"</formula>
    </cfRule>
  </conditionalFormatting>
  <conditionalFormatting sqref="H1485:L1485">
    <cfRule type="cellIs" dxfId="5018" priority="5013" stopIfTrue="1" operator="equal">
      <formula>"Pass"</formula>
    </cfRule>
    <cfRule type="cellIs" dxfId="5017" priority="5014" stopIfTrue="1" operator="equal">
      <formula>"Fail"</formula>
    </cfRule>
  </conditionalFormatting>
  <conditionalFormatting sqref="H1485">
    <cfRule type="cellIs" dxfId="5016" priority="5011" stopIfTrue="1" operator="equal">
      <formula>"Pass"</formula>
    </cfRule>
    <cfRule type="cellIs" dxfId="5015" priority="5012" stopIfTrue="1" operator="equal">
      <formula>"Fail"</formula>
    </cfRule>
  </conditionalFormatting>
  <conditionalFormatting sqref="H1485">
    <cfRule type="cellIs" dxfId="5014" priority="5009" stopIfTrue="1" operator="equal">
      <formula>"Pass"</formula>
    </cfRule>
    <cfRule type="cellIs" dxfId="5013" priority="5010" stopIfTrue="1" operator="equal">
      <formula>"Fail"</formula>
    </cfRule>
  </conditionalFormatting>
  <conditionalFormatting sqref="H1485:L1485">
    <cfRule type="cellIs" dxfId="5012" priority="5007" stopIfTrue="1" operator="equal">
      <formula>"Pass"</formula>
    </cfRule>
    <cfRule type="cellIs" dxfId="5011" priority="5008" stopIfTrue="1" operator="equal">
      <formula>"Fail"</formula>
    </cfRule>
  </conditionalFormatting>
  <conditionalFormatting sqref="H1485">
    <cfRule type="cellIs" dxfId="5010" priority="5005" stopIfTrue="1" operator="equal">
      <formula>"Pass"</formula>
    </cfRule>
    <cfRule type="cellIs" dxfId="5009" priority="5006" stopIfTrue="1" operator="equal">
      <formula>"Fail"</formula>
    </cfRule>
  </conditionalFormatting>
  <conditionalFormatting sqref="H1485">
    <cfRule type="cellIs" dxfId="5008" priority="5003" stopIfTrue="1" operator="equal">
      <formula>"Pass"</formula>
    </cfRule>
    <cfRule type="cellIs" dxfId="5007" priority="5004" stopIfTrue="1" operator="equal">
      <formula>"Fail"</formula>
    </cfRule>
  </conditionalFormatting>
  <conditionalFormatting sqref="H1485:L1485">
    <cfRule type="cellIs" dxfId="5006" priority="5001" stopIfTrue="1" operator="equal">
      <formula>"Pass"</formula>
    </cfRule>
    <cfRule type="cellIs" dxfId="5005" priority="5002" stopIfTrue="1" operator="equal">
      <formula>"Fail"</formula>
    </cfRule>
  </conditionalFormatting>
  <conditionalFormatting sqref="H1485">
    <cfRule type="cellIs" dxfId="5004" priority="4999" stopIfTrue="1" operator="equal">
      <formula>"Pass"</formula>
    </cfRule>
    <cfRule type="cellIs" dxfId="5003" priority="5000" stopIfTrue="1" operator="equal">
      <formula>"Fail"</formula>
    </cfRule>
  </conditionalFormatting>
  <conditionalFormatting sqref="H1485">
    <cfRule type="cellIs" dxfId="5002" priority="4997" stopIfTrue="1" operator="equal">
      <formula>"Pass"</formula>
    </cfRule>
    <cfRule type="cellIs" dxfId="5001" priority="4998" stopIfTrue="1" operator="equal">
      <formula>"Fail"</formula>
    </cfRule>
  </conditionalFormatting>
  <conditionalFormatting sqref="H1485:L1485">
    <cfRule type="cellIs" dxfId="5000" priority="4995" stopIfTrue="1" operator="equal">
      <formula>"Pass"</formula>
    </cfRule>
    <cfRule type="cellIs" dxfId="4999" priority="4996" stopIfTrue="1" operator="equal">
      <formula>"Fail"</formula>
    </cfRule>
  </conditionalFormatting>
  <conditionalFormatting sqref="H1485:L1485">
    <cfRule type="cellIs" dxfId="4998" priority="4993" stopIfTrue="1" operator="equal">
      <formula>"Pass"</formula>
    </cfRule>
    <cfRule type="cellIs" dxfId="4997" priority="4994" stopIfTrue="1" operator="equal">
      <formula>"Fail"</formula>
    </cfRule>
  </conditionalFormatting>
  <conditionalFormatting sqref="H1485:L1485">
    <cfRule type="cellIs" dxfId="4996" priority="4991" stopIfTrue="1" operator="equal">
      <formula>"Pass"</formula>
    </cfRule>
    <cfRule type="cellIs" dxfId="4995" priority="4992" stopIfTrue="1" operator="equal">
      <formula>"Fail"</formula>
    </cfRule>
  </conditionalFormatting>
  <conditionalFormatting sqref="H1485:L1485">
    <cfRule type="cellIs" dxfId="4994" priority="4989" stopIfTrue="1" operator="equal">
      <formula>"Pass"</formula>
    </cfRule>
    <cfRule type="cellIs" dxfId="4993" priority="4990" stopIfTrue="1" operator="equal">
      <formula>"Fail"</formula>
    </cfRule>
  </conditionalFormatting>
  <conditionalFormatting sqref="H1485:L1485">
    <cfRule type="cellIs" dxfId="4992" priority="4987" stopIfTrue="1" operator="equal">
      <formula>"Pass"</formula>
    </cfRule>
    <cfRule type="cellIs" dxfId="4991" priority="4988" stopIfTrue="1" operator="equal">
      <formula>"Fail"</formula>
    </cfRule>
  </conditionalFormatting>
  <conditionalFormatting sqref="I1486:L1486">
    <cfRule type="cellIs" dxfId="4990" priority="4985" stopIfTrue="1" operator="equal">
      <formula>"Pass"</formula>
    </cfRule>
    <cfRule type="cellIs" dxfId="4989" priority="4986" stopIfTrue="1" operator="equal">
      <formula>"Fail"</formula>
    </cfRule>
  </conditionalFormatting>
  <conditionalFormatting sqref="I1486:L1486">
    <cfRule type="cellIs" dxfId="4988" priority="4983" stopIfTrue="1" operator="equal">
      <formula>"Pass"</formula>
    </cfRule>
    <cfRule type="cellIs" dxfId="4987" priority="4984" stopIfTrue="1" operator="equal">
      <formula>"Fail"</formula>
    </cfRule>
  </conditionalFormatting>
  <conditionalFormatting sqref="I1486:L1486">
    <cfRule type="cellIs" dxfId="4986" priority="4981" stopIfTrue="1" operator="equal">
      <formula>"Pass"</formula>
    </cfRule>
    <cfRule type="cellIs" dxfId="4985" priority="4982" stopIfTrue="1" operator="equal">
      <formula>"Fail"</formula>
    </cfRule>
  </conditionalFormatting>
  <conditionalFormatting sqref="I1486:L1486">
    <cfRule type="cellIs" dxfId="4984" priority="4979" stopIfTrue="1" operator="equal">
      <formula>"Pass"</formula>
    </cfRule>
    <cfRule type="cellIs" dxfId="4983" priority="4980" stopIfTrue="1" operator="equal">
      <formula>"Fail"</formula>
    </cfRule>
  </conditionalFormatting>
  <conditionalFormatting sqref="I1486:L1486">
    <cfRule type="cellIs" dxfId="4982" priority="4977" stopIfTrue="1" operator="equal">
      <formula>"Pass"</formula>
    </cfRule>
    <cfRule type="cellIs" dxfId="4981" priority="4978" stopIfTrue="1" operator="equal">
      <formula>"Fail"</formula>
    </cfRule>
  </conditionalFormatting>
  <conditionalFormatting sqref="I1486:L1486">
    <cfRule type="cellIs" dxfId="4980" priority="4975" stopIfTrue="1" operator="equal">
      <formula>"Pass"</formula>
    </cfRule>
    <cfRule type="cellIs" dxfId="4979" priority="4976" stopIfTrue="1" operator="equal">
      <formula>"Fail"</formula>
    </cfRule>
  </conditionalFormatting>
  <conditionalFormatting sqref="I1486:L1486">
    <cfRule type="cellIs" dxfId="4978" priority="4973" stopIfTrue="1" operator="equal">
      <formula>"Pass"</formula>
    </cfRule>
    <cfRule type="cellIs" dxfId="4977" priority="4974" stopIfTrue="1" operator="equal">
      <formula>"Fail"</formula>
    </cfRule>
  </conditionalFormatting>
  <conditionalFormatting sqref="I1486:L1486">
    <cfRule type="cellIs" dxfId="4976" priority="4971" stopIfTrue="1" operator="equal">
      <formula>"Pass"</formula>
    </cfRule>
    <cfRule type="cellIs" dxfId="4975" priority="4972" stopIfTrue="1" operator="equal">
      <formula>"Fail"</formula>
    </cfRule>
  </conditionalFormatting>
  <conditionalFormatting sqref="I1486:L1486">
    <cfRule type="cellIs" dxfId="4974" priority="4969" stopIfTrue="1" operator="equal">
      <formula>"Pass"</formula>
    </cfRule>
    <cfRule type="cellIs" dxfId="4973" priority="4970" stopIfTrue="1" operator="equal">
      <formula>"Fail"</formula>
    </cfRule>
  </conditionalFormatting>
  <conditionalFormatting sqref="I1486:L1486">
    <cfRule type="cellIs" dxfId="4972" priority="4967" stopIfTrue="1" operator="equal">
      <formula>"Pass"</formula>
    </cfRule>
    <cfRule type="cellIs" dxfId="4971" priority="4968" stopIfTrue="1" operator="equal">
      <formula>"Fail"</formula>
    </cfRule>
  </conditionalFormatting>
  <conditionalFormatting sqref="I1486:L1486">
    <cfRule type="cellIs" dxfId="4970" priority="4965" stopIfTrue="1" operator="equal">
      <formula>"Pass"</formula>
    </cfRule>
    <cfRule type="cellIs" dxfId="4969" priority="4966" stopIfTrue="1" operator="equal">
      <formula>"Fail"</formula>
    </cfRule>
  </conditionalFormatting>
  <conditionalFormatting sqref="J1486:L1486">
    <cfRule type="cellIs" dxfId="4968" priority="4963" stopIfTrue="1" operator="equal">
      <formula>"Pass"</formula>
    </cfRule>
    <cfRule type="cellIs" dxfId="4967" priority="4964" stopIfTrue="1" operator="equal">
      <formula>"Fail"</formula>
    </cfRule>
  </conditionalFormatting>
  <conditionalFormatting sqref="I1486">
    <cfRule type="cellIs" dxfId="4966" priority="4961" stopIfTrue="1" operator="equal">
      <formula>"Pass"</formula>
    </cfRule>
    <cfRule type="cellIs" dxfId="4965" priority="4962" stopIfTrue="1" operator="equal">
      <formula>"Fail"</formula>
    </cfRule>
  </conditionalFormatting>
  <conditionalFormatting sqref="I1486:L1486">
    <cfRule type="cellIs" dxfId="4964" priority="4959" stopIfTrue="1" operator="equal">
      <formula>"Pass"</formula>
    </cfRule>
    <cfRule type="cellIs" dxfId="4963" priority="4960" stopIfTrue="1" operator="equal">
      <formula>"Fail"</formula>
    </cfRule>
  </conditionalFormatting>
  <conditionalFormatting sqref="J1486:L1486">
    <cfRule type="cellIs" dxfId="4962" priority="4957" stopIfTrue="1" operator="equal">
      <formula>"Pass"</formula>
    </cfRule>
    <cfRule type="cellIs" dxfId="4961" priority="4958" stopIfTrue="1" operator="equal">
      <formula>"Fail"</formula>
    </cfRule>
  </conditionalFormatting>
  <conditionalFormatting sqref="I1486">
    <cfRule type="cellIs" dxfId="4960" priority="4955" stopIfTrue="1" operator="equal">
      <formula>"Pass"</formula>
    </cfRule>
    <cfRule type="cellIs" dxfId="4959" priority="4956" stopIfTrue="1" operator="equal">
      <formula>"Fail"</formula>
    </cfRule>
  </conditionalFormatting>
  <conditionalFormatting sqref="I1486:L1486">
    <cfRule type="cellIs" dxfId="4958" priority="4953" stopIfTrue="1" operator="equal">
      <formula>"Pass"</formula>
    </cfRule>
    <cfRule type="cellIs" dxfId="4957" priority="4954" stopIfTrue="1" operator="equal">
      <formula>"Fail"</formula>
    </cfRule>
  </conditionalFormatting>
  <conditionalFormatting sqref="I1486:L1486">
    <cfRule type="cellIs" dxfId="4956" priority="4951" stopIfTrue="1" operator="equal">
      <formula>"Pass"</formula>
    </cfRule>
    <cfRule type="cellIs" dxfId="4955" priority="4952" stopIfTrue="1" operator="equal">
      <formula>"Fail"</formula>
    </cfRule>
  </conditionalFormatting>
  <conditionalFormatting sqref="I1486:L1486">
    <cfRule type="cellIs" dxfId="4954" priority="4949" stopIfTrue="1" operator="equal">
      <formula>"Pass"</formula>
    </cfRule>
    <cfRule type="cellIs" dxfId="4953" priority="4950" stopIfTrue="1" operator="equal">
      <formula>"Fail"</formula>
    </cfRule>
  </conditionalFormatting>
  <conditionalFormatting sqref="I1486:L1486">
    <cfRule type="cellIs" dxfId="4952" priority="4947" stopIfTrue="1" operator="equal">
      <formula>"Pass"</formula>
    </cfRule>
    <cfRule type="cellIs" dxfId="4951" priority="4948" stopIfTrue="1" operator="equal">
      <formula>"Fail"</formula>
    </cfRule>
  </conditionalFormatting>
  <conditionalFormatting sqref="I1486:L1486">
    <cfRule type="cellIs" dxfId="4950" priority="4945" stopIfTrue="1" operator="equal">
      <formula>"Pass"</formula>
    </cfRule>
    <cfRule type="cellIs" dxfId="4949" priority="4946" stopIfTrue="1" operator="equal">
      <formula>"Fail"</formula>
    </cfRule>
  </conditionalFormatting>
  <conditionalFormatting sqref="J1486:L1486">
    <cfRule type="cellIs" dxfId="4948" priority="4943" stopIfTrue="1" operator="equal">
      <formula>"Pass"</formula>
    </cfRule>
    <cfRule type="cellIs" dxfId="4947" priority="4944" stopIfTrue="1" operator="equal">
      <formula>"Fail"</formula>
    </cfRule>
  </conditionalFormatting>
  <conditionalFormatting sqref="I1486">
    <cfRule type="cellIs" dxfId="4946" priority="4941" stopIfTrue="1" operator="equal">
      <formula>"Pass"</formula>
    </cfRule>
    <cfRule type="cellIs" dxfId="4945" priority="4942" stopIfTrue="1" operator="equal">
      <formula>"Fail"</formula>
    </cfRule>
  </conditionalFormatting>
  <conditionalFormatting sqref="I1486:L1486">
    <cfRule type="cellIs" dxfId="4944" priority="4939" stopIfTrue="1" operator="equal">
      <formula>"Pass"</formula>
    </cfRule>
    <cfRule type="cellIs" dxfId="4943" priority="4940" stopIfTrue="1" operator="equal">
      <formula>"Fail"</formula>
    </cfRule>
  </conditionalFormatting>
  <conditionalFormatting sqref="J1486:L1486">
    <cfRule type="cellIs" dxfId="4942" priority="4937" stopIfTrue="1" operator="equal">
      <formula>"Pass"</formula>
    </cfRule>
    <cfRule type="cellIs" dxfId="4941" priority="4938" stopIfTrue="1" operator="equal">
      <formula>"Fail"</formula>
    </cfRule>
  </conditionalFormatting>
  <conditionalFormatting sqref="I1486">
    <cfRule type="cellIs" dxfId="4940" priority="4935" stopIfTrue="1" operator="equal">
      <formula>"Pass"</formula>
    </cfRule>
    <cfRule type="cellIs" dxfId="4939" priority="4936" stopIfTrue="1" operator="equal">
      <formula>"Fail"</formula>
    </cfRule>
  </conditionalFormatting>
  <conditionalFormatting sqref="I1486:L1486">
    <cfRule type="cellIs" dxfId="4938" priority="4933" stopIfTrue="1" operator="equal">
      <formula>"Pass"</formula>
    </cfRule>
    <cfRule type="cellIs" dxfId="4937" priority="4934" stopIfTrue="1" operator="equal">
      <formula>"Fail"</formula>
    </cfRule>
  </conditionalFormatting>
  <conditionalFormatting sqref="I1486:L1486">
    <cfRule type="cellIs" dxfId="4936" priority="4931" stopIfTrue="1" operator="equal">
      <formula>"Pass"</formula>
    </cfRule>
    <cfRule type="cellIs" dxfId="4935" priority="4932" stopIfTrue="1" operator="equal">
      <formula>"Fail"</formula>
    </cfRule>
  </conditionalFormatting>
  <conditionalFormatting sqref="I1486:L1486">
    <cfRule type="cellIs" dxfId="4934" priority="4929" stopIfTrue="1" operator="equal">
      <formula>"Pass"</formula>
    </cfRule>
    <cfRule type="cellIs" dxfId="4933" priority="4930" stopIfTrue="1" operator="equal">
      <formula>"Fail"</formula>
    </cfRule>
  </conditionalFormatting>
  <conditionalFormatting sqref="I1486:L1486">
    <cfRule type="cellIs" dxfId="4932" priority="4927" stopIfTrue="1" operator="equal">
      <formula>"Pass"</formula>
    </cfRule>
    <cfRule type="cellIs" dxfId="4931" priority="4928" stopIfTrue="1" operator="equal">
      <formula>"Fail"</formula>
    </cfRule>
  </conditionalFormatting>
  <conditionalFormatting sqref="I1486:L1486">
    <cfRule type="cellIs" dxfId="4930" priority="4925" stopIfTrue="1" operator="equal">
      <formula>"Pass"</formula>
    </cfRule>
    <cfRule type="cellIs" dxfId="4929" priority="4926" stopIfTrue="1" operator="equal">
      <formula>"Fail"</formula>
    </cfRule>
  </conditionalFormatting>
  <conditionalFormatting sqref="I1486:L1486">
    <cfRule type="cellIs" dxfId="4928" priority="4923" stopIfTrue="1" operator="equal">
      <formula>"Pass"</formula>
    </cfRule>
    <cfRule type="cellIs" dxfId="4927" priority="4924" stopIfTrue="1" operator="equal">
      <formula>"Fail"</formula>
    </cfRule>
  </conditionalFormatting>
  <conditionalFormatting sqref="I1486:L1486">
    <cfRule type="cellIs" dxfId="4926" priority="4921" stopIfTrue="1" operator="equal">
      <formula>"Pass"</formula>
    </cfRule>
    <cfRule type="cellIs" dxfId="4925" priority="4922" stopIfTrue="1" operator="equal">
      <formula>"Fail"</formula>
    </cfRule>
  </conditionalFormatting>
  <conditionalFormatting sqref="I1486:L1486">
    <cfRule type="cellIs" dxfId="4924" priority="4919" stopIfTrue="1" operator="equal">
      <formula>"Pass"</formula>
    </cfRule>
    <cfRule type="cellIs" dxfId="4923" priority="4920" stopIfTrue="1" operator="equal">
      <formula>"Fail"</formula>
    </cfRule>
  </conditionalFormatting>
  <conditionalFormatting sqref="I1486:L1486">
    <cfRule type="cellIs" dxfId="4922" priority="4917" stopIfTrue="1" operator="equal">
      <formula>"Pass"</formula>
    </cfRule>
    <cfRule type="cellIs" dxfId="4921" priority="4918" stopIfTrue="1" operator="equal">
      <formula>"Fail"</formula>
    </cfRule>
  </conditionalFormatting>
  <conditionalFormatting sqref="I1486:L1486">
    <cfRule type="cellIs" dxfId="4920" priority="4915" stopIfTrue="1" operator="equal">
      <formula>"Pass"</formula>
    </cfRule>
    <cfRule type="cellIs" dxfId="4919" priority="4916" stopIfTrue="1" operator="equal">
      <formula>"Fail"</formula>
    </cfRule>
  </conditionalFormatting>
  <conditionalFormatting sqref="J1486:L1486">
    <cfRule type="cellIs" dxfId="4918" priority="4913" stopIfTrue="1" operator="equal">
      <formula>"Pass"</formula>
    </cfRule>
    <cfRule type="cellIs" dxfId="4917" priority="4914" stopIfTrue="1" operator="equal">
      <formula>"Fail"</formula>
    </cfRule>
  </conditionalFormatting>
  <conditionalFormatting sqref="I1486">
    <cfRule type="cellIs" dxfId="4916" priority="4911" stopIfTrue="1" operator="equal">
      <formula>"Pass"</formula>
    </cfRule>
    <cfRule type="cellIs" dxfId="4915" priority="4912" stopIfTrue="1" operator="equal">
      <formula>"Fail"</formula>
    </cfRule>
  </conditionalFormatting>
  <conditionalFormatting sqref="I1486:L1486">
    <cfRule type="cellIs" dxfId="4914" priority="4909" stopIfTrue="1" operator="equal">
      <formula>"Pass"</formula>
    </cfRule>
    <cfRule type="cellIs" dxfId="4913" priority="4910" stopIfTrue="1" operator="equal">
      <formula>"Fail"</formula>
    </cfRule>
  </conditionalFormatting>
  <conditionalFormatting sqref="J1486:L1486">
    <cfRule type="cellIs" dxfId="4912" priority="4907" stopIfTrue="1" operator="equal">
      <formula>"Pass"</formula>
    </cfRule>
    <cfRule type="cellIs" dxfId="4911" priority="4908" stopIfTrue="1" operator="equal">
      <formula>"Fail"</formula>
    </cfRule>
  </conditionalFormatting>
  <conditionalFormatting sqref="I1486">
    <cfRule type="cellIs" dxfId="4910" priority="4905" stopIfTrue="1" operator="equal">
      <formula>"Pass"</formula>
    </cfRule>
    <cfRule type="cellIs" dxfId="4909" priority="4906" stopIfTrue="1" operator="equal">
      <formula>"Fail"</formula>
    </cfRule>
  </conditionalFormatting>
  <conditionalFormatting sqref="I1486:L1486">
    <cfRule type="cellIs" dxfId="4908" priority="4903" stopIfTrue="1" operator="equal">
      <formula>"Pass"</formula>
    </cfRule>
    <cfRule type="cellIs" dxfId="4907" priority="4904" stopIfTrue="1" operator="equal">
      <formula>"Fail"</formula>
    </cfRule>
  </conditionalFormatting>
  <conditionalFormatting sqref="I1486:L1486">
    <cfRule type="cellIs" dxfId="4906" priority="4901" stopIfTrue="1" operator="equal">
      <formula>"Pass"</formula>
    </cfRule>
    <cfRule type="cellIs" dxfId="4905" priority="4902" stopIfTrue="1" operator="equal">
      <formula>"Fail"</formula>
    </cfRule>
  </conditionalFormatting>
  <conditionalFormatting sqref="I1486:L1486">
    <cfRule type="cellIs" dxfId="4904" priority="4899" stopIfTrue="1" operator="equal">
      <formula>"Pass"</formula>
    </cfRule>
    <cfRule type="cellIs" dxfId="4903" priority="4900" stopIfTrue="1" operator="equal">
      <formula>"Fail"</formula>
    </cfRule>
  </conditionalFormatting>
  <conditionalFormatting sqref="I1486:L1486">
    <cfRule type="cellIs" dxfId="4902" priority="4897" stopIfTrue="1" operator="equal">
      <formula>"Pass"</formula>
    </cfRule>
    <cfRule type="cellIs" dxfId="4901" priority="4898" stopIfTrue="1" operator="equal">
      <formula>"Fail"</formula>
    </cfRule>
  </conditionalFormatting>
  <conditionalFormatting sqref="I1486:L1486">
    <cfRule type="cellIs" dxfId="4900" priority="4895" stopIfTrue="1" operator="equal">
      <formula>"Pass"</formula>
    </cfRule>
    <cfRule type="cellIs" dxfId="4899" priority="4896" stopIfTrue="1" operator="equal">
      <formula>"Fail"</formula>
    </cfRule>
  </conditionalFormatting>
  <conditionalFormatting sqref="I1486:L1486">
    <cfRule type="cellIs" dxfId="4898" priority="4893" stopIfTrue="1" operator="equal">
      <formula>"Pass"</formula>
    </cfRule>
    <cfRule type="cellIs" dxfId="4897" priority="4894" stopIfTrue="1" operator="equal">
      <formula>"Fail"</formula>
    </cfRule>
  </conditionalFormatting>
  <conditionalFormatting sqref="I1486:L1486">
    <cfRule type="cellIs" dxfId="4896" priority="4891" stopIfTrue="1" operator="equal">
      <formula>"Pass"</formula>
    </cfRule>
    <cfRule type="cellIs" dxfId="4895" priority="4892" stopIfTrue="1" operator="equal">
      <formula>"Fail"</formula>
    </cfRule>
  </conditionalFormatting>
  <conditionalFormatting sqref="I1486:L1486">
    <cfRule type="cellIs" dxfId="4894" priority="4889" stopIfTrue="1" operator="equal">
      <formula>"Pass"</formula>
    </cfRule>
    <cfRule type="cellIs" dxfId="4893" priority="4890" stopIfTrue="1" operator="equal">
      <formula>"Fail"</formula>
    </cfRule>
  </conditionalFormatting>
  <conditionalFormatting sqref="I1486:L1486">
    <cfRule type="cellIs" dxfId="4892" priority="4887" stopIfTrue="1" operator="equal">
      <formula>"Pass"</formula>
    </cfRule>
    <cfRule type="cellIs" dxfId="4891" priority="4888" stopIfTrue="1" operator="equal">
      <formula>"Fail"</formula>
    </cfRule>
  </conditionalFormatting>
  <conditionalFormatting sqref="I1486:L1486">
    <cfRule type="cellIs" dxfId="4890" priority="4885" stopIfTrue="1" operator="equal">
      <formula>"Pass"</formula>
    </cfRule>
    <cfRule type="cellIs" dxfId="4889" priority="4886" stopIfTrue="1" operator="equal">
      <formula>"Fail"</formula>
    </cfRule>
  </conditionalFormatting>
  <conditionalFormatting sqref="J1486:L1486">
    <cfRule type="cellIs" dxfId="4888" priority="4883" stopIfTrue="1" operator="equal">
      <formula>"Pass"</formula>
    </cfRule>
    <cfRule type="cellIs" dxfId="4887" priority="4884" stopIfTrue="1" operator="equal">
      <formula>"Fail"</formula>
    </cfRule>
  </conditionalFormatting>
  <conditionalFormatting sqref="I1486">
    <cfRule type="cellIs" dxfId="4886" priority="4881" stopIfTrue="1" operator="equal">
      <formula>"Pass"</formula>
    </cfRule>
    <cfRule type="cellIs" dxfId="4885" priority="4882" stopIfTrue="1" operator="equal">
      <formula>"Fail"</formula>
    </cfRule>
  </conditionalFormatting>
  <conditionalFormatting sqref="I1486:L1486">
    <cfRule type="cellIs" dxfId="4884" priority="4879" stopIfTrue="1" operator="equal">
      <formula>"Pass"</formula>
    </cfRule>
    <cfRule type="cellIs" dxfId="4883" priority="4880" stopIfTrue="1" operator="equal">
      <formula>"Fail"</formula>
    </cfRule>
  </conditionalFormatting>
  <conditionalFormatting sqref="J1486:L1486">
    <cfRule type="cellIs" dxfId="4882" priority="4877" stopIfTrue="1" operator="equal">
      <formula>"Pass"</formula>
    </cfRule>
    <cfRule type="cellIs" dxfId="4881" priority="4878" stopIfTrue="1" operator="equal">
      <formula>"Fail"</formula>
    </cfRule>
  </conditionalFormatting>
  <conditionalFormatting sqref="I1486">
    <cfRule type="cellIs" dxfId="4880" priority="4875" stopIfTrue="1" operator="equal">
      <formula>"Pass"</formula>
    </cfRule>
    <cfRule type="cellIs" dxfId="4879" priority="4876" stopIfTrue="1" operator="equal">
      <formula>"Fail"</formula>
    </cfRule>
  </conditionalFormatting>
  <conditionalFormatting sqref="I1486:L1486">
    <cfRule type="cellIs" dxfId="4878" priority="4873" stopIfTrue="1" operator="equal">
      <formula>"Pass"</formula>
    </cfRule>
    <cfRule type="cellIs" dxfId="4877" priority="4874" stopIfTrue="1" operator="equal">
      <formula>"Fail"</formula>
    </cfRule>
  </conditionalFormatting>
  <conditionalFormatting sqref="I1486:L1486">
    <cfRule type="cellIs" dxfId="4876" priority="4871" stopIfTrue="1" operator="equal">
      <formula>"Pass"</formula>
    </cfRule>
    <cfRule type="cellIs" dxfId="4875" priority="4872" stopIfTrue="1" operator="equal">
      <formula>"Fail"</formula>
    </cfRule>
  </conditionalFormatting>
  <conditionalFormatting sqref="I1486:L1486">
    <cfRule type="cellIs" dxfId="4874" priority="4869" stopIfTrue="1" operator="equal">
      <formula>"Pass"</formula>
    </cfRule>
    <cfRule type="cellIs" dxfId="4873" priority="4870" stopIfTrue="1" operator="equal">
      <formula>"Fail"</formula>
    </cfRule>
  </conditionalFormatting>
  <conditionalFormatting sqref="I1486:L1486">
    <cfRule type="cellIs" dxfId="4872" priority="4867" stopIfTrue="1" operator="equal">
      <formula>"Pass"</formula>
    </cfRule>
    <cfRule type="cellIs" dxfId="4871" priority="4868" stopIfTrue="1" operator="equal">
      <formula>"Fail"</formula>
    </cfRule>
  </conditionalFormatting>
  <conditionalFormatting sqref="I1486:L1486">
    <cfRule type="cellIs" dxfId="4870" priority="4865" stopIfTrue="1" operator="equal">
      <formula>"Pass"</formula>
    </cfRule>
    <cfRule type="cellIs" dxfId="4869" priority="4866" stopIfTrue="1" operator="equal">
      <formula>"Fail"</formula>
    </cfRule>
  </conditionalFormatting>
  <conditionalFormatting sqref="I1486:L1486">
    <cfRule type="cellIs" dxfId="4868" priority="4863" stopIfTrue="1" operator="equal">
      <formula>"Pass"</formula>
    </cfRule>
    <cfRule type="cellIs" dxfId="4867" priority="4864" stopIfTrue="1" operator="equal">
      <formula>"Fail"</formula>
    </cfRule>
  </conditionalFormatting>
  <conditionalFormatting sqref="I1486:L1486">
    <cfRule type="cellIs" dxfId="4866" priority="4861" stopIfTrue="1" operator="equal">
      <formula>"Pass"</formula>
    </cfRule>
    <cfRule type="cellIs" dxfId="4865" priority="4862" stopIfTrue="1" operator="equal">
      <formula>"Fail"</formula>
    </cfRule>
  </conditionalFormatting>
  <conditionalFormatting sqref="I1486:L1486">
    <cfRule type="cellIs" dxfId="4864" priority="4859" stopIfTrue="1" operator="equal">
      <formula>"Pass"</formula>
    </cfRule>
    <cfRule type="cellIs" dxfId="4863" priority="4860" stopIfTrue="1" operator="equal">
      <formula>"Fail"</formula>
    </cfRule>
  </conditionalFormatting>
  <conditionalFormatting sqref="I1486:L1486">
    <cfRule type="cellIs" dxfId="4862" priority="4857" stopIfTrue="1" operator="equal">
      <formula>"Pass"</formula>
    </cfRule>
    <cfRule type="cellIs" dxfId="4861" priority="4858" stopIfTrue="1" operator="equal">
      <formula>"Fail"</formula>
    </cfRule>
  </conditionalFormatting>
  <conditionalFormatting sqref="I1486:L1486">
    <cfRule type="cellIs" dxfId="4860" priority="4855" stopIfTrue="1" operator="equal">
      <formula>"Pass"</formula>
    </cfRule>
    <cfRule type="cellIs" dxfId="4859" priority="4856" stopIfTrue="1" operator="equal">
      <formula>"Fail"</formula>
    </cfRule>
  </conditionalFormatting>
  <conditionalFormatting sqref="I1486:L1486">
    <cfRule type="cellIs" dxfId="4858" priority="4853" stopIfTrue="1" operator="equal">
      <formula>"Pass"</formula>
    </cfRule>
    <cfRule type="cellIs" dxfId="4857" priority="4854" stopIfTrue="1" operator="equal">
      <formula>"Fail"</formula>
    </cfRule>
  </conditionalFormatting>
  <conditionalFormatting sqref="I1486:L1486">
    <cfRule type="cellIs" dxfId="4856" priority="4851" stopIfTrue="1" operator="equal">
      <formula>"Pass"</formula>
    </cfRule>
    <cfRule type="cellIs" dxfId="4855" priority="4852" stopIfTrue="1" operator="equal">
      <formula>"Fail"</formula>
    </cfRule>
  </conditionalFormatting>
  <conditionalFormatting sqref="I1486:L1486">
    <cfRule type="cellIs" dxfId="4854" priority="4849" stopIfTrue="1" operator="equal">
      <formula>"Pass"</formula>
    </cfRule>
    <cfRule type="cellIs" dxfId="4853" priority="4850" stopIfTrue="1" operator="equal">
      <formula>"Fail"</formula>
    </cfRule>
  </conditionalFormatting>
  <conditionalFormatting sqref="I1486:L1486">
    <cfRule type="cellIs" dxfId="4852" priority="4847" stopIfTrue="1" operator="equal">
      <formula>"Pass"</formula>
    </cfRule>
    <cfRule type="cellIs" dxfId="4851" priority="4848" stopIfTrue="1" operator="equal">
      <formula>"Fail"</formula>
    </cfRule>
  </conditionalFormatting>
  <conditionalFormatting sqref="I1486:L1486">
    <cfRule type="cellIs" dxfId="4850" priority="4845" stopIfTrue="1" operator="equal">
      <formula>"Pass"</formula>
    </cfRule>
    <cfRule type="cellIs" dxfId="4849" priority="4846" stopIfTrue="1" operator="equal">
      <formula>"Fail"</formula>
    </cfRule>
  </conditionalFormatting>
  <conditionalFormatting sqref="H1486:L1486">
    <cfRule type="cellIs" dxfId="4848" priority="4843" stopIfTrue="1" operator="equal">
      <formula>"Pass"</formula>
    </cfRule>
    <cfRule type="cellIs" dxfId="4847" priority="4844" stopIfTrue="1" operator="equal">
      <formula>"Fail"</formula>
    </cfRule>
  </conditionalFormatting>
  <conditionalFormatting sqref="H1486">
    <cfRule type="cellIs" dxfId="4846" priority="4841" stopIfTrue="1" operator="equal">
      <formula>"Pass"</formula>
    </cfRule>
    <cfRule type="cellIs" dxfId="4845" priority="4842" stopIfTrue="1" operator="equal">
      <formula>"Fail"</formula>
    </cfRule>
  </conditionalFormatting>
  <conditionalFormatting sqref="H1486">
    <cfRule type="cellIs" dxfId="4844" priority="4839" stopIfTrue="1" operator="equal">
      <formula>"Pass"</formula>
    </cfRule>
    <cfRule type="cellIs" dxfId="4843" priority="4840" stopIfTrue="1" operator="equal">
      <formula>"Fail"</formula>
    </cfRule>
  </conditionalFormatting>
  <conditionalFormatting sqref="H1486:L1486">
    <cfRule type="cellIs" dxfId="4842" priority="4837" stopIfTrue="1" operator="equal">
      <formula>"Pass"</formula>
    </cfRule>
    <cfRule type="cellIs" dxfId="4841" priority="4838" stopIfTrue="1" operator="equal">
      <formula>"Fail"</formula>
    </cfRule>
  </conditionalFormatting>
  <conditionalFormatting sqref="H1486">
    <cfRule type="cellIs" dxfId="4840" priority="4835" stopIfTrue="1" operator="equal">
      <formula>"Pass"</formula>
    </cfRule>
    <cfRule type="cellIs" dxfId="4839" priority="4836" stopIfTrue="1" operator="equal">
      <formula>"Fail"</formula>
    </cfRule>
  </conditionalFormatting>
  <conditionalFormatting sqref="H1486">
    <cfRule type="cellIs" dxfId="4838" priority="4833" stopIfTrue="1" operator="equal">
      <formula>"Pass"</formula>
    </cfRule>
    <cfRule type="cellIs" dxfId="4837" priority="4834" stopIfTrue="1" operator="equal">
      <formula>"Fail"</formula>
    </cfRule>
  </conditionalFormatting>
  <conditionalFormatting sqref="H1486:L1486">
    <cfRule type="cellIs" dxfId="4836" priority="4831" stopIfTrue="1" operator="equal">
      <formula>"Pass"</formula>
    </cfRule>
    <cfRule type="cellIs" dxfId="4835" priority="4832" stopIfTrue="1" operator="equal">
      <formula>"Fail"</formula>
    </cfRule>
  </conditionalFormatting>
  <conditionalFormatting sqref="H1486">
    <cfRule type="cellIs" dxfId="4834" priority="4829" stopIfTrue="1" operator="equal">
      <formula>"Pass"</formula>
    </cfRule>
    <cfRule type="cellIs" dxfId="4833" priority="4830" stopIfTrue="1" operator="equal">
      <formula>"Fail"</formula>
    </cfRule>
  </conditionalFormatting>
  <conditionalFormatting sqref="H1486">
    <cfRule type="cellIs" dxfId="4832" priority="4827" stopIfTrue="1" operator="equal">
      <formula>"Pass"</formula>
    </cfRule>
    <cfRule type="cellIs" dxfId="4831" priority="4828" stopIfTrue="1" operator="equal">
      <formula>"Fail"</formula>
    </cfRule>
  </conditionalFormatting>
  <conditionalFormatting sqref="H1486:L1486">
    <cfRule type="cellIs" dxfId="4830" priority="4825" stopIfTrue="1" operator="equal">
      <formula>"Pass"</formula>
    </cfRule>
    <cfRule type="cellIs" dxfId="4829" priority="4826" stopIfTrue="1" operator="equal">
      <formula>"Fail"</formula>
    </cfRule>
  </conditionalFormatting>
  <conditionalFormatting sqref="H1486:L1486">
    <cfRule type="cellIs" dxfId="4828" priority="4823" stopIfTrue="1" operator="equal">
      <formula>"Pass"</formula>
    </cfRule>
    <cfRule type="cellIs" dxfId="4827" priority="4824" stopIfTrue="1" operator="equal">
      <formula>"Fail"</formula>
    </cfRule>
  </conditionalFormatting>
  <conditionalFormatting sqref="H1486:L1486">
    <cfRule type="cellIs" dxfId="4826" priority="4821" stopIfTrue="1" operator="equal">
      <formula>"Pass"</formula>
    </cfRule>
    <cfRule type="cellIs" dxfId="4825" priority="4822" stopIfTrue="1" operator="equal">
      <formula>"Fail"</formula>
    </cfRule>
  </conditionalFormatting>
  <conditionalFormatting sqref="H1486:L1486">
    <cfRule type="cellIs" dxfId="4824" priority="4819" stopIfTrue="1" operator="equal">
      <formula>"Pass"</formula>
    </cfRule>
    <cfRule type="cellIs" dxfId="4823" priority="4820" stopIfTrue="1" operator="equal">
      <formula>"Fail"</formula>
    </cfRule>
  </conditionalFormatting>
  <conditionalFormatting sqref="H1486:L1486">
    <cfRule type="cellIs" dxfId="4822" priority="4817" stopIfTrue="1" operator="equal">
      <formula>"Pass"</formula>
    </cfRule>
    <cfRule type="cellIs" dxfId="4821" priority="4818" stopIfTrue="1" operator="equal">
      <formula>"Fail"</formula>
    </cfRule>
  </conditionalFormatting>
  <conditionalFormatting sqref="H1486:L1486">
    <cfRule type="cellIs" dxfId="4820" priority="4815" stopIfTrue="1" operator="equal">
      <formula>"Pass"</formula>
    </cfRule>
    <cfRule type="cellIs" dxfId="4819" priority="4816" stopIfTrue="1" operator="equal">
      <formula>"Fail"</formula>
    </cfRule>
  </conditionalFormatting>
  <conditionalFormatting sqref="I1486:L1486">
    <cfRule type="cellIs" dxfId="4818" priority="4813" stopIfTrue="1" operator="equal">
      <formula>"Pass"</formula>
    </cfRule>
    <cfRule type="cellIs" dxfId="4817" priority="4814" stopIfTrue="1" operator="equal">
      <formula>"Fail"</formula>
    </cfRule>
  </conditionalFormatting>
  <conditionalFormatting sqref="I1486:L1486">
    <cfRule type="cellIs" dxfId="4816" priority="4811" stopIfTrue="1" operator="equal">
      <formula>"Pass"</formula>
    </cfRule>
    <cfRule type="cellIs" dxfId="4815" priority="4812" stopIfTrue="1" operator="equal">
      <formula>"Fail"</formula>
    </cfRule>
  </conditionalFormatting>
  <conditionalFormatting sqref="I1486:L1486">
    <cfRule type="cellIs" dxfId="4814" priority="4809" stopIfTrue="1" operator="equal">
      <formula>"Pass"</formula>
    </cfRule>
    <cfRule type="cellIs" dxfId="4813" priority="4810" stopIfTrue="1" operator="equal">
      <formula>"Fail"</formula>
    </cfRule>
  </conditionalFormatting>
  <conditionalFormatting sqref="I1486:L1486">
    <cfRule type="cellIs" dxfId="4812" priority="4807" stopIfTrue="1" operator="equal">
      <formula>"Pass"</formula>
    </cfRule>
    <cfRule type="cellIs" dxfId="4811" priority="4808" stopIfTrue="1" operator="equal">
      <formula>"Fail"</formula>
    </cfRule>
  </conditionalFormatting>
  <conditionalFormatting sqref="I1486:L1486">
    <cfRule type="cellIs" dxfId="4810" priority="4805" stopIfTrue="1" operator="equal">
      <formula>"Pass"</formula>
    </cfRule>
    <cfRule type="cellIs" dxfId="4809" priority="4806" stopIfTrue="1" operator="equal">
      <formula>"Fail"</formula>
    </cfRule>
  </conditionalFormatting>
  <conditionalFormatting sqref="I1486:L1486">
    <cfRule type="cellIs" dxfId="4808" priority="4803" stopIfTrue="1" operator="equal">
      <formula>"Pass"</formula>
    </cfRule>
    <cfRule type="cellIs" dxfId="4807" priority="4804" stopIfTrue="1" operator="equal">
      <formula>"Fail"</formula>
    </cfRule>
  </conditionalFormatting>
  <conditionalFormatting sqref="I1486:L1486">
    <cfRule type="cellIs" dxfId="4806" priority="4801" stopIfTrue="1" operator="equal">
      <formula>"Pass"</formula>
    </cfRule>
    <cfRule type="cellIs" dxfId="4805" priority="4802" stopIfTrue="1" operator="equal">
      <formula>"Fail"</formula>
    </cfRule>
  </conditionalFormatting>
  <conditionalFormatting sqref="I1486:L1486">
    <cfRule type="cellIs" dxfId="4804" priority="4799" stopIfTrue="1" operator="equal">
      <formula>"Pass"</formula>
    </cfRule>
    <cfRule type="cellIs" dxfId="4803" priority="4800" stopIfTrue="1" operator="equal">
      <formula>"Fail"</formula>
    </cfRule>
  </conditionalFormatting>
  <conditionalFormatting sqref="I1486:L1486">
    <cfRule type="cellIs" dxfId="4802" priority="4797" stopIfTrue="1" operator="equal">
      <formula>"Pass"</formula>
    </cfRule>
    <cfRule type="cellIs" dxfId="4801" priority="4798" stopIfTrue="1" operator="equal">
      <formula>"Fail"</formula>
    </cfRule>
  </conditionalFormatting>
  <conditionalFormatting sqref="I1486:L1486">
    <cfRule type="cellIs" dxfId="4800" priority="4795" stopIfTrue="1" operator="equal">
      <formula>"Pass"</formula>
    </cfRule>
    <cfRule type="cellIs" dxfId="4799" priority="4796" stopIfTrue="1" operator="equal">
      <formula>"Fail"</formula>
    </cfRule>
  </conditionalFormatting>
  <conditionalFormatting sqref="I1486:L1486">
    <cfRule type="cellIs" dxfId="4798" priority="4793" stopIfTrue="1" operator="equal">
      <formula>"Pass"</formula>
    </cfRule>
    <cfRule type="cellIs" dxfId="4797" priority="4794" stopIfTrue="1" operator="equal">
      <formula>"Fail"</formula>
    </cfRule>
  </conditionalFormatting>
  <conditionalFormatting sqref="J1486:L1486">
    <cfRule type="cellIs" dxfId="4796" priority="4791" stopIfTrue="1" operator="equal">
      <formula>"Pass"</formula>
    </cfRule>
    <cfRule type="cellIs" dxfId="4795" priority="4792" stopIfTrue="1" operator="equal">
      <formula>"Fail"</formula>
    </cfRule>
  </conditionalFormatting>
  <conditionalFormatting sqref="I1486">
    <cfRule type="cellIs" dxfId="4794" priority="4789" stopIfTrue="1" operator="equal">
      <formula>"Pass"</formula>
    </cfRule>
    <cfRule type="cellIs" dxfId="4793" priority="4790" stopIfTrue="1" operator="equal">
      <formula>"Fail"</formula>
    </cfRule>
  </conditionalFormatting>
  <conditionalFormatting sqref="I1486:L1486">
    <cfRule type="cellIs" dxfId="4792" priority="4787" stopIfTrue="1" operator="equal">
      <formula>"Pass"</formula>
    </cfRule>
    <cfRule type="cellIs" dxfId="4791" priority="4788" stopIfTrue="1" operator="equal">
      <formula>"Fail"</formula>
    </cfRule>
  </conditionalFormatting>
  <conditionalFormatting sqref="J1486:L1486">
    <cfRule type="cellIs" dxfId="4790" priority="4785" stopIfTrue="1" operator="equal">
      <formula>"Pass"</formula>
    </cfRule>
    <cfRule type="cellIs" dxfId="4789" priority="4786" stopIfTrue="1" operator="equal">
      <formula>"Fail"</formula>
    </cfRule>
  </conditionalFormatting>
  <conditionalFormatting sqref="I1486">
    <cfRule type="cellIs" dxfId="4788" priority="4783" stopIfTrue="1" operator="equal">
      <formula>"Pass"</formula>
    </cfRule>
    <cfRule type="cellIs" dxfId="4787" priority="4784" stopIfTrue="1" operator="equal">
      <formula>"Fail"</formula>
    </cfRule>
  </conditionalFormatting>
  <conditionalFormatting sqref="I1486:L1486">
    <cfRule type="cellIs" dxfId="4786" priority="4781" stopIfTrue="1" operator="equal">
      <formula>"Pass"</formula>
    </cfRule>
    <cfRule type="cellIs" dxfId="4785" priority="4782" stopIfTrue="1" operator="equal">
      <formula>"Fail"</formula>
    </cfRule>
  </conditionalFormatting>
  <conditionalFormatting sqref="I1486:L1486">
    <cfRule type="cellIs" dxfId="4784" priority="4779" stopIfTrue="1" operator="equal">
      <formula>"Pass"</formula>
    </cfRule>
    <cfRule type="cellIs" dxfId="4783" priority="4780" stopIfTrue="1" operator="equal">
      <formula>"Fail"</formula>
    </cfRule>
  </conditionalFormatting>
  <conditionalFormatting sqref="I1486:L1486">
    <cfRule type="cellIs" dxfId="4782" priority="4777" stopIfTrue="1" operator="equal">
      <formula>"Pass"</formula>
    </cfRule>
    <cfRule type="cellIs" dxfId="4781" priority="4778" stopIfTrue="1" operator="equal">
      <formula>"Fail"</formula>
    </cfRule>
  </conditionalFormatting>
  <conditionalFormatting sqref="I1486:L1486">
    <cfRule type="cellIs" dxfId="4780" priority="4775" stopIfTrue="1" operator="equal">
      <formula>"Pass"</formula>
    </cfRule>
    <cfRule type="cellIs" dxfId="4779" priority="4776" stopIfTrue="1" operator="equal">
      <formula>"Fail"</formula>
    </cfRule>
  </conditionalFormatting>
  <conditionalFormatting sqref="I1486:L1486">
    <cfRule type="cellIs" dxfId="4778" priority="4773" stopIfTrue="1" operator="equal">
      <formula>"Pass"</formula>
    </cfRule>
    <cfRule type="cellIs" dxfId="4777" priority="4774" stopIfTrue="1" operator="equal">
      <formula>"Fail"</formula>
    </cfRule>
  </conditionalFormatting>
  <conditionalFormatting sqref="J1486:L1486">
    <cfRule type="cellIs" dxfId="4776" priority="4771" stopIfTrue="1" operator="equal">
      <formula>"Pass"</formula>
    </cfRule>
    <cfRule type="cellIs" dxfId="4775" priority="4772" stopIfTrue="1" operator="equal">
      <formula>"Fail"</formula>
    </cfRule>
  </conditionalFormatting>
  <conditionalFormatting sqref="I1486">
    <cfRule type="cellIs" dxfId="4774" priority="4769" stopIfTrue="1" operator="equal">
      <formula>"Pass"</formula>
    </cfRule>
    <cfRule type="cellIs" dxfId="4773" priority="4770" stopIfTrue="1" operator="equal">
      <formula>"Fail"</formula>
    </cfRule>
  </conditionalFormatting>
  <conditionalFormatting sqref="I1486:L1486">
    <cfRule type="cellIs" dxfId="4772" priority="4767" stopIfTrue="1" operator="equal">
      <formula>"Pass"</formula>
    </cfRule>
    <cfRule type="cellIs" dxfId="4771" priority="4768" stopIfTrue="1" operator="equal">
      <formula>"Fail"</formula>
    </cfRule>
  </conditionalFormatting>
  <conditionalFormatting sqref="J1486:L1486">
    <cfRule type="cellIs" dxfId="4770" priority="4765" stopIfTrue="1" operator="equal">
      <formula>"Pass"</formula>
    </cfRule>
    <cfRule type="cellIs" dxfId="4769" priority="4766" stopIfTrue="1" operator="equal">
      <formula>"Fail"</formula>
    </cfRule>
  </conditionalFormatting>
  <conditionalFormatting sqref="I1486">
    <cfRule type="cellIs" dxfId="4768" priority="4763" stopIfTrue="1" operator="equal">
      <formula>"Pass"</formula>
    </cfRule>
    <cfRule type="cellIs" dxfId="4767" priority="4764" stopIfTrue="1" operator="equal">
      <formula>"Fail"</formula>
    </cfRule>
  </conditionalFormatting>
  <conditionalFormatting sqref="I1486:L1486">
    <cfRule type="cellIs" dxfId="4766" priority="4761" stopIfTrue="1" operator="equal">
      <formula>"Pass"</formula>
    </cfRule>
    <cfRule type="cellIs" dxfId="4765" priority="4762" stopIfTrue="1" operator="equal">
      <formula>"Fail"</formula>
    </cfRule>
  </conditionalFormatting>
  <conditionalFormatting sqref="I1486:L1486">
    <cfRule type="cellIs" dxfId="4764" priority="4759" stopIfTrue="1" operator="equal">
      <formula>"Pass"</formula>
    </cfRule>
    <cfRule type="cellIs" dxfId="4763" priority="4760" stopIfTrue="1" operator="equal">
      <formula>"Fail"</formula>
    </cfRule>
  </conditionalFormatting>
  <conditionalFormatting sqref="I1486:L1486">
    <cfRule type="cellIs" dxfId="4762" priority="4757" stopIfTrue="1" operator="equal">
      <formula>"Pass"</formula>
    </cfRule>
    <cfRule type="cellIs" dxfId="4761" priority="4758" stopIfTrue="1" operator="equal">
      <formula>"Fail"</formula>
    </cfRule>
  </conditionalFormatting>
  <conditionalFormatting sqref="I1486:L1486">
    <cfRule type="cellIs" dxfId="4760" priority="4755" stopIfTrue="1" operator="equal">
      <formula>"Pass"</formula>
    </cfRule>
    <cfRule type="cellIs" dxfId="4759" priority="4756" stopIfTrue="1" operator="equal">
      <formula>"Fail"</formula>
    </cfRule>
  </conditionalFormatting>
  <conditionalFormatting sqref="I1486:L1486">
    <cfRule type="cellIs" dxfId="4758" priority="4753" stopIfTrue="1" operator="equal">
      <formula>"Pass"</formula>
    </cfRule>
    <cfRule type="cellIs" dxfId="4757" priority="4754" stopIfTrue="1" operator="equal">
      <formula>"Fail"</formula>
    </cfRule>
  </conditionalFormatting>
  <conditionalFormatting sqref="I1486:L1486">
    <cfRule type="cellIs" dxfId="4756" priority="4751" stopIfTrue="1" operator="equal">
      <formula>"Pass"</formula>
    </cfRule>
    <cfRule type="cellIs" dxfId="4755" priority="4752" stopIfTrue="1" operator="equal">
      <formula>"Fail"</formula>
    </cfRule>
  </conditionalFormatting>
  <conditionalFormatting sqref="I1486:L1486">
    <cfRule type="cellIs" dxfId="4754" priority="4749" stopIfTrue="1" operator="equal">
      <formula>"Pass"</formula>
    </cfRule>
    <cfRule type="cellIs" dxfId="4753" priority="4750" stopIfTrue="1" operator="equal">
      <formula>"Fail"</formula>
    </cfRule>
  </conditionalFormatting>
  <conditionalFormatting sqref="I1486:L1486">
    <cfRule type="cellIs" dxfId="4752" priority="4747" stopIfTrue="1" operator="equal">
      <formula>"Pass"</formula>
    </cfRule>
    <cfRule type="cellIs" dxfId="4751" priority="4748" stopIfTrue="1" operator="equal">
      <formula>"Fail"</formula>
    </cfRule>
  </conditionalFormatting>
  <conditionalFormatting sqref="I1486:L1486">
    <cfRule type="cellIs" dxfId="4750" priority="4745" stopIfTrue="1" operator="equal">
      <formula>"Pass"</formula>
    </cfRule>
    <cfRule type="cellIs" dxfId="4749" priority="4746" stopIfTrue="1" operator="equal">
      <formula>"Fail"</formula>
    </cfRule>
  </conditionalFormatting>
  <conditionalFormatting sqref="I1486:L1486">
    <cfRule type="cellIs" dxfId="4748" priority="4743" stopIfTrue="1" operator="equal">
      <formula>"Pass"</formula>
    </cfRule>
    <cfRule type="cellIs" dxfId="4747" priority="4744" stopIfTrue="1" operator="equal">
      <formula>"Fail"</formula>
    </cfRule>
  </conditionalFormatting>
  <conditionalFormatting sqref="J1486:L1486">
    <cfRule type="cellIs" dxfId="4746" priority="4741" stopIfTrue="1" operator="equal">
      <formula>"Pass"</formula>
    </cfRule>
    <cfRule type="cellIs" dxfId="4745" priority="4742" stopIfTrue="1" operator="equal">
      <formula>"Fail"</formula>
    </cfRule>
  </conditionalFormatting>
  <conditionalFormatting sqref="I1486">
    <cfRule type="cellIs" dxfId="4744" priority="4739" stopIfTrue="1" operator="equal">
      <formula>"Pass"</formula>
    </cfRule>
    <cfRule type="cellIs" dxfId="4743" priority="4740" stopIfTrue="1" operator="equal">
      <formula>"Fail"</formula>
    </cfRule>
  </conditionalFormatting>
  <conditionalFormatting sqref="I1486:L1486">
    <cfRule type="cellIs" dxfId="4742" priority="4737" stopIfTrue="1" operator="equal">
      <formula>"Pass"</formula>
    </cfRule>
    <cfRule type="cellIs" dxfId="4741" priority="4738" stopIfTrue="1" operator="equal">
      <formula>"Fail"</formula>
    </cfRule>
  </conditionalFormatting>
  <conditionalFormatting sqref="J1486:L1486">
    <cfRule type="cellIs" dxfId="4740" priority="4735" stopIfTrue="1" operator="equal">
      <formula>"Pass"</formula>
    </cfRule>
    <cfRule type="cellIs" dxfId="4739" priority="4736" stopIfTrue="1" operator="equal">
      <formula>"Fail"</formula>
    </cfRule>
  </conditionalFormatting>
  <conditionalFormatting sqref="I1486">
    <cfRule type="cellIs" dxfId="4738" priority="4733" stopIfTrue="1" operator="equal">
      <formula>"Pass"</formula>
    </cfRule>
    <cfRule type="cellIs" dxfId="4737" priority="4734" stopIfTrue="1" operator="equal">
      <formula>"Fail"</formula>
    </cfRule>
  </conditionalFormatting>
  <conditionalFormatting sqref="I1486:L1486">
    <cfRule type="cellIs" dxfId="4736" priority="4731" stopIfTrue="1" operator="equal">
      <formula>"Pass"</formula>
    </cfRule>
    <cfRule type="cellIs" dxfId="4735" priority="4732" stopIfTrue="1" operator="equal">
      <formula>"Fail"</formula>
    </cfRule>
  </conditionalFormatting>
  <conditionalFormatting sqref="I1486:L1486">
    <cfRule type="cellIs" dxfId="4734" priority="4729" stopIfTrue="1" operator="equal">
      <formula>"Pass"</formula>
    </cfRule>
    <cfRule type="cellIs" dxfId="4733" priority="4730" stopIfTrue="1" operator="equal">
      <formula>"Fail"</formula>
    </cfRule>
  </conditionalFormatting>
  <conditionalFormatting sqref="I1486:L1486">
    <cfRule type="cellIs" dxfId="4732" priority="4727" stopIfTrue="1" operator="equal">
      <formula>"Pass"</formula>
    </cfRule>
    <cfRule type="cellIs" dxfId="4731" priority="4728" stopIfTrue="1" operator="equal">
      <formula>"Fail"</formula>
    </cfRule>
  </conditionalFormatting>
  <conditionalFormatting sqref="I1486:L1486">
    <cfRule type="cellIs" dxfId="4730" priority="4725" stopIfTrue="1" operator="equal">
      <formula>"Pass"</formula>
    </cfRule>
    <cfRule type="cellIs" dxfId="4729" priority="4726" stopIfTrue="1" operator="equal">
      <formula>"Fail"</formula>
    </cfRule>
  </conditionalFormatting>
  <conditionalFormatting sqref="I1486:L1486">
    <cfRule type="cellIs" dxfId="4728" priority="4723" stopIfTrue="1" operator="equal">
      <formula>"Pass"</formula>
    </cfRule>
    <cfRule type="cellIs" dxfId="4727" priority="4724" stopIfTrue="1" operator="equal">
      <formula>"Fail"</formula>
    </cfRule>
  </conditionalFormatting>
  <conditionalFormatting sqref="I1486:L1486">
    <cfRule type="cellIs" dxfId="4726" priority="4721" stopIfTrue="1" operator="equal">
      <formula>"Pass"</formula>
    </cfRule>
    <cfRule type="cellIs" dxfId="4725" priority="4722" stopIfTrue="1" operator="equal">
      <formula>"Fail"</formula>
    </cfRule>
  </conditionalFormatting>
  <conditionalFormatting sqref="I1486:L1486">
    <cfRule type="cellIs" dxfId="4724" priority="4719" stopIfTrue="1" operator="equal">
      <formula>"Pass"</formula>
    </cfRule>
    <cfRule type="cellIs" dxfId="4723" priority="4720" stopIfTrue="1" operator="equal">
      <formula>"Fail"</formula>
    </cfRule>
  </conditionalFormatting>
  <conditionalFormatting sqref="I1486:L1486">
    <cfRule type="cellIs" dxfId="4722" priority="4717" stopIfTrue="1" operator="equal">
      <formula>"Pass"</formula>
    </cfRule>
    <cfRule type="cellIs" dxfId="4721" priority="4718" stopIfTrue="1" operator="equal">
      <formula>"Fail"</formula>
    </cfRule>
  </conditionalFormatting>
  <conditionalFormatting sqref="I1486:L1486">
    <cfRule type="cellIs" dxfId="4720" priority="4715" stopIfTrue="1" operator="equal">
      <formula>"Pass"</formula>
    </cfRule>
    <cfRule type="cellIs" dxfId="4719" priority="4716" stopIfTrue="1" operator="equal">
      <formula>"Fail"</formula>
    </cfRule>
  </conditionalFormatting>
  <conditionalFormatting sqref="I1486:L1486">
    <cfRule type="cellIs" dxfId="4718" priority="4713" stopIfTrue="1" operator="equal">
      <formula>"Pass"</formula>
    </cfRule>
    <cfRule type="cellIs" dxfId="4717" priority="4714" stopIfTrue="1" operator="equal">
      <formula>"Fail"</formula>
    </cfRule>
  </conditionalFormatting>
  <conditionalFormatting sqref="J1486:L1486">
    <cfRule type="cellIs" dxfId="4716" priority="4711" stopIfTrue="1" operator="equal">
      <formula>"Pass"</formula>
    </cfRule>
    <cfRule type="cellIs" dxfId="4715" priority="4712" stopIfTrue="1" operator="equal">
      <formula>"Fail"</formula>
    </cfRule>
  </conditionalFormatting>
  <conditionalFormatting sqref="I1486">
    <cfRule type="cellIs" dxfId="4714" priority="4709" stopIfTrue="1" operator="equal">
      <formula>"Pass"</formula>
    </cfRule>
    <cfRule type="cellIs" dxfId="4713" priority="4710" stopIfTrue="1" operator="equal">
      <formula>"Fail"</formula>
    </cfRule>
  </conditionalFormatting>
  <conditionalFormatting sqref="I1486:L1486">
    <cfRule type="cellIs" dxfId="4712" priority="4707" stopIfTrue="1" operator="equal">
      <formula>"Pass"</formula>
    </cfRule>
    <cfRule type="cellIs" dxfId="4711" priority="4708" stopIfTrue="1" operator="equal">
      <formula>"Fail"</formula>
    </cfRule>
  </conditionalFormatting>
  <conditionalFormatting sqref="J1486:L1486">
    <cfRule type="cellIs" dxfId="4710" priority="4705" stopIfTrue="1" operator="equal">
      <formula>"Pass"</formula>
    </cfRule>
    <cfRule type="cellIs" dxfId="4709" priority="4706" stopIfTrue="1" operator="equal">
      <formula>"Fail"</formula>
    </cfRule>
  </conditionalFormatting>
  <conditionalFormatting sqref="I1486">
    <cfRule type="cellIs" dxfId="4708" priority="4703" stopIfTrue="1" operator="equal">
      <formula>"Pass"</formula>
    </cfRule>
    <cfRule type="cellIs" dxfId="4707" priority="4704" stopIfTrue="1" operator="equal">
      <formula>"Fail"</formula>
    </cfRule>
  </conditionalFormatting>
  <conditionalFormatting sqref="I1486:L1486">
    <cfRule type="cellIs" dxfId="4706" priority="4701" stopIfTrue="1" operator="equal">
      <formula>"Pass"</formula>
    </cfRule>
    <cfRule type="cellIs" dxfId="4705" priority="4702" stopIfTrue="1" operator="equal">
      <formula>"Fail"</formula>
    </cfRule>
  </conditionalFormatting>
  <conditionalFormatting sqref="I1486:L1486">
    <cfRule type="cellIs" dxfId="4704" priority="4699" stopIfTrue="1" operator="equal">
      <formula>"Pass"</formula>
    </cfRule>
    <cfRule type="cellIs" dxfId="4703" priority="4700" stopIfTrue="1" operator="equal">
      <formula>"Fail"</formula>
    </cfRule>
  </conditionalFormatting>
  <conditionalFormatting sqref="I1486:L1486">
    <cfRule type="cellIs" dxfId="4702" priority="4697" stopIfTrue="1" operator="equal">
      <formula>"Pass"</formula>
    </cfRule>
    <cfRule type="cellIs" dxfId="4701" priority="4698" stopIfTrue="1" operator="equal">
      <formula>"Fail"</formula>
    </cfRule>
  </conditionalFormatting>
  <conditionalFormatting sqref="I1486:L1486">
    <cfRule type="cellIs" dxfId="4700" priority="4695" stopIfTrue="1" operator="equal">
      <formula>"Pass"</formula>
    </cfRule>
    <cfRule type="cellIs" dxfId="4699" priority="4696" stopIfTrue="1" operator="equal">
      <formula>"Fail"</formula>
    </cfRule>
  </conditionalFormatting>
  <conditionalFormatting sqref="I1486:L1486">
    <cfRule type="cellIs" dxfId="4698" priority="4693" stopIfTrue="1" operator="equal">
      <formula>"Pass"</formula>
    </cfRule>
    <cfRule type="cellIs" dxfId="4697" priority="4694" stopIfTrue="1" operator="equal">
      <formula>"Fail"</formula>
    </cfRule>
  </conditionalFormatting>
  <conditionalFormatting sqref="I1486:L1486">
    <cfRule type="cellIs" dxfId="4696" priority="4691" stopIfTrue="1" operator="equal">
      <formula>"Pass"</formula>
    </cfRule>
    <cfRule type="cellIs" dxfId="4695" priority="4692" stopIfTrue="1" operator="equal">
      <formula>"Fail"</formula>
    </cfRule>
  </conditionalFormatting>
  <conditionalFormatting sqref="I1486:L1486">
    <cfRule type="cellIs" dxfId="4694" priority="4689" stopIfTrue="1" operator="equal">
      <formula>"Pass"</formula>
    </cfRule>
    <cfRule type="cellIs" dxfId="4693" priority="4690" stopIfTrue="1" operator="equal">
      <formula>"Fail"</formula>
    </cfRule>
  </conditionalFormatting>
  <conditionalFormatting sqref="I1486:L1486">
    <cfRule type="cellIs" dxfId="4692" priority="4687" stopIfTrue="1" operator="equal">
      <formula>"Pass"</formula>
    </cfRule>
    <cfRule type="cellIs" dxfId="4691" priority="4688" stopIfTrue="1" operator="equal">
      <formula>"Fail"</formula>
    </cfRule>
  </conditionalFormatting>
  <conditionalFormatting sqref="I1486:L1486">
    <cfRule type="cellIs" dxfId="4690" priority="4685" stopIfTrue="1" operator="equal">
      <formula>"Pass"</formula>
    </cfRule>
    <cfRule type="cellIs" dxfId="4689" priority="4686" stopIfTrue="1" operator="equal">
      <formula>"Fail"</formula>
    </cfRule>
  </conditionalFormatting>
  <conditionalFormatting sqref="I1486:L1486">
    <cfRule type="cellIs" dxfId="4688" priority="4683" stopIfTrue="1" operator="equal">
      <formula>"Pass"</formula>
    </cfRule>
    <cfRule type="cellIs" dxfId="4687" priority="4684" stopIfTrue="1" operator="equal">
      <formula>"Fail"</formula>
    </cfRule>
  </conditionalFormatting>
  <conditionalFormatting sqref="I1486:L1486">
    <cfRule type="cellIs" dxfId="4686" priority="4681" stopIfTrue="1" operator="equal">
      <formula>"Pass"</formula>
    </cfRule>
    <cfRule type="cellIs" dxfId="4685" priority="4682" stopIfTrue="1" operator="equal">
      <formula>"Fail"</formula>
    </cfRule>
  </conditionalFormatting>
  <conditionalFormatting sqref="I1486:L1486">
    <cfRule type="cellIs" dxfId="4684" priority="4679" stopIfTrue="1" operator="equal">
      <formula>"Pass"</formula>
    </cfRule>
    <cfRule type="cellIs" dxfId="4683" priority="4680" stopIfTrue="1" operator="equal">
      <formula>"Fail"</formula>
    </cfRule>
  </conditionalFormatting>
  <conditionalFormatting sqref="I1486:L1486">
    <cfRule type="cellIs" dxfId="4682" priority="4677" stopIfTrue="1" operator="equal">
      <formula>"Pass"</formula>
    </cfRule>
    <cfRule type="cellIs" dxfId="4681" priority="4678" stopIfTrue="1" operator="equal">
      <formula>"Fail"</formula>
    </cfRule>
  </conditionalFormatting>
  <conditionalFormatting sqref="I1486:L1486">
    <cfRule type="cellIs" dxfId="4680" priority="4675" stopIfTrue="1" operator="equal">
      <formula>"Pass"</formula>
    </cfRule>
    <cfRule type="cellIs" dxfId="4679" priority="4676" stopIfTrue="1" operator="equal">
      <formula>"Fail"</formula>
    </cfRule>
  </conditionalFormatting>
  <conditionalFormatting sqref="I1486:L1486">
    <cfRule type="cellIs" dxfId="4678" priority="4673" stopIfTrue="1" operator="equal">
      <formula>"Pass"</formula>
    </cfRule>
    <cfRule type="cellIs" dxfId="4677" priority="4674" stopIfTrue="1" operator="equal">
      <formula>"Fail"</formula>
    </cfRule>
  </conditionalFormatting>
  <conditionalFormatting sqref="H1486:L1486">
    <cfRule type="cellIs" dxfId="4676" priority="4671" stopIfTrue="1" operator="equal">
      <formula>"Pass"</formula>
    </cfRule>
    <cfRule type="cellIs" dxfId="4675" priority="4672" stopIfTrue="1" operator="equal">
      <formula>"Fail"</formula>
    </cfRule>
  </conditionalFormatting>
  <conditionalFormatting sqref="H1486">
    <cfRule type="cellIs" dxfId="4674" priority="4669" stopIfTrue="1" operator="equal">
      <formula>"Pass"</formula>
    </cfRule>
    <cfRule type="cellIs" dxfId="4673" priority="4670" stopIfTrue="1" operator="equal">
      <formula>"Fail"</formula>
    </cfRule>
  </conditionalFormatting>
  <conditionalFormatting sqref="H1486">
    <cfRule type="cellIs" dxfId="4672" priority="4667" stopIfTrue="1" operator="equal">
      <formula>"Pass"</formula>
    </cfRule>
    <cfRule type="cellIs" dxfId="4671" priority="4668" stopIfTrue="1" operator="equal">
      <formula>"Fail"</formula>
    </cfRule>
  </conditionalFormatting>
  <conditionalFormatting sqref="H1486:L1486">
    <cfRule type="cellIs" dxfId="4670" priority="4665" stopIfTrue="1" operator="equal">
      <formula>"Pass"</formula>
    </cfRule>
    <cfRule type="cellIs" dxfId="4669" priority="4666" stopIfTrue="1" operator="equal">
      <formula>"Fail"</formula>
    </cfRule>
  </conditionalFormatting>
  <conditionalFormatting sqref="H1486">
    <cfRule type="cellIs" dxfId="4668" priority="4663" stopIfTrue="1" operator="equal">
      <formula>"Pass"</formula>
    </cfRule>
    <cfRule type="cellIs" dxfId="4667" priority="4664" stopIfTrue="1" operator="equal">
      <formula>"Fail"</formula>
    </cfRule>
  </conditionalFormatting>
  <conditionalFormatting sqref="H1486">
    <cfRule type="cellIs" dxfId="4666" priority="4661" stopIfTrue="1" operator="equal">
      <formula>"Pass"</formula>
    </cfRule>
    <cfRule type="cellIs" dxfId="4665" priority="4662" stopIfTrue="1" operator="equal">
      <formula>"Fail"</formula>
    </cfRule>
  </conditionalFormatting>
  <conditionalFormatting sqref="H1486:L1486">
    <cfRule type="cellIs" dxfId="4664" priority="4659" stopIfTrue="1" operator="equal">
      <formula>"Pass"</formula>
    </cfRule>
    <cfRule type="cellIs" dxfId="4663" priority="4660" stopIfTrue="1" operator="equal">
      <formula>"Fail"</formula>
    </cfRule>
  </conditionalFormatting>
  <conditionalFormatting sqref="H1486">
    <cfRule type="cellIs" dxfId="4662" priority="4657" stopIfTrue="1" operator="equal">
      <formula>"Pass"</formula>
    </cfRule>
    <cfRule type="cellIs" dxfId="4661" priority="4658" stopIfTrue="1" operator="equal">
      <formula>"Fail"</formula>
    </cfRule>
  </conditionalFormatting>
  <conditionalFormatting sqref="H1486">
    <cfRule type="cellIs" dxfId="4660" priority="4655" stopIfTrue="1" operator="equal">
      <formula>"Pass"</formula>
    </cfRule>
    <cfRule type="cellIs" dxfId="4659" priority="4656" stopIfTrue="1" operator="equal">
      <formula>"Fail"</formula>
    </cfRule>
  </conditionalFormatting>
  <conditionalFormatting sqref="H1486:L1486">
    <cfRule type="cellIs" dxfId="4658" priority="4653" stopIfTrue="1" operator="equal">
      <formula>"Pass"</formula>
    </cfRule>
    <cfRule type="cellIs" dxfId="4657" priority="4654" stopIfTrue="1" operator="equal">
      <formula>"Fail"</formula>
    </cfRule>
  </conditionalFormatting>
  <conditionalFormatting sqref="H1486:L1486">
    <cfRule type="cellIs" dxfId="4656" priority="4651" stopIfTrue="1" operator="equal">
      <formula>"Pass"</formula>
    </cfRule>
    <cfRule type="cellIs" dxfId="4655" priority="4652" stopIfTrue="1" operator="equal">
      <formula>"Fail"</formula>
    </cfRule>
  </conditionalFormatting>
  <conditionalFormatting sqref="H1486:L1486">
    <cfRule type="cellIs" dxfId="4654" priority="4649" stopIfTrue="1" operator="equal">
      <formula>"Pass"</formula>
    </cfRule>
    <cfRule type="cellIs" dxfId="4653" priority="4650" stopIfTrue="1" operator="equal">
      <formula>"Fail"</formula>
    </cfRule>
  </conditionalFormatting>
  <conditionalFormatting sqref="H1486:L1486">
    <cfRule type="cellIs" dxfId="4652" priority="4647" stopIfTrue="1" operator="equal">
      <formula>"Pass"</formula>
    </cfRule>
    <cfRule type="cellIs" dxfId="4651" priority="4648" stopIfTrue="1" operator="equal">
      <formula>"Fail"</formula>
    </cfRule>
  </conditionalFormatting>
  <conditionalFormatting sqref="H1486:L1486">
    <cfRule type="cellIs" dxfId="4650" priority="4645" stopIfTrue="1" operator="equal">
      <formula>"Pass"</formula>
    </cfRule>
    <cfRule type="cellIs" dxfId="4649" priority="4646" stopIfTrue="1" operator="equal">
      <formula>"Fail"</formula>
    </cfRule>
  </conditionalFormatting>
  <conditionalFormatting sqref="J1488:L1488">
    <cfRule type="cellIs" dxfId="4648" priority="4643" stopIfTrue="1" operator="equal">
      <formula>"Pass"</formula>
    </cfRule>
    <cfRule type="cellIs" dxfId="4647" priority="4644" stopIfTrue="1" operator="equal">
      <formula>"Fail"</formula>
    </cfRule>
  </conditionalFormatting>
  <conditionalFormatting sqref="I1488">
    <cfRule type="cellIs" dxfId="4646" priority="4641" stopIfTrue="1" operator="equal">
      <formula>"Pass"</formula>
    </cfRule>
    <cfRule type="cellIs" dxfId="4645" priority="4642" stopIfTrue="1" operator="equal">
      <formula>"Fail"</formula>
    </cfRule>
  </conditionalFormatting>
  <conditionalFormatting sqref="I1488:L1488">
    <cfRule type="cellIs" dxfId="4644" priority="4639" stopIfTrue="1" operator="equal">
      <formula>"Pass"</formula>
    </cfRule>
    <cfRule type="cellIs" dxfId="4643" priority="4640" stopIfTrue="1" operator="equal">
      <formula>"Fail"</formula>
    </cfRule>
  </conditionalFormatting>
  <conditionalFormatting sqref="J1488:L1488">
    <cfRule type="cellIs" dxfId="4642" priority="4637" stopIfTrue="1" operator="equal">
      <formula>"Pass"</formula>
    </cfRule>
    <cfRule type="cellIs" dxfId="4641" priority="4638" stopIfTrue="1" operator="equal">
      <formula>"Fail"</formula>
    </cfRule>
  </conditionalFormatting>
  <conditionalFormatting sqref="I1488">
    <cfRule type="cellIs" dxfId="4640" priority="4635" stopIfTrue="1" operator="equal">
      <formula>"Pass"</formula>
    </cfRule>
    <cfRule type="cellIs" dxfId="4639" priority="4636" stopIfTrue="1" operator="equal">
      <formula>"Fail"</formula>
    </cfRule>
  </conditionalFormatting>
  <conditionalFormatting sqref="I1488:L1488">
    <cfRule type="cellIs" dxfId="4638" priority="4633" stopIfTrue="1" operator="equal">
      <formula>"Pass"</formula>
    </cfRule>
    <cfRule type="cellIs" dxfId="4637" priority="4634" stopIfTrue="1" operator="equal">
      <formula>"Fail"</formula>
    </cfRule>
  </conditionalFormatting>
  <conditionalFormatting sqref="J1488:L1488">
    <cfRule type="cellIs" dxfId="4636" priority="4631" stopIfTrue="1" operator="equal">
      <formula>"Pass"</formula>
    </cfRule>
    <cfRule type="cellIs" dxfId="4635" priority="4632" stopIfTrue="1" operator="equal">
      <formula>"Fail"</formula>
    </cfRule>
  </conditionalFormatting>
  <conditionalFormatting sqref="I1488">
    <cfRule type="cellIs" dxfId="4634" priority="4629" stopIfTrue="1" operator="equal">
      <formula>"Pass"</formula>
    </cfRule>
    <cfRule type="cellIs" dxfId="4633" priority="4630" stopIfTrue="1" operator="equal">
      <formula>"Fail"</formula>
    </cfRule>
  </conditionalFormatting>
  <conditionalFormatting sqref="I1488:L1488">
    <cfRule type="cellIs" dxfId="4632" priority="4627" stopIfTrue="1" operator="equal">
      <formula>"Pass"</formula>
    </cfRule>
    <cfRule type="cellIs" dxfId="4631" priority="4628" stopIfTrue="1" operator="equal">
      <formula>"Fail"</formula>
    </cfRule>
  </conditionalFormatting>
  <conditionalFormatting sqref="J1488:L1488">
    <cfRule type="cellIs" dxfId="4630" priority="4625" stopIfTrue="1" operator="equal">
      <formula>"Pass"</formula>
    </cfRule>
    <cfRule type="cellIs" dxfId="4629" priority="4626" stopIfTrue="1" operator="equal">
      <formula>"Fail"</formula>
    </cfRule>
  </conditionalFormatting>
  <conditionalFormatting sqref="I1488">
    <cfRule type="cellIs" dxfId="4628" priority="4623" stopIfTrue="1" operator="equal">
      <formula>"Pass"</formula>
    </cfRule>
    <cfRule type="cellIs" dxfId="4627" priority="4624" stopIfTrue="1" operator="equal">
      <formula>"Fail"</formula>
    </cfRule>
  </conditionalFormatting>
  <conditionalFormatting sqref="I1488:L1488">
    <cfRule type="cellIs" dxfId="4626" priority="4621" stopIfTrue="1" operator="equal">
      <formula>"Pass"</formula>
    </cfRule>
    <cfRule type="cellIs" dxfId="4625" priority="4622" stopIfTrue="1" operator="equal">
      <formula>"Fail"</formula>
    </cfRule>
  </conditionalFormatting>
  <conditionalFormatting sqref="J1488:L1488">
    <cfRule type="cellIs" dxfId="4624" priority="4619" stopIfTrue="1" operator="equal">
      <formula>"Pass"</formula>
    </cfRule>
    <cfRule type="cellIs" dxfId="4623" priority="4620" stopIfTrue="1" operator="equal">
      <formula>"Fail"</formula>
    </cfRule>
  </conditionalFormatting>
  <conditionalFormatting sqref="I1488">
    <cfRule type="cellIs" dxfId="4622" priority="4617" stopIfTrue="1" operator="equal">
      <formula>"Pass"</formula>
    </cfRule>
    <cfRule type="cellIs" dxfId="4621" priority="4618" stopIfTrue="1" operator="equal">
      <formula>"Fail"</formula>
    </cfRule>
  </conditionalFormatting>
  <conditionalFormatting sqref="I1488:L1488">
    <cfRule type="cellIs" dxfId="4620" priority="4615" stopIfTrue="1" operator="equal">
      <formula>"Pass"</formula>
    </cfRule>
    <cfRule type="cellIs" dxfId="4619" priority="4616" stopIfTrue="1" operator="equal">
      <formula>"Fail"</formula>
    </cfRule>
  </conditionalFormatting>
  <conditionalFormatting sqref="J1488:L1488">
    <cfRule type="cellIs" dxfId="4618" priority="4613" stopIfTrue="1" operator="equal">
      <formula>"Pass"</formula>
    </cfRule>
    <cfRule type="cellIs" dxfId="4617" priority="4614" stopIfTrue="1" operator="equal">
      <formula>"Fail"</formula>
    </cfRule>
  </conditionalFormatting>
  <conditionalFormatting sqref="I1488">
    <cfRule type="cellIs" dxfId="4616" priority="4611" stopIfTrue="1" operator="equal">
      <formula>"Pass"</formula>
    </cfRule>
    <cfRule type="cellIs" dxfId="4615" priority="4612" stopIfTrue="1" operator="equal">
      <formula>"Fail"</formula>
    </cfRule>
  </conditionalFormatting>
  <conditionalFormatting sqref="I1488:L1488">
    <cfRule type="cellIs" dxfId="4614" priority="4609" stopIfTrue="1" operator="equal">
      <formula>"Pass"</formula>
    </cfRule>
    <cfRule type="cellIs" dxfId="4613" priority="4610" stopIfTrue="1" operator="equal">
      <formula>"Fail"</formula>
    </cfRule>
  </conditionalFormatting>
  <conditionalFormatting sqref="J1488:L1488">
    <cfRule type="cellIs" dxfId="4612" priority="4607" stopIfTrue="1" operator="equal">
      <formula>"Pass"</formula>
    </cfRule>
    <cfRule type="cellIs" dxfId="4611" priority="4608" stopIfTrue="1" operator="equal">
      <formula>"Fail"</formula>
    </cfRule>
  </conditionalFormatting>
  <conditionalFormatting sqref="I1488">
    <cfRule type="cellIs" dxfId="4610" priority="4605" stopIfTrue="1" operator="equal">
      <formula>"Pass"</formula>
    </cfRule>
    <cfRule type="cellIs" dxfId="4609" priority="4606" stopIfTrue="1" operator="equal">
      <formula>"Fail"</formula>
    </cfRule>
  </conditionalFormatting>
  <conditionalFormatting sqref="I1488:L1488">
    <cfRule type="cellIs" dxfId="4608" priority="4603" stopIfTrue="1" operator="equal">
      <formula>"Pass"</formula>
    </cfRule>
    <cfRule type="cellIs" dxfId="4607" priority="4604" stopIfTrue="1" operator="equal">
      <formula>"Fail"</formula>
    </cfRule>
  </conditionalFormatting>
  <conditionalFormatting sqref="J1488:L1488">
    <cfRule type="cellIs" dxfId="4606" priority="4601" stopIfTrue="1" operator="equal">
      <formula>"Pass"</formula>
    </cfRule>
    <cfRule type="cellIs" dxfId="4605" priority="4602" stopIfTrue="1" operator="equal">
      <formula>"Fail"</formula>
    </cfRule>
  </conditionalFormatting>
  <conditionalFormatting sqref="I1488">
    <cfRule type="cellIs" dxfId="4604" priority="4599" stopIfTrue="1" operator="equal">
      <formula>"Pass"</formula>
    </cfRule>
    <cfRule type="cellIs" dxfId="4603" priority="4600" stopIfTrue="1" operator="equal">
      <formula>"Fail"</formula>
    </cfRule>
  </conditionalFormatting>
  <conditionalFormatting sqref="I1488:L1488">
    <cfRule type="cellIs" dxfId="4602" priority="4597" stopIfTrue="1" operator="equal">
      <formula>"Pass"</formula>
    </cfRule>
    <cfRule type="cellIs" dxfId="4601" priority="4598" stopIfTrue="1" operator="equal">
      <formula>"Fail"</formula>
    </cfRule>
  </conditionalFormatting>
  <conditionalFormatting sqref="J1488:L1488">
    <cfRule type="cellIs" dxfId="4600" priority="4595" stopIfTrue="1" operator="equal">
      <formula>"Pass"</formula>
    </cfRule>
    <cfRule type="cellIs" dxfId="4599" priority="4596" stopIfTrue="1" operator="equal">
      <formula>"Fail"</formula>
    </cfRule>
  </conditionalFormatting>
  <conditionalFormatting sqref="I1488">
    <cfRule type="cellIs" dxfId="4598" priority="4593" stopIfTrue="1" operator="equal">
      <formula>"Pass"</formula>
    </cfRule>
    <cfRule type="cellIs" dxfId="4597" priority="4594" stopIfTrue="1" operator="equal">
      <formula>"Fail"</formula>
    </cfRule>
  </conditionalFormatting>
  <conditionalFormatting sqref="I1488:L1488">
    <cfRule type="cellIs" dxfId="4596" priority="4591" stopIfTrue="1" operator="equal">
      <formula>"Pass"</formula>
    </cfRule>
    <cfRule type="cellIs" dxfId="4595" priority="4592" stopIfTrue="1" operator="equal">
      <formula>"Fail"</formula>
    </cfRule>
  </conditionalFormatting>
  <conditionalFormatting sqref="J1488:L1488">
    <cfRule type="cellIs" dxfId="4594" priority="4589" stopIfTrue="1" operator="equal">
      <formula>"Pass"</formula>
    </cfRule>
    <cfRule type="cellIs" dxfId="4593" priority="4590" stopIfTrue="1" operator="equal">
      <formula>"Fail"</formula>
    </cfRule>
  </conditionalFormatting>
  <conditionalFormatting sqref="I1488">
    <cfRule type="cellIs" dxfId="4592" priority="4587" stopIfTrue="1" operator="equal">
      <formula>"Pass"</formula>
    </cfRule>
    <cfRule type="cellIs" dxfId="4591" priority="4588" stopIfTrue="1" operator="equal">
      <formula>"Fail"</formula>
    </cfRule>
  </conditionalFormatting>
  <conditionalFormatting sqref="I1488:L1488">
    <cfRule type="cellIs" dxfId="4590" priority="4585" stopIfTrue="1" operator="equal">
      <formula>"Pass"</formula>
    </cfRule>
    <cfRule type="cellIs" dxfId="4589" priority="4586" stopIfTrue="1" operator="equal">
      <formula>"Fail"</formula>
    </cfRule>
  </conditionalFormatting>
  <conditionalFormatting sqref="J1488:L1488">
    <cfRule type="cellIs" dxfId="4588" priority="4583" stopIfTrue="1" operator="equal">
      <formula>"Pass"</formula>
    </cfRule>
    <cfRule type="cellIs" dxfId="4587" priority="4584" stopIfTrue="1" operator="equal">
      <formula>"Fail"</formula>
    </cfRule>
  </conditionalFormatting>
  <conditionalFormatting sqref="I1488">
    <cfRule type="cellIs" dxfId="4586" priority="4581" stopIfTrue="1" operator="equal">
      <formula>"Pass"</formula>
    </cfRule>
    <cfRule type="cellIs" dxfId="4585" priority="4582" stopIfTrue="1" operator="equal">
      <formula>"Fail"</formula>
    </cfRule>
  </conditionalFormatting>
  <conditionalFormatting sqref="I1488:L1488">
    <cfRule type="cellIs" dxfId="4584" priority="4579" stopIfTrue="1" operator="equal">
      <formula>"Pass"</formula>
    </cfRule>
    <cfRule type="cellIs" dxfId="4583" priority="4580" stopIfTrue="1" operator="equal">
      <formula>"Fail"</formula>
    </cfRule>
  </conditionalFormatting>
  <conditionalFormatting sqref="J1488:L1488">
    <cfRule type="cellIs" dxfId="4582" priority="4577" stopIfTrue="1" operator="equal">
      <formula>"Pass"</formula>
    </cfRule>
    <cfRule type="cellIs" dxfId="4581" priority="4578" stopIfTrue="1" operator="equal">
      <formula>"Fail"</formula>
    </cfRule>
  </conditionalFormatting>
  <conditionalFormatting sqref="I1488">
    <cfRule type="cellIs" dxfId="4580" priority="4575" stopIfTrue="1" operator="equal">
      <formula>"Pass"</formula>
    </cfRule>
    <cfRule type="cellIs" dxfId="4579" priority="4576" stopIfTrue="1" operator="equal">
      <formula>"Fail"</formula>
    </cfRule>
  </conditionalFormatting>
  <conditionalFormatting sqref="I1488:L1488">
    <cfRule type="cellIs" dxfId="4578" priority="4573" stopIfTrue="1" operator="equal">
      <formula>"Pass"</formula>
    </cfRule>
    <cfRule type="cellIs" dxfId="4577" priority="4574" stopIfTrue="1" operator="equal">
      <formula>"Fail"</formula>
    </cfRule>
  </conditionalFormatting>
  <conditionalFormatting sqref="J1488:L1488">
    <cfRule type="cellIs" dxfId="4576" priority="4571" stopIfTrue="1" operator="equal">
      <formula>"Pass"</formula>
    </cfRule>
    <cfRule type="cellIs" dxfId="4575" priority="4572" stopIfTrue="1" operator="equal">
      <formula>"Fail"</formula>
    </cfRule>
  </conditionalFormatting>
  <conditionalFormatting sqref="I1488">
    <cfRule type="cellIs" dxfId="4574" priority="4569" stopIfTrue="1" operator="equal">
      <formula>"Pass"</formula>
    </cfRule>
    <cfRule type="cellIs" dxfId="4573" priority="4570" stopIfTrue="1" operator="equal">
      <formula>"Fail"</formula>
    </cfRule>
  </conditionalFormatting>
  <conditionalFormatting sqref="I1488:L1488">
    <cfRule type="cellIs" dxfId="4572" priority="4567" stopIfTrue="1" operator="equal">
      <formula>"Pass"</formula>
    </cfRule>
    <cfRule type="cellIs" dxfId="4571" priority="4568" stopIfTrue="1" operator="equal">
      <formula>"Fail"</formula>
    </cfRule>
  </conditionalFormatting>
  <conditionalFormatting sqref="J1488:L1488">
    <cfRule type="cellIs" dxfId="4570" priority="4565" stopIfTrue="1" operator="equal">
      <formula>"Pass"</formula>
    </cfRule>
    <cfRule type="cellIs" dxfId="4569" priority="4566" stopIfTrue="1" operator="equal">
      <formula>"Fail"</formula>
    </cfRule>
  </conditionalFormatting>
  <conditionalFormatting sqref="I1488">
    <cfRule type="cellIs" dxfId="4568" priority="4563" stopIfTrue="1" operator="equal">
      <formula>"Pass"</formula>
    </cfRule>
    <cfRule type="cellIs" dxfId="4567" priority="4564" stopIfTrue="1" operator="equal">
      <formula>"Fail"</formula>
    </cfRule>
  </conditionalFormatting>
  <conditionalFormatting sqref="I1488:L1488">
    <cfRule type="cellIs" dxfId="4566" priority="4561" stopIfTrue="1" operator="equal">
      <formula>"Pass"</formula>
    </cfRule>
    <cfRule type="cellIs" dxfId="4565" priority="4562" stopIfTrue="1" operator="equal">
      <formula>"Fail"</formula>
    </cfRule>
  </conditionalFormatting>
  <conditionalFormatting sqref="J1488:L1488">
    <cfRule type="cellIs" dxfId="4564" priority="4559" stopIfTrue="1" operator="equal">
      <formula>"Pass"</formula>
    </cfRule>
    <cfRule type="cellIs" dxfId="4563" priority="4560" stopIfTrue="1" operator="equal">
      <formula>"Fail"</formula>
    </cfRule>
  </conditionalFormatting>
  <conditionalFormatting sqref="I1488">
    <cfRule type="cellIs" dxfId="4562" priority="4557" stopIfTrue="1" operator="equal">
      <formula>"Pass"</formula>
    </cfRule>
    <cfRule type="cellIs" dxfId="4561" priority="4558" stopIfTrue="1" operator="equal">
      <formula>"Fail"</formula>
    </cfRule>
  </conditionalFormatting>
  <conditionalFormatting sqref="I1488:L1488">
    <cfRule type="cellIs" dxfId="4560" priority="4555" stopIfTrue="1" operator="equal">
      <formula>"Pass"</formula>
    </cfRule>
    <cfRule type="cellIs" dxfId="4559" priority="4556" stopIfTrue="1" operator="equal">
      <formula>"Fail"</formula>
    </cfRule>
  </conditionalFormatting>
  <conditionalFormatting sqref="J1488:L1488">
    <cfRule type="cellIs" dxfId="4558" priority="4553" stopIfTrue="1" operator="equal">
      <formula>"Pass"</formula>
    </cfRule>
    <cfRule type="cellIs" dxfId="4557" priority="4554" stopIfTrue="1" operator="equal">
      <formula>"Fail"</formula>
    </cfRule>
  </conditionalFormatting>
  <conditionalFormatting sqref="I1488">
    <cfRule type="cellIs" dxfId="4556" priority="4551" stopIfTrue="1" operator="equal">
      <formula>"Pass"</formula>
    </cfRule>
    <cfRule type="cellIs" dxfId="4555" priority="4552" stopIfTrue="1" operator="equal">
      <formula>"Fail"</formula>
    </cfRule>
  </conditionalFormatting>
  <conditionalFormatting sqref="I1488:L1488">
    <cfRule type="cellIs" dxfId="4554" priority="4549" stopIfTrue="1" operator="equal">
      <formula>"Pass"</formula>
    </cfRule>
    <cfRule type="cellIs" dxfId="4553" priority="4550" stopIfTrue="1" operator="equal">
      <formula>"Fail"</formula>
    </cfRule>
  </conditionalFormatting>
  <conditionalFormatting sqref="K1488:L1488">
    <cfRule type="cellIs" dxfId="4552" priority="4547" stopIfTrue="1" operator="equal">
      <formula>"Pass"</formula>
    </cfRule>
    <cfRule type="cellIs" dxfId="4551" priority="4548" stopIfTrue="1" operator="equal">
      <formula>"Fail"</formula>
    </cfRule>
  </conditionalFormatting>
  <conditionalFormatting sqref="K1488:L1488">
    <cfRule type="cellIs" dxfId="4550" priority="4545" stopIfTrue="1" operator="equal">
      <formula>"Pass"</formula>
    </cfRule>
    <cfRule type="cellIs" dxfId="4549" priority="4546" stopIfTrue="1" operator="equal">
      <formula>"Fail"</formula>
    </cfRule>
  </conditionalFormatting>
  <conditionalFormatting sqref="K1488:L1488">
    <cfRule type="cellIs" dxfId="4548" priority="4543" stopIfTrue="1" operator="equal">
      <formula>"Pass"</formula>
    </cfRule>
    <cfRule type="cellIs" dxfId="4547" priority="4544" stopIfTrue="1" operator="equal">
      <formula>"Fail"</formula>
    </cfRule>
  </conditionalFormatting>
  <conditionalFormatting sqref="K1488:L1488">
    <cfRule type="cellIs" dxfId="4546" priority="4541" stopIfTrue="1" operator="equal">
      <formula>"Pass"</formula>
    </cfRule>
    <cfRule type="cellIs" dxfId="4545" priority="4542" stopIfTrue="1" operator="equal">
      <formula>"Fail"</formula>
    </cfRule>
  </conditionalFormatting>
  <conditionalFormatting sqref="K1488:L1488">
    <cfRule type="cellIs" dxfId="4544" priority="4539" stopIfTrue="1" operator="equal">
      <formula>"Pass"</formula>
    </cfRule>
    <cfRule type="cellIs" dxfId="4543" priority="4540" stopIfTrue="1" operator="equal">
      <formula>"Fail"</formula>
    </cfRule>
  </conditionalFormatting>
  <conditionalFormatting sqref="K1488:L1488">
    <cfRule type="cellIs" dxfId="4542" priority="4537" stopIfTrue="1" operator="equal">
      <formula>"Pass"</formula>
    </cfRule>
    <cfRule type="cellIs" dxfId="4541" priority="4538" stopIfTrue="1" operator="equal">
      <formula>"Fail"</formula>
    </cfRule>
  </conditionalFormatting>
  <conditionalFormatting sqref="K1488:L1488">
    <cfRule type="cellIs" dxfId="4540" priority="4535" stopIfTrue="1" operator="equal">
      <formula>"Pass"</formula>
    </cfRule>
    <cfRule type="cellIs" dxfId="4539" priority="4536" stopIfTrue="1" operator="equal">
      <formula>"Fail"</formula>
    </cfRule>
  </conditionalFormatting>
  <conditionalFormatting sqref="K1488:L1488">
    <cfRule type="cellIs" dxfId="4538" priority="4533" stopIfTrue="1" operator="equal">
      <formula>"Pass"</formula>
    </cfRule>
    <cfRule type="cellIs" dxfId="4537" priority="4534" stopIfTrue="1" operator="equal">
      <formula>"Fail"</formula>
    </cfRule>
  </conditionalFormatting>
  <conditionalFormatting sqref="J1488:L1488">
    <cfRule type="cellIs" dxfId="4536" priority="4531" stopIfTrue="1" operator="equal">
      <formula>"Pass"</formula>
    </cfRule>
    <cfRule type="cellIs" dxfId="4535" priority="4532" stopIfTrue="1" operator="equal">
      <formula>"Fail"</formula>
    </cfRule>
  </conditionalFormatting>
  <conditionalFormatting sqref="I1488">
    <cfRule type="cellIs" dxfId="4534" priority="4529" stopIfTrue="1" operator="equal">
      <formula>"Pass"</formula>
    </cfRule>
    <cfRule type="cellIs" dxfId="4533" priority="4530" stopIfTrue="1" operator="equal">
      <formula>"Fail"</formula>
    </cfRule>
  </conditionalFormatting>
  <conditionalFormatting sqref="I1488:L1488">
    <cfRule type="cellIs" dxfId="4532" priority="4527" stopIfTrue="1" operator="equal">
      <formula>"Pass"</formula>
    </cfRule>
    <cfRule type="cellIs" dxfId="4531" priority="4528" stopIfTrue="1" operator="equal">
      <formula>"Fail"</formula>
    </cfRule>
  </conditionalFormatting>
  <conditionalFormatting sqref="J1488:L1488">
    <cfRule type="cellIs" dxfId="4530" priority="4525" stopIfTrue="1" operator="equal">
      <formula>"Pass"</formula>
    </cfRule>
    <cfRule type="cellIs" dxfId="4529" priority="4526" stopIfTrue="1" operator="equal">
      <formula>"Fail"</formula>
    </cfRule>
  </conditionalFormatting>
  <conditionalFormatting sqref="I1488">
    <cfRule type="cellIs" dxfId="4528" priority="4523" stopIfTrue="1" operator="equal">
      <formula>"Pass"</formula>
    </cfRule>
    <cfRule type="cellIs" dxfId="4527" priority="4524" stopIfTrue="1" operator="equal">
      <formula>"Fail"</formula>
    </cfRule>
  </conditionalFormatting>
  <conditionalFormatting sqref="I1488:L1488">
    <cfRule type="cellIs" dxfId="4526" priority="4521" stopIfTrue="1" operator="equal">
      <formula>"Pass"</formula>
    </cfRule>
    <cfRule type="cellIs" dxfId="4525" priority="4522" stopIfTrue="1" operator="equal">
      <formula>"Fail"</formula>
    </cfRule>
  </conditionalFormatting>
  <conditionalFormatting sqref="J1488:L1488">
    <cfRule type="cellIs" dxfId="4524" priority="4519" stopIfTrue="1" operator="equal">
      <formula>"Pass"</formula>
    </cfRule>
    <cfRule type="cellIs" dxfId="4523" priority="4520" stopIfTrue="1" operator="equal">
      <formula>"Fail"</formula>
    </cfRule>
  </conditionalFormatting>
  <conditionalFormatting sqref="I1488">
    <cfRule type="cellIs" dxfId="4522" priority="4517" stopIfTrue="1" operator="equal">
      <formula>"Pass"</formula>
    </cfRule>
    <cfRule type="cellIs" dxfId="4521" priority="4518" stopIfTrue="1" operator="equal">
      <formula>"Fail"</formula>
    </cfRule>
  </conditionalFormatting>
  <conditionalFormatting sqref="I1488:L1488">
    <cfRule type="cellIs" dxfId="4520" priority="4515" stopIfTrue="1" operator="equal">
      <formula>"Pass"</formula>
    </cfRule>
    <cfRule type="cellIs" dxfId="4519" priority="4516" stopIfTrue="1" operator="equal">
      <formula>"Fail"</formula>
    </cfRule>
  </conditionalFormatting>
  <conditionalFormatting sqref="J1488:L1488">
    <cfRule type="cellIs" dxfId="4518" priority="4513" stopIfTrue="1" operator="equal">
      <formula>"Pass"</formula>
    </cfRule>
    <cfRule type="cellIs" dxfId="4517" priority="4514" stopIfTrue="1" operator="equal">
      <formula>"Fail"</formula>
    </cfRule>
  </conditionalFormatting>
  <conditionalFormatting sqref="I1488">
    <cfRule type="cellIs" dxfId="4516" priority="4511" stopIfTrue="1" operator="equal">
      <formula>"Pass"</formula>
    </cfRule>
    <cfRule type="cellIs" dxfId="4515" priority="4512" stopIfTrue="1" operator="equal">
      <formula>"Fail"</formula>
    </cfRule>
  </conditionalFormatting>
  <conditionalFormatting sqref="I1488:L1488">
    <cfRule type="cellIs" dxfId="4514" priority="4509" stopIfTrue="1" operator="equal">
      <formula>"Pass"</formula>
    </cfRule>
    <cfRule type="cellIs" dxfId="4513" priority="4510" stopIfTrue="1" operator="equal">
      <formula>"Fail"</formula>
    </cfRule>
  </conditionalFormatting>
  <conditionalFormatting sqref="J1488:L1488">
    <cfRule type="cellIs" dxfId="4512" priority="4507" stopIfTrue="1" operator="equal">
      <formula>"Pass"</formula>
    </cfRule>
    <cfRule type="cellIs" dxfId="4511" priority="4508" stopIfTrue="1" operator="equal">
      <formula>"Fail"</formula>
    </cfRule>
  </conditionalFormatting>
  <conditionalFormatting sqref="I1488">
    <cfRule type="cellIs" dxfId="4510" priority="4505" stopIfTrue="1" operator="equal">
      <formula>"Pass"</formula>
    </cfRule>
    <cfRule type="cellIs" dxfId="4509" priority="4506" stopIfTrue="1" operator="equal">
      <formula>"Fail"</formula>
    </cfRule>
  </conditionalFormatting>
  <conditionalFormatting sqref="I1488:L1488">
    <cfRule type="cellIs" dxfId="4508" priority="4503" stopIfTrue="1" operator="equal">
      <formula>"Pass"</formula>
    </cfRule>
    <cfRule type="cellIs" dxfId="4507" priority="4504" stopIfTrue="1" operator="equal">
      <formula>"Fail"</formula>
    </cfRule>
  </conditionalFormatting>
  <conditionalFormatting sqref="J1488:L1488">
    <cfRule type="cellIs" dxfId="4506" priority="4501" stopIfTrue="1" operator="equal">
      <formula>"Pass"</formula>
    </cfRule>
    <cfRule type="cellIs" dxfId="4505" priority="4502" stopIfTrue="1" operator="equal">
      <formula>"Fail"</formula>
    </cfRule>
  </conditionalFormatting>
  <conditionalFormatting sqref="I1488">
    <cfRule type="cellIs" dxfId="4504" priority="4499" stopIfTrue="1" operator="equal">
      <formula>"Pass"</formula>
    </cfRule>
    <cfRule type="cellIs" dxfId="4503" priority="4500" stopIfTrue="1" operator="equal">
      <formula>"Fail"</formula>
    </cfRule>
  </conditionalFormatting>
  <conditionalFormatting sqref="I1488:L1488">
    <cfRule type="cellIs" dxfId="4502" priority="4497" stopIfTrue="1" operator="equal">
      <formula>"Pass"</formula>
    </cfRule>
    <cfRule type="cellIs" dxfId="4501" priority="4498" stopIfTrue="1" operator="equal">
      <formula>"Fail"</formula>
    </cfRule>
  </conditionalFormatting>
  <conditionalFormatting sqref="J1488:L1488">
    <cfRule type="cellIs" dxfId="4500" priority="4495" stopIfTrue="1" operator="equal">
      <formula>"Pass"</formula>
    </cfRule>
    <cfRule type="cellIs" dxfId="4499" priority="4496" stopIfTrue="1" operator="equal">
      <formula>"Fail"</formula>
    </cfRule>
  </conditionalFormatting>
  <conditionalFormatting sqref="I1488">
    <cfRule type="cellIs" dxfId="4498" priority="4493" stopIfTrue="1" operator="equal">
      <formula>"Pass"</formula>
    </cfRule>
    <cfRule type="cellIs" dxfId="4497" priority="4494" stopIfTrue="1" operator="equal">
      <formula>"Fail"</formula>
    </cfRule>
  </conditionalFormatting>
  <conditionalFormatting sqref="I1488:L1488">
    <cfRule type="cellIs" dxfId="4496" priority="4491" stopIfTrue="1" operator="equal">
      <formula>"Pass"</formula>
    </cfRule>
    <cfRule type="cellIs" dxfId="4495" priority="4492" stopIfTrue="1" operator="equal">
      <formula>"Fail"</formula>
    </cfRule>
  </conditionalFormatting>
  <conditionalFormatting sqref="J1488:L1488">
    <cfRule type="cellIs" dxfId="4494" priority="4489" stopIfTrue="1" operator="equal">
      <formula>"Pass"</formula>
    </cfRule>
    <cfRule type="cellIs" dxfId="4493" priority="4490" stopIfTrue="1" operator="equal">
      <formula>"Fail"</formula>
    </cfRule>
  </conditionalFormatting>
  <conditionalFormatting sqref="I1488">
    <cfRule type="cellIs" dxfId="4492" priority="4487" stopIfTrue="1" operator="equal">
      <formula>"Pass"</formula>
    </cfRule>
    <cfRule type="cellIs" dxfId="4491" priority="4488" stopIfTrue="1" operator="equal">
      <formula>"Fail"</formula>
    </cfRule>
  </conditionalFormatting>
  <conditionalFormatting sqref="I1488:L1488">
    <cfRule type="cellIs" dxfId="4490" priority="4485" stopIfTrue="1" operator="equal">
      <formula>"Pass"</formula>
    </cfRule>
    <cfRule type="cellIs" dxfId="4489" priority="4486" stopIfTrue="1" operator="equal">
      <formula>"Fail"</formula>
    </cfRule>
  </conditionalFormatting>
  <conditionalFormatting sqref="J1488:L1488">
    <cfRule type="cellIs" dxfId="4488" priority="4483" stopIfTrue="1" operator="equal">
      <formula>"Pass"</formula>
    </cfRule>
    <cfRule type="cellIs" dxfId="4487" priority="4484" stopIfTrue="1" operator="equal">
      <formula>"Fail"</formula>
    </cfRule>
  </conditionalFormatting>
  <conditionalFormatting sqref="I1488">
    <cfRule type="cellIs" dxfId="4486" priority="4481" stopIfTrue="1" operator="equal">
      <formula>"Pass"</formula>
    </cfRule>
    <cfRule type="cellIs" dxfId="4485" priority="4482" stopIfTrue="1" operator="equal">
      <formula>"Fail"</formula>
    </cfRule>
  </conditionalFormatting>
  <conditionalFormatting sqref="I1488:L1488">
    <cfRule type="cellIs" dxfId="4484" priority="4479" stopIfTrue="1" operator="equal">
      <formula>"Pass"</formula>
    </cfRule>
    <cfRule type="cellIs" dxfId="4483" priority="4480" stopIfTrue="1" operator="equal">
      <formula>"Fail"</formula>
    </cfRule>
  </conditionalFormatting>
  <conditionalFormatting sqref="J1488:L1488">
    <cfRule type="cellIs" dxfId="4482" priority="4477" stopIfTrue="1" operator="equal">
      <formula>"Pass"</formula>
    </cfRule>
    <cfRule type="cellIs" dxfId="4481" priority="4478" stopIfTrue="1" operator="equal">
      <formula>"Fail"</formula>
    </cfRule>
  </conditionalFormatting>
  <conditionalFormatting sqref="I1488">
    <cfRule type="cellIs" dxfId="4480" priority="4475" stopIfTrue="1" operator="equal">
      <formula>"Pass"</formula>
    </cfRule>
    <cfRule type="cellIs" dxfId="4479" priority="4476" stopIfTrue="1" operator="equal">
      <formula>"Fail"</formula>
    </cfRule>
  </conditionalFormatting>
  <conditionalFormatting sqref="I1488:L1488">
    <cfRule type="cellIs" dxfId="4478" priority="4473" stopIfTrue="1" operator="equal">
      <formula>"Pass"</formula>
    </cfRule>
    <cfRule type="cellIs" dxfId="4477" priority="4474" stopIfTrue="1" operator="equal">
      <formula>"Fail"</formula>
    </cfRule>
  </conditionalFormatting>
  <conditionalFormatting sqref="J1488:L1488">
    <cfRule type="cellIs" dxfId="4476" priority="4471" stopIfTrue="1" operator="equal">
      <formula>"Pass"</formula>
    </cfRule>
    <cfRule type="cellIs" dxfId="4475" priority="4472" stopIfTrue="1" operator="equal">
      <formula>"Fail"</formula>
    </cfRule>
  </conditionalFormatting>
  <conditionalFormatting sqref="I1488">
    <cfRule type="cellIs" dxfId="4474" priority="4469" stopIfTrue="1" operator="equal">
      <formula>"Pass"</formula>
    </cfRule>
    <cfRule type="cellIs" dxfId="4473" priority="4470" stopIfTrue="1" operator="equal">
      <formula>"Fail"</formula>
    </cfRule>
  </conditionalFormatting>
  <conditionalFormatting sqref="I1488:L1488">
    <cfRule type="cellIs" dxfId="4472" priority="4467" stopIfTrue="1" operator="equal">
      <formula>"Pass"</formula>
    </cfRule>
    <cfRule type="cellIs" dxfId="4471" priority="4468" stopIfTrue="1" operator="equal">
      <formula>"Fail"</formula>
    </cfRule>
  </conditionalFormatting>
  <conditionalFormatting sqref="J1488:L1488">
    <cfRule type="cellIs" dxfId="4470" priority="4465" stopIfTrue="1" operator="equal">
      <formula>"Pass"</formula>
    </cfRule>
    <cfRule type="cellIs" dxfId="4469" priority="4466" stopIfTrue="1" operator="equal">
      <formula>"Fail"</formula>
    </cfRule>
  </conditionalFormatting>
  <conditionalFormatting sqref="I1488">
    <cfRule type="cellIs" dxfId="4468" priority="4463" stopIfTrue="1" operator="equal">
      <formula>"Pass"</formula>
    </cfRule>
    <cfRule type="cellIs" dxfId="4467" priority="4464" stopIfTrue="1" operator="equal">
      <formula>"Fail"</formula>
    </cfRule>
  </conditionalFormatting>
  <conditionalFormatting sqref="I1488:L1488">
    <cfRule type="cellIs" dxfId="4466" priority="4461" stopIfTrue="1" operator="equal">
      <formula>"Pass"</formula>
    </cfRule>
    <cfRule type="cellIs" dxfId="4465" priority="4462" stopIfTrue="1" operator="equal">
      <formula>"Fail"</formula>
    </cfRule>
  </conditionalFormatting>
  <conditionalFormatting sqref="I1488:L1488">
    <cfRule type="cellIs" dxfId="4464" priority="4459" stopIfTrue="1" operator="equal">
      <formula>"Pass"</formula>
    </cfRule>
    <cfRule type="cellIs" dxfId="4463" priority="4460" stopIfTrue="1" operator="equal">
      <formula>"Fail"</formula>
    </cfRule>
  </conditionalFormatting>
  <conditionalFormatting sqref="I1488:L1488">
    <cfRule type="cellIs" dxfId="4462" priority="4457" stopIfTrue="1" operator="equal">
      <formula>"Pass"</formula>
    </cfRule>
    <cfRule type="cellIs" dxfId="4461" priority="4458" stopIfTrue="1" operator="equal">
      <formula>"Fail"</formula>
    </cfRule>
  </conditionalFormatting>
  <conditionalFormatting sqref="I1488:L1488">
    <cfRule type="cellIs" dxfId="4460" priority="4455" stopIfTrue="1" operator="equal">
      <formula>"Pass"</formula>
    </cfRule>
    <cfRule type="cellIs" dxfId="4459" priority="4456" stopIfTrue="1" operator="equal">
      <formula>"Fail"</formula>
    </cfRule>
  </conditionalFormatting>
  <conditionalFormatting sqref="J1488:L1488">
    <cfRule type="cellIs" dxfId="4458" priority="4453" stopIfTrue="1" operator="equal">
      <formula>"Pass"</formula>
    </cfRule>
    <cfRule type="cellIs" dxfId="4457" priority="4454" stopIfTrue="1" operator="equal">
      <formula>"Fail"</formula>
    </cfRule>
  </conditionalFormatting>
  <conditionalFormatting sqref="I1488">
    <cfRule type="cellIs" dxfId="4456" priority="4451" stopIfTrue="1" operator="equal">
      <formula>"Pass"</formula>
    </cfRule>
    <cfRule type="cellIs" dxfId="4455" priority="4452" stopIfTrue="1" operator="equal">
      <formula>"Fail"</formula>
    </cfRule>
  </conditionalFormatting>
  <conditionalFormatting sqref="I1488:L1488">
    <cfRule type="cellIs" dxfId="4454" priority="4449" stopIfTrue="1" operator="equal">
      <formula>"Pass"</formula>
    </cfRule>
    <cfRule type="cellIs" dxfId="4453" priority="4450" stopIfTrue="1" operator="equal">
      <formula>"Fail"</formula>
    </cfRule>
  </conditionalFormatting>
  <conditionalFormatting sqref="J1488:L1488">
    <cfRule type="cellIs" dxfId="4452" priority="4447" stopIfTrue="1" operator="equal">
      <formula>"Pass"</formula>
    </cfRule>
    <cfRule type="cellIs" dxfId="4451" priority="4448" stopIfTrue="1" operator="equal">
      <formula>"Fail"</formula>
    </cfRule>
  </conditionalFormatting>
  <conditionalFormatting sqref="I1488">
    <cfRule type="cellIs" dxfId="4450" priority="4445" stopIfTrue="1" operator="equal">
      <formula>"Pass"</formula>
    </cfRule>
    <cfRule type="cellIs" dxfId="4449" priority="4446" stopIfTrue="1" operator="equal">
      <formula>"Fail"</formula>
    </cfRule>
  </conditionalFormatting>
  <conditionalFormatting sqref="I1488:L1488">
    <cfRule type="cellIs" dxfId="4448" priority="4443" stopIfTrue="1" operator="equal">
      <formula>"Pass"</formula>
    </cfRule>
    <cfRule type="cellIs" dxfId="4447" priority="4444" stopIfTrue="1" operator="equal">
      <formula>"Fail"</formula>
    </cfRule>
  </conditionalFormatting>
  <conditionalFormatting sqref="J1488:L1488">
    <cfRule type="cellIs" dxfId="4446" priority="4441" stopIfTrue="1" operator="equal">
      <formula>"Pass"</formula>
    </cfRule>
    <cfRule type="cellIs" dxfId="4445" priority="4442" stopIfTrue="1" operator="equal">
      <formula>"Fail"</formula>
    </cfRule>
  </conditionalFormatting>
  <conditionalFormatting sqref="I1488">
    <cfRule type="cellIs" dxfId="4444" priority="4439" stopIfTrue="1" operator="equal">
      <formula>"Pass"</formula>
    </cfRule>
    <cfRule type="cellIs" dxfId="4443" priority="4440" stopIfTrue="1" operator="equal">
      <formula>"Fail"</formula>
    </cfRule>
  </conditionalFormatting>
  <conditionalFormatting sqref="I1488:L1488">
    <cfRule type="cellIs" dxfId="4442" priority="4437" stopIfTrue="1" operator="equal">
      <formula>"Pass"</formula>
    </cfRule>
    <cfRule type="cellIs" dxfId="4441" priority="4438" stopIfTrue="1" operator="equal">
      <formula>"Fail"</formula>
    </cfRule>
  </conditionalFormatting>
  <conditionalFormatting sqref="J1488:L1488">
    <cfRule type="cellIs" dxfId="4440" priority="4435" stopIfTrue="1" operator="equal">
      <formula>"Pass"</formula>
    </cfRule>
    <cfRule type="cellIs" dxfId="4439" priority="4436" stopIfTrue="1" operator="equal">
      <formula>"Fail"</formula>
    </cfRule>
  </conditionalFormatting>
  <conditionalFormatting sqref="I1488">
    <cfRule type="cellIs" dxfId="4438" priority="4433" stopIfTrue="1" operator="equal">
      <formula>"Pass"</formula>
    </cfRule>
    <cfRule type="cellIs" dxfId="4437" priority="4434" stopIfTrue="1" operator="equal">
      <formula>"Fail"</formula>
    </cfRule>
  </conditionalFormatting>
  <conditionalFormatting sqref="I1488:L1488">
    <cfRule type="cellIs" dxfId="4436" priority="4431" stopIfTrue="1" operator="equal">
      <formula>"Pass"</formula>
    </cfRule>
    <cfRule type="cellIs" dxfId="4435" priority="4432" stopIfTrue="1" operator="equal">
      <formula>"Fail"</formula>
    </cfRule>
  </conditionalFormatting>
  <conditionalFormatting sqref="I1488:L1488">
    <cfRule type="cellIs" dxfId="4434" priority="4429" stopIfTrue="1" operator="equal">
      <formula>"Pass"</formula>
    </cfRule>
    <cfRule type="cellIs" dxfId="4433" priority="4430" stopIfTrue="1" operator="equal">
      <formula>"Fail"</formula>
    </cfRule>
  </conditionalFormatting>
  <conditionalFormatting sqref="I1488:L1488">
    <cfRule type="cellIs" dxfId="4432" priority="4427" stopIfTrue="1" operator="equal">
      <formula>"Pass"</formula>
    </cfRule>
    <cfRule type="cellIs" dxfId="4431" priority="4428" stopIfTrue="1" operator="equal">
      <formula>"Fail"</formula>
    </cfRule>
  </conditionalFormatting>
  <conditionalFormatting sqref="I1488:L1488">
    <cfRule type="cellIs" dxfId="4430" priority="4425" stopIfTrue="1" operator="equal">
      <formula>"Pass"</formula>
    </cfRule>
    <cfRule type="cellIs" dxfId="4429" priority="4426" stopIfTrue="1" operator="equal">
      <formula>"Fail"</formula>
    </cfRule>
  </conditionalFormatting>
  <conditionalFormatting sqref="J1488:L1488">
    <cfRule type="cellIs" dxfId="4428" priority="4423" stopIfTrue="1" operator="equal">
      <formula>"Pass"</formula>
    </cfRule>
    <cfRule type="cellIs" dxfId="4427" priority="4424" stopIfTrue="1" operator="equal">
      <formula>"Fail"</formula>
    </cfRule>
  </conditionalFormatting>
  <conditionalFormatting sqref="I1488">
    <cfRule type="cellIs" dxfId="4426" priority="4421" stopIfTrue="1" operator="equal">
      <formula>"Pass"</formula>
    </cfRule>
    <cfRule type="cellIs" dxfId="4425" priority="4422" stopIfTrue="1" operator="equal">
      <formula>"Fail"</formula>
    </cfRule>
  </conditionalFormatting>
  <conditionalFormatting sqref="I1488:L1488">
    <cfRule type="cellIs" dxfId="4424" priority="4419" stopIfTrue="1" operator="equal">
      <formula>"Pass"</formula>
    </cfRule>
    <cfRule type="cellIs" dxfId="4423" priority="4420" stopIfTrue="1" operator="equal">
      <formula>"Fail"</formula>
    </cfRule>
  </conditionalFormatting>
  <conditionalFormatting sqref="J1488:L1488">
    <cfRule type="cellIs" dxfId="4422" priority="4417" stopIfTrue="1" operator="equal">
      <formula>"Pass"</formula>
    </cfRule>
    <cfRule type="cellIs" dxfId="4421" priority="4418" stopIfTrue="1" operator="equal">
      <formula>"Fail"</formula>
    </cfRule>
  </conditionalFormatting>
  <conditionalFormatting sqref="I1488">
    <cfRule type="cellIs" dxfId="4420" priority="4415" stopIfTrue="1" operator="equal">
      <formula>"Pass"</formula>
    </cfRule>
    <cfRule type="cellIs" dxfId="4419" priority="4416" stopIfTrue="1" operator="equal">
      <formula>"Fail"</formula>
    </cfRule>
  </conditionalFormatting>
  <conditionalFormatting sqref="I1488:L1488">
    <cfRule type="cellIs" dxfId="4418" priority="4413" stopIfTrue="1" operator="equal">
      <formula>"Pass"</formula>
    </cfRule>
    <cfRule type="cellIs" dxfId="4417" priority="4414" stopIfTrue="1" operator="equal">
      <formula>"Fail"</formula>
    </cfRule>
  </conditionalFormatting>
  <conditionalFormatting sqref="J1488:L1488">
    <cfRule type="cellIs" dxfId="4416" priority="4411" stopIfTrue="1" operator="equal">
      <formula>"Pass"</formula>
    </cfRule>
    <cfRule type="cellIs" dxfId="4415" priority="4412" stopIfTrue="1" operator="equal">
      <formula>"Fail"</formula>
    </cfRule>
  </conditionalFormatting>
  <conditionalFormatting sqref="I1488">
    <cfRule type="cellIs" dxfId="4414" priority="4409" stopIfTrue="1" operator="equal">
      <formula>"Pass"</formula>
    </cfRule>
    <cfRule type="cellIs" dxfId="4413" priority="4410" stopIfTrue="1" operator="equal">
      <formula>"Fail"</formula>
    </cfRule>
  </conditionalFormatting>
  <conditionalFormatting sqref="I1488:L1488">
    <cfRule type="cellIs" dxfId="4412" priority="4407" stopIfTrue="1" operator="equal">
      <formula>"Pass"</formula>
    </cfRule>
    <cfRule type="cellIs" dxfId="4411" priority="4408" stopIfTrue="1" operator="equal">
      <formula>"Fail"</formula>
    </cfRule>
  </conditionalFormatting>
  <conditionalFormatting sqref="J1488:L1488">
    <cfRule type="cellIs" dxfId="4410" priority="4405" stopIfTrue="1" operator="equal">
      <formula>"Pass"</formula>
    </cfRule>
    <cfRule type="cellIs" dxfId="4409" priority="4406" stopIfTrue="1" operator="equal">
      <formula>"Fail"</formula>
    </cfRule>
  </conditionalFormatting>
  <conditionalFormatting sqref="I1488">
    <cfRule type="cellIs" dxfId="4408" priority="4403" stopIfTrue="1" operator="equal">
      <formula>"Pass"</formula>
    </cfRule>
    <cfRule type="cellIs" dxfId="4407" priority="4404" stopIfTrue="1" operator="equal">
      <formula>"Fail"</formula>
    </cfRule>
  </conditionalFormatting>
  <conditionalFormatting sqref="I1488:L1488">
    <cfRule type="cellIs" dxfId="4406" priority="4401" stopIfTrue="1" operator="equal">
      <formula>"Pass"</formula>
    </cfRule>
    <cfRule type="cellIs" dxfId="4405" priority="4402" stopIfTrue="1" operator="equal">
      <formula>"Fail"</formula>
    </cfRule>
  </conditionalFormatting>
  <conditionalFormatting sqref="I1488:L1488">
    <cfRule type="cellIs" dxfId="4404" priority="4399" stopIfTrue="1" operator="equal">
      <formula>"Pass"</formula>
    </cfRule>
    <cfRule type="cellIs" dxfId="4403" priority="4400" stopIfTrue="1" operator="equal">
      <formula>"Fail"</formula>
    </cfRule>
  </conditionalFormatting>
  <conditionalFormatting sqref="I1488:L1488">
    <cfRule type="cellIs" dxfId="4402" priority="4397" stopIfTrue="1" operator="equal">
      <formula>"Pass"</formula>
    </cfRule>
    <cfRule type="cellIs" dxfId="4401" priority="4398" stopIfTrue="1" operator="equal">
      <formula>"Fail"</formula>
    </cfRule>
  </conditionalFormatting>
  <conditionalFormatting sqref="I1488:L1488">
    <cfRule type="cellIs" dxfId="4400" priority="4395" stopIfTrue="1" operator="equal">
      <formula>"Pass"</formula>
    </cfRule>
    <cfRule type="cellIs" dxfId="4399" priority="4396" stopIfTrue="1" operator="equal">
      <formula>"Fail"</formula>
    </cfRule>
  </conditionalFormatting>
  <conditionalFormatting sqref="J1488:L1488">
    <cfRule type="cellIs" dxfId="4398" priority="4393" stopIfTrue="1" operator="equal">
      <formula>"Pass"</formula>
    </cfRule>
    <cfRule type="cellIs" dxfId="4397" priority="4394" stopIfTrue="1" operator="equal">
      <formula>"Fail"</formula>
    </cfRule>
  </conditionalFormatting>
  <conditionalFormatting sqref="I1488">
    <cfRule type="cellIs" dxfId="4396" priority="4391" stopIfTrue="1" operator="equal">
      <formula>"Pass"</formula>
    </cfRule>
    <cfRule type="cellIs" dxfId="4395" priority="4392" stopIfTrue="1" operator="equal">
      <formula>"Fail"</formula>
    </cfRule>
  </conditionalFormatting>
  <conditionalFormatting sqref="I1488:L1488">
    <cfRule type="cellIs" dxfId="4394" priority="4389" stopIfTrue="1" operator="equal">
      <formula>"Pass"</formula>
    </cfRule>
    <cfRule type="cellIs" dxfId="4393" priority="4390" stopIfTrue="1" operator="equal">
      <formula>"Fail"</formula>
    </cfRule>
  </conditionalFormatting>
  <conditionalFormatting sqref="J1488:L1488">
    <cfRule type="cellIs" dxfId="4392" priority="4387" stopIfTrue="1" operator="equal">
      <formula>"Pass"</formula>
    </cfRule>
    <cfRule type="cellIs" dxfId="4391" priority="4388" stopIfTrue="1" operator="equal">
      <formula>"Fail"</formula>
    </cfRule>
  </conditionalFormatting>
  <conditionalFormatting sqref="I1488">
    <cfRule type="cellIs" dxfId="4390" priority="4385" stopIfTrue="1" operator="equal">
      <formula>"Pass"</formula>
    </cfRule>
    <cfRule type="cellIs" dxfId="4389" priority="4386" stopIfTrue="1" operator="equal">
      <formula>"Fail"</formula>
    </cfRule>
  </conditionalFormatting>
  <conditionalFormatting sqref="I1488:L1488">
    <cfRule type="cellIs" dxfId="4388" priority="4383" stopIfTrue="1" operator="equal">
      <formula>"Pass"</formula>
    </cfRule>
    <cfRule type="cellIs" dxfId="4387" priority="4384" stopIfTrue="1" operator="equal">
      <formula>"Fail"</formula>
    </cfRule>
  </conditionalFormatting>
  <conditionalFormatting sqref="J1488:L1488">
    <cfRule type="cellIs" dxfId="4386" priority="4381" stopIfTrue="1" operator="equal">
      <formula>"Pass"</formula>
    </cfRule>
    <cfRule type="cellIs" dxfId="4385" priority="4382" stopIfTrue="1" operator="equal">
      <formula>"Fail"</formula>
    </cfRule>
  </conditionalFormatting>
  <conditionalFormatting sqref="I1488">
    <cfRule type="cellIs" dxfId="4384" priority="4379" stopIfTrue="1" operator="equal">
      <formula>"Pass"</formula>
    </cfRule>
    <cfRule type="cellIs" dxfId="4383" priority="4380" stopIfTrue="1" operator="equal">
      <formula>"Fail"</formula>
    </cfRule>
  </conditionalFormatting>
  <conditionalFormatting sqref="I1488:L1488">
    <cfRule type="cellIs" dxfId="4382" priority="4377" stopIfTrue="1" operator="equal">
      <formula>"Pass"</formula>
    </cfRule>
    <cfRule type="cellIs" dxfId="4381" priority="4378" stopIfTrue="1" operator="equal">
      <formula>"Fail"</formula>
    </cfRule>
  </conditionalFormatting>
  <conditionalFormatting sqref="J1488:L1488">
    <cfRule type="cellIs" dxfId="4380" priority="4375" stopIfTrue="1" operator="equal">
      <formula>"Pass"</formula>
    </cfRule>
    <cfRule type="cellIs" dxfId="4379" priority="4376" stopIfTrue="1" operator="equal">
      <formula>"Fail"</formula>
    </cfRule>
  </conditionalFormatting>
  <conditionalFormatting sqref="I1488">
    <cfRule type="cellIs" dxfId="4378" priority="4373" stopIfTrue="1" operator="equal">
      <formula>"Pass"</formula>
    </cfRule>
    <cfRule type="cellIs" dxfId="4377" priority="4374" stopIfTrue="1" operator="equal">
      <formula>"Fail"</formula>
    </cfRule>
  </conditionalFormatting>
  <conditionalFormatting sqref="I1488:L1488">
    <cfRule type="cellIs" dxfId="4376" priority="4371" stopIfTrue="1" operator="equal">
      <formula>"Pass"</formula>
    </cfRule>
    <cfRule type="cellIs" dxfId="4375" priority="4372" stopIfTrue="1" operator="equal">
      <formula>"Fail"</formula>
    </cfRule>
  </conditionalFormatting>
  <conditionalFormatting sqref="I1488:L1488">
    <cfRule type="cellIs" dxfId="4374" priority="4369" stopIfTrue="1" operator="equal">
      <formula>"Pass"</formula>
    </cfRule>
    <cfRule type="cellIs" dxfId="4373" priority="4370" stopIfTrue="1" operator="equal">
      <formula>"Fail"</formula>
    </cfRule>
  </conditionalFormatting>
  <conditionalFormatting sqref="I1488:L1488">
    <cfRule type="cellIs" dxfId="4372" priority="4367" stopIfTrue="1" operator="equal">
      <formula>"Pass"</formula>
    </cfRule>
    <cfRule type="cellIs" dxfId="4371" priority="4368" stopIfTrue="1" operator="equal">
      <formula>"Fail"</formula>
    </cfRule>
  </conditionalFormatting>
  <conditionalFormatting sqref="I1488:L1488">
    <cfRule type="cellIs" dxfId="4370" priority="4365" stopIfTrue="1" operator="equal">
      <formula>"Pass"</formula>
    </cfRule>
    <cfRule type="cellIs" dxfId="4369" priority="4366" stopIfTrue="1" operator="equal">
      <formula>"Fail"</formula>
    </cfRule>
  </conditionalFormatting>
  <conditionalFormatting sqref="J1488:L1488">
    <cfRule type="cellIs" dxfId="4368" priority="4363" stopIfTrue="1" operator="equal">
      <formula>"Pass"</formula>
    </cfRule>
    <cfRule type="cellIs" dxfId="4367" priority="4364" stopIfTrue="1" operator="equal">
      <formula>"Fail"</formula>
    </cfRule>
  </conditionalFormatting>
  <conditionalFormatting sqref="I1488">
    <cfRule type="cellIs" dxfId="4366" priority="4361" stopIfTrue="1" operator="equal">
      <formula>"Pass"</formula>
    </cfRule>
    <cfRule type="cellIs" dxfId="4365" priority="4362" stopIfTrue="1" operator="equal">
      <formula>"Fail"</formula>
    </cfRule>
  </conditionalFormatting>
  <conditionalFormatting sqref="I1488:L1488">
    <cfRule type="cellIs" dxfId="4364" priority="4359" stopIfTrue="1" operator="equal">
      <formula>"Pass"</formula>
    </cfRule>
    <cfRule type="cellIs" dxfId="4363" priority="4360" stopIfTrue="1" operator="equal">
      <formula>"Fail"</formula>
    </cfRule>
  </conditionalFormatting>
  <conditionalFormatting sqref="J1488:L1488">
    <cfRule type="cellIs" dxfId="4362" priority="4357" stopIfTrue="1" operator="equal">
      <formula>"Pass"</formula>
    </cfRule>
    <cfRule type="cellIs" dxfId="4361" priority="4358" stopIfTrue="1" operator="equal">
      <formula>"Fail"</formula>
    </cfRule>
  </conditionalFormatting>
  <conditionalFormatting sqref="I1488">
    <cfRule type="cellIs" dxfId="4360" priority="4355" stopIfTrue="1" operator="equal">
      <formula>"Pass"</formula>
    </cfRule>
    <cfRule type="cellIs" dxfId="4359" priority="4356" stopIfTrue="1" operator="equal">
      <formula>"Fail"</formula>
    </cfRule>
  </conditionalFormatting>
  <conditionalFormatting sqref="I1488:L1488">
    <cfRule type="cellIs" dxfId="4358" priority="4353" stopIfTrue="1" operator="equal">
      <formula>"Pass"</formula>
    </cfRule>
    <cfRule type="cellIs" dxfId="4357" priority="4354" stopIfTrue="1" operator="equal">
      <formula>"Fail"</formula>
    </cfRule>
  </conditionalFormatting>
  <conditionalFormatting sqref="J1488:L1488">
    <cfRule type="cellIs" dxfId="4356" priority="4351" stopIfTrue="1" operator="equal">
      <formula>"Pass"</formula>
    </cfRule>
    <cfRule type="cellIs" dxfId="4355" priority="4352" stopIfTrue="1" operator="equal">
      <formula>"Fail"</formula>
    </cfRule>
  </conditionalFormatting>
  <conditionalFormatting sqref="I1488">
    <cfRule type="cellIs" dxfId="4354" priority="4349" stopIfTrue="1" operator="equal">
      <formula>"Pass"</formula>
    </cfRule>
    <cfRule type="cellIs" dxfId="4353" priority="4350" stopIfTrue="1" operator="equal">
      <formula>"Fail"</formula>
    </cfRule>
  </conditionalFormatting>
  <conditionalFormatting sqref="I1488:L1488">
    <cfRule type="cellIs" dxfId="4352" priority="4347" stopIfTrue="1" operator="equal">
      <formula>"Pass"</formula>
    </cfRule>
    <cfRule type="cellIs" dxfId="4351" priority="4348" stopIfTrue="1" operator="equal">
      <formula>"Fail"</formula>
    </cfRule>
  </conditionalFormatting>
  <conditionalFormatting sqref="J1488:L1488">
    <cfRule type="cellIs" dxfId="4350" priority="4345" stopIfTrue="1" operator="equal">
      <formula>"Pass"</formula>
    </cfRule>
    <cfRule type="cellIs" dxfId="4349" priority="4346" stopIfTrue="1" operator="equal">
      <formula>"Fail"</formula>
    </cfRule>
  </conditionalFormatting>
  <conditionalFormatting sqref="I1488">
    <cfRule type="cellIs" dxfId="4348" priority="4343" stopIfTrue="1" operator="equal">
      <formula>"Pass"</formula>
    </cfRule>
    <cfRule type="cellIs" dxfId="4347" priority="4344" stopIfTrue="1" operator="equal">
      <formula>"Fail"</formula>
    </cfRule>
  </conditionalFormatting>
  <conditionalFormatting sqref="I1488:L1488">
    <cfRule type="cellIs" dxfId="4346" priority="4341" stopIfTrue="1" operator="equal">
      <formula>"Pass"</formula>
    </cfRule>
    <cfRule type="cellIs" dxfId="4345" priority="4342" stopIfTrue="1" operator="equal">
      <formula>"Fail"</formula>
    </cfRule>
  </conditionalFormatting>
  <conditionalFormatting sqref="I1488:L1488">
    <cfRule type="cellIs" dxfId="4344" priority="4339" stopIfTrue="1" operator="equal">
      <formula>"Pass"</formula>
    </cfRule>
    <cfRule type="cellIs" dxfId="4343" priority="4340" stopIfTrue="1" operator="equal">
      <formula>"Fail"</formula>
    </cfRule>
  </conditionalFormatting>
  <conditionalFormatting sqref="I1488:L1488">
    <cfRule type="cellIs" dxfId="4342" priority="4337" stopIfTrue="1" operator="equal">
      <formula>"Pass"</formula>
    </cfRule>
    <cfRule type="cellIs" dxfId="4341" priority="4338" stopIfTrue="1" operator="equal">
      <formula>"Fail"</formula>
    </cfRule>
  </conditionalFormatting>
  <conditionalFormatting sqref="I1488:L1488">
    <cfRule type="cellIs" dxfId="4340" priority="4335" stopIfTrue="1" operator="equal">
      <formula>"Pass"</formula>
    </cfRule>
    <cfRule type="cellIs" dxfId="4339" priority="4336" stopIfTrue="1" operator="equal">
      <formula>"Fail"</formula>
    </cfRule>
  </conditionalFormatting>
  <conditionalFormatting sqref="J1488:L1488">
    <cfRule type="cellIs" dxfId="4338" priority="4333" stopIfTrue="1" operator="equal">
      <formula>"Pass"</formula>
    </cfRule>
    <cfRule type="cellIs" dxfId="4337" priority="4334" stopIfTrue="1" operator="equal">
      <formula>"Fail"</formula>
    </cfRule>
  </conditionalFormatting>
  <conditionalFormatting sqref="I1488">
    <cfRule type="cellIs" dxfId="4336" priority="4331" stopIfTrue="1" operator="equal">
      <formula>"Pass"</formula>
    </cfRule>
    <cfRule type="cellIs" dxfId="4335" priority="4332" stopIfTrue="1" operator="equal">
      <formula>"Fail"</formula>
    </cfRule>
  </conditionalFormatting>
  <conditionalFormatting sqref="I1488:L1488">
    <cfRule type="cellIs" dxfId="4334" priority="4329" stopIfTrue="1" operator="equal">
      <formula>"Pass"</formula>
    </cfRule>
    <cfRule type="cellIs" dxfId="4333" priority="4330" stopIfTrue="1" operator="equal">
      <formula>"Fail"</formula>
    </cfRule>
  </conditionalFormatting>
  <conditionalFormatting sqref="J1488:L1488">
    <cfRule type="cellIs" dxfId="4332" priority="4327" stopIfTrue="1" operator="equal">
      <formula>"Pass"</formula>
    </cfRule>
    <cfRule type="cellIs" dxfId="4331" priority="4328" stopIfTrue="1" operator="equal">
      <formula>"Fail"</formula>
    </cfRule>
  </conditionalFormatting>
  <conditionalFormatting sqref="I1488">
    <cfRule type="cellIs" dxfId="4330" priority="4325" stopIfTrue="1" operator="equal">
      <formula>"Pass"</formula>
    </cfRule>
    <cfRule type="cellIs" dxfId="4329" priority="4326" stopIfTrue="1" operator="equal">
      <formula>"Fail"</formula>
    </cfRule>
  </conditionalFormatting>
  <conditionalFormatting sqref="I1488:L1488">
    <cfRule type="cellIs" dxfId="4328" priority="4323" stopIfTrue="1" operator="equal">
      <formula>"Pass"</formula>
    </cfRule>
    <cfRule type="cellIs" dxfId="4327" priority="4324" stopIfTrue="1" operator="equal">
      <formula>"Fail"</formula>
    </cfRule>
  </conditionalFormatting>
  <conditionalFormatting sqref="J1488:L1488">
    <cfRule type="cellIs" dxfId="4326" priority="4321" stopIfTrue="1" operator="equal">
      <formula>"Pass"</formula>
    </cfRule>
    <cfRule type="cellIs" dxfId="4325" priority="4322" stopIfTrue="1" operator="equal">
      <formula>"Fail"</formula>
    </cfRule>
  </conditionalFormatting>
  <conditionalFormatting sqref="I1488">
    <cfRule type="cellIs" dxfId="4324" priority="4319" stopIfTrue="1" operator="equal">
      <formula>"Pass"</formula>
    </cfRule>
    <cfRule type="cellIs" dxfId="4323" priority="4320" stopIfTrue="1" operator="equal">
      <formula>"Fail"</formula>
    </cfRule>
  </conditionalFormatting>
  <conditionalFormatting sqref="I1488:L1488">
    <cfRule type="cellIs" dxfId="4322" priority="4317" stopIfTrue="1" operator="equal">
      <formula>"Pass"</formula>
    </cfRule>
    <cfRule type="cellIs" dxfId="4321" priority="4318" stopIfTrue="1" operator="equal">
      <formula>"Fail"</formula>
    </cfRule>
  </conditionalFormatting>
  <conditionalFormatting sqref="J1488:L1488">
    <cfRule type="cellIs" dxfId="4320" priority="4315" stopIfTrue="1" operator="equal">
      <formula>"Pass"</formula>
    </cfRule>
    <cfRule type="cellIs" dxfId="4319" priority="4316" stopIfTrue="1" operator="equal">
      <formula>"Fail"</formula>
    </cfRule>
  </conditionalFormatting>
  <conditionalFormatting sqref="I1488">
    <cfRule type="cellIs" dxfId="4318" priority="4313" stopIfTrue="1" operator="equal">
      <formula>"Pass"</formula>
    </cfRule>
    <cfRule type="cellIs" dxfId="4317" priority="4314" stopIfTrue="1" operator="equal">
      <formula>"Fail"</formula>
    </cfRule>
  </conditionalFormatting>
  <conditionalFormatting sqref="I1488:L1488">
    <cfRule type="cellIs" dxfId="4316" priority="4311" stopIfTrue="1" operator="equal">
      <formula>"Pass"</formula>
    </cfRule>
    <cfRule type="cellIs" dxfId="4315" priority="4312" stopIfTrue="1" operator="equal">
      <formula>"Fail"</formula>
    </cfRule>
  </conditionalFormatting>
  <conditionalFormatting sqref="I1488:L1488">
    <cfRule type="cellIs" dxfId="4314" priority="4309" stopIfTrue="1" operator="equal">
      <formula>"Pass"</formula>
    </cfRule>
    <cfRule type="cellIs" dxfId="4313" priority="4310" stopIfTrue="1" operator="equal">
      <formula>"Fail"</formula>
    </cfRule>
  </conditionalFormatting>
  <conditionalFormatting sqref="I1488:L1488">
    <cfRule type="cellIs" dxfId="4312" priority="4307" stopIfTrue="1" operator="equal">
      <formula>"Pass"</formula>
    </cfRule>
    <cfRule type="cellIs" dxfId="4311" priority="4308" stopIfTrue="1" operator="equal">
      <formula>"Fail"</formula>
    </cfRule>
  </conditionalFormatting>
  <conditionalFormatting sqref="I1488:L1488">
    <cfRule type="cellIs" dxfId="4310" priority="4305" stopIfTrue="1" operator="equal">
      <formula>"Pass"</formula>
    </cfRule>
    <cfRule type="cellIs" dxfId="4309" priority="4306" stopIfTrue="1" operator="equal">
      <formula>"Fail"</formula>
    </cfRule>
  </conditionalFormatting>
  <conditionalFormatting sqref="I1488:L1488">
    <cfRule type="cellIs" dxfId="4308" priority="4303" stopIfTrue="1" operator="equal">
      <formula>"Pass"</formula>
    </cfRule>
    <cfRule type="cellIs" dxfId="4307" priority="4304" stopIfTrue="1" operator="equal">
      <formula>"Fail"</formula>
    </cfRule>
  </conditionalFormatting>
  <conditionalFormatting sqref="I1488:L1488">
    <cfRule type="cellIs" dxfId="4306" priority="4301" stopIfTrue="1" operator="equal">
      <formula>"Pass"</formula>
    </cfRule>
    <cfRule type="cellIs" dxfId="4305" priority="4302" stopIfTrue="1" operator="equal">
      <formula>"Fail"</formula>
    </cfRule>
  </conditionalFormatting>
  <conditionalFormatting sqref="I1488:L1488">
    <cfRule type="cellIs" dxfId="4304" priority="4299" stopIfTrue="1" operator="equal">
      <formula>"Pass"</formula>
    </cfRule>
    <cfRule type="cellIs" dxfId="4303" priority="4300" stopIfTrue="1" operator="equal">
      <formula>"Fail"</formula>
    </cfRule>
  </conditionalFormatting>
  <conditionalFormatting sqref="J1488:L1488">
    <cfRule type="cellIs" dxfId="4302" priority="4297" stopIfTrue="1" operator="equal">
      <formula>"Pass"</formula>
    </cfRule>
    <cfRule type="cellIs" dxfId="4301" priority="4298" stopIfTrue="1" operator="equal">
      <formula>"Fail"</formula>
    </cfRule>
  </conditionalFormatting>
  <conditionalFormatting sqref="I1488">
    <cfRule type="cellIs" dxfId="4300" priority="4295" stopIfTrue="1" operator="equal">
      <formula>"Pass"</formula>
    </cfRule>
    <cfRule type="cellIs" dxfId="4299" priority="4296" stopIfTrue="1" operator="equal">
      <formula>"Fail"</formula>
    </cfRule>
  </conditionalFormatting>
  <conditionalFormatting sqref="I1488:L1488">
    <cfRule type="cellIs" dxfId="4298" priority="4293" stopIfTrue="1" operator="equal">
      <formula>"Pass"</formula>
    </cfRule>
    <cfRule type="cellIs" dxfId="4297" priority="4294" stopIfTrue="1" operator="equal">
      <formula>"Fail"</formula>
    </cfRule>
  </conditionalFormatting>
  <conditionalFormatting sqref="J1488:L1488">
    <cfRule type="cellIs" dxfId="4296" priority="4291" stopIfTrue="1" operator="equal">
      <formula>"Pass"</formula>
    </cfRule>
    <cfRule type="cellIs" dxfId="4295" priority="4292" stopIfTrue="1" operator="equal">
      <formula>"Fail"</formula>
    </cfRule>
  </conditionalFormatting>
  <conditionalFormatting sqref="I1488">
    <cfRule type="cellIs" dxfId="4294" priority="4289" stopIfTrue="1" operator="equal">
      <formula>"Pass"</formula>
    </cfRule>
    <cfRule type="cellIs" dxfId="4293" priority="4290" stopIfTrue="1" operator="equal">
      <formula>"Fail"</formula>
    </cfRule>
  </conditionalFormatting>
  <conditionalFormatting sqref="I1488:L1488">
    <cfRule type="cellIs" dxfId="4292" priority="4287" stopIfTrue="1" operator="equal">
      <formula>"Pass"</formula>
    </cfRule>
    <cfRule type="cellIs" dxfId="4291" priority="4288" stopIfTrue="1" operator="equal">
      <formula>"Fail"</formula>
    </cfRule>
  </conditionalFormatting>
  <conditionalFormatting sqref="J1488:L1488">
    <cfRule type="cellIs" dxfId="4290" priority="4285" stopIfTrue="1" operator="equal">
      <formula>"Pass"</formula>
    </cfRule>
    <cfRule type="cellIs" dxfId="4289" priority="4286" stopIfTrue="1" operator="equal">
      <formula>"Fail"</formula>
    </cfRule>
  </conditionalFormatting>
  <conditionalFormatting sqref="I1488">
    <cfRule type="cellIs" dxfId="4288" priority="4283" stopIfTrue="1" operator="equal">
      <formula>"Pass"</formula>
    </cfRule>
    <cfRule type="cellIs" dxfId="4287" priority="4284" stopIfTrue="1" operator="equal">
      <formula>"Fail"</formula>
    </cfRule>
  </conditionalFormatting>
  <conditionalFormatting sqref="I1488:L1488">
    <cfRule type="cellIs" dxfId="4286" priority="4281" stopIfTrue="1" operator="equal">
      <formula>"Pass"</formula>
    </cfRule>
    <cfRule type="cellIs" dxfId="4285" priority="4282" stopIfTrue="1" operator="equal">
      <formula>"Fail"</formula>
    </cfRule>
  </conditionalFormatting>
  <conditionalFormatting sqref="J1488:L1488">
    <cfRule type="cellIs" dxfId="4284" priority="4279" stopIfTrue="1" operator="equal">
      <formula>"Pass"</formula>
    </cfRule>
    <cfRule type="cellIs" dxfId="4283" priority="4280" stopIfTrue="1" operator="equal">
      <formula>"Fail"</formula>
    </cfRule>
  </conditionalFormatting>
  <conditionalFormatting sqref="I1488">
    <cfRule type="cellIs" dxfId="4282" priority="4277" stopIfTrue="1" operator="equal">
      <formula>"Pass"</formula>
    </cfRule>
    <cfRule type="cellIs" dxfId="4281" priority="4278" stopIfTrue="1" operator="equal">
      <formula>"Fail"</formula>
    </cfRule>
  </conditionalFormatting>
  <conditionalFormatting sqref="I1488:L1488">
    <cfRule type="cellIs" dxfId="4280" priority="4275" stopIfTrue="1" operator="equal">
      <formula>"Pass"</formula>
    </cfRule>
    <cfRule type="cellIs" dxfId="4279" priority="4276" stopIfTrue="1" operator="equal">
      <formula>"Fail"</formula>
    </cfRule>
  </conditionalFormatting>
  <conditionalFormatting sqref="I1488:L1488">
    <cfRule type="cellIs" dxfId="4278" priority="4273" stopIfTrue="1" operator="equal">
      <formula>"Pass"</formula>
    </cfRule>
    <cfRule type="cellIs" dxfId="4277" priority="4274" stopIfTrue="1" operator="equal">
      <formula>"Fail"</formula>
    </cfRule>
  </conditionalFormatting>
  <conditionalFormatting sqref="I1488:L1488">
    <cfRule type="cellIs" dxfId="4276" priority="4271" stopIfTrue="1" operator="equal">
      <formula>"Pass"</formula>
    </cfRule>
    <cfRule type="cellIs" dxfId="4275" priority="4272" stopIfTrue="1" operator="equal">
      <formula>"Fail"</formula>
    </cfRule>
  </conditionalFormatting>
  <conditionalFormatting sqref="I1488:L1488">
    <cfRule type="cellIs" dxfId="4274" priority="4269" stopIfTrue="1" operator="equal">
      <formula>"Pass"</formula>
    </cfRule>
    <cfRule type="cellIs" dxfId="4273" priority="4270" stopIfTrue="1" operator="equal">
      <formula>"Fail"</formula>
    </cfRule>
  </conditionalFormatting>
  <conditionalFormatting sqref="I1488:L1488">
    <cfRule type="cellIs" dxfId="4272" priority="4267" stopIfTrue="1" operator="equal">
      <formula>"Pass"</formula>
    </cfRule>
    <cfRule type="cellIs" dxfId="4271" priority="4268" stopIfTrue="1" operator="equal">
      <formula>"Fail"</formula>
    </cfRule>
  </conditionalFormatting>
  <conditionalFormatting sqref="I1488:L1488">
    <cfRule type="cellIs" dxfId="4270" priority="4265" stopIfTrue="1" operator="equal">
      <formula>"Pass"</formula>
    </cfRule>
    <cfRule type="cellIs" dxfId="4269" priority="4266" stopIfTrue="1" operator="equal">
      <formula>"Fail"</formula>
    </cfRule>
  </conditionalFormatting>
  <conditionalFormatting sqref="I1488:L1488">
    <cfRule type="cellIs" dxfId="4268" priority="4263" stopIfTrue="1" operator="equal">
      <formula>"Pass"</formula>
    </cfRule>
    <cfRule type="cellIs" dxfId="4267" priority="4264" stopIfTrue="1" operator="equal">
      <formula>"Fail"</formula>
    </cfRule>
  </conditionalFormatting>
  <conditionalFormatting sqref="J1488:L1488">
    <cfRule type="cellIs" dxfId="4266" priority="4261" stopIfTrue="1" operator="equal">
      <formula>"Pass"</formula>
    </cfRule>
    <cfRule type="cellIs" dxfId="4265" priority="4262" stopIfTrue="1" operator="equal">
      <formula>"Fail"</formula>
    </cfRule>
  </conditionalFormatting>
  <conditionalFormatting sqref="I1488">
    <cfRule type="cellIs" dxfId="4264" priority="4259" stopIfTrue="1" operator="equal">
      <formula>"Pass"</formula>
    </cfRule>
    <cfRule type="cellIs" dxfId="4263" priority="4260" stopIfTrue="1" operator="equal">
      <formula>"Fail"</formula>
    </cfRule>
  </conditionalFormatting>
  <conditionalFormatting sqref="I1488:L1488">
    <cfRule type="cellIs" dxfId="4262" priority="4257" stopIfTrue="1" operator="equal">
      <formula>"Pass"</formula>
    </cfRule>
    <cfRule type="cellIs" dxfId="4261" priority="4258" stopIfTrue="1" operator="equal">
      <formula>"Fail"</formula>
    </cfRule>
  </conditionalFormatting>
  <conditionalFormatting sqref="J1488:L1488">
    <cfRule type="cellIs" dxfId="4260" priority="4255" stopIfTrue="1" operator="equal">
      <formula>"Pass"</formula>
    </cfRule>
    <cfRule type="cellIs" dxfId="4259" priority="4256" stopIfTrue="1" operator="equal">
      <formula>"Fail"</formula>
    </cfRule>
  </conditionalFormatting>
  <conditionalFormatting sqref="I1488">
    <cfRule type="cellIs" dxfId="4258" priority="4253" stopIfTrue="1" operator="equal">
      <formula>"Pass"</formula>
    </cfRule>
    <cfRule type="cellIs" dxfId="4257" priority="4254" stopIfTrue="1" operator="equal">
      <formula>"Fail"</formula>
    </cfRule>
  </conditionalFormatting>
  <conditionalFormatting sqref="I1488:L1488">
    <cfRule type="cellIs" dxfId="4256" priority="4251" stopIfTrue="1" operator="equal">
      <formula>"Pass"</formula>
    </cfRule>
    <cfRule type="cellIs" dxfId="4255" priority="4252" stopIfTrue="1" operator="equal">
      <formula>"Fail"</formula>
    </cfRule>
  </conditionalFormatting>
  <conditionalFormatting sqref="J1488:L1488">
    <cfRule type="cellIs" dxfId="4254" priority="4249" stopIfTrue="1" operator="equal">
      <formula>"Pass"</formula>
    </cfRule>
    <cfRule type="cellIs" dxfId="4253" priority="4250" stopIfTrue="1" operator="equal">
      <formula>"Fail"</formula>
    </cfRule>
  </conditionalFormatting>
  <conditionalFormatting sqref="I1488">
    <cfRule type="cellIs" dxfId="4252" priority="4247" stopIfTrue="1" operator="equal">
      <formula>"Pass"</formula>
    </cfRule>
    <cfRule type="cellIs" dxfId="4251" priority="4248" stopIfTrue="1" operator="equal">
      <formula>"Fail"</formula>
    </cfRule>
  </conditionalFormatting>
  <conditionalFormatting sqref="I1488:L1488">
    <cfRule type="cellIs" dxfId="4250" priority="4245" stopIfTrue="1" operator="equal">
      <formula>"Pass"</formula>
    </cfRule>
    <cfRule type="cellIs" dxfId="4249" priority="4246" stopIfTrue="1" operator="equal">
      <formula>"Fail"</formula>
    </cfRule>
  </conditionalFormatting>
  <conditionalFormatting sqref="J1488:L1488">
    <cfRule type="cellIs" dxfId="4248" priority="4243" stopIfTrue="1" operator="equal">
      <formula>"Pass"</formula>
    </cfRule>
    <cfRule type="cellIs" dxfId="4247" priority="4244" stopIfTrue="1" operator="equal">
      <formula>"Fail"</formula>
    </cfRule>
  </conditionalFormatting>
  <conditionalFormatting sqref="I1488">
    <cfRule type="cellIs" dxfId="4246" priority="4241" stopIfTrue="1" operator="equal">
      <formula>"Pass"</formula>
    </cfRule>
    <cfRule type="cellIs" dxfId="4245" priority="4242" stopIfTrue="1" operator="equal">
      <formula>"Fail"</formula>
    </cfRule>
  </conditionalFormatting>
  <conditionalFormatting sqref="I1488:L1488">
    <cfRule type="cellIs" dxfId="4244" priority="4239" stopIfTrue="1" operator="equal">
      <formula>"Pass"</formula>
    </cfRule>
    <cfRule type="cellIs" dxfId="4243" priority="4240" stopIfTrue="1" operator="equal">
      <formula>"Fail"</formula>
    </cfRule>
  </conditionalFormatting>
  <conditionalFormatting sqref="I1488:L1488">
    <cfRule type="cellIs" dxfId="4242" priority="4237" stopIfTrue="1" operator="equal">
      <formula>"Pass"</formula>
    </cfRule>
    <cfRule type="cellIs" dxfId="4241" priority="4238" stopIfTrue="1" operator="equal">
      <formula>"Fail"</formula>
    </cfRule>
  </conditionalFormatting>
  <conditionalFormatting sqref="I1488:L1488">
    <cfRule type="cellIs" dxfId="4240" priority="4235" stopIfTrue="1" operator="equal">
      <formula>"Pass"</formula>
    </cfRule>
    <cfRule type="cellIs" dxfId="4239" priority="4236" stopIfTrue="1" operator="equal">
      <formula>"Fail"</formula>
    </cfRule>
  </conditionalFormatting>
  <conditionalFormatting sqref="I1488:L1488">
    <cfRule type="cellIs" dxfId="4238" priority="4233" stopIfTrue="1" operator="equal">
      <formula>"Pass"</formula>
    </cfRule>
    <cfRule type="cellIs" dxfId="4237" priority="4234" stopIfTrue="1" operator="equal">
      <formula>"Fail"</formula>
    </cfRule>
  </conditionalFormatting>
  <conditionalFormatting sqref="I1488:L1488">
    <cfRule type="cellIs" dxfId="4236" priority="4231" stopIfTrue="1" operator="equal">
      <formula>"Pass"</formula>
    </cfRule>
    <cfRule type="cellIs" dxfId="4235" priority="4232" stopIfTrue="1" operator="equal">
      <formula>"Fail"</formula>
    </cfRule>
  </conditionalFormatting>
  <conditionalFormatting sqref="I1488:L1488">
    <cfRule type="cellIs" dxfId="4234" priority="4229" stopIfTrue="1" operator="equal">
      <formula>"Pass"</formula>
    </cfRule>
    <cfRule type="cellIs" dxfId="4233" priority="4230" stopIfTrue="1" operator="equal">
      <formula>"Fail"</formula>
    </cfRule>
  </conditionalFormatting>
  <conditionalFormatting sqref="I1488:L1488">
    <cfRule type="cellIs" dxfId="4232" priority="4227" stopIfTrue="1" operator="equal">
      <formula>"Pass"</formula>
    </cfRule>
    <cfRule type="cellIs" dxfId="4231" priority="4228" stopIfTrue="1" operator="equal">
      <formula>"Fail"</formula>
    </cfRule>
  </conditionalFormatting>
  <conditionalFormatting sqref="J1488:L1488">
    <cfRule type="cellIs" dxfId="4230" priority="4225" stopIfTrue="1" operator="equal">
      <formula>"Pass"</formula>
    </cfRule>
    <cfRule type="cellIs" dxfId="4229" priority="4226" stopIfTrue="1" operator="equal">
      <formula>"Fail"</formula>
    </cfRule>
  </conditionalFormatting>
  <conditionalFormatting sqref="I1488">
    <cfRule type="cellIs" dxfId="4228" priority="4223" stopIfTrue="1" operator="equal">
      <formula>"Pass"</formula>
    </cfRule>
    <cfRule type="cellIs" dxfId="4227" priority="4224" stopIfTrue="1" operator="equal">
      <formula>"Fail"</formula>
    </cfRule>
  </conditionalFormatting>
  <conditionalFormatting sqref="I1488:L1488">
    <cfRule type="cellIs" dxfId="4226" priority="4221" stopIfTrue="1" operator="equal">
      <formula>"Pass"</formula>
    </cfRule>
    <cfRule type="cellIs" dxfId="4225" priority="4222" stopIfTrue="1" operator="equal">
      <formula>"Fail"</formula>
    </cfRule>
  </conditionalFormatting>
  <conditionalFormatting sqref="J1488:L1488">
    <cfRule type="cellIs" dxfId="4224" priority="4219" stopIfTrue="1" operator="equal">
      <formula>"Pass"</formula>
    </cfRule>
    <cfRule type="cellIs" dxfId="4223" priority="4220" stopIfTrue="1" operator="equal">
      <formula>"Fail"</formula>
    </cfRule>
  </conditionalFormatting>
  <conditionalFormatting sqref="I1488">
    <cfRule type="cellIs" dxfId="4222" priority="4217" stopIfTrue="1" operator="equal">
      <formula>"Pass"</formula>
    </cfRule>
    <cfRule type="cellIs" dxfId="4221" priority="4218" stopIfTrue="1" operator="equal">
      <formula>"Fail"</formula>
    </cfRule>
  </conditionalFormatting>
  <conditionalFormatting sqref="I1488:L1488">
    <cfRule type="cellIs" dxfId="4220" priority="4215" stopIfTrue="1" operator="equal">
      <formula>"Pass"</formula>
    </cfRule>
    <cfRule type="cellIs" dxfId="4219" priority="4216" stopIfTrue="1" operator="equal">
      <formula>"Fail"</formula>
    </cfRule>
  </conditionalFormatting>
  <conditionalFormatting sqref="J1488:L1488">
    <cfRule type="cellIs" dxfId="4218" priority="4213" stopIfTrue="1" operator="equal">
      <formula>"Pass"</formula>
    </cfRule>
    <cfRule type="cellIs" dxfId="4217" priority="4214" stopIfTrue="1" operator="equal">
      <formula>"Fail"</formula>
    </cfRule>
  </conditionalFormatting>
  <conditionalFormatting sqref="I1488">
    <cfRule type="cellIs" dxfId="4216" priority="4211" stopIfTrue="1" operator="equal">
      <formula>"Pass"</formula>
    </cfRule>
    <cfRule type="cellIs" dxfId="4215" priority="4212" stopIfTrue="1" operator="equal">
      <formula>"Fail"</formula>
    </cfRule>
  </conditionalFormatting>
  <conditionalFormatting sqref="I1488:L1488">
    <cfRule type="cellIs" dxfId="4214" priority="4209" stopIfTrue="1" operator="equal">
      <formula>"Pass"</formula>
    </cfRule>
    <cfRule type="cellIs" dxfId="4213" priority="4210" stopIfTrue="1" operator="equal">
      <formula>"Fail"</formula>
    </cfRule>
  </conditionalFormatting>
  <conditionalFormatting sqref="J1488:L1488">
    <cfRule type="cellIs" dxfId="4212" priority="4207" stopIfTrue="1" operator="equal">
      <formula>"Pass"</formula>
    </cfRule>
    <cfRule type="cellIs" dxfId="4211" priority="4208" stopIfTrue="1" operator="equal">
      <formula>"Fail"</formula>
    </cfRule>
  </conditionalFormatting>
  <conditionalFormatting sqref="I1488">
    <cfRule type="cellIs" dxfId="4210" priority="4205" stopIfTrue="1" operator="equal">
      <formula>"Pass"</formula>
    </cfRule>
    <cfRule type="cellIs" dxfId="4209" priority="4206" stopIfTrue="1" operator="equal">
      <formula>"Fail"</formula>
    </cfRule>
  </conditionalFormatting>
  <conditionalFormatting sqref="I1488:L1488">
    <cfRule type="cellIs" dxfId="4208" priority="4203" stopIfTrue="1" operator="equal">
      <formula>"Pass"</formula>
    </cfRule>
    <cfRule type="cellIs" dxfId="4207" priority="4204" stopIfTrue="1" operator="equal">
      <formula>"Fail"</formula>
    </cfRule>
  </conditionalFormatting>
  <conditionalFormatting sqref="I1488:L1488">
    <cfRule type="cellIs" dxfId="4206" priority="4201" stopIfTrue="1" operator="equal">
      <formula>"Pass"</formula>
    </cfRule>
    <cfRule type="cellIs" dxfId="4205" priority="4202" stopIfTrue="1" operator="equal">
      <formula>"Fail"</formula>
    </cfRule>
  </conditionalFormatting>
  <conditionalFormatting sqref="H1488">
    <cfRule type="cellIs" dxfId="4204" priority="4199" stopIfTrue="1" operator="equal">
      <formula>"Pass"</formula>
    </cfRule>
    <cfRule type="cellIs" dxfId="4203" priority="4200" stopIfTrue="1" operator="equal">
      <formula>"Fail"</formula>
    </cfRule>
  </conditionalFormatting>
  <conditionalFormatting sqref="H1488">
    <cfRule type="cellIs" dxfId="4202" priority="4197" stopIfTrue="1" operator="equal">
      <formula>"Pass"</formula>
    </cfRule>
    <cfRule type="cellIs" dxfId="4201" priority="4198" stopIfTrue="1" operator="equal">
      <formula>"Fail"</formula>
    </cfRule>
  </conditionalFormatting>
  <conditionalFormatting sqref="H1488">
    <cfRule type="cellIs" dxfId="4200" priority="4195" stopIfTrue="1" operator="equal">
      <formula>"Pass"</formula>
    </cfRule>
    <cfRule type="cellIs" dxfId="4199" priority="4196" stopIfTrue="1" operator="equal">
      <formula>"Fail"</formula>
    </cfRule>
  </conditionalFormatting>
  <conditionalFormatting sqref="I1488:L1488">
    <cfRule type="cellIs" dxfId="4198" priority="4193" stopIfTrue="1" operator="equal">
      <formula>"Pass"</formula>
    </cfRule>
    <cfRule type="cellIs" dxfId="4197" priority="4194" stopIfTrue="1" operator="equal">
      <formula>"Fail"</formula>
    </cfRule>
  </conditionalFormatting>
  <conditionalFormatting sqref="I1488:L1488">
    <cfRule type="cellIs" dxfId="4196" priority="4191" stopIfTrue="1" operator="equal">
      <formula>"Pass"</formula>
    </cfRule>
    <cfRule type="cellIs" dxfId="4195" priority="4192" stopIfTrue="1" operator="equal">
      <formula>"Fail"</formula>
    </cfRule>
  </conditionalFormatting>
  <conditionalFormatting sqref="I1488:L1488">
    <cfRule type="cellIs" dxfId="4194" priority="4189" stopIfTrue="1" operator="equal">
      <formula>"Pass"</formula>
    </cfRule>
    <cfRule type="cellIs" dxfId="4193" priority="4190" stopIfTrue="1" operator="equal">
      <formula>"Fail"</formula>
    </cfRule>
  </conditionalFormatting>
  <conditionalFormatting sqref="I1488:L1488">
    <cfRule type="cellIs" dxfId="4192" priority="4187" stopIfTrue="1" operator="equal">
      <formula>"Pass"</formula>
    </cfRule>
    <cfRule type="cellIs" dxfId="4191" priority="4188" stopIfTrue="1" operator="equal">
      <formula>"Fail"</formula>
    </cfRule>
  </conditionalFormatting>
  <conditionalFormatting sqref="I1488:L1488">
    <cfRule type="cellIs" dxfId="4190" priority="4185" stopIfTrue="1" operator="equal">
      <formula>"Pass"</formula>
    </cfRule>
    <cfRule type="cellIs" dxfId="4189" priority="4186" stopIfTrue="1" operator="equal">
      <formula>"Fail"</formula>
    </cfRule>
  </conditionalFormatting>
  <conditionalFormatting sqref="I1488:L1488">
    <cfRule type="cellIs" dxfId="4188" priority="4183" stopIfTrue="1" operator="equal">
      <formula>"Pass"</formula>
    </cfRule>
    <cfRule type="cellIs" dxfId="4187" priority="4184" stopIfTrue="1" operator="equal">
      <formula>"Fail"</formula>
    </cfRule>
  </conditionalFormatting>
  <conditionalFormatting sqref="J1488:L1488">
    <cfRule type="cellIs" dxfId="4186" priority="4181" stopIfTrue="1" operator="equal">
      <formula>"Pass"</formula>
    </cfRule>
    <cfRule type="cellIs" dxfId="4185" priority="4182" stopIfTrue="1" operator="equal">
      <formula>"Fail"</formula>
    </cfRule>
  </conditionalFormatting>
  <conditionalFormatting sqref="I1488">
    <cfRule type="cellIs" dxfId="4184" priority="4179" stopIfTrue="1" operator="equal">
      <formula>"Pass"</formula>
    </cfRule>
    <cfRule type="cellIs" dxfId="4183" priority="4180" stopIfTrue="1" operator="equal">
      <formula>"Fail"</formula>
    </cfRule>
  </conditionalFormatting>
  <conditionalFormatting sqref="I1488:L1488">
    <cfRule type="cellIs" dxfId="4182" priority="4177" stopIfTrue="1" operator="equal">
      <formula>"Pass"</formula>
    </cfRule>
    <cfRule type="cellIs" dxfId="4181" priority="4178" stopIfTrue="1" operator="equal">
      <formula>"Fail"</formula>
    </cfRule>
  </conditionalFormatting>
  <conditionalFormatting sqref="J1488:L1488">
    <cfRule type="cellIs" dxfId="4180" priority="4175" stopIfTrue="1" operator="equal">
      <formula>"Pass"</formula>
    </cfRule>
    <cfRule type="cellIs" dxfId="4179" priority="4176" stopIfTrue="1" operator="equal">
      <formula>"Fail"</formula>
    </cfRule>
  </conditionalFormatting>
  <conditionalFormatting sqref="I1488">
    <cfRule type="cellIs" dxfId="4178" priority="4173" stopIfTrue="1" operator="equal">
      <formula>"Pass"</formula>
    </cfRule>
    <cfRule type="cellIs" dxfId="4177" priority="4174" stopIfTrue="1" operator="equal">
      <formula>"Fail"</formula>
    </cfRule>
  </conditionalFormatting>
  <conditionalFormatting sqref="I1488:L1488">
    <cfRule type="cellIs" dxfId="4176" priority="4171" stopIfTrue="1" operator="equal">
      <formula>"Pass"</formula>
    </cfRule>
    <cfRule type="cellIs" dxfId="4175" priority="4172" stopIfTrue="1" operator="equal">
      <formula>"Fail"</formula>
    </cfRule>
  </conditionalFormatting>
  <conditionalFormatting sqref="J1488:L1488">
    <cfRule type="cellIs" dxfId="4174" priority="4169" stopIfTrue="1" operator="equal">
      <formula>"Pass"</formula>
    </cfRule>
    <cfRule type="cellIs" dxfId="4173" priority="4170" stopIfTrue="1" operator="equal">
      <formula>"Fail"</formula>
    </cfRule>
  </conditionalFormatting>
  <conditionalFormatting sqref="I1488">
    <cfRule type="cellIs" dxfId="4172" priority="4167" stopIfTrue="1" operator="equal">
      <formula>"Pass"</formula>
    </cfRule>
    <cfRule type="cellIs" dxfId="4171" priority="4168" stopIfTrue="1" operator="equal">
      <formula>"Fail"</formula>
    </cfRule>
  </conditionalFormatting>
  <conditionalFormatting sqref="I1488:L1488">
    <cfRule type="cellIs" dxfId="4170" priority="4165" stopIfTrue="1" operator="equal">
      <formula>"Pass"</formula>
    </cfRule>
    <cfRule type="cellIs" dxfId="4169" priority="4166" stopIfTrue="1" operator="equal">
      <formula>"Fail"</formula>
    </cfRule>
  </conditionalFormatting>
  <conditionalFormatting sqref="J1488:L1488">
    <cfRule type="cellIs" dxfId="4168" priority="4163" stopIfTrue="1" operator="equal">
      <formula>"Pass"</formula>
    </cfRule>
    <cfRule type="cellIs" dxfId="4167" priority="4164" stopIfTrue="1" operator="equal">
      <formula>"Fail"</formula>
    </cfRule>
  </conditionalFormatting>
  <conditionalFormatting sqref="I1488">
    <cfRule type="cellIs" dxfId="4166" priority="4161" stopIfTrue="1" operator="equal">
      <formula>"Pass"</formula>
    </cfRule>
    <cfRule type="cellIs" dxfId="4165" priority="4162" stopIfTrue="1" operator="equal">
      <formula>"Fail"</formula>
    </cfRule>
  </conditionalFormatting>
  <conditionalFormatting sqref="I1488:L1488">
    <cfRule type="cellIs" dxfId="4164" priority="4159" stopIfTrue="1" operator="equal">
      <formula>"Pass"</formula>
    </cfRule>
    <cfRule type="cellIs" dxfId="4163" priority="4160" stopIfTrue="1" operator="equal">
      <formula>"Fail"</formula>
    </cfRule>
  </conditionalFormatting>
  <conditionalFormatting sqref="I1488:L1488">
    <cfRule type="cellIs" dxfId="4162" priority="4157" stopIfTrue="1" operator="equal">
      <formula>"Pass"</formula>
    </cfRule>
    <cfRule type="cellIs" dxfId="4161" priority="4158" stopIfTrue="1" operator="equal">
      <formula>"Fail"</formula>
    </cfRule>
  </conditionalFormatting>
  <conditionalFormatting sqref="H1488">
    <cfRule type="cellIs" dxfId="4160" priority="4155" stopIfTrue="1" operator="equal">
      <formula>"Pass"</formula>
    </cfRule>
    <cfRule type="cellIs" dxfId="4159" priority="4156" stopIfTrue="1" operator="equal">
      <formula>"Fail"</formula>
    </cfRule>
  </conditionalFormatting>
  <conditionalFormatting sqref="H1488">
    <cfRule type="cellIs" dxfId="4158" priority="4153" stopIfTrue="1" operator="equal">
      <formula>"Pass"</formula>
    </cfRule>
    <cfRule type="cellIs" dxfId="4157" priority="4154" stopIfTrue="1" operator="equal">
      <formula>"Fail"</formula>
    </cfRule>
  </conditionalFormatting>
  <conditionalFormatting sqref="H1488">
    <cfRule type="cellIs" dxfId="4156" priority="4151" stopIfTrue="1" operator="equal">
      <formula>"Pass"</formula>
    </cfRule>
    <cfRule type="cellIs" dxfId="4155" priority="4152" stopIfTrue="1" operator="equal">
      <formula>"Fail"</formula>
    </cfRule>
  </conditionalFormatting>
  <conditionalFormatting sqref="I1488:L1488">
    <cfRule type="cellIs" dxfId="4154" priority="4149" stopIfTrue="1" operator="equal">
      <formula>"Pass"</formula>
    </cfRule>
    <cfRule type="cellIs" dxfId="4153" priority="4150" stopIfTrue="1" operator="equal">
      <formula>"Fail"</formula>
    </cfRule>
  </conditionalFormatting>
  <conditionalFormatting sqref="I1488:L1488">
    <cfRule type="cellIs" dxfId="4152" priority="4147" stopIfTrue="1" operator="equal">
      <formula>"Pass"</formula>
    </cfRule>
    <cfRule type="cellIs" dxfId="4151" priority="4148" stopIfTrue="1" operator="equal">
      <formula>"Fail"</formula>
    </cfRule>
  </conditionalFormatting>
  <conditionalFormatting sqref="I1488:L1488">
    <cfRule type="cellIs" dxfId="4150" priority="4145" stopIfTrue="1" operator="equal">
      <formula>"Pass"</formula>
    </cfRule>
    <cfRule type="cellIs" dxfId="4149" priority="4146" stopIfTrue="1" operator="equal">
      <formula>"Fail"</formula>
    </cfRule>
  </conditionalFormatting>
  <conditionalFormatting sqref="I1488:L1488">
    <cfRule type="cellIs" dxfId="4148" priority="4143" stopIfTrue="1" operator="equal">
      <formula>"Pass"</formula>
    </cfRule>
    <cfRule type="cellIs" dxfId="4147" priority="4144" stopIfTrue="1" operator="equal">
      <formula>"Fail"</formula>
    </cfRule>
  </conditionalFormatting>
  <conditionalFormatting sqref="I1488:L1488">
    <cfRule type="cellIs" dxfId="4146" priority="4141" stopIfTrue="1" operator="equal">
      <formula>"Pass"</formula>
    </cfRule>
    <cfRule type="cellIs" dxfId="4145" priority="4142" stopIfTrue="1" operator="equal">
      <formula>"Fail"</formula>
    </cfRule>
  </conditionalFormatting>
  <conditionalFormatting sqref="I1488:L1488">
    <cfRule type="cellIs" dxfId="4144" priority="4139" stopIfTrue="1" operator="equal">
      <formula>"Pass"</formula>
    </cfRule>
    <cfRule type="cellIs" dxfId="4143" priority="4140" stopIfTrue="1" operator="equal">
      <formula>"Fail"</formula>
    </cfRule>
  </conditionalFormatting>
  <conditionalFormatting sqref="J1488:L1488">
    <cfRule type="cellIs" dxfId="4142" priority="4137" stopIfTrue="1" operator="equal">
      <formula>"Pass"</formula>
    </cfRule>
    <cfRule type="cellIs" dxfId="4141" priority="4138" stopIfTrue="1" operator="equal">
      <formula>"Fail"</formula>
    </cfRule>
  </conditionalFormatting>
  <conditionalFormatting sqref="I1488">
    <cfRule type="cellIs" dxfId="4140" priority="4135" stopIfTrue="1" operator="equal">
      <formula>"Pass"</formula>
    </cfRule>
    <cfRule type="cellIs" dxfId="4139" priority="4136" stopIfTrue="1" operator="equal">
      <formula>"Fail"</formula>
    </cfRule>
  </conditionalFormatting>
  <conditionalFormatting sqref="I1488:L1488">
    <cfRule type="cellIs" dxfId="4138" priority="4133" stopIfTrue="1" operator="equal">
      <formula>"Pass"</formula>
    </cfRule>
    <cfRule type="cellIs" dxfId="4137" priority="4134" stopIfTrue="1" operator="equal">
      <formula>"Fail"</formula>
    </cfRule>
  </conditionalFormatting>
  <conditionalFormatting sqref="J1488:L1488">
    <cfRule type="cellIs" dxfId="4136" priority="4131" stopIfTrue="1" operator="equal">
      <formula>"Pass"</formula>
    </cfRule>
    <cfRule type="cellIs" dxfId="4135" priority="4132" stopIfTrue="1" operator="equal">
      <formula>"Fail"</formula>
    </cfRule>
  </conditionalFormatting>
  <conditionalFormatting sqref="I1488">
    <cfRule type="cellIs" dxfId="4134" priority="4129" stopIfTrue="1" operator="equal">
      <formula>"Pass"</formula>
    </cfRule>
    <cfRule type="cellIs" dxfId="4133" priority="4130" stopIfTrue="1" operator="equal">
      <formula>"Fail"</formula>
    </cfRule>
  </conditionalFormatting>
  <conditionalFormatting sqref="I1488:L1488">
    <cfRule type="cellIs" dxfId="4132" priority="4127" stopIfTrue="1" operator="equal">
      <formula>"Pass"</formula>
    </cfRule>
    <cfRule type="cellIs" dxfId="4131" priority="4128" stopIfTrue="1" operator="equal">
      <formula>"Fail"</formula>
    </cfRule>
  </conditionalFormatting>
  <conditionalFormatting sqref="J1488:L1488">
    <cfRule type="cellIs" dxfId="4130" priority="4125" stopIfTrue="1" operator="equal">
      <formula>"Pass"</formula>
    </cfRule>
    <cfRule type="cellIs" dxfId="4129" priority="4126" stopIfTrue="1" operator="equal">
      <formula>"Fail"</formula>
    </cfRule>
  </conditionalFormatting>
  <conditionalFormatting sqref="I1488">
    <cfRule type="cellIs" dxfId="4128" priority="4123" stopIfTrue="1" operator="equal">
      <formula>"Pass"</formula>
    </cfRule>
    <cfRule type="cellIs" dxfId="4127" priority="4124" stopIfTrue="1" operator="equal">
      <formula>"Fail"</formula>
    </cfRule>
  </conditionalFormatting>
  <conditionalFormatting sqref="I1488:L1488">
    <cfRule type="cellIs" dxfId="4126" priority="4121" stopIfTrue="1" operator="equal">
      <formula>"Pass"</formula>
    </cfRule>
    <cfRule type="cellIs" dxfId="4125" priority="4122" stopIfTrue="1" operator="equal">
      <formula>"Fail"</formula>
    </cfRule>
  </conditionalFormatting>
  <conditionalFormatting sqref="J1488:L1488">
    <cfRule type="cellIs" dxfId="4124" priority="4119" stopIfTrue="1" operator="equal">
      <formula>"Pass"</formula>
    </cfRule>
    <cfRule type="cellIs" dxfId="4123" priority="4120" stopIfTrue="1" operator="equal">
      <formula>"Fail"</formula>
    </cfRule>
  </conditionalFormatting>
  <conditionalFormatting sqref="I1488">
    <cfRule type="cellIs" dxfId="4122" priority="4117" stopIfTrue="1" operator="equal">
      <formula>"Pass"</formula>
    </cfRule>
    <cfRule type="cellIs" dxfId="4121" priority="4118" stopIfTrue="1" operator="equal">
      <formula>"Fail"</formula>
    </cfRule>
  </conditionalFormatting>
  <conditionalFormatting sqref="I1488:L1488">
    <cfRule type="cellIs" dxfId="4120" priority="4115" stopIfTrue="1" operator="equal">
      <formula>"Pass"</formula>
    </cfRule>
    <cfRule type="cellIs" dxfId="4119" priority="4116" stopIfTrue="1" operator="equal">
      <formula>"Fail"</formula>
    </cfRule>
  </conditionalFormatting>
  <conditionalFormatting sqref="I1488:L1488">
    <cfRule type="cellIs" dxfId="4118" priority="4113" stopIfTrue="1" operator="equal">
      <formula>"Pass"</formula>
    </cfRule>
    <cfRule type="cellIs" dxfId="4117" priority="4114" stopIfTrue="1" operator="equal">
      <formula>"Fail"</formula>
    </cfRule>
  </conditionalFormatting>
  <conditionalFormatting sqref="I1488">
    <cfRule type="cellIs" dxfId="4116" priority="4111" stopIfTrue="1" operator="equal">
      <formula>"Pass"</formula>
    </cfRule>
    <cfRule type="cellIs" dxfId="4115" priority="4112" stopIfTrue="1" operator="equal">
      <formula>"Fail"</formula>
    </cfRule>
  </conditionalFormatting>
  <conditionalFormatting sqref="I1488">
    <cfRule type="cellIs" dxfId="4114" priority="4109" stopIfTrue="1" operator="equal">
      <formula>"Pass"</formula>
    </cfRule>
    <cfRule type="cellIs" dxfId="4113" priority="4110" stopIfTrue="1" operator="equal">
      <formula>"Fail"</formula>
    </cfRule>
  </conditionalFormatting>
  <conditionalFormatting sqref="H1488:L1488">
    <cfRule type="cellIs" dxfId="4112" priority="4107" stopIfTrue="1" operator="equal">
      <formula>"Pass"</formula>
    </cfRule>
    <cfRule type="cellIs" dxfId="4111" priority="4108" stopIfTrue="1" operator="equal">
      <formula>"Fail"</formula>
    </cfRule>
  </conditionalFormatting>
  <conditionalFormatting sqref="H1488:L1488">
    <cfRule type="cellIs" dxfId="4110" priority="4105" stopIfTrue="1" operator="equal">
      <formula>"Pass"</formula>
    </cfRule>
    <cfRule type="cellIs" dxfId="4109" priority="4106" stopIfTrue="1" operator="equal">
      <formula>"Fail"</formula>
    </cfRule>
  </conditionalFormatting>
  <conditionalFormatting sqref="H1488:L1488">
    <cfRule type="cellIs" dxfId="4108" priority="4103" stopIfTrue="1" operator="equal">
      <formula>"Pass"</formula>
    </cfRule>
    <cfRule type="cellIs" dxfId="4107" priority="4104" stopIfTrue="1" operator="equal">
      <formula>"Fail"</formula>
    </cfRule>
  </conditionalFormatting>
  <conditionalFormatting sqref="H1488:L1488">
    <cfRule type="cellIs" dxfId="4106" priority="4101" stopIfTrue="1" operator="equal">
      <formula>"Pass"</formula>
    </cfRule>
    <cfRule type="cellIs" dxfId="4105" priority="4102" stopIfTrue="1" operator="equal">
      <formula>"Fail"</formula>
    </cfRule>
  </conditionalFormatting>
  <conditionalFormatting sqref="H1488:L1488">
    <cfRule type="cellIs" dxfId="4104" priority="4099" stopIfTrue="1" operator="equal">
      <formula>"Pass"</formula>
    </cfRule>
    <cfRule type="cellIs" dxfId="4103" priority="4100" stopIfTrue="1" operator="equal">
      <formula>"Fail"</formula>
    </cfRule>
  </conditionalFormatting>
  <conditionalFormatting sqref="H1488:L1488">
    <cfRule type="cellIs" dxfId="4102" priority="4097" stopIfTrue="1" operator="equal">
      <formula>"Pass"</formula>
    </cfRule>
    <cfRule type="cellIs" dxfId="4101" priority="4098" stopIfTrue="1" operator="equal">
      <formula>"Fail"</formula>
    </cfRule>
  </conditionalFormatting>
  <conditionalFormatting sqref="J1488:L1488">
    <cfRule type="cellIs" dxfId="4100" priority="4095" stopIfTrue="1" operator="equal">
      <formula>"Pass"</formula>
    </cfRule>
    <cfRule type="cellIs" dxfId="4099" priority="4096" stopIfTrue="1" operator="equal">
      <formula>"Fail"</formula>
    </cfRule>
  </conditionalFormatting>
  <conditionalFormatting sqref="I1488">
    <cfRule type="cellIs" dxfId="4098" priority="4093" stopIfTrue="1" operator="equal">
      <formula>"Pass"</formula>
    </cfRule>
    <cfRule type="cellIs" dxfId="4097" priority="4094" stopIfTrue="1" operator="equal">
      <formula>"Fail"</formula>
    </cfRule>
  </conditionalFormatting>
  <conditionalFormatting sqref="I1488:L1488">
    <cfRule type="cellIs" dxfId="4096" priority="4091" stopIfTrue="1" operator="equal">
      <formula>"Pass"</formula>
    </cfRule>
    <cfRule type="cellIs" dxfId="4095" priority="4092" stopIfTrue="1" operator="equal">
      <formula>"Fail"</formula>
    </cfRule>
  </conditionalFormatting>
  <conditionalFormatting sqref="J1488:L1488">
    <cfRule type="cellIs" dxfId="4094" priority="4089" stopIfTrue="1" operator="equal">
      <formula>"Pass"</formula>
    </cfRule>
    <cfRule type="cellIs" dxfId="4093" priority="4090" stopIfTrue="1" operator="equal">
      <formula>"Fail"</formula>
    </cfRule>
  </conditionalFormatting>
  <conditionalFormatting sqref="I1488">
    <cfRule type="cellIs" dxfId="4092" priority="4087" stopIfTrue="1" operator="equal">
      <formula>"Pass"</formula>
    </cfRule>
    <cfRule type="cellIs" dxfId="4091" priority="4088" stopIfTrue="1" operator="equal">
      <formula>"Fail"</formula>
    </cfRule>
  </conditionalFormatting>
  <conditionalFormatting sqref="I1488:L1488">
    <cfRule type="cellIs" dxfId="4090" priority="4085" stopIfTrue="1" operator="equal">
      <formula>"Pass"</formula>
    </cfRule>
    <cfRule type="cellIs" dxfId="4089" priority="4086" stopIfTrue="1" operator="equal">
      <formula>"Fail"</formula>
    </cfRule>
  </conditionalFormatting>
  <conditionalFormatting sqref="J1488:L1488">
    <cfRule type="cellIs" dxfId="4088" priority="4083" stopIfTrue="1" operator="equal">
      <formula>"Pass"</formula>
    </cfRule>
    <cfRule type="cellIs" dxfId="4087" priority="4084" stopIfTrue="1" operator="equal">
      <formula>"Fail"</formula>
    </cfRule>
  </conditionalFormatting>
  <conditionalFormatting sqref="I1488">
    <cfRule type="cellIs" dxfId="4086" priority="4081" stopIfTrue="1" operator="equal">
      <formula>"Pass"</formula>
    </cfRule>
    <cfRule type="cellIs" dxfId="4085" priority="4082" stopIfTrue="1" operator="equal">
      <formula>"Fail"</formula>
    </cfRule>
  </conditionalFormatting>
  <conditionalFormatting sqref="I1488:L1488">
    <cfRule type="cellIs" dxfId="4084" priority="4079" stopIfTrue="1" operator="equal">
      <formula>"Pass"</formula>
    </cfRule>
    <cfRule type="cellIs" dxfId="4083" priority="4080" stopIfTrue="1" operator="equal">
      <formula>"Fail"</formula>
    </cfRule>
  </conditionalFormatting>
  <conditionalFormatting sqref="J1488:L1488">
    <cfRule type="cellIs" dxfId="4082" priority="4077" stopIfTrue="1" operator="equal">
      <formula>"Pass"</formula>
    </cfRule>
    <cfRule type="cellIs" dxfId="4081" priority="4078" stopIfTrue="1" operator="equal">
      <formula>"Fail"</formula>
    </cfRule>
  </conditionalFormatting>
  <conditionalFormatting sqref="I1488">
    <cfRule type="cellIs" dxfId="4080" priority="4075" stopIfTrue="1" operator="equal">
      <formula>"Pass"</formula>
    </cfRule>
    <cfRule type="cellIs" dxfId="4079" priority="4076" stopIfTrue="1" operator="equal">
      <formula>"Fail"</formula>
    </cfRule>
  </conditionalFormatting>
  <conditionalFormatting sqref="I1488:L1488">
    <cfRule type="cellIs" dxfId="4078" priority="4073" stopIfTrue="1" operator="equal">
      <formula>"Pass"</formula>
    </cfRule>
    <cfRule type="cellIs" dxfId="4077" priority="4074" stopIfTrue="1" operator="equal">
      <formula>"Fail"</formula>
    </cfRule>
  </conditionalFormatting>
  <conditionalFormatting sqref="J1488:L1488">
    <cfRule type="cellIs" dxfId="4076" priority="4071" stopIfTrue="1" operator="equal">
      <formula>"Pass"</formula>
    </cfRule>
    <cfRule type="cellIs" dxfId="4075" priority="4072" stopIfTrue="1" operator="equal">
      <formula>"Fail"</formula>
    </cfRule>
  </conditionalFormatting>
  <conditionalFormatting sqref="I1488">
    <cfRule type="cellIs" dxfId="4074" priority="4069" stopIfTrue="1" operator="equal">
      <formula>"Pass"</formula>
    </cfRule>
    <cfRule type="cellIs" dxfId="4073" priority="4070" stopIfTrue="1" operator="equal">
      <formula>"Fail"</formula>
    </cfRule>
  </conditionalFormatting>
  <conditionalFormatting sqref="I1488:L1488">
    <cfRule type="cellIs" dxfId="4072" priority="4067" stopIfTrue="1" operator="equal">
      <formula>"Pass"</formula>
    </cfRule>
    <cfRule type="cellIs" dxfId="4071" priority="4068" stopIfTrue="1" operator="equal">
      <formula>"Fail"</formula>
    </cfRule>
  </conditionalFormatting>
  <conditionalFormatting sqref="J1488:L1488">
    <cfRule type="cellIs" dxfId="4070" priority="4065" stopIfTrue="1" operator="equal">
      <formula>"Pass"</formula>
    </cfRule>
    <cfRule type="cellIs" dxfId="4069" priority="4066" stopIfTrue="1" operator="equal">
      <formula>"Fail"</formula>
    </cfRule>
  </conditionalFormatting>
  <conditionalFormatting sqref="I1488">
    <cfRule type="cellIs" dxfId="4068" priority="4063" stopIfTrue="1" operator="equal">
      <formula>"Pass"</formula>
    </cfRule>
    <cfRule type="cellIs" dxfId="4067" priority="4064" stopIfTrue="1" operator="equal">
      <formula>"Fail"</formula>
    </cfRule>
  </conditionalFormatting>
  <conditionalFormatting sqref="I1488:L1488">
    <cfRule type="cellIs" dxfId="4066" priority="4061" stopIfTrue="1" operator="equal">
      <formula>"Pass"</formula>
    </cfRule>
    <cfRule type="cellIs" dxfId="4065" priority="4062" stopIfTrue="1" operator="equal">
      <formula>"Fail"</formula>
    </cfRule>
  </conditionalFormatting>
  <conditionalFormatting sqref="J1488:L1488">
    <cfRule type="cellIs" dxfId="4064" priority="4059" stopIfTrue="1" operator="equal">
      <formula>"Pass"</formula>
    </cfRule>
    <cfRule type="cellIs" dxfId="4063" priority="4060" stopIfTrue="1" operator="equal">
      <formula>"Fail"</formula>
    </cfRule>
  </conditionalFormatting>
  <conditionalFormatting sqref="I1488">
    <cfRule type="cellIs" dxfId="4062" priority="4057" stopIfTrue="1" operator="equal">
      <formula>"Pass"</formula>
    </cfRule>
    <cfRule type="cellIs" dxfId="4061" priority="4058" stopIfTrue="1" operator="equal">
      <formula>"Fail"</formula>
    </cfRule>
  </conditionalFormatting>
  <conditionalFormatting sqref="I1488:L1488">
    <cfRule type="cellIs" dxfId="4060" priority="4055" stopIfTrue="1" operator="equal">
      <formula>"Pass"</formula>
    </cfRule>
    <cfRule type="cellIs" dxfId="4059" priority="4056" stopIfTrue="1" operator="equal">
      <formula>"Fail"</formula>
    </cfRule>
  </conditionalFormatting>
  <conditionalFormatting sqref="J1488:L1488">
    <cfRule type="cellIs" dxfId="4058" priority="4053" stopIfTrue="1" operator="equal">
      <formula>"Pass"</formula>
    </cfRule>
    <cfRule type="cellIs" dxfId="4057" priority="4054" stopIfTrue="1" operator="equal">
      <formula>"Fail"</formula>
    </cfRule>
  </conditionalFormatting>
  <conditionalFormatting sqref="I1488">
    <cfRule type="cellIs" dxfId="4056" priority="4051" stopIfTrue="1" operator="equal">
      <formula>"Pass"</formula>
    </cfRule>
    <cfRule type="cellIs" dxfId="4055" priority="4052" stopIfTrue="1" operator="equal">
      <formula>"Fail"</formula>
    </cfRule>
  </conditionalFormatting>
  <conditionalFormatting sqref="I1488:L1488">
    <cfRule type="cellIs" dxfId="4054" priority="4049" stopIfTrue="1" operator="equal">
      <formula>"Pass"</formula>
    </cfRule>
    <cfRule type="cellIs" dxfId="4053" priority="4050" stopIfTrue="1" operator="equal">
      <formula>"Fail"</formula>
    </cfRule>
  </conditionalFormatting>
  <conditionalFormatting sqref="J1488:L1488">
    <cfRule type="cellIs" dxfId="4052" priority="4047" stopIfTrue="1" operator="equal">
      <formula>"Pass"</formula>
    </cfRule>
    <cfRule type="cellIs" dxfId="4051" priority="4048" stopIfTrue="1" operator="equal">
      <formula>"Fail"</formula>
    </cfRule>
  </conditionalFormatting>
  <conditionalFormatting sqref="I1488">
    <cfRule type="cellIs" dxfId="4050" priority="4045" stopIfTrue="1" operator="equal">
      <formula>"Pass"</formula>
    </cfRule>
    <cfRule type="cellIs" dxfId="4049" priority="4046" stopIfTrue="1" operator="equal">
      <formula>"Fail"</formula>
    </cfRule>
  </conditionalFormatting>
  <conditionalFormatting sqref="I1488:L1488">
    <cfRule type="cellIs" dxfId="4048" priority="4043" stopIfTrue="1" operator="equal">
      <formula>"Pass"</formula>
    </cfRule>
    <cfRule type="cellIs" dxfId="4047" priority="4044" stopIfTrue="1" operator="equal">
      <formula>"Fail"</formula>
    </cfRule>
  </conditionalFormatting>
  <conditionalFormatting sqref="J1488:L1488">
    <cfRule type="cellIs" dxfId="4046" priority="4041" stopIfTrue="1" operator="equal">
      <formula>"Pass"</formula>
    </cfRule>
    <cfRule type="cellIs" dxfId="4045" priority="4042" stopIfTrue="1" operator="equal">
      <formula>"Fail"</formula>
    </cfRule>
  </conditionalFormatting>
  <conditionalFormatting sqref="I1488">
    <cfRule type="cellIs" dxfId="4044" priority="4039" stopIfTrue="1" operator="equal">
      <formula>"Pass"</formula>
    </cfRule>
    <cfRule type="cellIs" dxfId="4043" priority="4040" stopIfTrue="1" operator="equal">
      <formula>"Fail"</formula>
    </cfRule>
  </conditionalFormatting>
  <conditionalFormatting sqref="I1488:L1488">
    <cfRule type="cellIs" dxfId="4042" priority="4037" stopIfTrue="1" operator="equal">
      <formula>"Pass"</formula>
    </cfRule>
    <cfRule type="cellIs" dxfId="4041" priority="4038" stopIfTrue="1" operator="equal">
      <formula>"Fail"</formula>
    </cfRule>
  </conditionalFormatting>
  <conditionalFormatting sqref="J1488:L1488">
    <cfRule type="cellIs" dxfId="4040" priority="4035" stopIfTrue="1" operator="equal">
      <formula>"Pass"</formula>
    </cfRule>
    <cfRule type="cellIs" dxfId="4039" priority="4036" stopIfTrue="1" operator="equal">
      <formula>"Fail"</formula>
    </cfRule>
  </conditionalFormatting>
  <conditionalFormatting sqref="I1488">
    <cfRule type="cellIs" dxfId="4038" priority="4033" stopIfTrue="1" operator="equal">
      <formula>"Pass"</formula>
    </cfRule>
    <cfRule type="cellIs" dxfId="4037" priority="4034" stopIfTrue="1" operator="equal">
      <formula>"Fail"</formula>
    </cfRule>
  </conditionalFormatting>
  <conditionalFormatting sqref="I1488:L1488">
    <cfRule type="cellIs" dxfId="4036" priority="4031" stopIfTrue="1" operator="equal">
      <formula>"Pass"</formula>
    </cfRule>
    <cfRule type="cellIs" dxfId="4035" priority="4032" stopIfTrue="1" operator="equal">
      <formula>"Fail"</formula>
    </cfRule>
  </conditionalFormatting>
  <conditionalFormatting sqref="J1488:L1488">
    <cfRule type="cellIs" dxfId="4034" priority="4029" stopIfTrue="1" operator="equal">
      <formula>"Pass"</formula>
    </cfRule>
    <cfRule type="cellIs" dxfId="4033" priority="4030" stopIfTrue="1" operator="equal">
      <formula>"Fail"</formula>
    </cfRule>
  </conditionalFormatting>
  <conditionalFormatting sqref="I1488">
    <cfRule type="cellIs" dxfId="4032" priority="4027" stopIfTrue="1" operator="equal">
      <formula>"Pass"</formula>
    </cfRule>
    <cfRule type="cellIs" dxfId="4031" priority="4028" stopIfTrue="1" operator="equal">
      <formula>"Fail"</formula>
    </cfRule>
  </conditionalFormatting>
  <conditionalFormatting sqref="I1488:L1488">
    <cfRule type="cellIs" dxfId="4030" priority="4025" stopIfTrue="1" operator="equal">
      <formula>"Pass"</formula>
    </cfRule>
    <cfRule type="cellIs" dxfId="4029" priority="4026" stopIfTrue="1" operator="equal">
      <formula>"Fail"</formula>
    </cfRule>
  </conditionalFormatting>
  <conditionalFormatting sqref="J1488:L1488">
    <cfRule type="cellIs" dxfId="4028" priority="4023" stopIfTrue="1" operator="equal">
      <formula>"Pass"</formula>
    </cfRule>
    <cfRule type="cellIs" dxfId="4027" priority="4024" stopIfTrue="1" operator="equal">
      <formula>"Fail"</formula>
    </cfRule>
  </conditionalFormatting>
  <conditionalFormatting sqref="I1488">
    <cfRule type="cellIs" dxfId="4026" priority="4021" stopIfTrue="1" operator="equal">
      <formula>"Pass"</formula>
    </cfRule>
    <cfRule type="cellIs" dxfId="4025" priority="4022" stopIfTrue="1" operator="equal">
      <formula>"Fail"</formula>
    </cfRule>
  </conditionalFormatting>
  <conditionalFormatting sqref="I1488:L1488">
    <cfRule type="cellIs" dxfId="4024" priority="4019" stopIfTrue="1" operator="equal">
      <formula>"Pass"</formula>
    </cfRule>
    <cfRule type="cellIs" dxfId="4023" priority="4020" stopIfTrue="1" operator="equal">
      <formula>"Fail"</formula>
    </cfRule>
  </conditionalFormatting>
  <conditionalFormatting sqref="J1488:L1488">
    <cfRule type="cellIs" dxfId="4022" priority="4017" stopIfTrue="1" operator="equal">
      <formula>"Pass"</formula>
    </cfRule>
    <cfRule type="cellIs" dxfId="4021" priority="4018" stopIfTrue="1" operator="equal">
      <formula>"Fail"</formula>
    </cfRule>
  </conditionalFormatting>
  <conditionalFormatting sqref="I1488">
    <cfRule type="cellIs" dxfId="4020" priority="4015" stopIfTrue="1" operator="equal">
      <formula>"Pass"</formula>
    </cfRule>
    <cfRule type="cellIs" dxfId="4019" priority="4016" stopIfTrue="1" operator="equal">
      <formula>"Fail"</formula>
    </cfRule>
  </conditionalFormatting>
  <conditionalFormatting sqref="I1488:L1488">
    <cfRule type="cellIs" dxfId="4018" priority="4013" stopIfTrue="1" operator="equal">
      <formula>"Pass"</formula>
    </cfRule>
    <cfRule type="cellIs" dxfId="4017" priority="4014" stopIfTrue="1" operator="equal">
      <formula>"Fail"</formula>
    </cfRule>
  </conditionalFormatting>
  <conditionalFormatting sqref="J1488:L1488">
    <cfRule type="cellIs" dxfId="4016" priority="4011" stopIfTrue="1" operator="equal">
      <formula>"Pass"</formula>
    </cfRule>
    <cfRule type="cellIs" dxfId="4015" priority="4012" stopIfTrue="1" operator="equal">
      <formula>"Fail"</formula>
    </cfRule>
  </conditionalFormatting>
  <conditionalFormatting sqref="I1488">
    <cfRule type="cellIs" dxfId="4014" priority="4009" stopIfTrue="1" operator="equal">
      <formula>"Pass"</formula>
    </cfRule>
    <cfRule type="cellIs" dxfId="4013" priority="4010" stopIfTrue="1" operator="equal">
      <formula>"Fail"</formula>
    </cfRule>
  </conditionalFormatting>
  <conditionalFormatting sqref="I1488:L1488">
    <cfRule type="cellIs" dxfId="4012" priority="4007" stopIfTrue="1" operator="equal">
      <formula>"Pass"</formula>
    </cfRule>
    <cfRule type="cellIs" dxfId="4011" priority="4008" stopIfTrue="1" operator="equal">
      <formula>"Fail"</formula>
    </cfRule>
  </conditionalFormatting>
  <conditionalFormatting sqref="J1488:L1488">
    <cfRule type="cellIs" dxfId="4010" priority="4005" stopIfTrue="1" operator="equal">
      <formula>"Pass"</formula>
    </cfRule>
    <cfRule type="cellIs" dxfId="4009" priority="4006" stopIfTrue="1" operator="equal">
      <formula>"Fail"</formula>
    </cfRule>
  </conditionalFormatting>
  <conditionalFormatting sqref="I1488">
    <cfRule type="cellIs" dxfId="4008" priority="4003" stopIfTrue="1" operator="equal">
      <formula>"Pass"</formula>
    </cfRule>
    <cfRule type="cellIs" dxfId="4007" priority="4004" stopIfTrue="1" operator="equal">
      <formula>"Fail"</formula>
    </cfRule>
  </conditionalFormatting>
  <conditionalFormatting sqref="I1488:L1488">
    <cfRule type="cellIs" dxfId="4006" priority="4001" stopIfTrue="1" operator="equal">
      <formula>"Pass"</formula>
    </cfRule>
    <cfRule type="cellIs" dxfId="4005" priority="4002" stopIfTrue="1" operator="equal">
      <formula>"Fail"</formula>
    </cfRule>
  </conditionalFormatting>
  <conditionalFormatting sqref="K1488:L1488">
    <cfRule type="cellIs" dxfId="4004" priority="3999" stopIfTrue="1" operator="equal">
      <formula>"Pass"</formula>
    </cfRule>
    <cfRule type="cellIs" dxfId="4003" priority="4000" stopIfTrue="1" operator="equal">
      <formula>"Fail"</formula>
    </cfRule>
  </conditionalFormatting>
  <conditionalFormatting sqref="K1488:L1488">
    <cfRule type="cellIs" dxfId="4002" priority="3997" stopIfTrue="1" operator="equal">
      <formula>"Pass"</formula>
    </cfRule>
    <cfRule type="cellIs" dxfId="4001" priority="3998" stopIfTrue="1" operator="equal">
      <formula>"Fail"</formula>
    </cfRule>
  </conditionalFormatting>
  <conditionalFormatting sqref="K1488:L1488">
    <cfRule type="cellIs" dxfId="4000" priority="3995" stopIfTrue="1" operator="equal">
      <formula>"Pass"</formula>
    </cfRule>
    <cfRule type="cellIs" dxfId="3999" priority="3996" stopIfTrue="1" operator="equal">
      <formula>"Fail"</formula>
    </cfRule>
  </conditionalFormatting>
  <conditionalFormatting sqref="K1488:L1488">
    <cfRule type="cellIs" dxfId="3998" priority="3993" stopIfTrue="1" operator="equal">
      <formula>"Pass"</formula>
    </cfRule>
    <cfRule type="cellIs" dxfId="3997" priority="3994" stopIfTrue="1" operator="equal">
      <formula>"Fail"</formula>
    </cfRule>
  </conditionalFormatting>
  <conditionalFormatting sqref="K1488:L1488">
    <cfRule type="cellIs" dxfId="3996" priority="3991" stopIfTrue="1" operator="equal">
      <formula>"Pass"</formula>
    </cfRule>
    <cfRule type="cellIs" dxfId="3995" priority="3992" stopIfTrue="1" operator="equal">
      <formula>"Fail"</formula>
    </cfRule>
  </conditionalFormatting>
  <conditionalFormatting sqref="K1488:L1488">
    <cfRule type="cellIs" dxfId="3994" priority="3989" stopIfTrue="1" operator="equal">
      <formula>"Pass"</formula>
    </cfRule>
    <cfRule type="cellIs" dxfId="3993" priority="3990" stopIfTrue="1" operator="equal">
      <formula>"Fail"</formula>
    </cfRule>
  </conditionalFormatting>
  <conditionalFormatting sqref="K1488:L1488">
    <cfRule type="cellIs" dxfId="3992" priority="3987" stopIfTrue="1" operator="equal">
      <formula>"Pass"</formula>
    </cfRule>
    <cfRule type="cellIs" dxfId="3991" priority="3988" stopIfTrue="1" operator="equal">
      <formula>"Fail"</formula>
    </cfRule>
  </conditionalFormatting>
  <conditionalFormatting sqref="K1488:L1488">
    <cfRule type="cellIs" dxfId="3990" priority="3985" stopIfTrue="1" operator="equal">
      <formula>"Pass"</formula>
    </cfRule>
    <cfRule type="cellIs" dxfId="3989" priority="3986" stopIfTrue="1" operator="equal">
      <formula>"Fail"</formula>
    </cfRule>
  </conditionalFormatting>
  <conditionalFormatting sqref="J1488:L1488">
    <cfRule type="cellIs" dxfId="3988" priority="3983" stopIfTrue="1" operator="equal">
      <formula>"Pass"</formula>
    </cfRule>
    <cfRule type="cellIs" dxfId="3987" priority="3984" stopIfTrue="1" operator="equal">
      <formula>"Fail"</formula>
    </cfRule>
  </conditionalFormatting>
  <conditionalFormatting sqref="I1488">
    <cfRule type="cellIs" dxfId="3986" priority="3981" stopIfTrue="1" operator="equal">
      <formula>"Pass"</formula>
    </cfRule>
    <cfRule type="cellIs" dxfId="3985" priority="3982" stopIfTrue="1" operator="equal">
      <formula>"Fail"</formula>
    </cfRule>
  </conditionalFormatting>
  <conditionalFormatting sqref="I1488:L1488">
    <cfRule type="cellIs" dxfId="3984" priority="3979" stopIfTrue="1" operator="equal">
      <formula>"Pass"</formula>
    </cfRule>
    <cfRule type="cellIs" dxfId="3983" priority="3980" stopIfTrue="1" operator="equal">
      <formula>"Fail"</formula>
    </cfRule>
  </conditionalFormatting>
  <conditionalFormatting sqref="J1488:L1488">
    <cfRule type="cellIs" dxfId="3982" priority="3977" stopIfTrue="1" operator="equal">
      <formula>"Pass"</formula>
    </cfRule>
    <cfRule type="cellIs" dxfId="3981" priority="3978" stopIfTrue="1" operator="equal">
      <formula>"Fail"</formula>
    </cfRule>
  </conditionalFormatting>
  <conditionalFormatting sqref="I1488">
    <cfRule type="cellIs" dxfId="3980" priority="3975" stopIfTrue="1" operator="equal">
      <formula>"Pass"</formula>
    </cfRule>
    <cfRule type="cellIs" dxfId="3979" priority="3976" stopIfTrue="1" operator="equal">
      <formula>"Fail"</formula>
    </cfRule>
  </conditionalFormatting>
  <conditionalFormatting sqref="I1488:L1488">
    <cfRule type="cellIs" dxfId="3978" priority="3973" stopIfTrue="1" operator="equal">
      <formula>"Pass"</formula>
    </cfRule>
    <cfRule type="cellIs" dxfId="3977" priority="3974" stopIfTrue="1" operator="equal">
      <formula>"Fail"</formula>
    </cfRule>
  </conditionalFormatting>
  <conditionalFormatting sqref="J1488:L1488">
    <cfRule type="cellIs" dxfId="3976" priority="3971" stopIfTrue="1" operator="equal">
      <formula>"Pass"</formula>
    </cfRule>
    <cfRule type="cellIs" dxfId="3975" priority="3972" stopIfTrue="1" operator="equal">
      <formula>"Fail"</formula>
    </cfRule>
  </conditionalFormatting>
  <conditionalFormatting sqref="I1488">
    <cfRule type="cellIs" dxfId="3974" priority="3969" stopIfTrue="1" operator="equal">
      <formula>"Pass"</formula>
    </cfRule>
    <cfRule type="cellIs" dxfId="3973" priority="3970" stopIfTrue="1" operator="equal">
      <formula>"Fail"</formula>
    </cfRule>
  </conditionalFormatting>
  <conditionalFormatting sqref="I1488:L1488">
    <cfRule type="cellIs" dxfId="3972" priority="3967" stopIfTrue="1" operator="equal">
      <formula>"Pass"</formula>
    </cfRule>
    <cfRule type="cellIs" dxfId="3971" priority="3968" stopIfTrue="1" operator="equal">
      <formula>"Fail"</formula>
    </cfRule>
  </conditionalFormatting>
  <conditionalFormatting sqref="J1488:L1488">
    <cfRule type="cellIs" dxfId="3970" priority="3965" stopIfTrue="1" operator="equal">
      <formula>"Pass"</formula>
    </cfRule>
    <cfRule type="cellIs" dxfId="3969" priority="3966" stopIfTrue="1" operator="equal">
      <formula>"Fail"</formula>
    </cfRule>
  </conditionalFormatting>
  <conditionalFormatting sqref="I1488">
    <cfRule type="cellIs" dxfId="3968" priority="3963" stopIfTrue="1" operator="equal">
      <formula>"Pass"</formula>
    </cfRule>
    <cfRule type="cellIs" dxfId="3967" priority="3964" stopIfTrue="1" operator="equal">
      <formula>"Fail"</formula>
    </cfRule>
  </conditionalFormatting>
  <conditionalFormatting sqref="I1488:L1488">
    <cfRule type="cellIs" dxfId="3966" priority="3961" stopIfTrue="1" operator="equal">
      <formula>"Pass"</formula>
    </cfRule>
    <cfRule type="cellIs" dxfId="3965" priority="3962" stopIfTrue="1" operator="equal">
      <formula>"Fail"</formula>
    </cfRule>
  </conditionalFormatting>
  <conditionalFormatting sqref="J1488:L1488">
    <cfRule type="cellIs" dxfId="3964" priority="3959" stopIfTrue="1" operator="equal">
      <formula>"Pass"</formula>
    </cfRule>
    <cfRule type="cellIs" dxfId="3963" priority="3960" stopIfTrue="1" operator="equal">
      <formula>"Fail"</formula>
    </cfRule>
  </conditionalFormatting>
  <conditionalFormatting sqref="I1488">
    <cfRule type="cellIs" dxfId="3962" priority="3957" stopIfTrue="1" operator="equal">
      <formula>"Pass"</formula>
    </cfRule>
    <cfRule type="cellIs" dxfId="3961" priority="3958" stopIfTrue="1" operator="equal">
      <formula>"Fail"</formula>
    </cfRule>
  </conditionalFormatting>
  <conditionalFormatting sqref="I1488:L1488">
    <cfRule type="cellIs" dxfId="3960" priority="3955" stopIfTrue="1" operator="equal">
      <formula>"Pass"</formula>
    </cfRule>
    <cfRule type="cellIs" dxfId="3959" priority="3956" stopIfTrue="1" operator="equal">
      <formula>"Fail"</formula>
    </cfRule>
  </conditionalFormatting>
  <conditionalFormatting sqref="J1488:L1488">
    <cfRule type="cellIs" dxfId="3958" priority="3953" stopIfTrue="1" operator="equal">
      <formula>"Pass"</formula>
    </cfRule>
    <cfRule type="cellIs" dxfId="3957" priority="3954" stopIfTrue="1" operator="equal">
      <formula>"Fail"</formula>
    </cfRule>
  </conditionalFormatting>
  <conditionalFormatting sqref="I1488">
    <cfRule type="cellIs" dxfId="3956" priority="3951" stopIfTrue="1" operator="equal">
      <formula>"Pass"</formula>
    </cfRule>
    <cfRule type="cellIs" dxfId="3955" priority="3952" stopIfTrue="1" operator="equal">
      <formula>"Fail"</formula>
    </cfRule>
  </conditionalFormatting>
  <conditionalFormatting sqref="I1488:L1488">
    <cfRule type="cellIs" dxfId="3954" priority="3949" stopIfTrue="1" operator="equal">
      <formula>"Pass"</formula>
    </cfRule>
    <cfRule type="cellIs" dxfId="3953" priority="3950" stopIfTrue="1" operator="equal">
      <formula>"Fail"</formula>
    </cfRule>
  </conditionalFormatting>
  <conditionalFormatting sqref="J1488:L1488">
    <cfRule type="cellIs" dxfId="3952" priority="3947" stopIfTrue="1" operator="equal">
      <formula>"Pass"</formula>
    </cfRule>
    <cfRule type="cellIs" dxfId="3951" priority="3948" stopIfTrue="1" operator="equal">
      <formula>"Fail"</formula>
    </cfRule>
  </conditionalFormatting>
  <conditionalFormatting sqref="I1488">
    <cfRule type="cellIs" dxfId="3950" priority="3945" stopIfTrue="1" operator="equal">
      <formula>"Pass"</formula>
    </cfRule>
    <cfRule type="cellIs" dxfId="3949" priority="3946" stopIfTrue="1" operator="equal">
      <formula>"Fail"</formula>
    </cfRule>
  </conditionalFormatting>
  <conditionalFormatting sqref="I1488:L1488">
    <cfRule type="cellIs" dxfId="3948" priority="3943" stopIfTrue="1" operator="equal">
      <formula>"Pass"</formula>
    </cfRule>
    <cfRule type="cellIs" dxfId="3947" priority="3944" stopIfTrue="1" operator="equal">
      <formula>"Fail"</formula>
    </cfRule>
  </conditionalFormatting>
  <conditionalFormatting sqref="J1488:L1488">
    <cfRule type="cellIs" dxfId="3946" priority="3941" stopIfTrue="1" operator="equal">
      <formula>"Pass"</formula>
    </cfRule>
    <cfRule type="cellIs" dxfId="3945" priority="3942" stopIfTrue="1" operator="equal">
      <formula>"Fail"</formula>
    </cfRule>
  </conditionalFormatting>
  <conditionalFormatting sqref="I1488">
    <cfRule type="cellIs" dxfId="3944" priority="3939" stopIfTrue="1" operator="equal">
      <formula>"Pass"</formula>
    </cfRule>
    <cfRule type="cellIs" dxfId="3943" priority="3940" stopIfTrue="1" operator="equal">
      <formula>"Fail"</formula>
    </cfRule>
  </conditionalFormatting>
  <conditionalFormatting sqref="I1488:L1488">
    <cfRule type="cellIs" dxfId="3942" priority="3937" stopIfTrue="1" operator="equal">
      <formula>"Pass"</formula>
    </cfRule>
    <cfRule type="cellIs" dxfId="3941" priority="3938" stopIfTrue="1" operator="equal">
      <formula>"Fail"</formula>
    </cfRule>
  </conditionalFormatting>
  <conditionalFormatting sqref="J1488:L1488">
    <cfRule type="cellIs" dxfId="3940" priority="3935" stopIfTrue="1" operator="equal">
      <formula>"Pass"</formula>
    </cfRule>
    <cfRule type="cellIs" dxfId="3939" priority="3936" stopIfTrue="1" operator="equal">
      <formula>"Fail"</formula>
    </cfRule>
  </conditionalFormatting>
  <conditionalFormatting sqref="I1488">
    <cfRule type="cellIs" dxfId="3938" priority="3933" stopIfTrue="1" operator="equal">
      <formula>"Pass"</formula>
    </cfRule>
    <cfRule type="cellIs" dxfId="3937" priority="3934" stopIfTrue="1" operator="equal">
      <formula>"Fail"</formula>
    </cfRule>
  </conditionalFormatting>
  <conditionalFormatting sqref="I1488:L1488">
    <cfRule type="cellIs" dxfId="3936" priority="3931" stopIfTrue="1" operator="equal">
      <formula>"Pass"</formula>
    </cfRule>
    <cfRule type="cellIs" dxfId="3935" priority="3932" stopIfTrue="1" operator="equal">
      <formula>"Fail"</formula>
    </cfRule>
  </conditionalFormatting>
  <conditionalFormatting sqref="J1488:L1488">
    <cfRule type="cellIs" dxfId="3934" priority="3929" stopIfTrue="1" operator="equal">
      <formula>"Pass"</formula>
    </cfRule>
    <cfRule type="cellIs" dxfId="3933" priority="3930" stopIfTrue="1" operator="equal">
      <formula>"Fail"</formula>
    </cfRule>
  </conditionalFormatting>
  <conditionalFormatting sqref="I1488">
    <cfRule type="cellIs" dxfId="3932" priority="3927" stopIfTrue="1" operator="equal">
      <formula>"Pass"</formula>
    </cfRule>
    <cfRule type="cellIs" dxfId="3931" priority="3928" stopIfTrue="1" operator="equal">
      <formula>"Fail"</formula>
    </cfRule>
  </conditionalFormatting>
  <conditionalFormatting sqref="I1488:L1488">
    <cfRule type="cellIs" dxfId="3930" priority="3925" stopIfTrue="1" operator="equal">
      <formula>"Pass"</formula>
    </cfRule>
    <cfRule type="cellIs" dxfId="3929" priority="3926" stopIfTrue="1" operator="equal">
      <formula>"Fail"</formula>
    </cfRule>
  </conditionalFormatting>
  <conditionalFormatting sqref="J1488:L1488">
    <cfRule type="cellIs" dxfId="3928" priority="3923" stopIfTrue="1" operator="equal">
      <formula>"Pass"</formula>
    </cfRule>
    <cfRule type="cellIs" dxfId="3927" priority="3924" stopIfTrue="1" operator="equal">
      <formula>"Fail"</formula>
    </cfRule>
  </conditionalFormatting>
  <conditionalFormatting sqref="I1488">
    <cfRule type="cellIs" dxfId="3926" priority="3921" stopIfTrue="1" operator="equal">
      <formula>"Pass"</formula>
    </cfRule>
    <cfRule type="cellIs" dxfId="3925" priority="3922" stopIfTrue="1" operator="equal">
      <formula>"Fail"</formula>
    </cfRule>
  </conditionalFormatting>
  <conditionalFormatting sqref="I1488:L1488">
    <cfRule type="cellIs" dxfId="3924" priority="3919" stopIfTrue="1" operator="equal">
      <formula>"Pass"</formula>
    </cfRule>
    <cfRule type="cellIs" dxfId="3923" priority="3920" stopIfTrue="1" operator="equal">
      <formula>"Fail"</formula>
    </cfRule>
  </conditionalFormatting>
  <conditionalFormatting sqref="J1488:L1488">
    <cfRule type="cellIs" dxfId="3922" priority="3917" stopIfTrue="1" operator="equal">
      <formula>"Pass"</formula>
    </cfRule>
    <cfRule type="cellIs" dxfId="3921" priority="3918" stopIfTrue="1" operator="equal">
      <formula>"Fail"</formula>
    </cfRule>
  </conditionalFormatting>
  <conditionalFormatting sqref="I1488">
    <cfRule type="cellIs" dxfId="3920" priority="3915" stopIfTrue="1" operator="equal">
      <formula>"Pass"</formula>
    </cfRule>
    <cfRule type="cellIs" dxfId="3919" priority="3916" stopIfTrue="1" operator="equal">
      <formula>"Fail"</formula>
    </cfRule>
  </conditionalFormatting>
  <conditionalFormatting sqref="I1488:L1488">
    <cfRule type="cellIs" dxfId="3918" priority="3913" stopIfTrue="1" operator="equal">
      <formula>"Pass"</formula>
    </cfRule>
    <cfRule type="cellIs" dxfId="3917" priority="3914" stopIfTrue="1" operator="equal">
      <formula>"Fail"</formula>
    </cfRule>
  </conditionalFormatting>
  <conditionalFormatting sqref="I1488:L1488">
    <cfRule type="cellIs" dxfId="3916" priority="3911" stopIfTrue="1" operator="equal">
      <formula>"Pass"</formula>
    </cfRule>
    <cfRule type="cellIs" dxfId="3915" priority="3912" stopIfTrue="1" operator="equal">
      <formula>"Fail"</formula>
    </cfRule>
  </conditionalFormatting>
  <conditionalFormatting sqref="I1488:L1488">
    <cfRule type="cellIs" dxfId="3914" priority="3909" stopIfTrue="1" operator="equal">
      <formula>"Pass"</formula>
    </cfRule>
    <cfRule type="cellIs" dxfId="3913" priority="3910" stopIfTrue="1" operator="equal">
      <formula>"Fail"</formula>
    </cfRule>
  </conditionalFormatting>
  <conditionalFormatting sqref="I1488:L1488">
    <cfRule type="cellIs" dxfId="3912" priority="3907" stopIfTrue="1" operator="equal">
      <formula>"Pass"</formula>
    </cfRule>
    <cfRule type="cellIs" dxfId="3911" priority="3908" stopIfTrue="1" operator="equal">
      <formula>"Fail"</formula>
    </cfRule>
  </conditionalFormatting>
  <conditionalFormatting sqref="J1488:L1488">
    <cfRule type="cellIs" dxfId="3910" priority="3905" stopIfTrue="1" operator="equal">
      <formula>"Pass"</formula>
    </cfRule>
    <cfRule type="cellIs" dxfId="3909" priority="3906" stopIfTrue="1" operator="equal">
      <formula>"Fail"</formula>
    </cfRule>
  </conditionalFormatting>
  <conditionalFormatting sqref="I1488">
    <cfRule type="cellIs" dxfId="3908" priority="3903" stopIfTrue="1" operator="equal">
      <formula>"Pass"</formula>
    </cfRule>
    <cfRule type="cellIs" dxfId="3907" priority="3904" stopIfTrue="1" operator="equal">
      <formula>"Fail"</formula>
    </cfRule>
  </conditionalFormatting>
  <conditionalFormatting sqref="I1488:L1488">
    <cfRule type="cellIs" dxfId="3906" priority="3901" stopIfTrue="1" operator="equal">
      <formula>"Pass"</formula>
    </cfRule>
    <cfRule type="cellIs" dxfId="3905" priority="3902" stopIfTrue="1" operator="equal">
      <formula>"Fail"</formula>
    </cfRule>
  </conditionalFormatting>
  <conditionalFormatting sqref="J1488:L1488">
    <cfRule type="cellIs" dxfId="3904" priority="3899" stopIfTrue="1" operator="equal">
      <formula>"Pass"</formula>
    </cfRule>
    <cfRule type="cellIs" dxfId="3903" priority="3900" stopIfTrue="1" operator="equal">
      <formula>"Fail"</formula>
    </cfRule>
  </conditionalFormatting>
  <conditionalFormatting sqref="I1488">
    <cfRule type="cellIs" dxfId="3902" priority="3897" stopIfTrue="1" operator="equal">
      <formula>"Pass"</formula>
    </cfRule>
    <cfRule type="cellIs" dxfId="3901" priority="3898" stopIfTrue="1" operator="equal">
      <formula>"Fail"</formula>
    </cfRule>
  </conditionalFormatting>
  <conditionalFormatting sqref="I1488:L1488">
    <cfRule type="cellIs" dxfId="3900" priority="3895" stopIfTrue="1" operator="equal">
      <formula>"Pass"</formula>
    </cfRule>
    <cfRule type="cellIs" dxfId="3899" priority="3896" stopIfTrue="1" operator="equal">
      <formula>"Fail"</formula>
    </cfRule>
  </conditionalFormatting>
  <conditionalFormatting sqref="J1488:L1488">
    <cfRule type="cellIs" dxfId="3898" priority="3893" stopIfTrue="1" operator="equal">
      <formula>"Pass"</formula>
    </cfRule>
    <cfRule type="cellIs" dxfId="3897" priority="3894" stopIfTrue="1" operator="equal">
      <formula>"Fail"</formula>
    </cfRule>
  </conditionalFormatting>
  <conditionalFormatting sqref="I1488">
    <cfRule type="cellIs" dxfId="3896" priority="3891" stopIfTrue="1" operator="equal">
      <formula>"Pass"</formula>
    </cfRule>
    <cfRule type="cellIs" dxfId="3895" priority="3892" stopIfTrue="1" operator="equal">
      <formula>"Fail"</formula>
    </cfRule>
  </conditionalFormatting>
  <conditionalFormatting sqref="I1488:L1488">
    <cfRule type="cellIs" dxfId="3894" priority="3889" stopIfTrue="1" operator="equal">
      <formula>"Pass"</formula>
    </cfRule>
    <cfRule type="cellIs" dxfId="3893" priority="3890" stopIfTrue="1" operator="equal">
      <formula>"Fail"</formula>
    </cfRule>
  </conditionalFormatting>
  <conditionalFormatting sqref="J1488:L1488">
    <cfRule type="cellIs" dxfId="3892" priority="3887" stopIfTrue="1" operator="equal">
      <formula>"Pass"</formula>
    </cfRule>
    <cfRule type="cellIs" dxfId="3891" priority="3888" stopIfTrue="1" operator="equal">
      <formula>"Fail"</formula>
    </cfRule>
  </conditionalFormatting>
  <conditionalFormatting sqref="I1488">
    <cfRule type="cellIs" dxfId="3890" priority="3885" stopIfTrue="1" operator="equal">
      <formula>"Pass"</formula>
    </cfRule>
    <cfRule type="cellIs" dxfId="3889" priority="3886" stopIfTrue="1" operator="equal">
      <formula>"Fail"</formula>
    </cfRule>
  </conditionalFormatting>
  <conditionalFormatting sqref="I1488:L1488">
    <cfRule type="cellIs" dxfId="3888" priority="3883" stopIfTrue="1" operator="equal">
      <formula>"Pass"</formula>
    </cfRule>
    <cfRule type="cellIs" dxfId="3887" priority="3884" stopIfTrue="1" operator="equal">
      <formula>"Fail"</formula>
    </cfRule>
  </conditionalFormatting>
  <conditionalFormatting sqref="I1488:L1488">
    <cfRule type="cellIs" dxfId="3886" priority="3881" stopIfTrue="1" operator="equal">
      <formula>"Pass"</formula>
    </cfRule>
    <cfRule type="cellIs" dxfId="3885" priority="3882" stopIfTrue="1" operator="equal">
      <formula>"Fail"</formula>
    </cfRule>
  </conditionalFormatting>
  <conditionalFormatting sqref="I1488:L1488">
    <cfRule type="cellIs" dxfId="3884" priority="3879" stopIfTrue="1" operator="equal">
      <formula>"Pass"</formula>
    </cfRule>
    <cfRule type="cellIs" dxfId="3883" priority="3880" stopIfTrue="1" operator="equal">
      <formula>"Fail"</formula>
    </cfRule>
  </conditionalFormatting>
  <conditionalFormatting sqref="I1488:L1488">
    <cfRule type="cellIs" dxfId="3882" priority="3877" stopIfTrue="1" operator="equal">
      <formula>"Pass"</formula>
    </cfRule>
    <cfRule type="cellIs" dxfId="3881" priority="3878" stopIfTrue="1" operator="equal">
      <formula>"Fail"</formula>
    </cfRule>
  </conditionalFormatting>
  <conditionalFormatting sqref="J1488:L1488">
    <cfRule type="cellIs" dxfId="3880" priority="3875" stopIfTrue="1" operator="equal">
      <formula>"Pass"</formula>
    </cfRule>
    <cfRule type="cellIs" dxfId="3879" priority="3876" stopIfTrue="1" operator="equal">
      <formula>"Fail"</formula>
    </cfRule>
  </conditionalFormatting>
  <conditionalFormatting sqref="I1488">
    <cfRule type="cellIs" dxfId="3878" priority="3873" stopIfTrue="1" operator="equal">
      <formula>"Pass"</formula>
    </cfRule>
    <cfRule type="cellIs" dxfId="3877" priority="3874" stopIfTrue="1" operator="equal">
      <formula>"Fail"</formula>
    </cfRule>
  </conditionalFormatting>
  <conditionalFormatting sqref="I1488:L1488">
    <cfRule type="cellIs" dxfId="3876" priority="3871" stopIfTrue="1" operator="equal">
      <formula>"Pass"</formula>
    </cfRule>
    <cfRule type="cellIs" dxfId="3875" priority="3872" stopIfTrue="1" operator="equal">
      <formula>"Fail"</formula>
    </cfRule>
  </conditionalFormatting>
  <conditionalFormatting sqref="J1488:L1488">
    <cfRule type="cellIs" dxfId="3874" priority="3869" stopIfTrue="1" operator="equal">
      <formula>"Pass"</formula>
    </cfRule>
    <cfRule type="cellIs" dxfId="3873" priority="3870" stopIfTrue="1" operator="equal">
      <formula>"Fail"</formula>
    </cfRule>
  </conditionalFormatting>
  <conditionalFormatting sqref="I1488">
    <cfRule type="cellIs" dxfId="3872" priority="3867" stopIfTrue="1" operator="equal">
      <formula>"Pass"</formula>
    </cfRule>
    <cfRule type="cellIs" dxfId="3871" priority="3868" stopIfTrue="1" operator="equal">
      <formula>"Fail"</formula>
    </cfRule>
  </conditionalFormatting>
  <conditionalFormatting sqref="I1488:L1488">
    <cfRule type="cellIs" dxfId="3870" priority="3865" stopIfTrue="1" operator="equal">
      <formula>"Pass"</formula>
    </cfRule>
    <cfRule type="cellIs" dxfId="3869" priority="3866" stopIfTrue="1" operator="equal">
      <formula>"Fail"</formula>
    </cfRule>
  </conditionalFormatting>
  <conditionalFormatting sqref="J1488:L1488">
    <cfRule type="cellIs" dxfId="3868" priority="3863" stopIfTrue="1" operator="equal">
      <formula>"Pass"</formula>
    </cfRule>
    <cfRule type="cellIs" dxfId="3867" priority="3864" stopIfTrue="1" operator="equal">
      <formula>"Fail"</formula>
    </cfRule>
  </conditionalFormatting>
  <conditionalFormatting sqref="I1488">
    <cfRule type="cellIs" dxfId="3866" priority="3861" stopIfTrue="1" operator="equal">
      <formula>"Pass"</formula>
    </cfRule>
    <cfRule type="cellIs" dxfId="3865" priority="3862" stopIfTrue="1" operator="equal">
      <formula>"Fail"</formula>
    </cfRule>
  </conditionalFormatting>
  <conditionalFormatting sqref="I1488:L1488">
    <cfRule type="cellIs" dxfId="3864" priority="3859" stopIfTrue="1" operator="equal">
      <formula>"Pass"</formula>
    </cfRule>
    <cfRule type="cellIs" dxfId="3863" priority="3860" stopIfTrue="1" operator="equal">
      <formula>"Fail"</formula>
    </cfRule>
  </conditionalFormatting>
  <conditionalFormatting sqref="J1488:L1488">
    <cfRule type="cellIs" dxfId="3862" priority="3857" stopIfTrue="1" operator="equal">
      <formula>"Pass"</formula>
    </cfRule>
    <cfRule type="cellIs" dxfId="3861" priority="3858" stopIfTrue="1" operator="equal">
      <formula>"Fail"</formula>
    </cfRule>
  </conditionalFormatting>
  <conditionalFormatting sqref="I1488">
    <cfRule type="cellIs" dxfId="3860" priority="3855" stopIfTrue="1" operator="equal">
      <formula>"Pass"</formula>
    </cfRule>
    <cfRule type="cellIs" dxfId="3859" priority="3856" stopIfTrue="1" operator="equal">
      <formula>"Fail"</formula>
    </cfRule>
  </conditionalFormatting>
  <conditionalFormatting sqref="I1488:L1488">
    <cfRule type="cellIs" dxfId="3858" priority="3853" stopIfTrue="1" operator="equal">
      <formula>"Pass"</formula>
    </cfRule>
    <cfRule type="cellIs" dxfId="3857" priority="3854" stopIfTrue="1" operator="equal">
      <formula>"Fail"</formula>
    </cfRule>
  </conditionalFormatting>
  <conditionalFormatting sqref="I1488:L1488">
    <cfRule type="cellIs" dxfId="3856" priority="3851" stopIfTrue="1" operator="equal">
      <formula>"Pass"</formula>
    </cfRule>
    <cfRule type="cellIs" dxfId="3855" priority="3852" stopIfTrue="1" operator="equal">
      <formula>"Fail"</formula>
    </cfRule>
  </conditionalFormatting>
  <conditionalFormatting sqref="I1488:L1488">
    <cfRule type="cellIs" dxfId="3854" priority="3849" stopIfTrue="1" operator="equal">
      <formula>"Pass"</formula>
    </cfRule>
    <cfRule type="cellIs" dxfId="3853" priority="3850" stopIfTrue="1" operator="equal">
      <formula>"Fail"</formula>
    </cfRule>
  </conditionalFormatting>
  <conditionalFormatting sqref="I1488:L1488">
    <cfRule type="cellIs" dxfId="3852" priority="3847" stopIfTrue="1" operator="equal">
      <formula>"Pass"</formula>
    </cfRule>
    <cfRule type="cellIs" dxfId="3851" priority="3848" stopIfTrue="1" operator="equal">
      <formula>"Fail"</formula>
    </cfRule>
  </conditionalFormatting>
  <conditionalFormatting sqref="J1488:L1488">
    <cfRule type="cellIs" dxfId="3850" priority="3845" stopIfTrue="1" operator="equal">
      <formula>"Pass"</formula>
    </cfRule>
    <cfRule type="cellIs" dxfId="3849" priority="3846" stopIfTrue="1" operator="equal">
      <formula>"Fail"</formula>
    </cfRule>
  </conditionalFormatting>
  <conditionalFormatting sqref="I1488">
    <cfRule type="cellIs" dxfId="3848" priority="3843" stopIfTrue="1" operator="equal">
      <formula>"Pass"</formula>
    </cfRule>
    <cfRule type="cellIs" dxfId="3847" priority="3844" stopIfTrue="1" operator="equal">
      <formula>"Fail"</formula>
    </cfRule>
  </conditionalFormatting>
  <conditionalFormatting sqref="I1488:L1488">
    <cfRule type="cellIs" dxfId="3846" priority="3841" stopIfTrue="1" operator="equal">
      <formula>"Pass"</formula>
    </cfRule>
    <cfRule type="cellIs" dxfId="3845" priority="3842" stopIfTrue="1" operator="equal">
      <formula>"Fail"</formula>
    </cfRule>
  </conditionalFormatting>
  <conditionalFormatting sqref="J1488:L1488">
    <cfRule type="cellIs" dxfId="3844" priority="3839" stopIfTrue="1" operator="equal">
      <formula>"Pass"</formula>
    </cfRule>
    <cfRule type="cellIs" dxfId="3843" priority="3840" stopIfTrue="1" operator="equal">
      <formula>"Fail"</formula>
    </cfRule>
  </conditionalFormatting>
  <conditionalFormatting sqref="I1488">
    <cfRule type="cellIs" dxfId="3842" priority="3837" stopIfTrue="1" operator="equal">
      <formula>"Pass"</formula>
    </cfRule>
    <cfRule type="cellIs" dxfId="3841" priority="3838" stopIfTrue="1" operator="equal">
      <formula>"Fail"</formula>
    </cfRule>
  </conditionalFormatting>
  <conditionalFormatting sqref="I1488:L1488">
    <cfRule type="cellIs" dxfId="3840" priority="3835" stopIfTrue="1" operator="equal">
      <formula>"Pass"</formula>
    </cfRule>
    <cfRule type="cellIs" dxfId="3839" priority="3836" stopIfTrue="1" operator="equal">
      <formula>"Fail"</formula>
    </cfRule>
  </conditionalFormatting>
  <conditionalFormatting sqref="J1488:L1488">
    <cfRule type="cellIs" dxfId="3838" priority="3833" stopIfTrue="1" operator="equal">
      <formula>"Pass"</formula>
    </cfRule>
    <cfRule type="cellIs" dxfId="3837" priority="3834" stopIfTrue="1" operator="equal">
      <formula>"Fail"</formula>
    </cfRule>
  </conditionalFormatting>
  <conditionalFormatting sqref="I1488">
    <cfRule type="cellIs" dxfId="3836" priority="3831" stopIfTrue="1" operator="equal">
      <formula>"Pass"</formula>
    </cfRule>
    <cfRule type="cellIs" dxfId="3835" priority="3832" stopIfTrue="1" operator="equal">
      <formula>"Fail"</formula>
    </cfRule>
  </conditionalFormatting>
  <conditionalFormatting sqref="I1488:L1488">
    <cfRule type="cellIs" dxfId="3834" priority="3829" stopIfTrue="1" operator="equal">
      <formula>"Pass"</formula>
    </cfRule>
    <cfRule type="cellIs" dxfId="3833" priority="3830" stopIfTrue="1" operator="equal">
      <formula>"Fail"</formula>
    </cfRule>
  </conditionalFormatting>
  <conditionalFormatting sqref="J1488:L1488">
    <cfRule type="cellIs" dxfId="3832" priority="3827" stopIfTrue="1" operator="equal">
      <formula>"Pass"</formula>
    </cfRule>
    <cfRule type="cellIs" dxfId="3831" priority="3828" stopIfTrue="1" operator="equal">
      <formula>"Fail"</formula>
    </cfRule>
  </conditionalFormatting>
  <conditionalFormatting sqref="I1488">
    <cfRule type="cellIs" dxfId="3830" priority="3825" stopIfTrue="1" operator="equal">
      <formula>"Pass"</formula>
    </cfRule>
    <cfRule type="cellIs" dxfId="3829" priority="3826" stopIfTrue="1" operator="equal">
      <formula>"Fail"</formula>
    </cfRule>
  </conditionalFormatting>
  <conditionalFormatting sqref="I1488:L1488">
    <cfRule type="cellIs" dxfId="3828" priority="3823" stopIfTrue="1" operator="equal">
      <formula>"Pass"</formula>
    </cfRule>
    <cfRule type="cellIs" dxfId="3827" priority="3824" stopIfTrue="1" operator="equal">
      <formula>"Fail"</formula>
    </cfRule>
  </conditionalFormatting>
  <conditionalFormatting sqref="I1488:L1488">
    <cfRule type="cellIs" dxfId="3826" priority="3821" stopIfTrue="1" operator="equal">
      <formula>"Pass"</formula>
    </cfRule>
    <cfRule type="cellIs" dxfId="3825" priority="3822" stopIfTrue="1" operator="equal">
      <formula>"Fail"</formula>
    </cfRule>
  </conditionalFormatting>
  <conditionalFormatting sqref="I1488:L1488">
    <cfRule type="cellIs" dxfId="3824" priority="3819" stopIfTrue="1" operator="equal">
      <formula>"Pass"</formula>
    </cfRule>
    <cfRule type="cellIs" dxfId="3823" priority="3820" stopIfTrue="1" operator="equal">
      <formula>"Fail"</formula>
    </cfRule>
  </conditionalFormatting>
  <conditionalFormatting sqref="I1488:L1488">
    <cfRule type="cellIs" dxfId="3822" priority="3817" stopIfTrue="1" operator="equal">
      <formula>"Pass"</formula>
    </cfRule>
    <cfRule type="cellIs" dxfId="3821" priority="3818" stopIfTrue="1" operator="equal">
      <formula>"Fail"</formula>
    </cfRule>
  </conditionalFormatting>
  <conditionalFormatting sqref="J1488:L1488">
    <cfRule type="cellIs" dxfId="3820" priority="3815" stopIfTrue="1" operator="equal">
      <formula>"Pass"</formula>
    </cfRule>
    <cfRule type="cellIs" dxfId="3819" priority="3816" stopIfTrue="1" operator="equal">
      <formula>"Fail"</formula>
    </cfRule>
  </conditionalFormatting>
  <conditionalFormatting sqref="I1488">
    <cfRule type="cellIs" dxfId="3818" priority="3813" stopIfTrue="1" operator="equal">
      <formula>"Pass"</formula>
    </cfRule>
    <cfRule type="cellIs" dxfId="3817" priority="3814" stopIfTrue="1" operator="equal">
      <formula>"Fail"</formula>
    </cfRule>
  </conditionalFormatting>
  <conditionalFormatting sqref="I1488:L1488">
    <cfRule type="cellIs" dxfId="3816" priority="3811" stopIfTrue="1" operator="equal">
      <formula>"Pass"</formula>
    </cfRule>
    <cfRule type="cellIs" dxfId="3815" priority="3812" stopIfTrue="1" operator="equal">
      <formula>"Fail"</formula>
    </cfRule>
  </conditionalFormatting>
  <conditionalFormatting sqref="J1488:L1488">
    <cfRule type="cellIs" dxfId="3814" priority="3809" stopIfTrue="1" operator="equal">
      <formula>"Pass"</formula>
    </cfRule>
    <cfRule type="cellIs" dxfId="3813" priority="3810" stopIfTrue="1" operator="equal">
      <formula>"Fail"</formula>
    </cfRule>
  </conditionalFormatting>
  <conditionalFormatting sqref="I1488">
    <cfRule type="cellIs" dxfId="3812" priority="3807" stopIfTrue="1" operator="equal">
      <formula>"Pass"</formula>
    </cfRule>
    <cfRule type="cellIs" dxfId="3811" priority="3808" stopIfTrue="1" operator="equal">
      <formula>"Fail"</formula>
    </cfRule>
  </conditionalFormatting>
  <conditionalFormatting sqref="I1488:L1488">
    <cfRule type="cellIs" dxfId="3810" priority="3805" stopIfTrue="1" operator="equal">
      <formula>"Pass"</formula>
    </cfRule>
    <cfRule type="cellIs" dxfId="3809" priority="3806" stopIfTrue="1" operator="equal">
      <formula>"Fail"</formula>
    </cfRule>
  </conditionalFormatting>
  <conditionalFormatting sqref="J1488:L1488">
    <cfRule type="cellIs" dxfId="3808" priority="3803" stopIfTrue="1" operator="equal">
      <formula>"Pass"</formula>
    </cfRule>
    <cfRule type="cellIs" dxfId="3807" priority="3804" stopIfTrue="1" operator="equal">
      <formula>"Fail"</formula>
    </cfRule>
  </conditionalFormatting>
  <conditionalFormatting sqref="I1488">
    <cfRule type="cellIs" dxfId="3806" priority="3801" stopIfTrue="1" operator="equal">
      <formula>"Pass"</formula>
    </cfRule>
    <cfRule type="cellIs" dxfId="3805" priority="3802" stopIfTrue="1" operator="equal">
      <formula>"Fail"</formula>
    </cfRule>
  </conditionalFormatting>
  <conditionalFormatting sqref="I1488:L1488">
    <cfRule type="cellIs" dxfId="3804" priority="3799" stopIfTrue="1" operator="equal">
      <formula>"Pass"</formula>
    </cfRule>
    <cfRule type="cellIs" dxfId="3803" priority="3800" stopIfTrue="1" operator="equal">
      <formula>"Fail"</formula>
    </cfRule>
  </conditionalFormatting>
  <conditionalFormatting sqref="J1488:L1488">
    <cfRule type="cellIs" dxfId="3802" priority="3797" stopIfTrue="1" operator="equal">
      <formula>"Pass"</formula>
    </cfRule>
    <cfRule type="cellIs" dxfId="3801" priority="3798" stopIfTrue="1" operator="equal">
      <formula>"Fail"</formula>
    </cfRule>
  </conditionalFormatting>
  <conditionalFormatting sqref="I1488">
    <cfRule type="cellIs" dxfId="3800" priority="3795" stopIfTrue="1" operator="equal">
      <formula>"Pass"</formula>
    </cfRule>
    <cfRule type="cellIs" dxfId="3799" priority="3796" stopIfTrue="1" operator="equal">
      <formula>"Fail"</formula>
    </cfRule>
  </conditionalFormatting>
  <conditionalFormatting sqref="I1488:L1488">
    <cfRule type="cellIs" dxfId="3798" priority="3793" stopIfTrue="1" operator="equal">
      <formula>"Pass"</formula>
    </cfRule>
    <cfRule type="cellIs" dxfId="3797" priority="3794" stopIfTrue="1" operator="equal">
      <formula>"Fail"</formula>
    </cfRule>
  </conditionalFormatting>
  <conditionalFormatting sqref="I1488:L1488">
    <cfRule type="cellIs" dxfId="3796" priority="3791" stopIfTrue="1" operator="equal">
      <formula>"Pass"</formula>
    </cfRule>
    <cfRule type="cellIs" dxfId="3795" priority="3792" stopIfTrue="1" operator="equal">
      <formula>"Fail"</formula>
    </cfRule>
  </conditionalFormatting>
  <conditionalFormatting sqref="I1488:L1488">
    <cfRule type="cellIs" dxfId="3794" priority="3789" stopIfTrue="1" operator="equal">
      <formula>"Pass"</formula>
    </cfRule>
    <cfRule type="cellIs" dxfId="3793" priority="3790" stopIfTrue="1" operator="equal">
      <formula>"Fail"</formula>
    </cfRule>
  </conditionalFormatting>
  <conditionalFormatting sqref="I1488:L1488">
    <cfRule type="cellIs" dxfId="3792" priority="3787" stopIfTrue="1" operator="equal">
      <formula>"Pass"</formula>
    </cfRule>
    <cfRule type="cellIs" dxfId="3791" priority="3788" stopIfTrue="1" operator="equal">
      <formula>"Fail"</formula>
    </cfRule>
  </conditionalFormatting>
  <conditionalFormatting sqref="J1488:L1488">
    <cfRule type="cellIs" dxfId="3790" priority="3785" stopIfTrue="1" operator="equal">
      <formula>"Pass"</formula>
    </cfRule>
    <cfRule type="cellIs" dxfId="3789" priority="3786" stopIfTrue="1" operator="equal">
      <formula>"Fail"</formula>
    </cfRule>
  </conditionalFormatting>
  <conditionalFormatting sqref="I1488">
    <cfRule type="cellIs" dxfId="3788" priority="3783" stopIfTrue="1" operator="equal">
      <formula>"Pass"</formula>
    </cfRule>
    <cfRule type="cellIs" dxfId="3787" priority="3784" stopIfTrue="1" operator="equal">
      <formula>"Fail"</formula>
    </cfRule>
  </conditionalFormatting>
  <conditionalFormatting sqref="I1488:L1488">
    <cfRule type="cellIs" dxfId="3786" priority="3781" stopIfTrue="1" operator="equal">
      <formula>"Pass"</formula>
    </cfRule>
    <cfRule type="cellIs" dxfId="3785" priority="3782" stopIfTrue="1" operator="equal">
      <formula>"Fail"</formula>
    </cfRule>
  </conditionalFormatting>
  <conditionalFormatting sqref="J1488:L1488">
    <cfRule type="cellIs" dxfId="3784" priority="3779" stopIfTrue="1" operator="equal">
      <formula>"Pass"</formula>
    </cfRule>
    <cfRule type="cellIs" dxfId="3783" priority="3780" stopIfTrue="1" operator="equal">
      <formula>"Fail"</formula>
    </cfRule>
  </conditionalFormatting>
  <conditionalFormatting sqref="I1488">
    <cfRule type="cellIs" dxfId="3782" priority="3777" stopIfTrue="1" operator="equal">
      <formula>"Pass"</formula>
    </cfRule>
    <cfRule type="cellIs" dxfId="3781" priority="3778" stopIfTrue="1" operator="equal">
      <formula>"Fail"</formula>
    </cfRule>
  </conditionalFormatting>
  <conditionalFormatting sqref="I1488:L1488">
    <cfRule type="cellIs" dxfId="3780" priority="3775" stopIfTrue="1" operator="equal">
      <formula>"Pass"</formula>
    </cfRule>
    <cfRule type="cellIs" dxfId="3779" priority="3776" stopIfTrue="1" operator="equal">
      <formula>"Fail"</formula>
    </cfRule>
  </conditionalFormatting>
  <conditionalFormatting sqref="J1488:L1488">
    <cfRule type="cellIs" dxfId="3778" priority="3773" stopIfTrue="1" operator="equal">
      <formula>"Pass"</formula>
    </cfRule>
    <cfRule type="cellIs" dxfId="3777" priority="3774" stopIfTrue="1" operator="equal">
      <formula>"Fail"</formula>
    </cfRule>
  </conditionalFormatting>
  <conditionalFormatting sqref="I1488">
    <cfRule type="cellIs" dxfId="3776" priority="3771" stopIfTrue="1" operator="equal">
      <formula>"Pass"</formula>
    </cfRule>
    <cfRule type="cellIs" dxfId="3775" priority="3772" stopIfTrue="1" operator="equal">
      <formula>"Fail"</formula>
    </cfRule>
  </conditionalFormatting>
  <conditionalFormatting sqref="I1488:L1488">
    <cfRule type="cellIs" dxfId="3774" priority="3769" stopIfTrue="1" operator="equal">
      <formula>"Pass"</formula>
    </cfRule>
    <cfRule type="cellIs" dxfId="3773" priority="3770" stopIfTrue="1" operator="equal">
      <formula>"Fail"</formula>
    </cfRule>
  </conditionalFormatting>
  <conditionalFormatting sqref="J1488:L1488">
    <cfRule type="cellIs" dxfId="3772" priority="3767" stopIfTrue="1" operator="equal">
      <formula>"Pass"</formula>
    </cfRule>
    <cfRule type="cellIs" dxfId="3771" priority="3768" stopIfTrue="1" operator="equal">
      <formula>"Fail"</formula>
    </cfRule>
  </conditionalFormatting>
  <conditionalFormatting sqref="I1488">
    <cfRule type="cellIs" dxfId="3770" priority="3765" stopIfTrue="1" operator="equal">
      <formula>"Pass"</formula>
    </cfRule>
    <cfRule type="cellIs" dxfId="3769" priority="3766" stopIfTrue="1" operator="equal">
      <formula>"Fail"</formula>
    </cfRule>
  </conditionalFormatting>
  <conditionalFormatting sqref="I1488:L1488">
    <cfRule type="cellIs" dxfId="3768" priority="3763" stopIfTrue="1" operator="equal">
      <formula>"Pass"</formula>
    </cfRule>
    <cfRule type="cellIs" dxfId="3767" priority="3764" stopIfTrue="1" operator="equal">
      <formula>"Fail"</formula>
    </cfRule>
  </conditionalFormatting>
  <conditionalFormatting sqref="I1488:L1488">
    <cfRule type="cellIs" dxfId="3766" priority="3761" stopIfTrue="1" operator="equal">
      <formula>"Pass"</formula>
    </cfRule>
    <cfRule type="cellIs" dxfId="3765" priority="3762" stopIfTrue="1" operator="equal">
      <formula>"Fail"</formula>
    </cfRule>
  </conditionalFormatting>
  <conditionalFormatting sqref="I1488:L1488">
    <cfRule type="cellIs" dxfId="3764" priority="3759" stopIfTrue="1" operator="equal">
      <formula>"Pass"</formula>
    </cfRule>
    <cfRule type="cellIs" dxfId="3763" priority="3760" stopIfTrue="1" operator="equal">
      <formula>"Fail"</formula>
    </cfRule>
  </conditionalFormatting>
  <conditionalFormatting sqref="I1488:L1488">
    <cfRule type="cellIs" dxfId="3762" priority="3757" stopIfTrue="1" operator="equal">
      <formula>"Pass"</formula>
    </cfRule>
    <cfRule type="cellIs" dxfId="3761" priority="3758" stopIfTrue="1" operator="equal">
      <formula>"Fail"</formula>
    </cfRule>
  </conditionalFormatting>
  <conditionalFormatting sqref="I1488:L1488">
    <cfRule type="cellIs" dxfId="3760" priority="3755" stopIfTrue="1" operator="equal">
      <formula>"Pass"</formula>
    </cfRule>
    <cfRule type="cellIs" dxfId="3759" priority="3756" stopIfTrue="1" operator="equal">
      <formula>"Fail"</formula>
    </cfRule>
  </conditionalFormatting>
  <conditionalFormatting sqref="I1488:L1488">
    <cfRule type="cellIs" dxfId="3758" priority="3753" stopIfTrue="1" operator="equal">
      <formula>"Pass"</formula>
    </cfRule>
    <cfRule type="cellIs" dxfId="3757" priority="3754" stopIfTrue="1" operator="equal">
      <formula>"Fail"</formula>
    </cfRule>
  </conditionalFormatting>
  <conditionalFormatting sqref="I1488:L1488">
    <cfRule type="cellIs" dxfId="3756" priority="3751" stopIfTrue="1" operator="equal">
      <formula>"Pass"</formula>
    </cfRule>
    <cfRule type="cellIs" dxfId="3755" priority="3752" stopIfTrue="1" operator="equal">
      <formula>"Fail"</formula>
    </cfRule>
  </conditionalFormatting>
  <conditionalFormatting sqref="J1488:L1488">
    <cfRule type="cellIs" dxfId="3754" priority="3749" stopIfTrue="1" operator="equal">
      <formula>"Pass"</formula>
    </cfRule>
    <cfRule type="cellIs" dxfId="3753" priority="3750" stopIfTrue="1" operator="equal">
      <formula>"Fail"</formula>
    </cfRule>
  </conditionalFormatting>
  <conditionalFormatting sqref="I1488">
    <cfRule type="cellIs" dxfId="3752" priority="3747" stopIfTrue="1" operator="equal">
      <formula>"Pass"</formula>
    </cfRule>
    <cfRule type="cellIs" dxfId="3751" priority="3748" stopIfTrue="1" operator="equal">
      <formula>"Fail"</formula>
    </cfRule>
  </conditionalFormatting>
  <conditionalFormatting sqref="I1488:L1488">
    <cfRule type="cellIs" dxfId="3750" priority="3745" stopIfTrue="1" operator="equal">
      <formula>"Pass"</formula>
    </cfRule>
    <cfRule type="cellIs" dxfId="3749" priority="3746" stopIfTrue="1" operator="equal">
      <formula>"Fail"</formula>
    </cfRule>
  </conditionalFormatting>
  <conditionalFormatting sqref="J1488:L1488">
    <cfRule type="cellIs" dxfId="3748" priority="3743" stopIfTrue="1" operator="equal">
      <formula>"Pass"</formula>
    </cfRule>
    <cfRule type="cellIs" dxfId="3747" priority="3744" stopIfTrue="1" operator="equal">
      <formula>"Fail"</formula>
    </cfRule>
  </conditionalFormatting>
  <conditionalFormatting sqref="I1488">
    <cfRule type="cellIs" dxfId="3746" priority="3741" stopIfTrue="1" operator="equal">
      <formula>"Pass"</formula>
    </cfRule>
    <cfRule type="cellIs" dxfId="3745" priority="3742" stopIfTrue="1" operator="equal">
      <formula>"Fail"</formula>
    </cfRule>
  </conditionalFormatting>
  <conditionalFormatting sqref="I1488:L1488">
    <cfRule type="cellIs" dxfId="3744" priority="3739" stopIfTrue="1" operator="equal">
      <formula>"Pass"</formula>
    </cfRule>
    <cfRule type="cellIs" dxfId="3743" priority="3740" stopIfTrue="1" operator="equal">
      <formula>"Fail"</formula>
    </cfRule>
  </conditionalFormatting>
  <conditionalFormatting sqref="J1488:L1488">
    <cfRule type="cellIs" dxfId="3742" priority="3737" stopIfTrue="1" operator="equal">
      <formula>"Pass"</formula>
    </cfRule>
    <cfRule type="cellIs" dxfId="3741" priority="3738" stopIfTrue="1" operator="equal">
      <formula>"Fail"</formula>
    </cfRule>
  </conditionalFormatting>
  <conditionalFormatting sqref="I1488">
    <cfRule type="cellIs" dxfId="3740" priority="3735" stopIfTrue="1" operator="equal">
      <formula>"Pass"</formula>
    </cfRule>
    <cfRule type="cellIs" dxfId="3739" priority="3736" stopIfTrue="1" operator="equal">
      <formula>"Fail"</formula>
    </cfRule>
  </conditionalFormatting>
  <conditionalFormatting sqref="I1488:L1488">
    <cfRule type="cellIs" dxfId="3738" priority="3733" stopIfTrue="1" operator="equal">
      <formula>"Pass"</formula>
    </cfRule>
    <cfRule type="cellIs" dxfId="3737" priority="3734" stopIfTrue="1" operator="equal">
      <formula>"Fail"</formula>
    </cfRule>
  </conditionalFormatting>
  <conditionalFormatting sqref="J1488:L1488">
    <cfRule type="cellIs" dxfId="3736" priority="3731" stopIfTrue="1" operator="equal">
      <formula>"Pass"</formula>
    </cfRule>
    <cfRule type="cellIs" dxfId="3735" priority="3732" stopIfTrue="1" operator="equal">
      <formula>"Fail"</formula>
    </cfRule>
  </conditionalFormatting>
  <conditionalFormatting sqref="I1488">
    <cfRule type="cellIs" dxfId="3734" priority="3729" stopIfTrue="1" operator="equal">
      <formula>"Pass"</formula>
    </cfRule>
    <cfRule type="cellIs" dxfId="3733" priority="3730" stopIfTrue="1" operator="equal">
      <formula>"Fail"</formula>
    </cfRule>
  </conditionalFormatting>
  <conditionalFormatting sqref="I1488:L1488">
    <cfRule type="cellIs" dxfId="3732" priority="3727" stopIfTrue="1" operator="equal">
      <formula>"Pass"</formula>
    </cfRule>
    <cfRule type="cellIs" dxfId="3731" priority="3728" stopIfTrue="1" operator="equal">
      <formula>"Fail"</formula>
    </cfRule>
  </conditionalFormatting>
  <conditionalFormatting sqref="I1488:L1488">
    <cfRule type="cellIs" dxfId="3730" priority="3725" stopIfTrue="1" operator="equal">
      <formula>"Pass"</formula>
    </cfRule>
    <cfRule type="cellIs" dxfId="3729" priority="3726" stopIfTrue="1" operator="equal">
      <formula>"Fail"</formula>
    </cfRule>
  </conditionalFormatting>
  <conditionalFormatting sqref="I1488:L1488">
    <cfRule type="cellIs" dxfId="3728" priority="3723" stopIfTrue="1" operator="equal">
      <formula>"Pass"</formula>
    </cfRule>
    <cfRule type="cellIs" dxfId="3727" priority="3724" stopIfTrue="1" operator="equal">
      <formula>"Fail"</formula>
    </cfRule>
  </conditionalFormatting>
  <conditionalFormatting sqref="I1488:L1488">
    <cfRule type="cellIs" dxfId="3726" priority="3721" stopIfTrue="1" operator="equal">
      <formula>"Pass"</formula>
    </cfRule>
    <cfRule type="cellIs" dxfId="3725" priority="3722" stopIfTrue="1" operator="equal">
      <formula>"Fail"</formula>
    </cfRule>
  </conditionalFormatting>
  <conditionalFormatting sqref="I1488:L1488">
    <cfRule type="cellIs" dxfId="3724" priority="3719" stopIfTrue="1" operator="equal">
      <formula>"Pass"</formula>
    </cfRule>
    <cfRule type="cellIs" dxfId="3723" priority="3720" stopIfTrue="1" operator="equal">
      <formula>"Fail"</formula>
    </cfRule>
  </conditionalFormatting>
  <conditionalFormatting sqref="I1488:L1488">
    <cfRule type="cellIs" dxfId="3722" priority="3717" stopIfTrue="1" operator="equal">
      <formula>"Pass"</formula>
    </cfRule>
    <cfRule type="cellIs" dxfId="3721" priority="3718" stopIfTrue="1" operator="equal">
      <formula>"Fail"</formula>
    </cfRule>
  </conditionalFormatting>
  <conditionalFormatting sqref="I1488:L1488">
    <cfRule type="cellIs" dxfId="3720" priority="3715" stopIfTrue="1" operator="equal">
      <formula>"Pass"</formula>
    </cfRule>
    <cfRule type="cellIs" dxfId="3719" priority="3716" stopIfTrue="1" operator="equal">
      <formula>"Fail"</formula>
    </cfRule>
  </conditionalFormatting>
  <conditionalFormatting sqref="J1488:L1488">
    <cfRule type="cellIs" dxfId="3718" priority="3713" stopIfTrue="1" operator="equal">
      <formula>"Pass"</formula>
    </cfRule>
    <cfRule type="cellIs" dxfId="3717" priority="3714" stopIfTrue="1" operator="equal">
      <formula>"Fail"</formula>
    </cfRule>
  </conditionalFormatting>
  <conditionalFormatting sqref="I1488">
    <cfRule type="cellIs" dxfId="3716" priority="3711" stopIfTrue="1" operator="equal">
      <formula>"Pass"</formula>
    </cfRule>
    <cfRule type="cellIs" dxfId="3715" priority="3712" stopIfTrue="1" operator="equal">
      <formula>"Fail"</formula>
    </cfRule>
  </conditionalFormatting>
  <conditionalFormatting sqref="I1488:L1488">
    <cfRule type="cellIs" dxfId="3714" priority="3709" stopIfTrue="1" operator="equal">
      <formula>"Pass"</formula>
    </cfRule>
    <cfRule type="cellIs" dxfId="3713" priority="3710" stopIfTrue="1" operator="equal">
      <formula>"Fail"</formula>
    </cfRule>
  </conditionalFormatting>
  <conditionalFormatting sqref="J1488:L1488">
    <cfRule type="cellIs" dxfId="3712" priority="3707" stopIfTrue="1" operator="equal">
      <formula>"Pass"</formula>
    </cfRule>
    <cfRule type="cellIs" dxfId="3711" priority="3708" stopIfTrue="1" operator="equal">
      <formula>"Fail"</formula>
    </cfRule>
  </conditionalFormatting>
  <conditionalFormatting sqref="I1488">
    <cfRule type="cellIs" dxfId="3710" priority="3705" stopIfTrue="1" operator="equal">
      <formula>"Pass"</formula>
    </cfRule>
    <cfRule type="cellIs" dxfId="3709" priority="3706" stopIfTrue="1" operator="equal">
      <formula>"Fail"</formula>
    </cfRule>
  </conditionalFormatting>
  <conditionalFormatting sqref="I1488:L1488">
    <cfRule type="cellIs" dxfId="3708" priority="3703" stopIfTrue="1" operator="equal">
      <formula>"Pass"</formula>
    </cfRule>
    <cfRule type="cellIs" dxfId="3707" priority="3704" stopIfTrue="1" operator="equal">
      <formula>"Fail"</formula>
    </cfRule>
  </conditionalFormatting>
  <conditionalFormatting sqref="J1488:L1488">
    <cfRule type="cellIs" dxfId="3706" priority="3701" stopIfTrue="1" operator="equal">
      <formula>"Pass"</formula>
    </cfRule>
    <cfRule type="cellIs" dxfId="3705" priority="3702" stopIfTrue="1" operator="equal">
      <formula>"Fail"</formula>
    </cfRule>
  </conditionalFormatting>
  <conditionalFormatting sqref="I1488">
    <cfRule type="cellIs" dxfId="3704" priority="3699" stopIfTrue="1" operator="equal">
      <formula>"Pass"</formula>
    </cfRule>
    <cfRule type="cellIs" dxfId="3703" priority="3700" stopIfTrue="1" operator="equal">
      <formula>"Fail"</formula>
    </cfRule>
  </conditionalFormatting>
  <conditionalFormatting sqref="I1488:L1488">
    <cfRule type="cellIs" dxfId="3702" priority="3697" stopIfTrue="1" operator="equal">
      <formula>"Pass"</formula>
    </cfRule>
    <cfRule type="cellIs" dxfId="3701" priority="3698" stopIfTrue="1" operator="equal">
      <formula>"Fail"</formula>
    </cfRule>
  </conditionalFormatting>
  <conditionalFormatting sqref="J1488:L1488">
    <cfRule type="cellIs" dxfId="3700" priority="3695" stopIfTrue="1" operator="equal">
      <formula>"Pass"</formula>
    </cfRule>
    <cfRule type="cellIs" dxfId="3699" priority="3696" stopIfTrue="1" operator="equal">
      <formula>"Fail"</formula>
    </cfRule>
  </conditionalFormatting>
  <conditionalFormatting sqref="I1488">
    <cfRule type="cellIs" dxfId="3698" priority="3693" stopIfTrue="1" operator="equal">
      <formula>"Pass"</formula>
    </cfRule>
    <cfRule type="cellIs" dxfId="3697" priority="3694" stopIfTrue="1" operator="equal">
      <formula>"Fail"</formula>
    </cfRule>
  </conditionalFormatting>
  <conditionalFormatting sqref="I1488:L1488">
    <cfRule type="cellIs" dxfId="3696" priority="3691" stopIfTrue="1" operator="equal">
      <formula>"Pass"</formula>
    </cfRule>
    <cfRule type="cellIs" dxfId="3695" priority="3692" stopIfTrue="1" operator="equal">
      <formula>"Fail"</formula>
    </cfRule>
  </conditionalFormatting>
  <conditionalFormatting sqref="I1488:L1488">
    <cfRule type="cellIs" dxfId="3694" priority="3689" stopIfTrue="1" operator="equal">
      <formula>"Pass"</formula>
    </cfRule>
    <cfRule type="cellIs" dxfId="3693" priority="3690" stopIfTrue="1" operator="equal">
      <formula>"Fail"</formula>
    </cfRule>
  </conditionalFormatting>
  <conditionalFormatting sqref="I1488:L1488">
    <cfRule type="cellIs" dxfId="3692" priority="3687" stopIfTrue="1" operator="equal">
      <formula>"Pass"</formula>
    </cfRule>
    <cfRule type="cellIs" dxfId="3691" priority="3688" stopIfTrue="1" operator="equal">
      <formula>"Fail"</formula>
    </cfRule>
  </conditionalFormatting>
  <conditionalFormatting sqref="I1488:L1488">
    <cfRule type="cellIs" dxfId="3690" priority="3685" stopIfTrue="1" operator="equal">
      <formula>"Pass"</formula>
    </cfRule>
    <cfRule type="cellIs" dxfId="3689" priority="3686" stopIfTrue="1" operator="equal">
      <formula>"Fail"</formula>
    </cfRule>
  </conditionalFormatting>
  <conditionalFormatting sqref="I1488:L1488">
    <cfRule type="cellIs" dxfId="3688" priority="3683" stopIfTrue="1" operator="equal">
      <formula>"Pass"</formula>
    </cfRule>
    <cfRule type="cellIs" dxfId="3687" priority="3684" stopIfTrue="1" operator="equal">
      <formula>"Fail"</formula>
    </cfRule>
  </conditionalFormatting>
  <conditionalFormatting sqref="I1488:L1488">
    <cfRule type="cellIs" dxfId="3686" priority="3681" stopIfTrue="1" operator="equal">
      <formula>"Pass"</formula>
    </cfRule>
    <cfRule type="cellIs" dxfId="3685" priority="3682" stopIfTrue="1" operator="equal">
      <formula>"Fail"</formula>
    </cfRule>
  </conditionalFormatting>
  <conditionalFormatting sqref="I1488:L1488">
    <cfRule type="cellIs" dxfId="3684" priority="3679" stopIfTrue="1" operator="equal">
      <formula>"Pass"</formula>
    </cfRule>
    <cfRule type="cellIs" dxfId="3683" priority="3680" stopIfTrue="1" operator="equal">
      <formula>"Fail"</formula>
    </cfRule>
  </conditionalFormatting>
  <conditionalFormatting sqref="J1488:L1488">
    <cfRule type="cellIs" dxfId="3682" priority="3677" stopIfTrue="1" operator="equal">
      <formula>"Pass"</formula>
    </cfRule>
    <cfRule type="cellIs" dxfId="3681" priority="3678" stopIfTrue="1" operator="equal">
      <formula>"Fail"</formula>
    </cfRule>
  </conditionalFormatting>
  <conditionalFormatting sqref="I1488">
    <cfRule type="cellIs" dxfId="3680" priority="3675" stopIfTrue="1" operator="equal">
      <formula>"Pass"</formula>
    </cfRule>
    <cfRule type="cellIs" dxfId="3679" priority="3676" stopIfTrue="1" operator="equal">
      <formula>"Fail"</formula>
    </cfRule>
  </conditionalFormatting>
  <conditionalFormatting sqref="I1488:L1488">
    <cfRule type="cellIs" dxfId="3678" priority="3673" stopIfTrue="1" operator="equal">
      <formula>"Pass"</formula>
    </cfRule>
    <cfRule type="cellIs" dxfId="3677" priority="3674" stopIfTrue="1" operator="equal">
      <formula>"Fail"</formula>
    </cfRule>
  </conditionalFormatting>
  <conditionalFormatting sqref="J1488:L1488">
    <cfRule type="cellIs" dxfId="3676" priority="3671" stopIfTrue="1" operator="equal">
      <formula>"Pass"</formula>
    </cfRule>
    <cfRule type="cellIs" dxfId="3675" priority="3672" stopIfTrue="1" operator="equal">
      <formula>"Fail"</formula>
    </cfRule>
  </conditionalFormatting>
  <conditionalFormatting sqref="I1488">
    <cfRule type="cellIs" dxfId="3674" priority="3669" stopIfTrue="1" operator="equal">
      <formula>"Pass"</formula>
    </cfRule>
    <cfRule type="cellIs" dxfId="3673" priority="3670" stopIfTrue="1" operator="equal">
      <formula>"Fail"</formula>
    </cfRule>
  </conditionalFormatting>
  <conditionalFormatting sqref="I1488:L1488">
    <cfRule type="cellIs" dxfId="3672" priority="3667" stopIfTrue="1" operator="equal">
      <formula>"Pass"</formula>
    </cfRule>
    <cfRule type="cellIs" dxfId="3671" priority="3668" stopIfTrue="1" operator="equal">
      <formula>"Fail"</formula>
    </cfRule>
  </conditionalFormatting>
  <conditionalFormatting sqref="J1488:L1488">
    <cfRule type="cellIs" dxfId="3670" priority="3665" stopIfTrue="1" operator="equal">
      <formula>"Pass"</formula>
    </cfRule>
    <cfRule type="cellIs" dxfId="3669" priority="3666" stopIfTrue="1" operator="equal">
      <formula>"Fail"</formula>
    </cfRule>
  </conditionalFormatting>
  <conditionalFormatting sqref="I1488">
    <cfRule type="cellIs" dxfId="3668" priority="3663" stopIfTrue="1" operator="equal">
      <formula>"Pass"</formula>
    </cfRule>
    <cfRule type="cellIs" dxfId="3667" priority="3664" stopIfTrue="1" operator="equal">
      <formula>"Fail"</formula>
    </cfRule>
  </conditionalFormatting>
  <conditionalFormatting sqref="I1488:L1488">
    <cfRule type="cellIs" dxfId="3666" priority="3661" stopIfTrue="1" operator="equal">
      <formula>"Pass"</formula>
    </cfRule>
    <cfRule type="cellIs" dxfId="3665" priority="3662" stopIfTrue="1" operator="equal">
      <formula>"Fail"</formula>
    </cfRule>
  </conditionalFormatting>
  <conditionalFormatting sqref="J1488:L1488">
    <cfRule type="cellIs" dxfId="3664" priority="3659" stopIfTrue="1" operator="equal">
      <formula>"Pass"</formula>
    </cfRule>
    <cfRule type="cellIs" dxfId="3663" priority="3660" stopIfTrue="1" operator="equal">
      <formula>"Fail"</formula>
    </cfRule>
  </conditionalFormatting>
  <conditionalFormatting sqref="I1488">
    <cfRule type="cellIs" dxfId="3662" priority="3657" stopIfTrue="1" operator="equal">
      <formula>"Pass"</formula>
    </cfRule>
    <cfRule type="cellIs" dxfId="3661" priority="3658" stopIfTrue="1" operator="equal">
      <formula>"Fail"</formula>
    </cfRule>
  </conditionalFormatting>
  <conditionalFormatting sqref="I1488:L1488">
    <cfRule type="cellIs" dxfId="3660" priority="3655" stopIfTrue="1" operator="equal">
      <formula>"Pass"</formula>
    </cfRule>
    <cfRule type="cellIs" dxfId="3659" priority="3656" stopIfTrue="1" operator="equal">
      <formula>"Fail"</formula>
    </cfRule>
  </conditionalFormatting>
  <conditionalFormatting sqref="I1488:L1488">
    <cfRule type="cellIs" dxfId="3658" priority="3653" stopIfTrue="1" operator="equal">
      <formula>"Pass"</formula>
    </cfRule>
    <cfRule type="cellIs" dxfId="3657" priority="3654" stopIfTrue="1" operator="equal">
      <formula>"Fail"</formula>
    </cfRule>
  </conditionalFormatting>
  <conditionalFormatting sqref="H1488">
    <cfRule type="cellIs" dxfId="3656" priority="3651" stopIfTrue="1" operator="equal">
      <formula>"Pass"</formula>
    </cfRule>
    <cfRule type="cellIs" dxfId="3655" priority="3652" stopIfTrue="1" operator="equal">
      <formula>"Fail"</formula>
    </cfRule>
  </conditionalFormatting>
  <conditionalFormatting sqref="H1488">
    <cfRule type="cellIs" dxfId="3654" priority="3649" stopIfTrue="1" operator="equal">
      <formula>"Pass"</formula>
    </cfRule>
    <cfRule type="cellIs" dxfId="3653" priority="3650" stopIfTrue="1" operator="equal">
      <formula>"Fail"</formula>
    </cfRule>
  </conditionalFormatting>
  <conditionalFormatting sqref="H1488">
    <cfRule type="cellIs" dxfId="3652" priority="3647" stopIfTrue="1" operator="equal">
      <formula>"Pass"</formula>
    </cfRule>
    <cfRule type="cellIs" dxfId="3651" priority="3648" stopIfTrue="1" operator="equal">
      <formula>"Fail"</formula>
    </cfRule>
  </conditionalFormatting>
  <conditionalFormatting sqref="I1488:L1488">
    <cfRule type="cellIs" dxfId="3650" priority="3645" stopIfTrue="1" operator="equal">
      <formula>"Pass"</formula>
    </cfRule>
    <cfRule type="cellIs" dxfId="3649" priority="3646" stopIfTrue="1" operator="equal">
      <formula>"Fail"</formula>
    </cfRule>
  </conditionalFormatting>
  <conditionalFormatting sqref="I1488:L1488">
    <cfRule type="cellIs" dxfId="3648" priority="3643" stopIfTrue="1" operator="equal">
      <formula>"Pass"</formula>
    </cfRule>
    <cfRule type="cellIs" dxfId="3647" priority="3644" stopIfTrue="1" operator="equal">
      <formula>"Fail"</formula>
    </cfRule>
  </conditionalFormatting>
  <conditionalFormatting sqref="I1488:L1488">
    <cfRule type="cellIs" dxfId="3646" priority="3641" stopIfTrue="1" operator="equal">
      <formula>"Pass"</formula>
    </cfRule>
    <cfRule type="cellIs" dxfId="3645" priority="3642" stopIfTrue="1" operator="equal">
      <formula>"Fail"</formula>
    </cfRule>
  </conditionalFormatting>
  <conditionalFormatting sqref="I1488:L1488">
    <cfRule type="cellIs" dxfId="3644" priority="3639" stopIfTrue="1" operator="equal">
      <formula>"Pass"</formula>
    </cfRule>
    <cfRule type="cellIs" dxfId="3643" priority="3640" stopIfTrue="1" operator="equal">
      <formula>"Fail"</formula>
    </cfRule>
  </conditionalFormatting>
  <conditionalFormatting sqref="I1488:L1488">
    <cfRule type="cellIs" dxfId="3642" priority="3637" stopIfTrue="1" operator="equal">
      <formula>"Pass"</formula>
    </cfRule>
    <cfRule type="cellIs" dxfId="3641" priority="3638" stopIfTrue="1" operator="equal">
      <formula>"Fail"</formula>
    </cfRule>
  </conditionalFormatting>
  <conditionalFormatting sqref="I1488:L1488">
    <cfRule type="cellIs" dxfId="3640" priority="3635" stopIfTrue="1" operator="equal">
      <formula>"Pass"</formula>
    </cfRule>
    <cfRule type="cellIs" dxfId="3639" priority="3636" stopIfTrue="1" operator="equal">
      <formula>"Fail"</formula>
    </cfRule>
  </conditionalFormatting>
  <conditionalFormatting sqref="J1488:L1488">
    <cfRule type="cellIs" dxfId="3638" priority="3633" stopIfTrue="1" operator="equal">
      <formula>"Pass"</formula>
    </cfRule>
    <cfRule type="cellIs" dxfId="3637" priority="3634" stopIfTrue="1" operator="equal">
      <formula>"Fail"</formula>
    </cfRule>
  </conditionalFormatting>
  <conditionalFormatting sqref="I1488">
    <cfRule type="cellIs" dxfId="3636" priority="3631" stopIfTrue="1" operator="equal">
      <formula>"Pass"</formula>
    </cfRule>
    <cfRule type="cellIs" dxfId="3635" priority="3632" stopIfTrue="1" operator="equal">
      <formula>"Fail"</formula>
    </cfRule>
  </conditionalFormatting>
  <conditionalFormatting sqref="I1488:L1488">
    <cfRule type="cellIs" dxfId="3634" priority="3629" stopIfTrue="1" operator="equal">
      <formula>"Pass"</formula>
    </cfRule>
    <cfRule type="cellIs" dxfId="3633" priority="3630" stopIfTrue="1" operator="equal">
      <formula>"Fail"</formula>
    </cfRule>
  </conditionalFormatting>
  <conditionalFormatting sqref="J1488:L1488">
    <cfRule type="cellIs" dxfId="3632" priority="3627" stopIfTrue="1" operator="equal">
      <formula>"Pass"</formula>
    </cfRule>
    <cfRule type="cellIs" dxfId="3631" priority="3628" stopIfTrue="1" operator="equal">
      <formula>"Fail"</formula>
    </cfRule>
  </conditionalFormatting>
  <conditionalFormatting sqref="I1488">
    <cfRule type="cellIs" dxfId="3630" priority="3625" stopIfTrue="1" operator="equal">
      <formula>"Pass"</formula>
    </cfRule>
    <cfRule type="cellIs" dxfId="3629" priority="3626" stopIfTrue="1" operator="equal">
      <formula>"Fail"</formula>
    </cfRule>
  </conditionalFormatting>
  <conditionalFormatting sqref="I1488:L1488">
    <cfRule type="cellIs" dxfId="3628" priority="3623" stopIfTrue="1" operator="equal">
      <formula>"Pass"</formula>
    </cfRule>
    <cfRule type="cellIs" dxfId="3627" priority="3624" stopIfTrue="1" operator="equal">
      <formula>"Fail"</formula>
    </cfRule>
  </conditionalFormatting>
  <conditionalFormatting sqref="J1488:L1488">
    <cfRule type="cellIs" dxfId="3626" priority="3621" stopIfTrue="1" operator="equal">
      <formula>"Pass"</formula>
    </cfRule>
    <cfRule type="cellIs" dxfId="3625" priority="3622" stopIfTrue="1" operator="equal">
      <formula>"Fail"</formula>
    </cfRule>
  </conditionalFormatting>
  <conditionalFormatting sqref="I1488">
    <cfRule type="cellIs" dxfId="3624" priority="3619" stopIfTrue="1" operator="equal">
      <formula>"Pass"</formula>
    </cfRule>
    <cfRule type="cellIs" dxfId="3623" priority="3620" stopIfTrue="1" operator="equal">
      <formula>"Fail"</formula>
    </cfRule>
  </conditionalFormatting>
  <conditionalFormatting sqref="I1488:L1488">
    <cfRule type="cellIs" dxfId="3622" priority="3617" stopIfTrue="1" operator="equal">
      <formula>"Pass"</formula>
    </cfRule>
    <cfRule type="cellIs" dxfId="3621" priority="3618" stopIfTrue="1" operator="equal">
      <formula>"Fail"</formula>
    </cfRule>
  </conditionalFormatting>
  <conditionalFormatting sqref="J1488:L1488">
    <cfRule type="cellIs" dxfId="3620" priority="3615" stopIfTrue="1" operator="equal">
      <formula>"Pass"</formula>
    </cfRule>
    <cfRule type="cellIs" dxfId="3619" priority="3616" stopIfTrue="1" operator="equal">
      <formula>"Fail"</formula>
    </cfRule>
  </conditionalFormatting>
  <conditionalFormatting sqref="I1488">
    <cfRule type="cellIs" dxfId="3618" priority="3613" stopIfTrue="1" operator="equal">
      <formula>"Pass"</formula>
    </cfRule>
    <cfRule type="cellIs" dxfId="3617" priority="3614" stopIfTrue="1" operator="equal">
      <formula>"Fail"</formula>
    </cfRule>
  </conditionalFormatting>
  <conditionalFormatting sqref="I1488:L1488">
    <cfRule type="cellIs" dxfId="3616" priority="3611" stopIfTrue="1" operator="equal">
      <formula>"Pass"</formula>
    </cfRule>
    <cfRule type="cellIs" dxfId="3615" priority="3612" stopIfTrue="1" operator="equal">
      <formula>"Fail"</formula>
    </cfRule>
  </conditionalFormatting>
  <conditionalFormatting sqref="I1488:L1488">
    <cfRule type="cellIs" dxfId="3614" priority="3609" stopIfTrue="1" operator="equal">
      <formula>"Pass"</formula>
    </cfRule>
    <cfRule type="cellIs" dxfId="3613" priority="3610" stopIfTrue="1" operator="equal">
      <formula>"Fail"</formula>
    </cfRule>
  </conditionalFormatting>
  <conditionalFormatting sqref="H1488">
    <cfRule type="cellIs" dxfId="3612" priority="3607" stopIfTrue="1" operator="equal">
      <formula>"Pass"</formula>
    </cfRule>
    <cfRule type="cellIs" dxfId="3611" priority="3608" stopIfTrue="1" operator="equal">
      <formula>"Fail"</formula>
    </cfRule>
  </conditionalFormatting>
  <conditionalFormatting sqref="H1488">
    <cfRule type="cellIs" dxfId="3610" priority="3605" stopIfTrue="1" operator="equal">
      <formula>"Pass"</formula>
    </cfRule>
    <cfRule type="cellIs" dxfId="3609" priority="3606" stopIfTrue="1" operator="equal">
      <formula>"Fail"</formula>
    </cfRule>
  </conditionalFormatting>
  <conditionalFormatting sqref="H1488">
    <cfRule type="cellIs" dxfId="3608" priority="3603" stopIfTrue="1" operator="equal">
      <formula>"Pass"</formula>
    </cfRule>
    <cfRule type="cellIs" dxfId="3607" priority="3604" stopIfTrue="1" operator="equal">
      <formula>"Fail"</formula>
    </cfRule>
  </conditionalFormatting>
  <conditionalFormatting sqref="I1488:L1488">
    <cfRule type="cellIs" dxfId="3606" priority="3601" stopIfTrue="1" operator="equal">
      <formula>"Pass"</formula>
    </cfRule>
    <cfRule type="cellIs" dxfId="3605" priority="3602" stopIfTrue="1" operator="equal">
      <formula>"Fail"</formula>
    </cfRule>
  </conditionalFormatting>
  <conditionalFormatting sqref="I1488:L1488">
    <cfRule type="cellIs" dxfId="3604" priority="3599" stopIfTrue="1" operator="equal">
      <formula>"Pass"</formula>
    </cfRule>
    <cfRule type="cellIs" dxfId="3603" priority="3600" stopIfTrue="1" operator="equal">
      <formula>"Fail"</formula>
    </cfRule>
  </conditionalFormatting>
  <conditionalFormatting sqref="I1488:L1488">
    <cfRule type="cellIs" dxfId="3602" priority="3597" stopIfTrue="1" operator="equal">
      <formula>"Pass"</formula>
    </cfRule>
    <cfRule type="cellIs" dxfId="3601" priority="3598" stopIfTrue="1" operator="equal">
      <formula>"Fail"</formula>
    </cfRule>
  </conditionalFormatting>
  <conditionalFormatting sqref="I1488:L1488">
    <cfRule type="cellIs" dxfId="3600" priority="3595" stopIfTrue="1" operator="equal">
      <formula>"Pass"</formula>
    </cfRule>
    <cfRule type="cellIs" dxfId="3599" priority="3596" stopIfTrue="1" operator="equal">
      <formula>"Fail"</formula>
    </cfRule>
  </conditionalFormatting>
  <conditionalFormatting sqref="I1488:L1488">
    <cfRule type="cellIs" dxfId="3598" priority="3593" stopIfTrue="1" operator="equal">
      <formula>"Pass"</formula>
    </cfRule>
    <cfRule type="cellIs" dxfId="3597" priority="3594" stopIfTrue="1" operator="equal">
      <formula>"Fail"</formula>
    </cfRule>
  </conditionalFormatting>
  <conditionalFormatting sqref="I1488:L1488">
    <cfRule type="cellIs" dxfId="3596" priority="3591" stopIfTrue="1" operator="equal">
      <formula>"Pass"</formula>
    </cfRule>
    <cfRule type="cellIs" dxfId="3595" priority="3592" stopIfTrue="1" operator="equal">
      <formula>"Fail"</formula>
    </cfRule>
  </conditionalFormatting>
  <conditionalFormatting sqref="J1488:L1488">
    <cfRule type="cellIs" dxfId="3594" priority="3589" stopIfTrue="1" operator="equal">
      <formula>"Pass"</formula>
    </cfRule>
    <cfRule type="cellIs" dxfId="3593" priority="3590" stopIfTrue="1" operator="equal">
      <formula>"Fail"</formula>
    </cfRule>
  </conditionalFormatting>
  <conditionalFormatting sqref="I1488">
    <cfRule type="cellIs" dxfId="3592" priority="3587" stopIfTrue="1" operator="equal">
      <formula>"Pass"</formula>
    </cfRule>
    <cfRule type="cellIs" dxfId="3591" priority="3588" stopIfTrue="1" operator="equal">
      <formula>"Fail"</formula>
    </cfRule>
  </conditionalFormatting>
  <conditionalFormatting sqref="I1488:L1488">
    <cfRule type="cellIs" dxfId="3590" priority="3585" stopIfTrue="1" operator="equal">
      <formula>"Pass"</formula>
    </cfRule>
    <cfRule type="cellIs" dxfId="3589" priority="3586" stopIfTrue="1" operator="equal">
      <formula>"Fail"</formula>
    </cfRule>
  </conditionalFormatting>
  <conditionalFormatting sqref="J1488:L1488">
    <cfRule type="cellIs" dxfId="3588" priority="3583" stopIfTrue="1" operator="equal">
      <formula>"Pass"</formula>
    </cfRule>
    <cfRule type="cellIs" dxfId="3587" priority="3584" stopIfTrue="1" operator="equal">
      <formula>"Fail"</formula>
    </cfRule>
  </conditionalFormatting>
  <conditionalFormatting sqref="I1488">
    <cfRule type="cellIs" dxfId="3586" priority="3581" stopIfTrue="1" operator="equal">
      <formula>"Pass"</formula>
    </cfRule>
    <cfRule type="cellIs" dxfId="3585" priority="3582" stopIfTrue="1" operator="equal">
      <formula>"Fail"</formula>
    </cfRule>
  </conditionalFormatting>
  <conditionalFormatting sqref="I1488:L1488">
    <cfRule type="cellIs" dxfId="3584" priority="3579" stopIfTrue="1" operator="equal">
      <formula>"Pass"</formula>
    </cfRule>
    <cfRule type="cellIs" dxfId="3583" priority="3580" stopIfTrue="1" operator="equal">
      <formula>"Fail"</formula>
    </cfRule>
  </conditionalFormatting>
  <conditionalFormatting sqref="J1488:L1488">
    <cfRule type="cellIs" dxfId="3582" priority="3577" stopIfTrue="1" operator="equal">
      <formula>"Pass"</formula>
    </cfRule>
    <cfRule type="cellIs" dxfId="3581" priority="3578" stopIfTrue="1" operator="equal">
      <formula>"Fail"</formula>
    </cfRule>
  </conditionalFormatting>
  <conditionalFormatting sqref="I1488">
    <cfRule type="cellIs" dxfId="3580" priority="3575" stopIfTrue="1" operator="equal">
      <formula>"Pass"</formula>
    </cfRule>
    <cfRule type="cellIs" dxfId="3579" priority="3576" stopIfTrue="1" operator="equal">
      <formula>"Fail"</formula>
    </cfRule>
  </conditionalFormatting>
  <conditionalFormatting sqref="I1488:L1488">
    <cfRule type="cellIs" dxfId="3578" priority="3573" stopIfTrue="1" operator="equal">
      <formula>"Pass"</formula>
    </cfRule>
    <cfRule type="cellIs" dxfId="3577" priority="3574" stopIfTrue="1" operator="equal">
      <formula>"Fail"</formula>
    </cfRule>
  </conditionalFormatting>
  <conditionalFormatting sqref="J1488:L1488">
    <cfRule type="cellIs" dxfId="3576" priority="3571" stopIfTrue="1" operator="equal">
      <formula>"Pass"</formula>
    </cfRule>
    <cfRule type="cellIs" dxfId="3575" priority="3572" stopIfTrue="1" operator="equal">
      <formula>"Fail"</formula>
    </cfRule>
  </conditionalFormatting>
  <conditionalFormatting sqref="I1488">
    <cfRule type="cellIs" dxfId="3574" priority="3569" stopIfTrue="1" operator="equal">
      <formula>"Pass"</formula>
    </cfRule>
    <cfRule type="cellIs" dxfId="3573" priority="3570" stopIfTrue="1" operator="equal">
      <formula>"Fail"</formula>
    </cfRule>
  </conditionalFormatting>
  <conditionalFormatting sqref="I1488:L1488">
    <cfRule type="cellIs" dxfId="3572" priority="3567" stopIfTrue="1" operator="equal">
      <formula>"Pass"</formula>
    </cfRule>
    <cfRule type="cellIs" dxfId="3571" priority="3568" stopIfTrue="1" operator="equal">
      <formula>"Fail"</formula>
    </cfRule>
  </conditionalFormatting>
  <conditionalFormatting sqref="I1488:L1488">
    <cfRule type="cellIs" dxfId="3570" priority="3565" stopIfTrue="1" operator="equal">
      <formula>"Pass"</formula>
    </cfRule>
    <cfRule type="cellIs" dxfId="3569" priority="3566" stopIfTrue="1" operator="equal">
      <formula>"Fail"</formula>
    </cfRule>
  </conditionalFormatting>
  <conditionalFormatting sqref="I1488">
    <cfRule type="cellIs" dxfId="3568" priority="3563" stopIfTrue="1" operator="equal">
      <formula>"Pass"</formula>
    </cfRule>
    <cfRule type="cellIs" dxfId="3567" priority="3564" stopIfTrue="1" operator="equal">
      <formula>"Fail"</formula>
    </cfRule>
  </conditionalFormatting>
  <conditionalFormatting sqref="I1488">
    <cfRule type="cellIs" dxfId="3566" priority="3561" stopIfTrue="1" operator="equal">
      <formula>"Pass"</formula>
    </cfRule>
    <cfRule type="cellIs" dxfId="3565" priority="3562" stopIfTrue="1" operator="equal">
      <formula>"Fail"</formula>
    </cfRule>
  </conditionalFormatting>
  <conditionalFormatting sqref="H1488:L1488">
    <cfRule type="cellIs" dxfId="3564" priority="3559" stopIfTrue="1" operator="equal">
      <formula>"Pass"</formula>
    </cfRule>
    <cfRule type="cellIs" dxfId="3563" priority="3560" stopIfTrue="1" operator="equal">
      <formula>"Fail"</formula>
    </cfRule>
  </conditionalFormatting>
  <conditionalFormatting sqref="H1488:L1488">
    <cfRule type="cellIs" dxfId="3562" priority="3557" stopIfTrue="1" operator="equal">
      <formula>"Pass"</formula>
    </cfRule>
    <cfRule type="cellIs" dxfId="3561" priority="3558" stopIfTrue="1" operator="equal">
      <formula>"Fail"</formula>
    </cfRule>
  </conditionalFormatting>
  <conditionalFormatting sqref="H1488:L1488">
    <cfRule type="cellIs" dxfId="3560" priority="3555" stopIfTrue="1" operator="equal">
      <formula>"Pass"</formula>
    </cfRule>
    <cfRule type="cellIs" dxfId="3559" priority="3556" stopIfTrue="1" operator="equal">
      <formula>"Fail"</formula>
    </cfRule>
  </conditionalFormatting>
  <conditionalFormatting sqref="H1488:L1488">
    <cfRule type="cellIs" dxfId="3558" priority="3553" stopIfTrue="1" operator="equal">
      <formula>"Pass"</formula>
    </cfRule>
    <cfRule type="cellIs" dxfId="3557" priority="3554" stopIfTrue="1" operator="equal">
      <formula>"Fail"</formula>
    </cfRule>
  </conditionalFormatting>
  <conditionalFormatting sqref="H1488:L1488">
    <cfRule type="cellIs" dxfId="3556" priority="3551" stopIfTrue="1" operator="equal">
      <formula>"Pass"</formula>
    </cfRule>
    <cfRule type="cellIs" dxfId="3555" priority="3552" stopIfTrue="1" operator="equal">
      <formula>"Fail"</formula>
    </cfRule>
  </conditionalFormatting>
  <conditionalFormatting sqref="J1488:L1488">
    <cfRule type="cellIs" dxfId="3554" priority="3549" stopIfTrue="1" operator="equal">
      <formula>"Pass"</formula>
    </cfRule>
    <cfRule type="cellIs" dxfId="3553" priority="3550" stopIfTrue="1" operator="equal">
      <formula>"Fail"</formula>
    </cfRule>
  </conditionalFormatting>
  <conditionalFormatting sqref="I1488">
    <cfRule type="cellIs" dxfId="3552" priority="3547" stopIfTrue="1" operator="equal">
      <formula>"Pass"</formula>
    </cfRule>
    <cfRule type="cellIs" dxfId="3551" priority="3548" stopIfTrue="1" operator="equal">
      <formula>"Fail"</formula>
    </cfRule>
  </conditionalFormatting>
  <conditionalFormatting sqref="I1488:L1488">
    <cfRule type="cellIs" dxfId="3550" priority="3545" stopIfTrue="1" operator="equal">
      <formula>"Pass"</formula>
    </cfRule>
    <cfRule type="cellIs" dxfId="3549" priority="3546" stopIfTrue="1" operator="equal">
      <formula>"Fail"</formula>
    </cfRule>
  </conditionalFormatting>
  <conditionalFormatting sqref="J1488:L1488">
    <cfRule type="cellIs" dxfId="3548" priority="3543" stopIfTrue="1" operator="equal">
      <formula>"Pass"</formula>
    </cfRule>
    <cfRule type="cellIs" dxfId="3547" priority="3544" stopIfTrue="1" operator="equal">
      <formula>"Fail"</formula>
    </cfRule>
  </conditionalFormatting>
  <conditionalFormatting sqref="I1488">
    <cfRule type="cellIs" dxfId="3546" priority="3541" stopIfTrue="1" operator="equal">
      <formula>"Pass"</formula>
    </cfRule>
    <cfRule type="cellIs" dxfId="3545" priority="3542" stopIfTrue="1" operator="equal">
      <formula>"Fail"</formula>
    </cfRule>
  </conditionalFormatting>
  <conditionalFormatting sqref="I1488:L1488">
    <cfRule type="cellIs" dxfId="3544" priority="3539" stopIfTrue="1" operator="equal">
      <formula>"Pass"</formula>
    </cfRule>
    <cfRule type="cellIs" dxfId="3543" priority="3540" stopIfTrue="1" operator="equal">
      <formula>"Fail"</formula>
    </cfRule>
  </conditionalFormatting>
  <conditionalFormatting sqref="J1488:L1488">
    <cfRule type="cellIs" dxfId="3542" priority="3537" stopIfTrue="1" operator="equal">
      <formula>"Pass"</formula>
    </cfRule>
    <cfRule type="cellIs" dxfId="3541" priority="3538" stopIfTrue="1" operator="equal">
      <formula>"Fail"</formula>
    </cfRule>
  </conditionalFormatting>
  <conditionalFormatting sqref="I1488">
    <cfRule type="cellIs" dxfId="3540" priority="3535" stopIfTrue="1" operator="equal">
      <formula>"Pass"</formula>
    </cfRule>
    <cfRule type="cellIs" dxfId="3539" priority="3536" stopIfTrue="1" operator="equal">
      <formula>"Fail"</formula>
    </cfRule>
  </conditionalFormatting>
  <conditionalFormatting sqref="I1488:L1488">
    <cfRule type="cellIs" dxfId="3538" priority="3533" stopIfTrue="1" operator="equal">
      <formula>"Pass"</formula>
    </cfRule>
    <cfRule type="cellIs" dxfId="3537" priority="3534" stopIfTrue="1" operator="equal">
      <formula>"Fail"</formula>
    </cfRule>
  </conditionalFormatting>
  <conditionalFormatting sqref="J1488:L1488">
    <cfRule type="cellIs" dxfId="3536" priority="3531" stopIfTrue="1" operator="equal">
      <formula>"Pass"</formula>
    </cfRule>
    <cfRule type="cellIs" dxfId="3535" priority="3532" stopIfTrue="1" operator="equal">
      <formula>"Fail"</formula>
    </cfRule>
  </conditionalFormatting>
  <conditionalFormatting sqref="I1488">
    <cfRule type="cellIs" dxfId="3534" priority="3529" stopIfTrue="1" operator="equal">
      <formula>"Pass"</formula>
    </cfRule>
    <cfRule type="cellIs" dxfId="3533" priority="3530" stopIfTrue="1" operator="equal">
      <formula>"Fail"</formula>
    </cfRule>
  </conditionalFormatting>
  <conditionalFormatting sqref="I1488:L1488">
    <cfRule type="cellIs" dxfId="3532" priority="3527" stopIfTrue="1" operator="equal">
      <formula>"Pass"</formula>
    </cfRule>
    <cfRule type="cellIs" dxfId="3531" priority="3528" stopIfTrue="1" operator="equal">
      <formula>"Fail"</formula>
    </cfRule>
  </conditionalFormatting>
  <conditionalFormatting sqref="J1488:L1488">
    <cfRule type="cellIs" dxfId="3530" priority="3525" stopIfTrue="1" operator="equal">
      <formula>"Pass"</formula>
    </cfRule>
    <cfRule type="cellIs" dxfId="3529" priority="3526" stopIfTrue="1" operator="equal">
      <formula>"Fail"</formula>
    </cfRule>
  </conditionalFormatting>
  <conditionalFormatting sqref="I1488">
    <cfRule type="cellIs" dxfId="3528" priority="3523" stopIfTrue="1" operator="equal">
      <formula>"Pass"</formula>
    </cfRule>
    <cfRule type="cellIs" dxfId="3527" priority="3524" stopIfTrue="1" operator="equal">
      <formula>"Fail"</formula>
    </cfRule>
  </conditionalFormatting>
  <conditionalFormatting sqref="I1488:L1488">
    <cfRule type="cellIs" dxfId="3526" priority="3521" stopIfTrue="1" operator="equal">
      <formula>"Pass"</formula>
    </cfRule>
    <cfRule type="cellIs" dxfId="3525" priority="3522" stopIfTrue="1" operator="equal">
      <formula>"Fail"</formula>
    </cfRule>
  </conditionalFormatting>
  <conditionalFormatting sqref="J1488:L1488">
    <cfRule type="cellIs" dxfId="3524" priority="3519" stopIfTrue="1" operator="equal">
      <formula>"Pass"</formula>
    </cfRule>
    <cfRule type="cellIs" dxfId="3523" priority="3520" stopIfTrue="1" operator="equal">
      <formula>"Fail"</formula>
    </cfRule>
  </conditionalFormatting>
  <conditionalFormatting sqref="I1488">
    <cfRule type="cellIs" dxfId="3522" priority="3517" stopIfTrue="1" operator="equal">
      <formula>"Pass"</formula>
    </cfRule>
    <cfRule type="cellIs" dxfId="3521" priority="3518" stopIfTrue="1" operator="equal">
      <formula>"Fail"</formula>
    </cfRule>
  </conditionalFormatting>
  <conditionalFormatting sqref="I1488:L1488">
    <cfRule type="cellIs" dxfId="3520" priority="3515" stopIfTrue="1" operator="equal">
      <formula>"Pass"</formula>
    </cfRule>
    <cfRule type="cellIs" dxfId="3519" priority="3516" stopIfTrue="1" operator="equal">
      <formula>"Fail"</formula>
    </cfRule>
  </conditionalFormatting>
  <conditionalFormatting sqref="J1488:L1488">
    <cfRule type="cellIs" dxfId="3518" priority="3513" stopIfTrue="1" operator="equal">
      <formula>"Pass"</formula>
    </cfRule>
    <cfRule type="cellIs" dxfId="3517" priority="3514" stopIfTrue="1" operator="equal">
      <formula>"Fail"</formula>
    </cfRule>
  </conditionalFormatting>
  <conditionalFormatting sqref="I1488">
    <cfRule type="cellIs" dxfId="3516" priority="3511" stopIfTrue="1" operator="equal">
      <formula>"Pass"</formula>
    </cfRule>
    <cfRule type="cellIs" dxfId="3515" priority="3512" stopIfTrue="1" operator="equal">
      <formula>"Fail"</formula>
    </cfRule>
  </conditionalFormatting>
  <conditionalFormatting sqref="I1488:L1488">
    <cfRule type="cellIs" dxfId="3514" priority="3509" stopIfTrue="1" operator="equal">
      <formula>"Pass"</formula>
    </cfRule>
    <cfRule type="cellIs" dxfId="3513" priority="3510" stopIfTrue="1" operator="equal">
      <formula>"Fail"</formula>
    </cfRule>
  </conditionalFormatting>
  <conditionalFormatting sqref="J1488:L1488">
    <cfRule type="cellIs" dxfId="3512" priority="3507" stopIfTrue="1" operator="equal">
      <formula>"Pass"</formula>
    </cfRule>
    <cfRule type="cellIs" dxfId="3511" priority="3508" stopIfTrue="1" operator="equal">
      <formula>"Fail"</formula>
    </cfRule>
  </conditionalFormatting>
  <conditionalFormatting sqref="I1488">
    <cfRule type="cellIs" dxfId="3510" priority="3505" stopIfTrue="1" operator="equal">
      <formula>"Pass"</formula>
    </cfRule>
    <cfRule type="cellIs" dxfId="3509" priority="3506" stopIfTrue="1" operator="equal">
      <formula>"Fail"</formula>
    </cfRule>
  </conditionalFormatting>
  <conditionalFormatting sqref="I1488:L1488">
    <cfRule type="cellIs" dxfId="3508" priority="3503" stopIfTrue="1" operator="equal">
      <formula>"Pass"</formula>
    </cfRule>
    <cfRule type="cellIs" dxfId="3507" priority="3504" stopIfTrue="1" operator="equal">
      <formula>"Fail"</formula>
    </cfRule>
  </conditionalFormatting>
  <conditionalFormatting sqref="J1488:L1488">
    <cfRule type="cellIs" dxfId="3506" priority="3501" stopIfTrue="1" operator="equal">
      <formula>"Pass"</formula>
    </cfRule>
    <cfRule type="cellIs" dxfId="3505" priority="3502" stopIfTrue="1" operator="equal">
      <formula>"Fail"</formula>
    </cfRule>
  </conditionalFormatting>
  <conditionalFormatting sqref="I1488">
    <cfRule type="cellIs" dxfId="3504" priority="3499" stopIfTrue="1" operator="equal">
      <formula>"Pass"</formula>
    </cfRule>
    <cfRule type="cellIs" dxfId="3503" priority="3500" stopIfTrue="1" operator="equal">
      <formula>"Fail"</formula>
    </cfRule>
  </conditionalFormatting>
  <conditionalFormatting sqref="I1488:L1488">
    <cfRule type="cellIs" dxfId="3502" priority="3497" stopIfTrue="1" operator="equal">
      <formula>"Pass"</formula>
    </cfRule>
    <cfRule type="cellIs" dxfId="3501" priority="3498" stopIfTrue="1" operator="equal">
      <formula>"Fail"</formula>
    </cfRule>
  </conditionalFormatting>
  <conditionalFormatting sqref="J1488:L1488">
    <cfRule type="cellIs" dxfId="3500" priority="3495" stopIfTrue="1" operator="equal">
      <formula>"Pass"</formula>
    </cfRule>
    <cfRule type="cellIs" dxfId="3499" priority="3496" stopIfTrue="1" operator="equal">
      <formula>"Fail"</formula>
    </cfRule>
  </conditionalFormatting>
  <conditionalFormatting sqref="I1488">
    <cfRule type="cellIs" dxfId="3498" priority="3493" stopIfTrue="1" operator="equal">
      <formula>"Pass"</formula>
    </cfRule>
    <cfRule type="cellIs" dxfId="3497" priority="3494" stopIfTrue="1" operator="equal">
      <formula>"Fail"</formula>
    </cfRule>
  </conditionalFormatting>
  <conditionalFormatting sqref="I1488:L1488">
    <cfRule type="cellIs" dxfId="3496" priority="3491" stopIfTrue="1" operator="equal">
      <formula>"Pass"</formula>
    </cfRule>
    <cfRule type="cellIs" dxfId="3495" priority="3492" stopIfTrue="1" operator="equal">
      <formula>"Fail"</formula>
    </cfRule>
  </conditionalFormatting>
  <conditionalFormatting sqref="J1488:L1488">
    <cfRule type="cellIs" dxfId="3494" priority="3489" stopIfTrue="1" operator="equal">
      <formula>"Pass"</formula>
    </cfRule>
    <cfRule type="cellIs" dxfId="3493" priority="3490" stopIfTrue="1" operator="equal">
      <formula>"Fail"</formula>
    </cfRule>
  </conditionalFormatting>
  <conditionalFormatting sqref="I1488">
    <cfRule type="cellIs" dxfId="3492" priority="3487" stopIfTrue="1" operator="equal">
      <formula>"Pass"</formula>
    </cfRule>
    <cfRule type="cellIs" dxfId="3491" priority="3488" stopIfTrue="1" operator="equal">
      <formula>"Fail"</formula>
    </cfRule>
  </conditionalFormatting>
  <conditionalFormatting sqref="I1488:L1488">
    <cfRule type="cellIs" dxfId="3490" priority="3485" stopIfTrue="1" operator="equal">
      <formula>"Pass"</formula>
    </cfRule>
    <cfRule type="cellIs" dxfId="3489" priority="3486" stopIfTrue="1" operator="equal">
      <formula>"Fail"</formula>
    </cfRule>
  </conditionalFormatting>
  <conditionalFormatting sqref="J1488:L1488">
    <cfRule type="cellIs" dxfId="3488" priority="3483" stopIfTrue="1" operator="equal">
      <formula>"Pass"</formula>
    </cfRule>
    <cfRule type="cellIs" dxfId="3487" priority="3484" stopIfTrue="1" operator="equal">
      <formula>"Fail"</formula>
    </cfRule>
  </conditionalFormatting>
  <conditionalFormatting sqref="I1488">
    <cfRule type="cellIs" dxfId="3486" priority="3481" stopIfTrue="1" operator="equal">
      <formula>"Pass"</formula>
    </cfRule>
    <cfRule type="cellIs" dxfId="3485" priority="3482" stopIfTrue="1" operator="equal">
      <formula>"Fail"</formula>
    </cfRule>
  </conditionalFormatting>
  <conditionalFormatting sqref="I1488:L1488">
    <cfRule type="cellIs" dxfId="3484" priority="3479" stopIfTrue="1" operator="equal">
      <formula>"Pass"</formula>
    </cfRule>
    <cfRule type="cellIs" dxfId="3483" priority="3480" stopIfTrue="1" operator="equal">
      <formula>"Fail"</formula>
    </cfRule>
  </conditionalFormatting>
  <conditionalFormatting sqref="J1488:L1488">
    <cfRule type="cellIs" dxfId="3482" priority="3477" stopIfTrue="1" operator="equal">
      <formula>"Pass"</formula>
    </cfRule>
    <cfRule type="cellIs" dxfId="3481" priority="3478" stopIfTrue="1" operator="equal">
      <formula>"Fail"</formula>
    </cfRule>
  </conditionalFormatting>
  <conditionalFormatting sqref="I1488">
    <cfRule type="cellIs" dxfId="3480" priority="3475" stopIfTrue="1" operator="equal">
      <formula>"Pass"</formula>
    </cfRule>
    <cfRule type="cellIs" dxfId="3479" priority="3476" stopIfTrue="1" operator="equal">
      <formula>"Fail"</formula>
    </cfRule>
  </conditionalFormatting>
  <conditionalFormatting sqref="I1488:L1488">
    <cfRule type="cellIs" dxfId="3478" priority="3473" stopIfTrue="1" operator="equal">
      <formula>"Pass"</formula>
    </cfRule>
    <cfRule type="cellIs" dxfId="3477" priority="3474" stopIfTrue="1" operator="equal">
      <formula>"Fail"</formula>
    </cfRule>
  </conditionalFormatting>
  <conditionalFormatting sqref="J1488:L1488">
    <cfRule type="cellIs" dxfId="3476" priority="3471" stopIfTrue="1" operator="equal">
      <formula>"Pass"</formula>
    </cfRule>
    <cfRule type="cellIs" dxfId="3475" priority="3472" stopIfTrue="1" operator="equal">
      <formula>"Fail"</formula>
    </cfRule>
  </conditionalFormatting>
  <conditionalFormatting sqref="I1488">
    <cfRule type="cellIs" dxfId="3474" priority="3469" stopIfTrue="1" operator="equal">
      <formula>"Pass"</formula>
    </cfRule>
    <cfRule type="cellIs" dxfId="3473" priority="3470" stopIfTrue="1" operator="equal">
      <formula>"Fail"</formula>
    </cfRule>
  </conditionalFormatting>
  <conditionalFormatting sqref="I1488:L1488">
    <cfRule type="cellIs" dxfId="3472" priority="3467" stopIfTrue="1" operator="equal">
      <formula>"Pass"</formula>
    </cfRule>
    <cfRule type="cellIs" dxfId="3471" priority="3468" stopIfTrue="1" operator="equal">
      <formula>"Fail"</formula>
    </cfRule>
  </conditionalFormatting>
  <conditionalFormatting sqref="J1488:L1488">
    <cfRule type="cellIs" dxfId="3470" priority="3465" stopIfTrue="1" operator="equal">
      <formula>"Pass"</formula>
    </cfRule>
    <cfRule type="cellIs" dxfId="3469" priority="3466" stopIfTrue="1" operator="equal">
      <formula>"Fail"</formula>
    </cfRule>
  </conditionalFormatting>
  <conditionalFormatting sqref="I1488">
    <cfRule type="cellIs" dxfId="3468" priority="3463" stopIfTrue="1" operator="equal">
      <formula>"Pass"</formula>
    </cfRule>
    <cfRule type="cellIs" dxfId="3467" priority="3464" stopIfTrue="1" operator="equal">
      <formula>"Fail"</formula>
    </cfRule>
  </conditionalFormatting>
  <conditionalFormatting sqref="I1488:L1488">
    <cfRule type="cellIs" dxfId="3466" priority="3461" stopIfTrue="1" operator="equal">
      <formula>"Pass"</formula>
    </cfRule>
    <cfRule type="cellIs" dxfId="3465" priority="3462" stopIfTrue="1" operator="equal">
      <formula>"Fail"</formula>
    </cfRule>
  </conditionalFormatting>
  <conditionalFormatting sqref="J1488:L1488">
    <cfRule type="cellIs" dxfId="3464" priority="3459" stopIfTrue="1" operator="equal">
      <formula>"Pass"</formula>
    </cfRule>
    <cfRule type="cellIs" dxfId="3463" priority="3460" stopIfTrue="1" operator="equal">
      <formula>"Fail"</formula>
    </cfRule>
  </conditionalFormatting>
  <conditionalFormatting sqref="I1488">
    <cfRule type="cellIs" dxfId="3462" priority="3457" stopIfTrue="1" operator="equal">
      <formula>"Pass"</formula>
    </cfRule>
    <cfRule type="cellIs" dxfId="3461" priority="3458" stopIfTrue="1" operator="equal">
      <formula>"Fail"</formula>
    </cfRule>
  </conditionalFormatting>
  <conditionalFormatting sqref="I1488:L1488">
    <cfRule type="cellIs" dxfId="3460" priority="3455" stopIfTrue="1" operator="equal">
      <formula>"Pass"</formula>
    </cfRule>
    <cfRule type="cellIs" dxfId="3459" priority="3456" stopIfTrue="1" operator="equal">
      <formula>"Fail"</formula>
    </cfRule>
  </conditionalFormatting>
  <conditionalFormatting sqref="J1488:L1488">
    <cfRule type="cellIs" dxfId="3458" priority="3453" stopIfTrue="1" operator="equal">
      <formula>"Pass"</formula>
    </cfRule>
    <cfRule type="cellIs" dxfId="3457" priority="3454" stopIfTrue="1" operator="equal">
      <formula>"Fail"</formula>
    </cfRule>
  </conditionalFormatting>
  <conditionalFormatting sqref="I1488">
    <cfRule type="cellIs" dxfId="3456" priority="3451" stopIfTrue="1" operator="equal">
      <formula>"Pass"</formula>
    </cfRule>
    <cfRule type="cellIs" dxfId="3455" priority="3452" stopIfTrue="1" operator="equal">
      <formula>"Fail"</formula>
    </cfRule>
  </conditionalFormatting>
  <conditionalFormatting sqref="I1488:L1488">
    <cfRule type="cellIs" dxfId="3454" priority="3449" stopIfTrue="1" operator="equal">
      <formula>"Pass"</formula>
    </cfRule>
    <cfRule type="cellIs" dxfId="3453" priority="3450" stopIfTrue="1" operator="equal">
      <formula>"Fail"</formula>
    </cfRule>
  </conditionalFormatting>
  <conditionalFormatting sqref="J1488:L1488">
    <cfRule type="cellIs" dxfId="3452" priority="3447" stopIfTrue="1" operator="equal">
      <formula>"Pass"</formula>
    </cfRule>
    <cfRule type="cellIs" dxfId="3451" priority="3448" stopIfTrue="1" operator="equal">
      <formula>"Fail"</formula>
    </cfRule>
  </conditionalFormatting>
  <conditionalFormatting sqref="I1488">
    <cfRule type="cellIs" dxfId="3450" priority="3445" stopIfTrue="1" operator="equal">
      <formula>"Pass"</formula>
    </cfRule>
    <cfRule type="cellIs" dxfId="3449" priority="3446" stopIfTrue="1" operator="equal">
      <formula>"Fail"</formula>
    </cfRule>
  </conditionalFormatting>
  <conditionalFormatting sqref="I1488:L1488">
    <cfRule type="cellIs" dxfId="3448" priority="3443" stopIfTrue="1" operator="equal">
      <formula>"Pass"</formula>
    </cfRule>
    <cfRule type="cellIs" dxfId="3447" priority="3444" stopIfTrue="1" operator="equal">
      <formula>"Fail"</formula>
    </cfRule>
  </conditionalFormatting>
  <conditionalFormatting sqref="J1488:L1488">
    <cfRule type="cellIs" dxfId="3446" priority="3441" stopIfTrue="1" operator="equal">
      <formula>"Pass"</formula>
    </cfRule>
    <cfRule type="cellIs" dxfId="3445" priority="3442" stopIfTrue="1" operator="equal">
      <formula>"Fail"</formula>
    </cfRule>
  </conditionalFormatting>
  <conditionalFormatting sqref="I1488">
    <cfRule type="cellIs" dxfId="3444" priority="3439" stopIfTrue="1" operator="equal">
      <formula>"Pass"</formula>
    </cfRule>
    <cfRule type="cellIs" dxfId="3443" priority="3440" stopIfTrue="1" operator="equal">
      <formula>"Fail"</formula>
    </cfRule>
  </conditionalFormatting>
  <conditionalFormatting sqref="I1488:L1488">
    <cfRule type="cellIs" dxfId="3442" priority="3437" stopIfTrue="1" operator="equal">
      <formula>"Pass"</formula>
    </cfRule>
    <cfRule type="cellIs" dxfId="3441" priority="3438" stopIfTrue="1" operator="equal">
      <formula>"Fail"</formula>
    </cfRule>
  </conditionalFormatting>
  <conditionalFormatting sqref="J1488:L1488">
    <cfRule type="cellIs" dxfId="3440" priority="3435" stopIfTrue="1" operator="equal">
      <formula>"Pass"</formula>
    </cfRule>
    <cfRule type="cellIs" dxfId="3439" priority="3436" stopIfTrue="1" operator="equal">
      <formula>"Fail"</formula>
    </cfRule>
  </conditionalFormatting>
  <conditionalFormatting sqref="I1488">
    <cfRule type="cellIs" dxfId="3438" priority="3433" stopIfTrue="1" operator="equal">
      <formula>"Pass"</formula>
    </cfRule>
    <cfRule type="cellIs" dxfId="3437" priority="3434" stopIfTrue="1" operator="equal">
      <formula>"Fail"</formula>
    </cfRule>
  </conditionalFormatting>
  <conditionalFormatting sqref="I1488:L1488">
    <cfRule type="cellIs" dxfId="3436" priority="3431" stopIfTrue="1" operator="equal">
      <formula>"Pass"</formula>
    </cfRule>
    <cfRule type="cellIs" dxfId="3435" priority="3432" stopIfTrue="1" operator="equal">
      <formula>"Fail"</formula>
    </cfRule>
  </conditionalFormatting>
  <conditionalFormatting sqref="J1488:L1488">
    <cfRule type="cellIs" dxfId="3434" priority="3429" stopIfTrue="1" operator="equal">
      <formula>"Pass"</formula>
    </cfRule>
    <cfRule type="cellIs" dxfId="3433" priority="3430" stopIfTrue="1" operator="equal">
      <formula>"Fail"</formula>
    </cfRule>
  </conditionalFormatting>
  <conditionalFormatting sqref="I1488">
    <cfRule type="cellIs" dxfId="3432" priority="3427" stopIfTrue="1" operator="equal">
      <formula>"Pass"</formula>
    </cfRule>
    <cfRule type="cellIs" dxfId="3431" priority="3428" stopIfTrue="1" operator="equal">
      <formula>"Fail"</formula>
    </cfRule>
  </conditionalFormatting>
  <conditionalFormatting sqref="I1488:L1488">
    <cfRule type="cellIs" dxfId="3430" priority="3425" stopIfTrue="1" operator="equal">
      <formula>"Pass"</formula>
    </cfRule>
    <cfRule type="cellIs" dxfId="3429" priority="3426" stopIfTrue="1" operator="equal">
      <formula>"Fail"</formula>
    </cfRule>
  </conditionalFormatting>
  <conditionalFormatting sqref="J1488:L1488">
    <cfRule type="cellIs" dxfId="3428" priority="3423" stopIfTrue="1" operator="equal">
      <formula>"Pass"</formula>
    </cfRule>
    <cfRule type="cellIs" dxfId="3427" priority="3424" stopIfTrue="1" operator="equal">
      <formula>"Fail"</formula>
    </cfRule>
  </conditionalFormatting>
  <conditionalFormatting sqref="I1488">
    <cfRule type="cellIs" dxfId="3426" priority="3421" stopIfTrue="1" operator="equal">
      <formula>"Pass"</formula>
    </cfRule>
    <cfRule type="cellIs" dxfId="3425" priority="3422" stopIfTrue="1" operator="equal">
      <formula>"Fail"</formula>
    </cfRule>
  </conditionalFormatting>
  <conditionalFormatting sqref="I1488:L1488">
    <cfRule type="cellIs" dxfId="3424" priority="3419" stopIfTrue="1" operator="equal">
      <formula>"Pass"</formula>
    </cfRule>
    <cfRule type="cellIs" dxfId="3423" priority="3420" stopIfTrue="1" operator="equal">
      <formula>"Fail"</formula>
    </cfRule>
  </conditionalFormatting>
  <conditionalFormatting sqref="J1488:L1488">
    <cfRule type="cellIs" dxfId="3422" priority="3417" stopIfTrue="1" operator="equal">
      <formula>"Pass"</formula>
    </cfRule>
    <cfRule type="cellIs" dxfId="3421" priority="3418" stopIfTrue="1" operator="equal">
      <formula>"Fail"</formula>
    </cfRule>
  </conditionalFormatting>
  <conditionalFormatting sqref="I1488">
    <cfRule type="cellIs" dxfId="3420" priority="3415" stopIfTrue="1" operator="equal">
      <formula>"Pass"</formula>
    </cfRule>
    <cfRule type="cellIs" dxfId="3419" priority="3416" stopIfTrue="1" operator="equal">
      <formula>"Fail"</formula>
    </cfRule>
  </conditionalFormatting>
  <conditionalFormatting sqref="I1488:L1488">
    <cfRule type="cellIs" dxfId="3418" priority="3413" stopIfTrue="1" operator="equal">
      <formula>"Pass"</formula>
    </cfRule>
    <cfRule type="cellIs" dxfId="3417" priority="3414" stopIfTrue="1" operator="equal">
      <formula>"Fail"</formula>
    </cfRule>
  </conditionalFormatting>
  <conditionalFormatting sqref="J1488:L1488">
    <cfRule type="cellIs" dxfId="3416" priority="3411" stopIfTrue="1" operator="equal">
      <formula>"Pass"</formula>
    </cfRule>
    <cfRule type="cellIs" dxfId="3415" priority="3412" stopIfTrue="1" operator="equal">
      <formula>"Fail"</formula>
    </cfRule>
  </conditionalFormatting>
  <conditionalFormatting sqref="I1488">
    <cfRule type="cellIs" dxfId="3414" priority="3409" stopIfTrue="1" operator="equal">
      <formula>"Pass"</formula>
    </cfRule>
    <cfRule type="cellIs" dxfId="3413" priority="3410" stopIfTrue="1" operator="equal">
      <formula>"Fail"</formula>
    </cfRule>
  </conditionalFormatting>
  <conditionalFormatting sqref="I1488:L1488">
    <cfRule type="cellIs" dxfId="3412" priority="3407" stopIfTrue="1" operator="equal">
      <formula>"Pass"</formula>
    </cfRule>
    <cfRule type="cellIs" dxfId="3411" priority="3408" stopIfTrue="1" operator="equal">
      <formula>"Fail"</formula>
    </cfRule>
  </conditionalFormatting>
  <conditionalFormatting sqref="I1488:L1488">
    <cfRule type="cellIs" dxfId="3410" priority="3405" stopIfTrue="1" operator="equal">
      <formula>"Pass"</formula>
    </cfRule>
    <cfRule type="cellIs" dxfId="3409" priority="3406" stopIfTrue="1" operator="equal">
      <formula>"Fail"</formula>
    </cfRule>
  </conditionalFormatting>
  <conditionalFormatting sqref="J1488:L1488">
    <cfRule type="cellIs" dxfId="3408" priority="3403" stopIfTrue="1" operator="equal">
      <formula>"Pass"</formula>
    </cfRule>
    <cfRule type="cellIs" dxfId="3407" priority="3404" stopIfTrue="1" operator="equal">
      <formula>"Fail"</formula>
    </cfRule>
  </conditionalFormatting>
  <conditionalFormatting sqref="I1488">
    <cfRule type="cellIs" dxfId="3406" priority="3401" stopIfTrue="1" operator="equal">
      <formula>"Pass"</formula>
    </cfRule>
    <cfRule type="cellIs" dxfId="3405" priority="3402" stopIfTrue="1" operator="equal">
      <formula>"Fail"</formula>
    </cfRule>
  </conditionalFormatting>
  <conditionalFormatting sqref="I1488:L1488">
    <cfRule type="cellIs" dxfId="3404" priority="3399" stopIfTrue="1" operator="equal">
      <formula>"Pass"</formula>
    </cfRule>
    <cfRule type="cellIs" dxfId="3403" priority="3400" stopIfTrue="1" operator="equal">
      <formula>"Fail"</formula>
    </cfRule>
  </conditionalFormatting>
  <conditionalFormatting sqref="J1488:L1488">
    <cfRule type="cellIs" dxfId="3402" priority="3397" stopIfTrue="1" operator="equal">
      <formula>"Pass"</formula>
    </cfRule>
    <cfRule type="cellIs" dxfId="3401" priority="3398" stopIfTrue="1" operator="equal">
      <formula>"Fail"</formula>
    </cfRule>
  </conditionalFormatting>
  <conditionalFormatting sqref="I1488">
    <cfRule type="cellIs" dxfId="3400" priority="3395" stopIfTrue="1" operator="equal">
      <formula>"Pass"</formula>
    </cfRule>
    <cfRule type="cellIs" dxfId="3399" priority="3396" stopIfTrue="1" operator="equal">
      <formula>"Fail"</formula>
    </cfRule>
  </conditionalFormatting>
  <conditionalFormatting sqref="I1488:L1488">
    <cfRule type="cellIs" dxfId="3398" priority="3393" stopIfTrue="1" operator="equal">
      <formula>"Pass"</formula>
    </cfRule>
    <cfRule type="cellIs" dxfId="3397" priority="3394" stopIfTrue="1" operator="equal">
      <formula>"Fail"</formula>
    </cfRule>
  </conditionalFormatting>
  <conditionalFormatting sqref="I1488:L1488">
    <cfRule type="cellIs" dxfId="3396" priority="3391" stopIfTrue="1" operator="equal">
      <formula>"Pass"</formula>
    </cfRule>
    <cfRule type="cellIs" dxfId="3395" priority="3392" stopIfTrue="1" operator="equal">
      <formula>"Fail"</formula>
    </cfRule>
  </conditionalFormatting>
  <conditionalFormatting sqref="J1488:L1488">
    <cfRule type="cellIs" dxfId="3394" priority="3389" stopIfTrue="1" operator="equal">
      <formula>"Pass"</formula>
    </cfRule>
    <cfRule type="cellIs" dxfId="3393" priority="3390" stopIfTrue="1" operator="equal">
      <formula>"Fail"</formula>
    </cfRule>
  </conditionalFormatting>
  <conditionalFormatting sqref="I1488">
    <cfRule type="cellIs" dxfId="3392" priority="3387" stopIfTrue="1" operator="equal">
      <formula>"Pass"</formula>
    </cfRule>
    <cfRule type="cellIs" dxfId="3391" priority="3388" stopIfTrue="1" operator="equal">
      <formula>"Fail"</formula>
    </cfRule>
  </conditionalFormatting>
  <conditionalFormatting sqref="I1488:L1488">
    <cfRule type="cellIs" dxfId="3390" priority="3385" stopIfTrue="1" operator="equal">
      <formula>"Pass"</formula>
    </cfRule>
    <cfRule type="cellIs" dxfId="3389" priority="3386" stopIfTrue="1" operator="equal">
      <formula>"Fail"</formula>
    </cfRule>
  </conditionalFormatting>
  <conditionalFormatting sqref="J1488:L1488">
    <cfRule type="cellIs" dxfId="3388" priority="3383" stopIfTrue="1" operator="equal">
      <formula>"Pass"</formula>
    </cfRule>
    <cfRule type="cellIs" dxfId="3387" priority="3384" stopIfTrue="1" operator="equal">
      <formula>"Fail"</formula>
    </cfRule>
  </conditionalFormatting>
  <conditionalFormatting sqref="I1488">
    <cfRule type="cellIs" dxfId="3386" priority="3381" stopIfTrue="1" operator="equal">
      <formula>"Pass"</formula>
    </cfRule>
    <cfRule type="cellIs" dxfId="3385" priority="3382" stopIfTrue="1" operator="equal">
      <formula>"Fail"</formula>
    </cfRule>
  </conditionalFormatting>
  <conditionalFormatting sqref="I1488:L1488">
    <cfRule type="cellIs" dxfId="3384" priority="3379" stopIfTrue="1" operator="equal">
      <formula>"Pass"</formula>
    </cfRule>
    <cfRule type="cellIs" dxfId="3383" priority="3380" stopIfTrue="1" operator="equal">
      <formula>"Fail"</formula>
    </cfRule>
  </conditionalFormatting>
  <conditionalFormatting sqref="I1488:L1488">
    <cfRule type="cellIs" dxfId="3382" priority="3377" stopIfTrue="1" operator="equal">
      <formula>"Pass"</formula>
    </cfRule>
    <cfRule type="cellIs" dxfId="3381" priority="3378" stopIfTrue="1" operator="equal">
      <formula>"Fail"</formula>
    </cfRule>
  </conditionalFormatting>
  <conditionalFormatting sqref="J1488:L1488">
    <cfRule type="cellIs" dxfId="3380" priority="3375" stopIfTrue="1" operator="equal">
      <formula>"Pass"</formula>
    </cfRule>
    <cfRule type="cellIs" dxfId="3379" priority="3376" stopIfTrue="1" operator="equal">
      <formula>"Fail"</formula>
    </cfRule>
  </conditionalFormatting>
  <conditionalFormatting sqref="I1488">
    <cfRule type="cellIs" dxfId="3378" priority="3373" stopIfTrue="1" operator="equal">
      <formula>"Pass"</formula>
    </cfRule>
    <cfRule type="cellIs" dxfId="3377" priority="3374" stopIfTrue="1" operator="equal">
      <formula>"Fail"</formula>
    </cfRule>
  </conditionalFormatting>
  <conditionalFormatting sqref="I1488:L1488">
    <cfRule type="cellIs" dxfId="3376" priority="3371" stopIfTrue="1" operator="equal">
      <formula>"Pass"</formula>
    </cfRule>
    <cfRule type="cellIs" dxfId="3375" priority="3372" stopIfTrue="1" operator="equal">
      <formula>"Fail"</formula>
    </cfRule>
  </conditionalFormatting>
  <conditionalFormatting sqref="J1488:L1488">
    <cfRule type="cellIs" dxfId="3374" priority="3369" stopIfTrue="1" operator="equal">
      <formula>"Pass"</formula>
    </cfRule>
    <cfRule type="cellIs" dxfId="3373" priority="3370" stopIfTrue="1" operator="equal">
      <formula>"Fail"</formula>
    </cfRule>
  </conditionalFormatting>
  <conditionalFormatting sqref="I1488">
    <cfRule type="cellIs" dxfId="3372" priority="3367" stopIfTrue="1" operator="equal">
      <formula>"Pass"</formula>
    </cfRule>
    <cfRule type="cellIs" dxfId="3371" priority="3368" stopIfTrue="1" operator="equal">
      <formula>"Fail"</formula>
    </cfRule>
  </conditionalFormatting>
  <conditionalFormatting sqref="I1488:L1488">
    <cfRule type="cellIs" dxfId="3370" priority="3365" stopIfTrue="1" operator="equal">
      <formula>"Pass"</formula>
    </cfRule>
    <cfRule type="cellIs" dxfId="3369" priority="3366" stopIfTrue="1" operator="equal">
      <formula>"Fail"</formula>
    </cfRule>
  </conditionalFormatting>
  <conditionalFormatting sqref="I1488:L1488">
    <cfRule type="cellIs" dxfId="3368" priority="3363" stopIfTrue="1" operator="equal">
      <formula>"Pass"</formula>
    </cfRule>
    <cfRule type="cellIs" dxfId="3367" priority="3364" stopIfTrue="1" operator="equal">
      <formula>"Fail"</formula>
    </cfRule>
  </conditionalFormatting>
  <conditionalFormatting sqref="J1488:L1488">
    <cfRule type="cellIs" dxfId="3366" priority="3361" stopIfTrue="1" operator="equal">
      <formula>"Pass"</formula>
    </cfRule>
    <cfRule type="cellIs" dxfId="3365" priority="3362" stopIfTrue="1" operator="equal">
      <formula>"Fail"</formula>
    </cfRule>
  </conditionalFormatting>
  <conditionalFormatting sqref="I1488">
    <cfRule type="cellIs" dxfId="3364" priority="3359" stopIfTrue="1" operator="equal">
      <formula>"Pass"</formula>
    </cfRule>
    <cfRule type="cellIs" dxfId="3363" priority="3360" stopIfTrue="1" operator="equal">
      <formula>"Fail"</formula>
    </cfRule>
  </conditionalFormatting>
  <conditionalFormatting sqref="I1488:L1488">
    <cfRule type="cellIs" dxfId="3362" priority="3357" stopIfTrue="1" operator="equal">
      <formula>"Pass"</formula>
    </cfRule>
    <cfRule type="cellIs" dxfId="3361" priority="3358" stopIfTrue="1" operator="equal">
      <formula>"Fail"</formula>
    </cfRule>
  </conditionalFormatting>
  <conditionalFormatting sqref="J1488:L1488">
    <cfRule type="cellIs" dxfId="3360" priority="3355" stopIfTrue="1" operator="equal">
      <formula>"Pass"</formula>
    </cfRule>
    <cfRule type="cellIs" dxfId="3359" priority="3356" stopIfTrue="1" operator="equal">
      <formula>"Fail"</formula>
    </cfRule>
  </conditionalFormatting>
  <conditionalFormatting sqref="I1488">
    <cfRule type="cellIs" dxfId="3358" priority="3353" stopIfTrue="1" operator="equal">
      <formula>"Pass"</formula>
    </cfRule>
    <cfRule type="cellIs" dxfId="3357" priority="3354" stopIfTrue="1" operator="equal">
      <formula>"Fail"</formula>
    </cfRule>
  </conditionalFormatting>
  <conditionalFormatting sqref="I1488:L1488">
    <cfRule type="cellIs" dxfId="3356" priority="3351" stopIfTrue="1" operator="equal">
      <formula>"Pass"</formula>
    </cfRule>
    <cfRule type="cellIs" dxfId="3355" priority="3352" stopIfTrue="1" operator="equal">
      <formula>"Fail"</formula>
    </cfRule>
  </conditionalFormatting>
  <conditionalFormatting sqref="I1488:L1488">
    <cfRule type="cellIs" dxfId="3354" priority="3349" stopIfTrue="1" operator="equal">
      <formula>"Pass"</formula>
    </cfRule>
    <cfRule type="cellIs" dxfId="3353" priority="3350" stopIfTrue="1" operator="equal">
      <formula>"Fail"</formula>
    </cfRule>
  </conditionalFormatting>
  <conditionalFormatting sqref="J1488:L1488">
    <cfRule type="cellIs" dxfId="3352" priority="3347" stopIfTrue="1" operator="equal">
      <formula>"Pass"</formula>
    </cfRule>
    <cfRule type="cellIs" dxfId="3351" priority="3348" stopIfTrue="1" operator="equal">
      <formula>"Fail"</formula>
    </cfRule>
  </conditionalFormatting>
  <conditionalFormatting sqref="I1488">
    <cfRule type="cellIs" dxfId="3350" priority="3345" stopIfTrue="1" operator="equal">
      <formula>"Pass"</formula>
    </cfRule>
    <cfRule type="cellIs" dxfId="3349" priority="3346" stopIfTrue="1" operator="equal">
      <formula>"Fail"</formula>
    </cfRule>
  </conditionalFormatting>
  <conditionalFormatting sqref="I1488:L1488">
    <cfRule type="cellIs" dxfId="3348" priority="3343" stopIfTrue="1" operator="equal">
      <formula>"Pass"</formula>
    </cfRule>
    <cfRule type="cellIs" dxfId="3347" priority="3344" stopIfTrue="1" operator="equal">
      <formula>"Fail"</formula>
    </cfRule>
  </conditionalFormatting>
  <conditionalFormatting sqref="J1488:L1488">
    <cfRule type="cellIs" dxfId="3346" priority="3341" stopIfTrue="1" operator="equal">
      <formula>"Pass"</formula>
    </cfRule>
    <cfRule type="cellIs" dxfId="3345" priority="3342" stopIfTrue="1" operator="equal">
      <formula>"Fail"</formula>
    </cfRule>
  </conditionalFormatting>
  <conditionalFormatting sqref="I1488">
    <cfRule type="cellIs" dxfId="3344" priority="3339" stopIfTrue="1" operator="equal">
      <formula>"Pass"</formula>
    </cfRule>
    <cfRule type="cellIs" dxfId="3343" priority="3340" stopIfTrue="1" operator="equal">
      <formula>"Fail"</formula>
    </cfRule>
  </conditionalFormatting>
  <conditionalFormatting sqref="I1488:L1488">
    <cfRule type="cellIs" dxfId="3342" priority="3337" stopIfTrue="1" operator="equal">
      <formula>"Pass"</formula>
    </cfRule>
    <cfRule type="cellIs" dxfId="3341" priority="3338" stopIfTrue="1" operator="equal">
      <formula>"Fail"</formula>
    </cfRule>
  </conditionalFormatting>
  <conditionalFormatting sqref="I1488:L1488">
    <cfRule type="cellIs" dxfId="3340" priority="3335" stopIfTrue="1" operator="equal">
      <formula>"Pass"</formula>
    </cfRule>
    <cfRule type="cellIs" dxfId="3339" priority="3336" stopIfTrue="1" operator="equal">
      <formula>"Fail"</formula>
    </cfRule>
  </conditionalFormatting>
  <conditionalFormatting sqref="I1488:L1488">
    <cfRule type="cellIs" dxfId="3338" priority="3333" stopIfTrue="1" operator="equal">
      <formula>"Pass"</formula>
    </cfRule>
    <cfRule type="cellIs" dxfId="3337" priority="3334" stopIfTrue="1" operator="equal">
      <formula>"Fail"</formula>
    </cfRule>
  </conditionalFormatting>
  <conditionalFormatting sqref="J1488:L1488">
    <cfRule type="cellIs" dxfId="3336" priority="3331" stopIfTrue="1" operator="equal">
      <formula>"Pass"</formula>
    </cfRule>
    <cfRule type="cellIs" dxfId="3335" priority="3332" stopIfTrue="1" operator="equal">
      <formula>"Fail"</formula>
    </cfRule>
  </conditionalFormatting>
  <conditionalFormatting sqref="I1488">
    <cfRule type="cellIs" dxfId="3334" priority="3329" stopIfTrue="1" operator="equal">
      <formula>"Pass"</formula>
    </cfRule>
    <cfRule type="cellIs" dxfId="3333" priority="3330" stopIfTrue="1" operator="equal">
      <formula>"Fail"</formula>
    </cfRule>
  </conditionalFormatting>
  <conditionalFormatting sqref="I1488:L1488">
    <cfRule type="cellIs" dxfId="3332" priority="3327" stopIfTrue="1" operator="equal">
      <formula>"Pass"</formula>
    </cfRule>
    <cfRule type="cellIs" dxfId="3331" priority="3328" stopIfTrue="1" operator="equal">
      <formula>"Fail"</formula>
    </cfRule>
  </conditionalFormatting>
  <conditionalFormatting sqref="J1488:L1488">
    <cfRule type="cellIs" dxfId="3330" priority="3325" stopIfTrue="1" operator="equal">
      <formula>"Pass"</formula>
    </cfRule>
    <cfRule type="cellIs" dxfId="3329" priority="3326" stopIfTrue="1" operator="equal">
      <formula>"Fail"</formula>
    </cfRule>
  </conditionalFormatting>
  <conditionalFormatting sqref="I1488">
    <cfRule type="cellIs" dxfId="3328" priority="3323" stopIfTrue="1" operator="equal">
      <formula>"Pass"</formula>
    </cfRule>
    <cfRule type="cellIs" dxfId="3327" priority="3324" stopIfTrue="1" operator="equal">
      <formula>"Fail"</formula>
    </cfRule>
  </conditionalFormatting>
  <conditionalFormatting sqref="I1488:L1488">
    <cfRule type="cellIs" dxfId="3326" priority="3321" stopIfTrue="1" operator="equal">
      <formula>"Pass"</formula>
    </cfRule>
    <cfRule type="cellIs" dxfId="3325" priority="3322" stopIfTrue="1" operator="equal">
      <formula>"Fail"</formula>
    </cfRule>
  </conditionalFormatting>
  <conditionalFormatting sqref="I1488:L1488">
    <cfRule type="cellIs" dxfId="3324" priority="3319" stopIfTrue="1" operator="equal">
      <formula>"Pass"</formula>
    </cfRule>
    <cfRule type="cellIs" dxfId="3323" priority="3320" stopIfTrue="1" operator="equal">
      <formula>"Fail"</formula>
    </cfRule>
  </conditionalFormatting>
  <conditionalFormatting sqref="I1488:L1488">
    <cfRule type="cellIs" dxfId="3322" priority="3317" stopIfTrue="1" operator="equal">
      <formula>"Pass"</formula>
    </cfRule>
    <cfRule type="cellIs" dxfId="3321" priority="3318" stopIfTrue="1" operator="equal">
      <formula>"Fail"</formula>
    </cfRule>
  </conditionalFormatting>
  <conditionalFormatting sqref="J1488:L1488">
    <cfRule type="cellIs" dxfId="3320" priority="3315" stopIfTrue="1" operator="equal">
      <formula>"Pass"</formula>
    </cfRule>
    <cfRule type="cellIs" dxfId="3319" priority="3316" stopIfTrue="1" operator="equal">
      <formula>"Fail"</formula>
    </cfRule>
  </conditionalFormatting>
  <conditionalFormatting sqref="I1488">
    <cfRule type="cellIs" dxfId="3318" priority="3313" stopIfTrue="1" operator="equal">
      <formula>"Pass"</formula>
    </cfRule>
    <cfRule type="cellIs" dxfId="3317" priority="3314" stopIfTrue="1" operator="equal">
      <formula>"Fail"</formula>
    </cfRule>
  </conditionalFormatting>
  <conditionalFormatting sqref="I1488:L1488">
    <cfRule type="cellIs" dxfId="3316" priority="3311" stopIfTrue="1" operator="equal">
      <formula>"Pass"</formula>
    </cfRule>
    <cfRule type="cellIs" dxfId="3315" priority="3312" stopIfTrue="1" operator="equal">
      <formula>"Fail"</formula>
    </cfRule>
  </conditionalFormatting>
  <conditionalFormatting sqref="J1488:L1488">
    <cfRule type="cellIs" dxfId="3314" priority="3309" stopIfTrue="1" operator="equal">
      <formula>"Pass"</formula>
    </cfRule>
    <cfRule type="cellIs" dxfId="3313" priority="3310" stopIfTrue="1" operator="equal">
      <formula>"Fail"</formula>
    </cfRule>
  </conditionalFormatting>
  <conditionalFormatting sqref="I1488">
    <cfRule type="cellIs" dxfId="3312" priority="3307" stopIfTrue="1" operator="equal">
      <formula>"Pass"</formula>
    </cfRule>
    <cfRule type="cellIs" dxfId="3311" priority="3308" stopIfTrue="1" operator="equal">
      <formula>"Fail"</formula>
    </cfRule>
  </conditionalFormatting>
  <conditionalFormatting sqref="I1488:L1488">
    <cfRule type="cellIs" dxfId="3310" priority="3305" stopIfTrue="1" operator="equal">
      <formula>"Pass"</formula>
    </cfRule>
    <cfRule type="cellIs" dxfId="3309" priority="3306" stopIfTrue="1" operator="equal">
      <formula>"Fail"</formula>
    </cfRule>
  </conditionalFormatting>
  <conditionalFormatting sqref="I1488:L1488">
    <cfRule type="cellIs" dxfId="3308" priority="3303" stopIfTrue="1" operator="equal">
      <formula>"Pass"</formula>
    </cfRule>
    <cfRule type="cellIs" dxfId="3307" priority="3304" stopIfTrue="1" operator="equal">
      <formula>"Fail"</formula>
    </cfRule>
  </conditionalFormatting>
  <conditionalFormatting sqref="I1488:L1488">
    <cfRule type="cellIs" dxfId="3306" priority="3301" stopIfTrue="1" operator="equal">
      <formula>"Pass"</formula>
    </cfRule>
    <cfRule type="cellIs" dxfId="3305" priority="3302" stopIfTrue="1" operator="equal">
      <formula>"Fail"</formula>
    </cfRule>
  </conditionalFormatting>
  <conditionalFormatting sqref="J1488:L1488">
    <cfRule type="cellIs" dxfId="3304" priority="3299" stopIfTrue="1" operator="equal">
      <formula>"Pass"</formula>
    </cfRule>
    <cfRule type="cellIs" dxfId="3303" priority="3300" stopIfTrue="1" operator="equal">
      <formula>"Fail"</formula>
    </cfRule>
  </conditionalFormatting>
  <conditionalFormatting sqref="I1488">
    <cfRule type="cellIs" dxfId="3302" priority="3297" stopIfTrue="1" operator="equal">
      <formula>"Pass"</formula>
    </cfRule>
    <cfRule type="cellIs" dxfId="3301" priority="3298" stopIfTrue="1" operator="equal">
      <formula>"Fail"</formula>
    </cfRule>
  </conditionalFormatting>
  <conditionalFormatting sqref="I1488:L1488">
    <cfRule type="cellIs" dxfId="3300" priority="3295" stopIfTrue="1" operator="equal">
      <formula>"Pass"</formula>
    </cfRule>
    <cfRule type="cellIs" dxfId="3299" priority="3296" stopIfTrue="1" operator="equal">
      <formula>"Fail"</formula>
    </cfRule>
  </conditionalFormatting>
  <conditionalFormatting sqref="J1488:L1488">
    <cfRule type="cellIs" dxfId="3298" priority="3293" stopIfTrue="1" operator="equal">
      <formula>"Pass"</formula>
    </cfRule>
    <cfRule type="cellIs" dxfId="3297" priority="3294" stopIfTrue="1" operator="equal">
      <formula>"Fail"</formula>
    </cfRule>
  </conditionalFormatting>
  <conditionalFormatting sqref="I1488">
    <cfRule type="cellIs" dxfId="3296" priority="3291" stopIfTrue="1" operator="equal">
      <formula>"Pass"</formula>
    </cfRule>
    <cfRule type="cellIs" dxfId="3295" priority="3292" stopIfTrue="1" operator="equal">
      <formula>"Fail"</formula>
    </cfRule>
  </conditionalFormatting>
  <conditionalFormatting sqref="I1488:L1488">
    <cfRule type="cellIs" dxfId="3294" priority="3289" stopIfTrue="1" operator="equal">
      <formula>"Pass"</formula>
    </cfRule>
    <cfRule type="cellIs" dxfId="3293" priority="3290" stopIfTrue="1" operator="equal">
      <formula>"Fail"</formula>
    </cfRule>
  </conditionalFormatting>
  <conditionalFormatting sqref="H1488">
    <cfRule type="cellIs" dxfId="3292" priority="3287" stopIfTrue="1" operator="equal">
      <formula>"Pass"</formula>
    </cfRule>
    <cfRule type="cellIs" dxfId="3291" priority="3288" stopIfTrue="1" operator="equal">
      <formula>"Fail"</formula>
    </cfRule>
  </conditionalFormatting>
  <conditionalFormatting sqref="H1488">
    <cfRule type="cellIs" dxfId="3290" priority="3285" stopIfTrue="1" operator="equal">
      <formula>"Pass"</formula>
    </cfRule>
    <cfRule type="cellIs" dxfId="3289" priority="3286" stopIfTrue="1" operator="equal">
      <formula>"Fail"</formula>
    </cfRule>
  </conditionalFormatting>
  <conditionalFormatting sqref="H1488">
    <cfRule type="cellIs" dxfId="3288" priority="3283" stopIfTrue="1" operator="equal">
      <formula>"Pass"</formula>
    </cfRule>
    <cfRule type="cellIs" dxfId="3287" priority="3284" stopIfTrue="1" operator="equal">
      <formula>"Fail"</formula>
    </cfRule>
  </conditionalFormatting>
  <conditionalFormatting sqref="I1488:L1488">
    <cfRule type="cellIs" dxfId="3286" priority="3281" stopIfTrue="1" operator="equal">
      <formula>"Pass"</formula>
    </cfRule>
    <cfRule type="cellIs" dxfId="3285" priority="3282" stopIfTrue="1" operator="equal">
      <formula>"Fail"</formula>
    </cfRule>
  </conditionalFormatting>
  <conditionalFormatting sqref="I1488:L1488">
    <cfRule type="cellIs" dxfId="3284" priority="3279" stopIfTrue="1" operator="equal">
      <formula>"Pass"</formula>
    </cfRule>
    <cfRule type="cellIs" dxfId="3283" priority="3280" stopIfTrue="1" operator="equal">
      <formula>"Fail"</formula>
    </cfRule>
  </conditionalFormatting>
  <conditionalFormatting sqref="J1488:L1488">
    <cfRule type="cellIs" dxfId="3282" priority="3277" stopIfTrue="1" operator="equal">
      <formula>"Pass"</formula>
    </cfRule>
    <cfRule type="cellIs" dxfId="3281" priority="3278" stopIfTrue="1" operator="equal">
      <formula>"Fail"</formula>
    </cfRule>
  </conditionalFormatting>
  <conditionalFormatting sqref="I1488">
    <cfRule type="cellIs" dxfId="3280" priority="3275" stopIfTrue="1" operator="equal">
      <formula>"Pass"</formula>
    </cfRule>
    <cfRule type="cellIs" dxfId="3279" priority="3276" stopIfTrue="1" operator="equal">
      <formula>"Fail"</formula>
    </cfRule>
  </conditionalFormatting>
  <conditionalFormatting sqref="I1488:L1488">
    <cfRule type="cellIs" dxfId="3278" priority="3273" stopIfTrue="1" operator="equal">
      <formula>"Pass"</formula>
    </cfRule>
    <cfRule type="cellIs" dxfId="3277" priority="3274" stopIfTrue="1" operator="equal">
      <formula>"Fail"</formula>
    </cfRule>
  </conditionalFormatting>
  <conditionalFormatting sqref="J1488:L1488">
    <cfRule type="cellIs" dxfId="3276" priority="3271" stopIfTrue="1" operator="equal">
      <formula>"Pass"</formula>
    </cfRule>
    <cfRule type="cellIs" dxfId="3275" priority="3272" stopIfTrue="1" operator="equal">
      <formula>"Fail"</formula>
    </cfRule>
  </conditionalFormatting>
  <conditionalFormatting sqref="I1488">
    <cfRule type="cellIs" dxfId="3274" priority="3269" stopIfTrue="1" operator="equal">
      <formula>"Pass"</formula>
    </cfRule>
    <cfRule type="cellIs" dxfId="3273" priority="3270" stopIfTrue="1" operator="equal">
      <formula>"Fail"</formula>
    </cfRule>
  </conditionalFormatting>
  <conditionalFormatting sqref="I1488:L1488">
    <cfRule type="cellIs" dxfId="3272" priority="3267" stopIfTrue="1" operator="equal">
      <formula>"Pass"</formula>
    </cfRule>
    <cfRule type="cellIs" dxfId="3271" priority="3268" stopIfTrue="1" operator="equal">
      <formula>"Fail"</formula>
    </cfRule>
  </conditionalFormatting>
  <conditionalFormatting sqref="H1488">
    <cfRule type="cellIs" dxfId="3270" priority="3265" stopIfTrue="1" operator="equal">
      <formula>"Pass"</formula>
    </cfRule>
    <cfRule type="cellIs" dxfId="3269" priority="3266" stopIfTrue="1" operator="equal">
      <formula>"Fail"</formula>
    </cfRule>
  </conditionalFormatting>
  <conditionalFormatting sqref="H1488">
    <cfRule type="cellIs" dxfId="3268" priority="3263" stopIfTrue="1" operator="equal">
      <formula>"Pass"</formula>
    </cfRule>
    <cfRule type="cellIs" dxfId="3267" priority="3264" stopIfTrue="1" operator="equal">
      <formula>"Fail"</formula>
    </cfRule>
  </conditionalFormatting>
  <conditionalFormatting sqref="H1488">
    <cfRule type="cellIs" dxfId="3266" priority="3261" stopIfTrue="1" operator="equal">
      <formula>"Pass"</formula>
    </cfRule>
    <cfRule type="cellIs" dxfId="3265" priority="3262" stopIfTrue="1" operator="equal">
      <formula>"Fail"</formula>
    </cfRule>
  </conditionalFormatting>
  <conditionalFormatting sqref="I1488:L1488">
    <cfRule type="cellIs" dxfId="3264" priority="3259" stopIfTrue="1" operator="equal">
      <formula>"Pass"</formula>
    </cfRule>
    <cfRule type="cellIs" dxfId="3263" priority="3260" stopIfTrue="1" operator="equal">
      <formula>"Fail"</formula>
    </cfRule>
  </conditionalFormatting>
  <conditionalFormatting sqref="I1488:L1488">
    <cfRule type="cellIs" dxfId="3262" priority="3257" stopIfTrue="1" operator="equal">
      <formula>"Pass"</formula>
    </cfRule>
    <cfRule type="cellIs" dxfId="3261" priority="3258" stopIfTrue="1" operator="equal">
      <formula>"Fail"</formula>
    </cfRule>
  </conditionalFormatting>
  <conditionalFormatting sqref="J1488:L1488">
    <cfRule type="cellIs" dxfId="3260" priority="3255" stopIfTrue="1" operator="equal">
      <formula>"Pass"</formula>
    </cfRule>
    <cfRule type="cellIs" dxfId="3259" priority="3256" stopIfTrue="1" operator="equal">
      <formula>"Fail"</formula>
    </cfRule>
  </conditionalFormatting>
  <conditionalFormatting sqref="I1488">
    <cfRule type="cellIs" dxfId="3258" priority="3253" stopIfTrue="1" operator="equal">
      <formula>"Pass"</formula>
    </cfRule>
    <cfRule type="cellIs" dxfId="3257" priority="3254" stopIfTrue="1" operator="equal">
      <formula>"Fail"</formula>
    </cfRule>
  </conditionalFormatting>
  <conditionalFormatting sqref="I1488:L1488">
    <cfRule type="cellIs" dxfId="3256" priority="3251" stopIfTrue="1" operator="equal">
      <formula>"Pass"</formula>
    </cfRule>
    <cfRule type="cellIs" dxfId="3255" priority="3252" stopIfTrue="1" operator="equal">
      <formula>"Fail"</formula>
    </cfRule>
  </conditionalFormatting>
  <conditionalFormatting sqref="J1488:L1488">
    <cfRule type="cellIs" dxfId="3254" priority="3249" stopIfTrue="1" operator="equal">
      <formula>"Pass"</formula>
    </cfRule>
    <cfRule type="cellIs" dxfId="3253" priority="3250" stopIfTrue="1" operator="equal">
      <formula>"Fail"</formula>
    </cfRule>
  </conditionalFormatting>
  <conditionalFormatting sqref="I1488">
    <cfRule type="cellIs" dxfId="3252" priority="3247" stopIfTrue="1" operator="equal">
      <formula>"Pass"</formula>
    </cfRule>
    <cfRule type="cellIs" dxfId="3251" priority="3248" stopIfTrue="1" operator="equal">
      <formula>"Fail"</formula>
    </cfRule>
  </conditionalFormatting>
  <conditionalFormatting sqref="I1488:L1488">
    <cfRule type="cellIs" dxfId="3250" priority="3245" stopIfTrue="1" operator="equal">
      <formula>"Pass"</formula>
    </cfRule>
    <cfRule type="cellIs" dxfId="3249" priority="3246" stopIfTrue="1" operator="equal">
      <formula>"Fail"</formula>
    </cfRule>
  </conditionalFormatting>
  <conditionalFormatting sqref="H1488:L1488">
    <cfRule type="cellIs" dxfId="3248" priority="3243" stopIfTrue="1" operator="equal">
      <formula>"Pass"</formula>
    </cfRule>
    <cfRule type="cellIs" dxfId="3247" priority="3244" stopIfTrue="1" operator="equal">
      <formula>"Fail"</formula>
    </cfRule>
  </conditionalFormatting>
  <conditionalFormatting sqref="H1488:L1488">
    <cfRule type="cellIs" dxfId="3246" priority="3241" stopIfTrue="1" operator="equal">
      <formula>"Pass"</formula>
    </cfRule>
    <cfRule type="cellIs" dxfId="3245" priority="3242" stopIfTrue="1" operator="equal">
      <formula>"Fail"</formula>
    </cfRule>
  </conditionalFormatting>
  <conditionalFormatting sqref="H1488:L1488">
    <cfRule type="cellIs" dxfId="3244" priority="3239" stopIfTrue="1" operator="equal">
      <formula>"Pass"</formula>
    </cfRule>
    <cfRule type="cellIs" dxfId="3243" priority="3240" stopIfTrue="1" operator="equal">
      <formula>"Fail"</formula>
    </cfRule>
  </conditionalFormatting>
  <conditionalFormatting sqref="H1488:L1488">
    <cfRule type="cellIs" dxfId="3242" priority="3237" stopIfTrue="1" operator="equal">
      <formula>"Pass"</formula>
    </cfRule>
    <cfRule type="cellIs" dxfId="3241" priority="3238" stopIfTrue="1" operator="equal">
      <formula>"Fail"</formula>
    </cfRule>
  </conditionalFormatting>
  <conditionalFormatting sqref="H1488:L1488">
    <cfRule type="cellIs" dxfId="3240" priority="3235" stopIfTrue="1" operator="equal">
      <formula>"Pass"</formula>
    </cfRule>
    <cfRule type="cellIs" dxfId="3239" priority="3236" stopIfTrue="1" operator="equal">
      <formula>"Fail"</formula>
    </cfRule>
  </conditionalFormatting>
  <conditionalFormatting sqref="H1488:L1488">
    <cfRule type="cellIs" dxfId="3238" priority="3233" stopIfTrue="1" operator="equal">
      <formula>"Pass"</formula>
    </cfRule>
    <cfRule type="cellIs" dxfId="3237" priority="3234" stopIfTrue="1" operator="equal">
      <formula>"Fail"</formula>
    </cfRule>
  </conditionalFormatting>
  <conditionalFormatting sqref="J1488:L1488">
    <cfRule type="cellIs" dxfId="3236" priority="3231" stopIfTrue="1" operator="equal">
      <formula>"Pass"</formula>
    </cfRule>
    <cfRule type="cellIs" dxfId="3235" priority="3232" stopIfTrue="1" operator="equal">
      <formula>"Fail"</formula>
    </cfRule>
  </conditionalFormatting>
  <conditionalFormatting sqref="I1488">
    <cfRule type="cellIs" dxfId="3234" priority="3229" stopIfTrue="1" operator="equal">
      <formula>"Pass"</formula>
    </cfRule>
    <cfRule type="cellIs" dxfId="3233" priority="3230" stopIfTrue="1" operator="equal">
      <formula>"Fail"</formula>
    </cfRule>
  </conditionalFormatting>
  <conditionalFormatting sqref="I1488:L1488">
    <cfRule type="cellIs" dxfId="3232" priority="3227" stopIfTrue="1" operator="equal">
      <formula>"Pass"</formula>
    </cfRule>
    <cfRule type="cellIs" dxfId="3231" priority="3228" stopIfTrue="1" operator="equal">
      <formula>"Fail"</formula>
    </cfRule>
  </conditionalFormatting>
  <conditionalFormatting sqref="J1488:L1488">
    <cfRule type="cellIs" dxfId="3230" priority="3225" stopIfTrue="1" operator="equal">
      <formula>"Pass"</formula>
    </cfRule>
    <cfRule type="cellIs" dxfId="3229" priority="3226" stopIfTrue="1" operator="equal">
      <formula>"Fail"</formula>
    </cfRule>
  </conditionalFormatting>
  <conditionalFormatting sqref="I1488">
    <cfRule type="cellIs" dxfId="3228" priority="3223" stopIfTrue="1" operator="equal">
      <formula>"Pass"</formula>
    </cfRule>
    <cfRule type="cellIs" dxfId="3227" priority="3224" stopIfTrue="1" operator="equal">
      <formula>"Fail"</formula>
    </cfRule>
  </conditionalFormatting>
  <conditionalFormatting sqref="I1488:L1488">
    <cfRule type="cellIs" dxfId="3226" priority="3221" stopIfTrue="1" operator="equal">
      <formula>"Pass"</formula>
    </cfRule>
    <cfRule type="cellIs" dxfId="3225" priority="3222" stopIfTrue="1" operator="equal">
      <formula>"Fail"</formula>
    </cfRule>
  </conditionalFormatting>
  <conditionalFormatting sqref="J1488:L1488">
    <cfRule type="cellIs" dxfId="3224" priority="3219" stopIfTrue="1" operator="equal">
      <formula>"Pass"</formula>
    </cfRule>
    <cfRule type="cellIs" dxfId="3223" priority="3220" stopIfTrue="1" operator="equal">
      <formula>"Fail"</formula>
    </cfRule>
  </conditionalFormatting>
  <conditionalFormatting sqref="I1488">
    <cfRule type="cellIs" dxfId="3222" priority="3217" stopIfTrue="1" operator="equal">
      <formula>"Pass"</formula>
    </cfRule>
    <cfRule type="cellIs" dxfId="3221" priority="3218" stopIfTrue="1" operator="equal">
      <formula>"Fail"</formula>
    </cfRule>
  </conditionalFormatting>
  <conditionalFormatting sqref="I1488:L1488">
    <cfRule type="cellIs" dxfId="3220" priority="3215" stopIfTrue="1" operator="equal">
      <formula>"Pass"</formula>
    </cfRule>
    <cfRule type="cellIs" dxfId="3219" priority="3216" stopIfTrue="1" operator="equal">
      <formula>"Fail"</formula>
    </cfRule>
  </conditionalFormatting>
  <conditionalFormatting sqref="J1488:L1488">
    <cfRule type="cellIs" dxfId="3218" priority="3213" stopIfTrue="1" operator="equal">
      <formula>"Pass"</formula>
    </cfRule>
    <cfRule type="cellIs" dxfId="3217" priority="3214" stopIfTrue="1" operator="equal">
      <formula>"Fail"</formula>
    </cfRule>
  </conditionalFormatting>
  <conditionalFormatting sqref="I1488">
    <cfRule type="cellIs" dxfId="3216" priority="3211" stopIfTrue="1" operator="equal">
      <formula>"Pass"</formula>
    </cfRule>
    <cfRule type="cellIs" dxfId="3215" priority="3212" stopIfTrue="1" operator="equal">
      <formula>"Fail"</formula>
    </cfRule>
  </conditionalFormatting>
  <conditionalFormatting sqref="I1488:L1488">
    <cfRule type="cellIs" dxfId="3214" priority="3209" stopIfTrue="1" operator="equal">
      <formula>"Pass"</formula>
    </cfRule>
    <cfRule type="cellIs" dxfId="3213" priority="3210" stopIfTrue="1" operator="equal">
      <formula>"Fail"</formula>
    </cfRule>
  </conditionalFormatting>
  <conditionalFormatting sqref="J1488:L1488">
    <cfRule type="cellIs" dxfId="3212" priority="3207" stopIfTrue="1" operator="equal">
      <formula>"Pass"</formula>
    </cfRule>
    <cfRule type="cellIs" dxfId="3211" priority="3208" stopIfTrue="1" operator="equal">
      <formula>"Fail"</formula>
    </cfRule>
  </conditionalFormatting>
  <conditionalFormatting sqref="I1488">
    <cfRule type="cellIs" dxfId="3210" priority="3205" stopIfTrue="1" operator="equal">
      <formula>"Pass"</formula>
    </cfRule>
    <cfRule type="cellIs" dxfId="3209" priority="3206" stopIfTrue="1" operator="equal">
      <formula>"Fail"</formula>
    </cfRule>
  </conditionalFormatting>
  <conditionalFormatting sqref="I1488:L1488">
    <cfRule type="cellIs" dxfId="3208" priority="3203" stopIfTrue="1" operator="equal">
      <formula>"Pass"</formula>
    </cfRule>
    <cfRule type="cellIs" dxfId="3207" priority="3204" stopIfTrue="1" operator="equal">
      <formula>"Fail"</formula>
    </cfRule>
  </conditionalFormatting>
  <conditionalFormatting sqref="J1488:L1488">
    <cfRule type="cellIs" dxfId="3206" priority="3201" stopIfTrue="1" operator="equal">
      <formula>"Pass"</formula>
    </cfRule>
    <cfRule type="cellIs" dxfId="3205" priority="3202" stopIfTrue="1" operator="equal">
      <formula>"Fail"</formula>
    </cfRule>
  </conditionalFormatting>
  <conditionalFormatting sqref="I1488">
    <cfRule type="cellIs" dxfId="3204" priority="3199" stopIfTrue="1" operator="equal">
      <formula>"Pass"</formula>
    </cfRule>
    <cfRule type="cellIs" dxfId="3203" priority="3200" stopIfTrue="1" operator="equal">
      <formula>"Fail"</formula>
    </cfRule>
  </conditionalFormatting>
  <conditionalFormatting sqref="I1488:L1488">
    <cfRule type="cellIs" dxfId="3202" priority="3197" stopIfTrue="1" operator="equal">
      <formula>"Pass"</formula>
    </cfRule>
    <cfRule type="cellIs" dxfId="3201" priority="3198" stopIfTrue="1" operator="equal">
      <formula>"Fail"</formula>
    </cfRule>
  </conditionalFormatting>
  <conditionalFormatting sqref="J1488:L1488">
    <cfRule type="cellIs" dxfId="3200" priority="3195" stopIfTrue="1" operator="equal">
      <formula>"Pass"</formula>
    </cfRule>
    <cfRule type="cellIs" dxfId="3199" priority="3196" stopIfTrue="1" operator="equal">
      <formula>"Fail"</formula>
    </cfRule>
  </conditionalFormatting>
  <conditionalFormatting sqref="I1488">
    <cfRule type="cellIs" dxfId="3198" priority="3193" stopIfTrue="1" operator="equal">
      <formula>"Pass"</formula>
    </cfRule>
    <cfRule type="cellIs" dxfId="3197" priority="3194" stopIfTrue="1" operator="equal">
      <formula>"Fail"</formula>
    </cfRule>
  </conditionalFormatting>
  <conditionalFormatting sqref="I1488:L1488">
    <cfRule type="cellIs" dxfId="3196" priority="3191" stopIfTrue="1" operator="equal">
      <formula>"Pass"</formula>
    </cfRule>
    <cfRule type="cellIs" dxfId="3195" priority="3192" stopIfTrue="1" operator="equal">
      <formula>"Fail"</formula>
    </cfRule>
  </conditionalFormatting>
  <conditionalFormatting sqref="J1488:L1488">
    <cfRule type="cellIs" dxfId="3194" priority="3189" stopIfTrue="1" operator="equal">
      <formula>"Pass"</formula>
    </cfRule>
    <cfRule type="cellIs" dxfId="3193" priority="3190" stopIfTrue="1" operator="equal">
      <formula>"Fail"</formula>
    </cfRule>
  </conditionalFormatting>
  <conditionalFormatting sqref="I1488">
    <cfRule type="cellIs" dxfId="3192" priority="3187" stopIfTrue="1" operator="equal">
      <formula>"Pass"</formula>
    </cfRule>
    <cfRule type="cellIs" dxfId="3191" priority="3188" stopIfTrue="1" operator="equal">
      <formula>"Fail"</formula>
    </cfRule>
  </conditionalFormatting>
  <conditionalFormatting sqref="I1488:L1488">
    <cfRule type="cellIs" dxfId="3190" priority="3185" stopIfTrue="1" operator="equal">
      <formula>"Pass"</formula>
    </cfRule>
    <cfRule type="cellIs" dxfId="3189" priority="3186" stopIfTrue="1" operator="equal">
      <formula>"Fail"</formula>
    </cfRule>
  </conditionalFormatting>
  <conditionalFormatting sqref="J1488:L1488">
    <cfRule type="cellIs" dxfId="3188" priority="3183" stopIfTrue="1" operator="equal">
      <formula>"Pass"</formula>
    </cfRule>
    <cfRule type="cellIs" dxfId="3187" priority="3184" stopIfTrue="1" operator="equal">
      <formula>"Fail"</formula>
    </cfRule>
  </conditionalFormatting>
  <conditionalFormatting sqref="I1488">
    <cfRule type="cellIs" dxfId="3186" priority="3181" stopIfTrue="1" operator="equal">
      <formula>"Pass"</formula>
    </cfRule>
    <cfRule type="cellIs" dxfId="3185" priority="3182" stopIfTrue="1" operator="equal">
      <formula>"Fail"</formula>
    </cfRule>
  </conditionalFormatting>
  <conditionalFormatting sqref="I1488:L1488">
    <cfRule type="cellIs" dxfId="3184" priority="3179" stopIfTrue="1" operator="equal">
      <formula>"Pass"</formula>
    </cfRule>
    <cfRule type="cellIs" dxfId="3183" priority="3180" stopIfTrue="1" operator="equal">
      <formula>"Fail"</formula>
    </cfRule>
  </conditionalFormatting>
  <conditionalFormatting sqref="J1488:L1488">
    <cfRule type="cellIs" dxfId="3182" priority="3177" stopIfTrue="1" operator="equal">
      <formula>"Pass"</formula>
    </cfRule>
    <cfRule type="cellIs" dxfId="3181" priority="3178" stopIfTrue="1" operator="equal">
      <formula>"Fail"</formula>
    </cfRule>
  </conditionalFormatting>
  <conditionalFormatting sqref="I1488">
    <cfRule type="cellIs" dxfId="3180" priority="3175" stopIfTrue="1" operator="equal">
      <formula>"Pass"</formula>
    </cfRule>
    <cfRule type="cellIs" dxfId="3179" priority="3176" stopIfTrue="1" operator="equal">
      <formula>"Fail"</formula>
    </cfRule>
  </conditionalFormatting>
  <conditionalFormatting sqref="I1488:L1488">
    <cfRule type="cellIs" dxfId="3178" priority="3173" stopIfTrue="1" operator="equal">
      <formula>"Pass"</formula>
    </cfRule>
    <cfRule type="cellIs" dxfId="3177" priority="3174" stopIfTrue="1" operator="equal">
      <formula>"Fail"</formula>
    </cfRule>
  </conditionalFormatting>
  <conditionalFormatting sqref="J1488:L1488">
    <cfRule type="cellIs" dxfId="3176" priority="3171" stopIfTrue="1" operator="equal">
      <formula>"Pass"</formula>
    </cfRule>
    <cfRule type="cellIs" dxfId="3175" priority="3172" stopIfTrue="1" operator="equal">
      <formula>"Fail"</formula>
    </cfRule>
  </conditionalFormatting>
  <conditionalFormatting sqref="I1488">
    <cfRule type="cellIs" dxfId="3174" priority="3169" stopIfTrue="1" operator="equal">
      <formula>"Pass"</formula>
    </cfRule>
    <cfRule type="cellIs" dxfId="3173" priority="3170" stopIfTrue="1" operator="equal">
      <formula>"Fail"</formula>
    </cfRule>
  </conditionalFormatting>
  <conditionalFormatting sqref="I1488:L1488">
    <cfRule type="cellIs" dxfId="3172" priority="3167" stopIfTrue="1" operator="equal">
      <formula>"Pass"</formula>
    </cfRule>
    <cfRule type="cellIs" dxfId="3171" priority="3168" stopIfTrue="1" operator="equal">
      <formula>"Fail"</formula>
    </cfRule>
  </conditionalFormatting>
  <conditionalFormatting sqref="J1488:L1488">
    <cfRule type="cellIs" dxfId="3170" priority="3165" stopIfTrue="1" operator="equal">
      <formula>"Pass"</formula>
    </cfRule>
    <cfRule type="cellIs" dxfId="3169" priority="3166" stopIfTrue="1" operator="equal">
      <formula>"Fail"</formula>
    </cfRule>
  </conditionalFormatting>
  <conditionalFormatting sqref="I1488">
    <cfRule type="cellIs" dxfId="3168" priority="3163" stopIfTrue="1" operator="equal">
      <formula>"Pass"</formula>
    </cfRule>
    <cfRule type="cellIs" dxfId="3167" priority="3164" stopIfTrue="1" operator="equal">
      <formula>"Fail"</formula>
    </cfRule>
  </conditionalFormatting>
  <conditionalFormatting sqref="I1488:L1488">
    <cfRule type="cellIs" dxfId="3166" priority="3161" stopIfTrue="1" operator="equal">
      <formula>"Pass"</formula>
    </cfRule>
    <cfRule type="cellIs" dxfId="3165" priority="3162" stopIfTrue="1" operator="equal">
      <formula>"Fail"</formula>
    </cfRule>
  </conditionalFormatting>
  <conditionalFormatting sqref="J1488:L1488">
    <cfRule type="cellIs" dxfId="3164" priority="3159" stopIfTrue="1" operator="equal">
      <formula>"Pass"</formula>
    </cfRule>
    <cfRule type="cellIs" dxfId="3163" priority="3160" stopIfTrue="1" operator="equal">
      <formula>"Fail"</formula>
    </cfRule>
  </conditionalFormatting>
  <conditionalFormatting sqref="I1488">
    <cfRule type="cellIs" dxfId="3162" priority="3157" stopIfTrue="1" operator="equal">
      <formula>"Pass"</formula>
    </cfRule>
    <cfRule type="cellIs" dxfId="3161" priority="3158" stopIfTrue="1" operator="equal">
      <formula>"Fail"</formula>
    </cfRule>
  </conditionalFormatting>
  <conditionalFormatting sqref="I1488:L1488">
    <cfRule type="cellIs" dxfId="3160" priority="3155" stopIfTrue="1" operator="equal">
      <formula>"Pass"</formula>
    </cfRule>
    <cfRule type="cellIs" dxfId="3159" priority="3156" stopIfTrue="1" operator="equal">
      <formula>"Fail"</formula>
    </cfRule>
  </conditionalFormatting>
  <conditionalFormatting sqref="J1488:L1488">
    <cfRule type="cellIs" dxfId="3158" priority="3153" stopIfTrue="1" operator="equal">
      <formula>"Pass"</formula>
    </cfRule>
    <cfRule type="cellIs" dxfId="3157" priority="3154" stopIfTrue="1" operator="equal">
      <formula>"Fail"</formula>
    </cfRule>
  </conditionalFormatting>
  <conditionalFormatting sqref="I1488">
    <cfRule type="cellIs" dxfId="3156" priority="3151" stopIfTrue="1" operator="equal">
      <formula>"Pass"</formula>
    </cfRule>
    <cfRule type="cellIs" dxfId="3155" priority="3152" stopIfTrue="1" operator="equal">
      <formula>"Fail"</formula>
    </cfRule>
  </conditionalFormatting>
  <conditionalFormatting sqref="I1488:L1488">
    <cfRule type="cellIs" dxfId="3154" priority="3149" stopIfTrue="1" operator="equal">
      <formula>"Pass"</formula>
    </cfRule>
    <cfRule type="cellIs" dxfId="3153" priority="3150" stopIfTrue="1" operator="equal">
      <formula>"Fail"</formula>
    </cfRule>
  </conditionalFormatting>
  <conditionalFormatting sqref="J1488:L1488">
    <cfRule type="cellIs" dxfId="3152" priority="3147" stopIfTrue="1" operator="equal">
      <formula>"Pass"</formula>
    </cfRule>
    <cfRule type="cellIs" dxfId="3151" priority="3148" stopIfTrue="1" operator="equal">
      <formula>"Fail"</formula>
    </cfRule>
  </conditionalFormatting>
  <conditionalFormatting sqref="I1488">
    <cfRule type="cellIs" dxfId="3150" priority="3145" stopIfTrue="1" operator="equal">
      <formula>"Pass"</formula>
    </cfRule>
    <cfRule type="cellIs" dxfId="3149" priority="3146" stopIfTrue="1" operator="equal">
      <formula>"Fail"</formula>
    </cfRule>
  </conditionalFormatting>
  <conditionalFormatting sqref="I1488:L1488">
    <cfRule type="cellIs" dxfId="3148" priority="3143" stopIfTrue="1" operator="equal">
      <formula>"Pass"</formula>
    </cfRule>
    <cfRule type="cellIs" dxfId="3147" priority="3144" stopIfTrue="1" operator="equal">
      <formula>"Fail"</formula>
    </cfRule>
  </conditionalFormatting>
  <conditionalFormatting sqref="J1488:L1488">
    <cfRule type="cellIs" dxfId="3146" priority="3141" stopIfTrue="1" operator="equal">
      <formula>"Pass"</formula>
    </cfRule>
    <cfRule type="cellIs" dxfId="3145" priority="3142" stopIfTrue="1" operator="equal">
      <formula>"Fail"</formula>
    </cfRule>
  </conditionalFormatting>
  <conditionalFormatting sqref="I1488">
    <cfRule type="cellIs" dxfId="3144" priority="3139" stopIfTrue="1" operator="equal">
      <formula>"Pass"</formula>
    </cfRule>
    <cfRule type="cellIs" dxfId="3143" priority="3140" stopIfTrue="1" operator="equal">
      <formula>"Fail"</formula>
    </cfRule>
  </conditionalFormatting>
  <conditionalFormatting sqref="I1488:L1488">
    <cfRule type="cellIs" dxfId="3142" priority="3137" stopIfTrue="1" operator="equal">
      <formula>"Pass"</formula>
    </cfRule>
    <cfRule type="cellIs" dxfId="3141" priority="3138" stopIfTrue="1" operator="equal">
      <formula>"Fail"</formula>
    </cfRule>
  </conditionalFormatting>
  <conditionalFormatting sqref="K1488:L1488">
    <cfRule type="cellIs" dxfId="3140" priority="3135" stopIfTrue="1" operator="equal">
      <formula>"Pass"</formula>
    </cfRule>
    <cfRule type="cellIs" dxfId="3139" priority="3136" stopIfTrue="1" operator="equal">
      <formula>"Fail"</formula>
    </cfRule>
  </conditionalFormatting>
  <conditionalFormatting sqref="K1488:L1488">
    <cfRule type="cellIs" dxfId="3138" priority="3133" stopIfTrue="1" operator="equal">
      <formula>"Pass"</formula>
    </cfRule>
    <cfRule type="cellIs" dxfId="3137" priority="3134" stopIfTrue="1" operator="equal">
      <formula>"Fail"</formula>
    </cfRule>
  </conditionalFormatting>
  <conditionalFormatting sqref="K1488:L1488">
    <cfRule type="cellIs" dxfId="3136" priority="3131" stopIfTrue="1" operator="equal">
      <formula>"Pass"</formula>
    </cfRule>
    <cfRule type="cellIs" dxfId="3135" priority="3132" stopIfTrue="1" operator="equal">
      <formula>"Fail"</formula>
    </cfRule>
  </conditionalFormatting>
  <conditionalFormatting sqref="K1488:L1488">
    <cfRule type="cellIs" dxfId="3134" priority="3129" stopIfTrue="1" operator="equal">
      <formula>"Pass"</formula>
    </cfRule>
    <cfRule type="cellIs" dxfId="3133" priority="3130" stopIfTrue="1" operator="equal">
      <formula>"Fail"</formula>
    </cfRule>
  </conditionalFormatting>
  <conditionalFormatting sqref="K1488:L1488">
    <cfRule type="cellIs" dxfId="3132" priority="3127" stopIfTrue="1" operator="equal">
      <formula>"Pass"</formula>
    </cfRule>
    <cfRule type="cellIs" dxfId="3131" priority="3128" stopIfTrue="1" operator="equal">
      <formula>"Fail"</formula>
    </cfRule>
  </conditionalFormatting>
  <conditionalFormatting sqref="K1488:L1488">
    <cfRule type="cellIs" dxfId="3130" priority="3125" stopIfTrue="1" operator="equal">
      <formula>"Pass"</formula>
    </cfRule>
    <cfRule type="cellIs" dxfId="3129" priority="3126" stopIfTrue="1" operator="equal">
      <formula>"Fail"</formula>
    </cfRule>
  </conditionalFormatting>
  <conditionalFormatting sqref="K1488:L1488">
    <cfRule type="cellIs" dxfId="3128" priority="3123" stopIfTrue="1" operator="equal">
      <formula>"Pass"</formula>
    </cfRule>
    <cfRule type="cellIs" dxfId="3127" priority="3124" stopIfTrue="1" operator="equal">
      <formula>"Fail"</formula>
    </cfRule>
  </conditionalFormatting>
  <conditionalFormatting sqref="K1488:L1488">
    <cfRule type="cellIs" dxfId="3126" priority="3121" stopIfTrue="1" operator="equal">
      <formula>"Pass"</formula>
    </cfRule>
    <cfRule type="cellIs" dxfId="3125" priority="3122" stopIfTrue="1" operator="equal">
      <formula>"Fail"</formula>
    </cfRule>
  </conditionalFormatting>
  <conditionalFormatting sqref="J1488:L1488">
    <cfRule type="cellIs" dxfId="3124" priority="3119" stopIfTrue="1" operator="equal">
      <formula>"Pass"</formula>
    </cfRule>
    <cfRule type="cellIs" dxfId="3123" priority="3120" stopIfTrue="1" operator="equal">
      <formula>"Fail"</formula>
    </cfRule>
  </conditionalFormatting>
  <conditionalFormatting sqref="I1488">
    <cfRule type="cellIs" dxfId="3122" priority="3117" stopIfTrue="1" operator="equal">
      <formula>"Pass"</formula>
    </cfRule>
    <cfRule type="cellIs" dxfId="3121" priority="3118" stopIfTrue="1" operator="equal">
      <formula>"Fail"</formula>
    </cfRule>
  </conditionalFormatting>
  <conditionalFormatting sqref="I1488:L1488">
    <cfRule type="cellIs" dxfId="3120" priority="3115" stopIfTrue="1" operator="equal">
      <formula>"Pass"</formula>
    </cfRule>
    <cfRule type="cellIs" dxfId="3119" priority="3116" stopIfTrue="1" operator="equal">
      <formula>"Fail"</formula>
    </cfRule>
  </conditionalFormatting>
  <conditionalFormatting sqref="J1488:L1488">
    <cfRule type="cellIs" dxfId="3118" priority="3113" stopIfTrue="1" operator="equal">
      <formula>"Pass"</formula>
    </cfRule>
    <cfRule type="cellIs" dxfId="3117" priority="3114" stopIfTrue="1" operator="equal">
      <formula>"Fail"</formula>
    </cfRule>
  </conditionalFormatting>
  <conditionalFormatting sqref="I1488">
    <cfRule type="cellIs" dxfId="3116" priority="3111" stopIfTrue="1" operator="equal">
      <formula>"Pass"</formula>
    </cfRule>
    <cfRule type="cellIs" dxfId="3115" priority="3112" stopIfTrue="1" operator="equal">
      <formula>"Fail"</formula>
    </cfRule>
  </conditionalFormatting>
  <conditionalFormatting sqref="I1488:L1488">
    <cfRule type="cellIs" dxfId="3114" priority="3109" stopIfTrue="1" operator="equal">
      <formula>"Pass"</formula>
    </cfRule>
    <cfRule type="cellIs" dxfId="3113" priority="3110" stopIfTrue="1" operator="equal">
      <formula>"Fail"</formula>
    </cfRule>
  </conditionalFormatting>
  <conditionalFormatting sqref="J1488:L1488">
    <cfRule type="cellIs" dxfId="3112" priority="3107" stopIfTrue="1" operator="equal">
      <formula>"Pass"</formula>
    </cfRule>
    <cfRule type="cellIs" dxfId="3111" priority="3108" stopIfTrue="1" operator="equal">
      <formula>"Fail"</formula>
    </cfRule>
  </conditionalFormatting>
  <conditionalFormatting sqref="I1488">
    <cfRule type="cellIs" dxfId="3110" priority="3105" stopIfTrue="1" operator="equal">
      <formula>"Pass"</formula>
    </cfRule>
    <cfRule type="cellIs" dxfId="3109" priority="3106" stopIfTrue="1" operator="equal">
      <formula>"Fail"</formula>
    </cfRule>
  </conditionalFormatting>
  <conditionalFormatting sqref="I1488:L1488">
    <cfRule type="cellIs" dxfId="3108" priority="3103" stopIfTrue="1" operator="equal">
      <formula>"Pass"</formula>
    </cfRule>
    <cfRule type="cellIs" dxfId="3107" priority="3104" stopIfTrue="1" operator="equal">
      <formula>"Fail"</formula>
    </cfRule>
  </conditionalFormatting>
  <conditionalFormatting sqref="J1488:L1488">
    <cfRule type="cellIs" dxfId="3106" priority="3101" stopIfTrue="1" operator="equal">
      <formula>"Pass"</formula>
    </cfRule>
    <cfRule type="cellIs" dxfId="3105" priority="3102" stopIfTrue="1" operator="equal">
      <formula>"Fail"</formula>
    </cfRule>
  </conditionalFormatting>
  <conditionalFormatting sqref="I1488">
    <cfRule type="cellIs" dxfId="3104" priority="3099" stopIfTrue="1" operator="equal">
      <formula>"Pass"</formula>
    </cfRule>
    <cfRule type="cellIs" dxfId="3103" priority="3100" stopIfTrue="1" operator="equal">
      <formula>"Fail"</formula>
    </cfRule>
  </conditionalFormatting>
  <conditionalFormatting sqref="I1488:L1488">
    <cfRule type="cellIs" dxfId="3102" priority="3097" stopIfTrue="1" operator="equal">
      <formula>"Pass"</formula>
    </cfRule>
    <cfRule type="cellIs" dxfId="3101" priority="3098" stopIfTrue="1" operator="equal">
      <formula>"Fail"</formula>
    </cfRule>
  </conditionalFormatting>
  <conditionalFormatting sqref="J1488:L1488">
    <cfRule type="cellIs" dxfId="3100" priority="3095" stopIfTrue="1" operator="equal">
      <formula>"Pass"</formula>
    </cfRule>
    <cfRule type="cellIs" dxfId="3099" priority="3096" stopIfTrue="1" operator="equal">
      <formula>"Fail"</formula>
    </cfRule>
  </conditionalFormatting>
  <conditionalFormatting sqref="I1488">
    <cfRule type="cellIs" dxfId="3098" priority="3093" stopIfTrue="1" operator="equal">
      <formula>"Pass"</formula>
    </cfRule>
    <cfRule type="cellIs" dxfId="3097" priority="3094" stopIfTrue="1" operator="equal">
      <formula>"Fail"</formula>
    </cfRule>
  </conditionalFormatting>
  <conditionalFormatting sqref="I1488:L1488">
    <cfRule type="cellIs" dxfId="3096" priority="3091" stopIfTrue="1" operator="equal">
      <formula>"Pass"</formula>
    </cfRule>
    <cfRule type="cellIs" dxfId="3095" priority="3092" stopIfTrue="1" operator="equal">
      <formula>"Fail"</formula>
    </cfRule>
  </conditionalFormatting>
  <conditionalFormatting sqref="J1488:L1488">
    <cfRule type="cellIs" dxfId="3094" priority="3089" stopIfTrue="1" operator="equal">
      <formula>"Pass"</formula>
    </cfRule>
    <cfRule type="cellIs" dxfId="3093" priority="3090" stopIfTrue="1" operator="equal">
      <formula>"Fail"</formula>
    </cfRule>
  </conditionalFormatting>
  <conditionalFormatting sqref="I1488">
    <cfRule type="cellIs" dxfId="3092" priority="3087" stopIfTrue="1" operator="equal">
      <formula>"Pass"</formula>
    </cfRule>
    <cfRule type="cellIs" dxfId="3091" priority="3088" stopIfTrue="1" operator="equal">
      <formula>"Fail"</formula>
    </cfRule>
  </conditionalFormatting>
  <conditionalFormatting sqref="I1488:L1488">
    <cfRule type="cellIs" dxfId="3090" priority="3085" stopIfTrue="1" operator="equal">
      <formula>"Pass"</formula>
    </cfRule>
    <cfRule type="cellIs" dxfId="3089" priority="3086" stopIfTrue="1" operator="equal">
      <formula>"Fail"</formula>
    </cfRule>
  </conditionalFormatting>
  <conditionalFormatting sqref="J1488:L1488">
    <cfRule type="cellIs" dxfId="3088" priority="3083" stopIfTrue="1" operator="equal">
      <formula>"Pass"</formula>
    </cfRule>
    <cfRule type="cellIs" dxfId="3087" priority="3084" stopIfTrue="1" operator="equal">
      <formula>"Fail"</formula>
    </cfRule>
  </conditionalFormatting>
  <conditionalFormatting sqref="I1488">
    <cfRule type="cellIs" dxfId="3086" priority="3081" stopIfTrue="1" operator="equal">
      <formula>"Pass"</formula>
    </cfRule>
    <cfRule type="cellIs" dxfId="3085" priority="3082" stopIfTrue="1" operator="equal">
      <formula>"Fail"</formula>
    </cfRule>
  </conditionalFormatting>
  <conditionalFormatting sqref="I1488:L1488">
    <cfRule type="cellIs" dxfId="3084" priority="3079" stopIfTrue="1" operator="equal">
      <formula>"Pass"</formula>
    </cfRule>
    <cfRule type="cellIs" dxfId="3083" priority="3080" stopIfTrue="1" operator="equal">
      <formula>"Fail"</formula>
    </cfRule>
  </conditionalFormatting>
  <conditionalFormatting sqref="J1488:L1488">
    <cfRule type="cellIs" dxfId="3082" priority="3077" stopIfTrue="1" operator="equal">
      <formula>"Pass"</formula>
    </cfRule>
    <cfRule type="cellIs" dxfId="3081" priority="3078" stopIfTrue="1" operator="equal">
      <formula>"Fail"</formula>
    </cfRule>
  </conditionalFormatting>
  <conditionalFormatting sqref="I1488">
    <cfRule type="cellIs" dxfId="3080" priority="3075" stopIfTrue="1" operator="equal">
      <formula>"Pass"</formula>
    </cfRule>
    <cfRule type="cellIs" dxfId="3079" priority="3076" stopIfTrue="1" operator="equal">
      <formula>"Fail"</formula>
    </cfRule>
  </conditionalFormatting>
  <conditionalFormatting sqref="I1488:L1488">
    <cfRule type="cellIs" dxfId="3078" priority="3073" stopIfTrue="1" operator="equal">
      <formula>"Pass"</formula>
    </cfRule>
    <cfRule type="cellIs" dxfId="3077" priority="3074" stopIfTrue="1" operator="equal">
      <formula>"Fail"</formula>
    </cfRule>
  </conditionalFormatting>
  <conditionalFormatting sqref="J1488:L1488">
    <cfRule type="cellIs" dxfId="3076" priority="3071" stopIfTrue="1" operator="equal">
      <formula>"Pass"</formula>
    </cfRule>
    <cfRule type="cellIs" dxfId="3075" priority="3072" stopIfTrue="1" operator="equal">
      <formula>"Fail"</formula>
    </cfRule>
  </conditionalFormatting>
  <conditionalFormatting sqref="I1488">
    <cfRule type="cellIs" dxfId="3074" priority="3069" stopIfTrue="1" operator="equal">
      <formula>"Pass"</formula>
    </cfRule>
    <cfRule type="cellIs" dxfId="3073" priority="3070" stopIfTrue="1" operator="equal">
      <formula>"Fail"</formula>
    </cfRule>
  </conditionalFormatting>
  <conditionalFormatting sqref="I1488:L1488">
    <cfRule type="cellIs" dxfId="3072" priority="3067" stopIfTrue="1" operator="equal">
      <formula>"Pass"</formula>
    </cfRule>
    <cfRule type="cellIs" dxfId="3071" priority="3068" stopIfTrue="1" operator="equal">
      <formula>"Fail"</formula>
    </cfRule>
  </conditionalFormatting>
  <conditionalFormatting sqref="J1488:L1488">
    <cfRule type="cellIs" dxfId="3070" priority="3065" stopIfTrue="1" operator="equal">
      <formula>"Pass"</formula>
    </cfRule>
    <cfRule type="cellIs" dxfId="3069" priority="3066" stopIfTrue="1" operator="equal">
      <formula>"Fail"</formula>
    </cfRule>
  </conditionalFormatting>
  <conditionalFormatting sqref="I1488">
    <cfRule type="cellIs" dxfId="3068" priority="3063" stopIfTrue="1" operator="equal">
      <formula>"Pass"</formula>
    </cfRule>
    <cfRule type="cellIs" dxfId="3067" priority="3064" stopIfTrue="1" operator="equal">
      <formula>"Fail"</formula>
    </cfRule>
  </conditionalFormatting>
  <conditionalFormatting sqref="I1488:L1488">
    <cfRule type="cellIs" dxfId="3066" priority="3061" stopIfTrue="1" operator="equal">
      <formula>"Pass"</formula>
    </cfRule>
    <cfRule type="cellIs" dxfId="3065" priority="3062" stopIfTrue="1" operator="equal">
      <formula>"Fail"</formula>
    </cfRule>
  </conditionalFormatting>
  <conditionalFormatting sqref="J1488:L1488">
    <cfRule type="cellIs" dxfId="3064" priority="3059" stopIfTrue="1" operator="equal">
      <formula>"Pass"</formula>
    </cfRule>
    <cfRule type="cellIs" dxfId="3063" priority="3060" stopIfTrue="1" operator="equal">
      <formula>"Fail"</formula>
    </cfRule>
  </conditionalFormatting>
  <conditionalFormatting sqref="I1488">
    <cfRule type="cellIs" dxfId="3062" priority="3057" stopIfTrue="1" operator="equal">
      <formula>"Pass"</formula>
    </cfRule>
    <cfRule type="cellIs" dxfId="3061" priority="3058" stopIfTrue="1" operator="equal">
      <formula>"Fail"</formula>
    </cfRule>
  </conditionalFormatting>
  <conditionalFormatting sqref="I1488:L1488">
    <cfRule type="cellIs" dxfId="3060" priority="3055" stopIfTrue="1" operator="equal">
      <formula>"Pass"</formula>
    </cfRule>
    <cfRule type="cellIs" dxfId="3059" priority="3056" stopIfTrue="1" operator="equal">
      <formula>"Fail"</formula>
    </cfRule>
  </conditionalFormatting>
  <conditionalFormatting sqref="J1488:L1488">
    <cfRule type="cellIs" dxfId="3058" priority="3053" stopIfTrue="1" operator="equal">
      <formula>"Pass"</formula>
    </cfRule>
    <cfRule type="cellIs" dxfId="3057" priority="3054" stopIfTrue="1" operator="equal">
      <formula>"Fail"</formula>
    </cfRule>
  </conditionalFormatting>
  <conditionalFormatting sqref="I1488">
    <cfRule type="cellIs" dxfId="3056" priority="3051" stopIfTrue="1" operator="equal">
      <formula>"Pass"</formula>
    </cfRule>
    <cfRule type="cellIs" dxfId="3055" priority="3052" stopIfTrue="1" operator="equal">
      <formula>"Fail"</formula>
    </cfRule>
  </conditionalFormatting>
  <conditionalFormatting sqref="I1488:L1488">
    <cfRule type="cellIs" dxfId="3054" priority="3049" stopIfTrue="1" operator="equal">
      <formula>"Pass"</formula>
    </cfRule>
    <cfRule type="cellIs" dxfId="3053" priority="3050" stopIfTrue="1" operator="equal">
      <formula>"Fail"</formula>
    </cfRule>
  </conditionalFormatting>
  <conditionalFormatting sqref="I1488:L1488">
    <cfRule type="cellIs" dxfId="3052" priority="3047" stopIfTrue="1" operator="equal">
      <formula>"Pass"</formula>
    </cfRule>
    <cfRule type="cellIs" dxfId="3051" priority="3048" stopIfTrue="1" operator="equal">
      <formula>"Fail"</formula>
    </cfRule>
  </conditionalFormatting>
  <conditionalFormatting sqref="I1488:L1488">
    <cfRule type="cellIs" dxfId="3050" priority="3045" stopIfTrue="1" operator="equal">
      <formula>"Pass"</formula>
    </cfRule>
    <cfRule type="cellIs" dxfId="3049" priority="3046" stopIfTrue="1" operator="equal">
      <formula>"Fail"</formula>
    </cfRule>
  </conditionalFormatting>
  <conditionalFormatting sqref="I1488:L1488">
    <cfRule type="cellIs" dxfId="3048" priority="3043" stopIfTrue="1" operator="equal">
      <formula>"Pass"</formula>
    </cfRule>
    <cfRule type="cellIs" dxfId="3047" priority="3044" stopIfTrue="1" operator="equal">
      <formula>"Fail"</formula>
    </cfRule>
  </conditionalFormatting>
  <conditionalFormatting sqref="J1488:L1488">
    <cfRule type="cellIs" dxfId="3046" priority="3041" stopIfTrue="1" operator="equal">
      <formula>"Pass"</formula>
    </cfRule>
    <cfRule type="cellIs" dxfId="3045" priority="3042" stopIfTrue="1" operator="equal">
      <formula>"Fail"</formula>
    </cfRule>
  </conditionalFormatting>
  <conditionalFormatting sqref="I1488">
    <cfRule type="cellIs" dxfId="3044" priority="3039" stopIfTrue="1" operator="equal">
      <formula>"Pass"</formula>
    </cfRule>
    <cfRule type="cellIs" dxfId="3043" priority="3040" stopIfTrue="1" operator="equal">
      <formula>"Fail"</formula>
    </cfRule>
  </conditionalFormatting>
  <conditionalFormatting sqref="I1488:L1488">
    <cfRule type="cellIs" dxfId="3042" priority="3037" stopIfTrue="1" operator="equal">
      <formula>"Pass"</formula>
    </cfRule>
    <cfRule type="cellIs" dxfId="3041" priority="3038" stopIfTrue="1" operator="equal">
      <formula>"Fail"</formula>
    </cfRule>
  </conditionalFormatting>
  <conditionalFormatting sqref="J1488:L1488">
    <cfRule type="cellIs" dxfId="3040" priority="3035" stopIfTrue="1" operator="equal">
      <formula>"Pass"</formula>
    </cfRule>
    <cfRule type="cellIs" dxfId="3039" priority="3036" stopIfTrue="1" operator="equal">
      <formula>"Fail"</formula>
    </cfRule>
  </conditionalFormatting>
  <conditionalFormatting sqref="I1488">
    <cfRule type="cellIs" dxfId="3038" priority="3033" stopIfTrue="1" operator="equal">
      <formula>"Pass"</formula>
    </cfRule>
    <cfRule type="cellIs" dxfId="3037" priority="3034" stopIfTrue="1" operator="equal">
      <formula>"Fail"</formula>
    </cfRule>
  </conditionalFormatting>
  <conditionalFormatting sqref="I1488:L1488">
    <cfRule type="cellIs" dxfId="3036" priority="3031" stopIfTrue="1" operator="equal">
      <formula>"Pass"</formula>
    </cfRule>
    <cfRule type="cellIs" dxfId="3035" priority="3032" stopIfTrue="1" operator="equal">
      <formula>"Fail"</formula>
    </cfRule>
  </conditionalFormatting>
  <conditionalFormatting sqref="J1488:L1488">
    <cfRule type="cellIs" dxfId="3034" priority="3029" stopIfTrue="1" operator="equal">
      <formula>"Pass"</formula>
    </cfRule>
    <cfRule type="cellIs" dxfId="3033" priority="3030" stopIfTrue="1" operator="equal">
      <formula>"Fail"</formula>
    </cfRule>
  </conditionalFormatting>
  <conditionalFormatting sqref="I1488">
    <cfRule type="cellIs" dxfId="3032" priority="3027" stopIfTrue="1" operator="equal">
      <formula>"Pass"</formula>
    </cfRule>
    <cfRule type="cellIs" dxfId="3031" priority="3028" stopIfTrue="1" operator="equal">
      <formula>"Fail"</formula>
    </cfRule>
  </conditionalFormatting>
  <conditionalFormatting sqref="I1488:L1488">
    <cfRule type="cellIs" dxfId="3030" priority="3025" stopIfTrue="1" operator="equal">
      <formula>"Pass"</formula>
    </cfRule>
    <cfRule type="cellIs" dxfId="3029" priority="3026" stopIfTrue="1" operator="equal">
      <formula>"Fail"</formula>
    </cfRule>
  </conditionalFormatting>
  <conditionalFormatting sqref="J1488:L1488">
    <cfRule type="cellIs" dxfId="3028" priority="3023" stopIfTrue="1" operator="equal">
      <formula>"Pass"</formula>
    </cfRule>
    <cfRule type="cellIs" dxfId="3027" priority="3024" stopIfTrue="1" operator="equal">
      <formula>"Fail"</formula>
    </cfRule>
  </conditionalFormatting>
  <conditionalFormatting sqref="I1488">
    <cfRule type="cellIs" dxfId="3026" priority="3021" stopIfTrue="1" operator="equal">
      <formula>"Pass"</formula>
    </cfRule>
    <cfRule type="cellIs" dxfId="3025" priority="3022" stopIfTrue="1" operator="equal">
      <formula>"Fail"</formula>
    </cfRule>
  </conditionalFormatting>
  <conditionalFormatting sqref="I1488:L1488">
    <cfRule type="cellIs" dxfId="3024" priority="3019" stopIfTrue="1" operator="equal">
      <formula>"Pass"</formula>
    </cfRule>
    <cfRule type="cellIs" dxfId="3023" priority="3020" stopIfTrue="1" operator="equal">
      <formula>"Fail"</formula>
    </cfRule>
  </conditionalFormatting>
  <conditionalFormatting sqref="I1488:L1488">
    <cfRule type="cellIs" dxfId="3022" priority="3017" stopIfTrue="1" operator="equal">
      <formula>"Pass"</formula>
    </cfRule>
    <cfRule type="cellIs" dxfId="3021" priority="3018" stopIfTrue="1" operator="equal">
      <formula>"Fail"</formula>
    </cfRule>
  </conditionalFormatting>
  <conditionalFormatting sqref="I1488:L1488">
    <cfRule type="cellIs" dxfId="3020" priority="3015" stopIfTrue="1" operator="equal">
      <formula>"Pass"</formula>
    </cfRule>
    <cfRule type="cellIs" dxfId="3019" priority="3016" stopIfTrue="1" operator="equal">
      <formula>"Fail"</formula>
    </cfRule>
  </conditionalFormatting>
  <conditionalFormatting sqref="I1488:L1488">
    <cfRule type="cellIs" dxfId="3018" priority="3013" stopIfTrue="1" operator="equal">
      <formula>"Pass"</formula>
    </cfRule>
    <cfRule type="cellIs" dxfId="3017" priority="3014" stopIfTrue="1" operator="equal">
      <formula>"Fail"</formula>
    </cfRule>
  </conditionalFormatting>
  <conditionalFormatting sqref="J1488:L1488">
    <cfRule type="cellIs" dxfId="3016" priority="3011" stopIfTrue="1" operator="equal">
      <formula>"Pass"</formula>
    </cfRule>
    <cfRule type="cellIs" dxfId="3015" priority="3012" stopIfTrue="1" operator="equal">
      <formula>"Fail"</formula>
    </cfRule>
  </conditionalFormatting>
  <conditionalFormatting sqref="I1488">
    <cfRule type="cellIs" dxfId="3014" priority="3009" stopIfTrue="1" operator="equal">
      <formula>"Pass"</formula>
    </cfRule>
    <cfRule type="cellIs" dxfId="3013" priority="3010" stopIfTrue="1" operator="equal">
      <formula>"Fail"</formula>
    </cfRule>
  </conditionalFormatting>
  <conditionalFormatting sqref="I1488:L1488">
    <cfRule type="cellIs" dxfId="3012" priority="3007" stopIfTrue="1" operator="equal">
      <formula>"Pass"</formula>
    </cfRule>
    <cfRule type="cellIs" dxfId="3011" priority="3008" stopIfTrue="1" operator="equal">
      <formula>"Fail"</formula>
    </cfRule>
  </conditionalFormatting>
  <conditionalFormatting sqref="J1488:L1488">
    <cfRule type="cellIs" dxfId="3010" priority="3005" stopIfTrue="1" operator="equal">
      <formula>"Pass"</formula>
    </cfRule>
    <cfRule type="cellIs" dxfId="3009" priority="3006" stopIfTrue="1" operator="equal">
      <formula>"Fail"</formula>
    </cfRule>
  </conditionalFormatting>
  <conditionalFormatting sqref="I1488">
    <cfRule type="cellIs" dxfId="3008" priority="3003" stopIfTrue="1" operator="equal">
      <formula>"Pass"</formula>
    </cfRule>
    <cfRule type="cellIs" dxfId="3007" priority="3004" stopIfTrue="1" operator="equal">
      <formula>"Fail"</formula>
    </cfRule>
  </conditionalFormatting>
  <conditionalFormatting sqref="I1488:L1488">
    <cfRule type="cellIs" dxfId="3006" priority="3001" stopIfTrue="1" operator="equal">
      <formula>"Pass"</formula>
    </cfRule>
    <cfRule type="cellIs" dxfId="3005" priority="3002" stopIfTrue="1" operator="equal">
      <formula>"Fail"</formula>
    </cfRule>
  </conditionalFormatting>
  <conditionalFormatting sqref="J1488:L1488">
    <cfRule type="cellIs" dxfId="3004" priority="2999" stopIfTrue="1" operator="equal">
      <formula>"Pass"</formula>
    </cfRule>
    <cfRule type="cellIs" dxfId="3003" priority="3000" stopIfTrue="1" operator="equal">
      <formula>"Fail"</formula>
    </cfRule>
  </conditionalFormatting>
  <conditionalFormatting sqref="I1488">
    <cfRule type="cellIs" dxfId="3002" priority="2997" stopIfTrue="1" operator="equal">
      <formula>"Pass"</formula>
    </cfRule>
    <cfRule type="cellIs" dxfId="3001" priority="2998" stopIfTrue="1" operator="equal">
      <formula>"Fail"</formula>
    </cfRule>
  </conditionalFormatting>
  <conditionalFormatting sqref="I1488:L1488">
    <cfRule type="cellIs" dxfId="3000" priority="2995" stopIfTrue="1" operator="equal">
      <formula>"Pass"</formula>
    </cfRule>
    <cfRule type="cellIs" dxfId="2999" priority="2996" stopIfTrue="1" operator="equal">
      <formula>"Fail"</formula>
    </cfRule>
  </conditionalFormatting>
  <conditionalFormatting sqref="J1488:L1488">
    <cfRule type="cellIs" dxfId="2998" priority="2993" stopIfTrue="1" operator="equal">
      <formula>"Pass"</formula>
    </cfRule>
    <cfRule type="cellIs" dxfId="2997" priority="2994" stopIfTrue="1" operator="equal">
      <formula>"Fail"</formula>
    </cfRule>
  </conditionalFormatting>
  <conditionalFormatting sqref="I1488">
    <cfRule type="cellIs" dxfId="2996" priority="2991" stopIfTrue="1" operator="equal">
      <formula>"Pass"</formula>
    </cfRule>
    <cfRule type="cellIs" dxfId="2995" priority="2992" stopIfTrue="1" operator="equal">
      <formula>"Fail"</formula>
    </cfRule>
  </conditionalFormatting>
  <conditionalFormatting sqref="I1488:L1488">
    <cfRule type="cellIs" dxfId="2994" priority="2989" stopIfTrue="1" operator="equal">
      <formula>"Pass"</formula>
    </cfRule>
    <cfRule type="cellIs" dxfId="2993" priority="2990" stopIfTrue="1" operator="equal">
      <formula>"Fail"</formula>
    </cfRule>
  </conditionalFormatting>
  <conditionalFormatting sqref="I1488:L1488">
    <cfRule type="cellIs" dxfId="2992" priority="2987" stopIfTrue="1" operator="equal">
      <formula>"Pass"</formula>
    </cfRule>
    <cfRule type="cellIs" dxfId="2991" priority="2988" stopIfTrue="1" operator="equal">
      <formula>"Fail"</formula>
    </cfRule>
  </conditionalFormatting>
  <conditionalFormatting sqref="I1488:L1488">
    <cfRule type="cellIs" dxfId="2990" priority="2985" stopIfTrue="1" operator="equal">
      <formula>"Pass"</formula>
    </cfRule>
    <cfRule type="cellIs" dxfId="2989" priority="2986" stopIfTrue="1" operator="equal">
      <formula>"Fail"</formula>
    </cfRule>
  </conditionalFormatting>
  <conditionalFormatting sqref="I1488:L1488">
    <cfRule type="cellIs" dxfId="2988" priority="2983" stopIfTrue="1" operator="equal">
      <formula>"Pass"</formula>
    </cfRule>
    <cfRule type="cellIs" dxfId="2987" priority="2984" stopIfTrue="1" operator="equal">
      <formula>"Fail"</formula>
    </cfRule>
  </conditionalFormatting>
  <conditionalFormatting sqref="J1488:L1488">
    <cfRule type="cellIs" dxfId="2986" priority="2981" stopIfTrue="1" operator="equal">
      <formula>"Pass"</formula>
    </cfRule>
    <cfRule type="cellIs" dxfId="2985" priority="2982" stopIfTrue="1" operator="equal">
      <formula>"Fail"</formula>
    </cfRule>
  </conditionalFormatting>
  <conditionalFormatting sqref="I1488">
    <cfRule type="cellIs" dxfId="2984" priority="2979" stopIfTrue="1" operator="equal">
      <formula>"Pass"</formula>
    </cfRule>
    <cfRule type="cellIs" dxfId="2983" priority="2980" stopIfTrue="1" operator="equal">
      <formula>"Fail"</formula>
    </cfRule>
  </conditionalFormatting>
  <conditionalFormatting sqref="I1488:L1488">
    <cfRule type="cellIs" dxfId="2982" priority="2977" stopIfTrue="1" operator="equal">
      <formula>"Pass"</formula>
    </cfRule>
    <cfRule type="cellIs" dxfId="2981" priority="2978" stopIfTrue="1" operator="equal">
      <formula>"Fail"</formula>
    </cfRule>
  </conditionalFormatting>
  <conditionalFormatting sqref="J1488:L1488">
    <cfRule type="cellIs" dxfId="2980" priority="2975" stopIfTrue="1" operator="equal">
      <formula>"Pass"</formula>
    </cfRule>
    <cfRule type="cellIs" dxfId="2979" priority="2976" stopIfTrue="1" operator="equal">
      <formula>"Fail"</formula>
    </cfRule>
  </conditionalFormatting>
  <conditionalFormatting sqref="I1488">
    <cfRule type="cellIs" dxfId="2978" priority="2973" stopIfTrue="1" operator="equal">
      <formula>"Pass"</formula>
    </cfRule>
    <cfRule type="cellIs" dxfId="2977" priority="2974" stopIfTrue="1" operator="equal">
      <formula>"Fail"</formula>
    </cfRule>
  </conditionalFormatting>
  <conditionalFormatting sqref="I1488:L1488">
    <cfRule type="cellIs" dxfId="2976" priority="2971" stopIfTrue="1" operator="equal">
      <formula>"Pass"</formula>
    </cfRule>
    <cfRule type="cellIs" dxfId="2975" priority="2972" stopIfTrue="1" operator="equal">
      <formula>"Fail"</formula>
    </cfRule>
  </conditionalFormatting>
  <conditionalFormatting sqref="J1488:L1488">
    <cfRule type="cellIs" dxfId="2974" priority="2969" stopIfTrue="1" operator="equal">
      <formula>"Pass"</formula>
    </cfRule>
    <cfRule type="cellIs" dxfId="2973" priority="2970" stopIfTrue="1" operator="equal">
      <formula>"Fail"</formula>
    </cfRule>
  </conditionalFormatting>
  <conditionalFormatting sqref="I1488">
    <cfRule type="cellIs" dxfId="2972" priority="2967" stopIfTrue="1" operator="equal">
      <formula>"Pass"</formula>
    </cfRule>
    <cfRule type="cellIs" dxfId="2971" priority="2968" stopIfTrue="1" operator="equal">
      <formula>"Fail"</formula>
    </cfRule>
  </conditionalFormatting>
  <conditionalFormatting sqref="I1488:L1488">
    <cfRule type="cellIs" dxfId="2970" priority="2965" stopIfTrue="1" operator="equal">
      <formula>"Pass"</formula>
    </cfRule>
    <cfRule type="cellIs" dxfId="2969" priority="2966" stopIfTrue="1" operator="equal">
      <formula>"Fail"</formula>
    </cfRule>
  </conditionalFormatting>
  <conditionalFormatting sqref="J1488:L1488">
    <cfRule type="cellIs" dxfId="2968" priority="2963" stopIfTrue="1" operator="equal">
      <formula>"Pass"</formula>
    </cfRule>
    <cfRule type="cellIs" dxfId="2967" priority="2964" stopIfTrue="1" operator="equal">
      <formula>"Fail"</formula>
    </cfRule>
  </conditionalFormatting>
  <conditionalFormatting sqref="I1488">
    <cfRule type="cellIs" dxfId="2966" priority="2961" stopIfTrue="1" operator="equal">
      <formula>"Pass"</formula>
    </cfRule>
    <cfRule type="cellIs" dxfId="2965" priority="2962" stopIfTrue="1" operator="equal">
      <formula>"Fail"</formula>
    </cfRule>
  </conditionalFormatting>
  <conditionalFormatting sqref="I1488:L1488">
    <cfRule type="cellIs" dxfId="2964" priority="2959" stopIfTrue="1" operator="equal">
      <formula>"Pass"</formula>
    </cfRule>
    <cfRule type="cellIs" dxfId="2963" priority="2960" stopIfTrue="1" operator="equal">
      <formula>"Fail"</formula>
    </cfRule>
  </conditionalFormatting>
  <conditionalFormatting sqref="I1488:L1488">
    <cfRule type="cellIs" dxfId="2962" priority="2957" stopIfTrue="1" operator="equal">
      <formula>"Pass"</formula>
    </cfRule>
    <cfRule type="cellIs" dxfId="2961" priority="2958" stopIfTrue="1" operator="equal">
      <formula>"Fail"</formula>
    </cfRule>
  </conditionalFormatting>
  <conditionalFormatting sqref="I1488:L1488">
    <cfRule type="cellIs" dxfId="2960" priority="2955" stopIfTrue="1" operator="equal">
      <formula>"Pass"</formula>
    </cfRule>
    <cfRule type="cellIs" dxfId="2959" priority="2956" stopIfTrue="1" operator="equal">
      <formula>"Fail"</formula>
    </cfRule>
  </conditionalFormatting>
  <conditionalFormatting sqref="I1488:L1488">
    <cfRule type="cellIs" dxfId="2958" priority="2953" stopIfTrue="1" operator="equal">
      <formula>"Pass"</formula>
    </cfRule>
    <cfRule type="cellIs" dxfId="2957" priority="2954" stopIfTrue="1" operator="equal">
      <formula>"Fail"</formula>
    </cfRule>
  </conditionalFormatting>
  <conditionalFormatting sqref="J1488:L1488">
    <cfRule type="cellIs" dxfId="2956" priority="2951" stopIfTrue="1" operator="equal">
      <formula>"Pass"</formula>
    </cfRule>
    <cfRule type="cellIs" dxfId="2955" priority="2952" stopIfTrue="1" operator="equal">
      <formula>"Fail"</formula>
    </cfRule>
  </conditionalFormatting>
  <conditionalFormatting sqref="I1488">
    <cfRule type="cellIs" dxfId="2954" priority="2949" stopIfTrue="1" operator="equal">
      <formula>"Pass"</formula>
    </cfRule>
    <cfRule type="cellIs" dxfId="2953" priority="2950" stopIfTrue="1" operator="equal">
      <formula>"Fail"</formula>
    </cfRule>
  </conditionalFormatting>
  <conditionalFormatting sqref="I1488:L1488">
    <cfRule type="cellIs" dxfId="2952" priority="2947" stopIfTrue="1" operator="equal">
      <formula>"Pass"</formula>
    </cfRule>
    <cfRule type="cellIs" dxfId="2951" priority="2948" stopIfTrue="1" operator="equal">
      <formula>"Fail"</formula>
    </cfRule>
  </conditionalFormatting>
  <conditionalFormatting sqref="J1488:L1488">
    <cfRule type="cellIs" dxfId="2950" priority="2945" stopIfTrue="1" operator="equal">
      <formula>"Pass"</formula>
    </cfRule>
    <cfRule type="cellIs" dxfId="2949" priority="2946" stopIfTrue="1" operator="equal">
      <formula>"Fail"</formula>
    </cfRule>
  </conditionalFormatting>
  <conditionalFormatting sqref="I1488">
    <cfRule type="cellIs" dxfId="2948" priority="2943" stopIfTrue="1" operator="equal">
      <formula>"Pass"</formula>
    </cfRule>
    <cfRule type="cellIs" dxfId="2947" priority="2944" stopIfTrue="1" operator="equal">
      <formula>"Fail"</formula>
    </cfRule>
  </conditionalFormatting>
  <conditionalFormatting sqref="I1488:L1488">
    <cfRule type="cellIs" dxfId="2946" priority="2941" stopIfTrue="1" operator="equal">
      <formula>"Pass"</formula>
    </cfRule>
    <cfRule type="cellIs" dxfId="2945" priority="2942" stopIfTrue="1" operator="equal">
      <formula>"Fail"</formula>
    </cfRule>
  </conditionalFormatting>
  <conditionalFormatting sqref="J1488:L1488">
    <cfRule type="cellIs" dxfId="2944" priority="2939" stopIfTrue="1" operator="equal">
      <formula>"Pass"</formula>
    </cfRule>
    <cfRule type="cellIs" dxfId="2943" priority="2940" stopIfTrue="1" operator="equal">
      <formula>"Fail"</formula>
    </cfRule>
  </conditionalFormatting>
  <conditionalFormatting sqref="I1488">
    <cfRule type="cellIs" dxfId="2942" priority="2937" stopIfTrue="1" operator="equal">
      <formula>"Pass"</formula>
    </cfRule>
    <cfRule type="cellIs" dxfId="2941" priority="2938" stopIfTrue="1" operator="equal">
      <formula>"Fail"</formula>
    </cfRule>
  </conditionalFormatting>
  <conditionalFormatting sqref="I1488:L1488">
    <cfRule type="cellIs" dxfId="2940" priority="2935" stopIfTrue="1" operator="equal">
      <formula>"Pass"</formula>
    </cfRule>
    <cfRule type="cellIs" dxfId="2939" priority="2936" stopIfTrue="1" operator="equal">
      <formula>"Fail"</formula>
    </cfRule>
  </conditionalFormatting>
  <conditionalFormatting sqref="J1488:L1488">
    <cfRule type="cellIs" dxfId="2938" priority="2933" stopIfTrue="1" operator="equal">
      <formula>"Pass"</formula>
    </cfRule>
    <cfRule type="cellIs" dxfId="2937" priority="2934" stopIfTrue="1" operator="equal">
      <formula>"Fail"</formula>
    </cfRule>
  </conditionalFormatting>
  <conditionalFormatting sqref="I1488">
    <cfRule type="cellIs" dxfId="2936" priority="2931" stopIfTrue="1" operator="equal">
      <formula>"Pass"</formula>
    </cfRule>
    <cfRule type="cellIs" dxfId="2935" priority="2932" stopIfTrue="1" operator="equal">
      <formula>"Fail"</formula>
    </cfRule>
  </conditionalFormatting>
  <conditionalFormatting sqref="I1488:L1488">
    <cfRule type="cellIs" dxfId="2934" priority="2929" stopIfTrue="1" operator="equal">
      <formula>"Pass"</formula>
    </cfRule>
    <cfRule type="cellIs" dxfId="2933" priority="2930" stopIfTrue="1" operator="equal">
      <formula>"Fail"</formula>
    </cfRule>
  </conditionalFormatting>
  <conditionalFormatting sqref="I1488:L1488">
    <cfRule type="cellIs" dxfId="2932" priority="2927" stopIfTrue="1" operator="equal">
      <formula>"Pass"</formula>
    </cfRule>
    <cfRule type="cellIs" dxfId="2931" priority="2928" stopIfTrue="1" operator="equal">
      <formula>"Fail"</formula>
    </cfRule>
  </conditionalFormatting>
  <conditionalFormatting sqref="I1488:L1488">
    <cfRule type="cellIs" dxfId="2930" priority="2925" stopIfTrue="1" operator="equal">
      <formula>"Pass"</formula>
    </cfRule>
    <cfRule type="cellIs" dxfId="2929" priority="2926" stopIfTrue="1" operator="equal">
      <formula>"Fail"</formula>
    </cfRule>
  </conditionalFormatting>
  <conditionalFormatting sqref="I1488:L1488">
    <cfRule type="cellIs" dxfId="2928" priority="2923" stopIfTrue="1" operator="equal">
      <formula>"Pass"</formula>
    </cfRule>
    <cfRule type="cellIs" dxfId="2927" priority="2924" stopIfTrue="1" operator="equal">
      <formula>"Fail"</formula>
    </cfRule>
  </conditionalFormatting>
  <conditionalFormatting sqref="J1488:L1488">
    <cfRule type="cellIs" dxfId="2926" priority="2921" stopIfTrue="1" operator="equal">
      <formula>"Pass"</formula>
    </cfRule>
    <cfRule type="cellIs" dxfId="2925" priority="2922" stopIfTrue="1" operator="equal">
      <formula>"Fail"</formula>
    </cfRule>
  </conditionalFormatting>
  <conditionalFormatting sqref="I1488">
    <cfRule type="cellIs" dxfId="2924" priority="2919" stopIfTrue="1" operator="equal">
      <formula>"Pass"</formula>
    </cfRule>
    <cfRule type="cellIs" dxfId="2923" priority="2920" stopIfTrue="1" operator="equal">
      <formula>"Fail"</formula>
    </cfRule>
  </conditionalFormatting>
  <conditionalFormatting sqref="I1488:L1488">
    <cfRule type="cellIs" dxfId="2922" priority="2917" stopIfTrue="1" operator="equal">
      <formula>"Pass"</formula>
    </cfRule>
    <cfRule type="cellIs" dxfId="2921" priority="2918" stopIfTrue="1" operator="equal">
      <formula>"Fail"</formula>
    </cfRule>
  </conditionalFormatting>
  <conditionalFormatting sqref="J1488:L1488">
    <cfRule type="cellIs" dxfId="2920" priority="2915" stopIfTrue="1" operator="equal">
      <formula>"Pass"</formula>
    </cfRule>
    <cfRule type="cellIs" dxfId="2919" priority="2916" stopIfTrue="1" operator="equal">
      <formula>"Fail"</formula>
    </cfRule>
  </conditionalFormatting>
  <conditionalFormatting sqref="I1488">
    <cfRule type="cellIs" dxfId="2918" priority="2913" stopIfTrue="1" operator="equal">
      <formula>"Pass"</formula>
    </cfRule>
    <cfRule type="cellIs" dxfId="2917" priority="2914" stopIfTrue="1" operator="equal">
      <formula>"Fail"</formula>
    </cfRule>
  </conditionalFormatting>
  <conditionalFormatting sqref="I1488:L1488">
    <cfRule type="cellIs" dxfId="2916" priority="2911" stopIfTrue="1" operator="equal">
      <formula>"Pass"</formula>
    </cfRule>
    <cfRule type="cellIs" dxfId="2915" priority="2912" stopIfTrue="1" operator="equal">
      <formula>"Fail"</formula>
    </cfRule>
  </conditionalFormatting>
  <conditionalFormatting sqref="J1488:L1488">
    <cfRule type="cellIs" dxfId="2914" priority="2909" stopIfTrue="1" operator="equal">
      <formula>"Pass"</formula>
    </cfRule>
    <cfRule type="cellIs" dxfId="2913" priority="2910" stopIfTrue="1" operator="equal">
      <formula>"Fail"</formula>
    </cfRule>
  </conditionalFormatting>
  <conditionalFormatting sqref="I1488">
    <cfRule type="cellIs" dxfId="2912" priority="2907" stopIfTrue="1" operator="equal">
      <formula>"Pass"</formula>
    </cfRule>
    <cfRule type="cellIs" dxfId="2911" priority="2908" stopIfTrue="1" operator="equal">
      <formula>"Fail"</formula>
    </cfRule>
  </conditionalFormatting>
  <conditionalFormatting sqref="I1488:L1488">
    <cfRule type="cellIs" dxfId="2910" priority="2905" stopIfTrue="1" operator="equal">
      <formula>"Pass"</formula>
    </cfRule>
    <cfRule type="cellIs" dxfId="2909" priority="2906" stopIfTrue="1" operator="equal">
      <formula>"Fail"</formula>
    </cfRule>
  </conditionalFormatting>
  <conditionalFormatting sqref="J1488:L1488">
    <cfRule type="cellIs" dxfId="2908" priority="2903" stopIfTrue="1" operator="equal">
      <formula>"Pass"</formula>
    </cfRule>
    <cfRule type="cellIs" dxfId="2907" priority="2904" stopIfTrue="1" operator="equal">
      <formula>"Fail"</formula>
    </cfRule>
  </conditionalFormatting>
  <conditionalFormatting sqref="I1488">
    <cfRule type="cellIs" dxfId="2906" priority="2901" stopIfTrue="1" operator="equal">
      <formula>"Pass"</formula>
    </cfRule>
    <cfRule type="cellIs" dxfId="2905" priority="2902" stopIfTrue="1" operator="equal">
      <formula>"Fail"</formula>
    </cfRule>
  </conditionalFormatting>
  <conditionalFormatting sqref="I1488:L1488">
    <cfRule type="cellIs" dxfId="2904" priority="2899" stopIfTrue="1" operator="equal">
      <formula>"Pass"</formula>
    </cfRule>
    <cfRule type="cellIs" dxfId="2903" priority="2900" stopIfTrue="1" operator="equal">
      <formula>"Fail"</formula>
    </cfRule>
  </conditionalFormatting>
  <conditionalFormatting sqref="I1488:L1488">
    <cfRule type="cellIs" dxfId="2902" priority="2897" stopIfTrue="1" operator="equal">
      <formula>"Pass"</formula>
    </cfRule>
    <cfRule type="cellIs" dxfId="2901" priority="2898" stopIfTrue="1" operator="equal">
      <formula>"Fail"</formula>
    </cfRule>
  </conditionalFormatting>
  <conditionalFormatting sqref="I1488:L1488">
    <cfRule type="cellIs" dxfId="2900" priority="2895" stopIfTrue="1" operator="equal">
      <formula>"Pass"</formula>
    </cfRule>
    <cfRule type="cellIs" dxfId="2899" priority="2896" stopIfTrue="1" operator="equal">
      <formula>"Fail"</formula>
    </cfRule>
  </conditionalFormatting>
  <conditionalFormatting sqref="I1488:L1488">
    <cfRule type="cellIs" dxfId="2898" priority="2893" stopIfTrue="1" operator="equal">
      <formula>"Pass"</formula>
    </cfRule>
    <cfRule type="cellIs" dxfId="2897" priority="2894" stopIfTrue="1" operator="equal">
      <formula>"Fail"</formula>
    </cfRule>
  </conditionalFormatting>
  <conditionalFormatting sqref="I1488:L1488">
    <cfRule type="cellIs" dxfId="2896" priority="2891" stopIfTrue="1" operator="equal">
      <formula>"Pass"</formula>
    </cfRule>
    <cfRule type="cellIs" dxfId="2895" priority="2892" stopIfTrue="1" operator="equal">
      <formula>"Fail"</formula>
    </cfRule>
  </conditionalFormatting>
  <conditionalFormatting sqref="I1488:L1488">
    <cfRule type="cellIs" dxfId="2894" priority="2889" stopIfTrue="1" operator="equal">
      <formula>"Pass"</formula>
    </cfRule>
    <cfRule type="cellIs" dxfId="2893" priority="2890" stopIfTrue="1" operator="equal">
      <formula>"Fail"</formula>
    </cfRule>
  </conditionalFormatting>
  <conditionalFormatting sqref="I1488:L1488">
    <cfRule type="cellIs" dxfId="2892" priority="2887" stopIfTrue="1" operator="equal">
      <formula>"Pass"</formula>
    </cfRule>
    <cfRule type="cellIs" dxfId="2891" priority="2888" stopIfTrue="1" operator="equal">
      <formula>"Fail"</formula>
    </cfRule>
  </conditionalFormatting>
  <conditionalFormatting sqref="J1488:L1488">
    <cfRule type="cellIs" dxfId="2890" priority="2885" stopIfTrue="1" operator="equal">
      <formula>"Pass"</formula>
    </cfRule>
    <cfRule type="cellIs" dxfId="2889" priority="2886" stopIfTrue="1" operator="equal">
      <formula>"Fail"</formula>
    </cfRule>
  </conditionalFormatting>
  <conditionalFormatting sqref="I1488">
    <cfRule type="cellIs" dxfId="2888" priority="2883" stopIfTrue="1" operator="equal">
      <formula>"Pass"</formula>
    </cfRule>
    <cfRule type="cellIs" dxfId="2887" priority="2884" stopIfTrue="1" operator="equal">
      <formula>"Fail"</formula>
    </cfRule>
  </conditionalFormatting>
  <conditionalFormatting sqref="I1488:L1488">
    <cfRule type="cellIs" dxfId="2886" priority="2881" stopIfTrue="1" operator="equal">
      <formula>"Pass"</formula>
    </cfRule>
    <cfRule type="cellIs" dxfId="2885" priority="2882" stopIfTrue="1" operator="equal">
      <formula>"Fail"</formula>
    </cfRule>
  </conditionalFormatting>
  <conditionalFormatting sqref="J1488:L1488">
    <cfRule type="cellIs" dxfId="2884" priority="2879" stopIfTrue="1" operator="equal">
      <formula>"Pass"</formula>
    </cfRule>
    <cfRule type="cellIs" dxfId="2883" priority="2880" stopIfTrue="1" operator="equal">
      <formula>"Fail"</formula>
    </cfRule>
  </conditionalFormatting>
  <conditionalFormatting sqref="I1488">
    <cfRule type="cellIs" dxfId="2882" priority="2877" stopIfTrue="1" operator="equal">
      <formula>"Pass"</formula>
    </cfRule>
    <cfRule type="cellIs" dxfId="2881" priority="2878" stopIfTrue="1" operator="equal">
      <formula>"Fail"</formula>
    </cfRule>
  </conditionalFormatting>
  <conditionalFormatting sqref="I1488:L1488">
    <cfRule type="cellIs" dxfId="2880" priority="2875" stopIfTrue="1" operator="equal">
      <formula>"Pass"</formula>
    </cfRule>
    <cfRule type="cellIs" dxfId="2879" priority="2876" stopIfTrue="1" operator="equal">
      <formula>"Fail"</formula>
    </cfRule>
  </conditionalFormatting>
  <conditionalFormatting sqref="J1488:L1488">
    <cfRule type="cellIs" dxfId="2878" priority="2873" stopIfTrue="1" operator="equal">
      <formula>"Pass"</formula>
    </cfRule>
    <cfRule type="cellIs" dxfId="2877" priority="2874" stopIfTrue="1" operator="equal">
      <formula>"Fail"</formula>
    </cfRule>
  </conditionalFormatting>
  <conditionalFormatting sqref="I1488">
    <cfRule type="cellIs" dxfId="2876" priority="2871" stopIfTrue="1" operator="equal">
      <formula>"Pass"</formula>
    </cfRule>
    <cfRule type="cellIs" dxfId="2875" priority="2872" stopIfTrue="1" operator="equal">
      <formula>"Fail"</formula>
    </cfRule>
  </conditionalFormatting>
  <conditionalFormatting sqref="I1488:L1488">
    <cfRule type="cellIs" dxfId="2874" priority="2869" stopIfTrue="1" operator="equal">
      <formula>"Pass"</formula>
    </cfRule>
    <cfRule type="cellIs" dxfId="2873" priority="2870" stopIfTrue="1" operator="equal">
      <formula>"Fail"</formula>
    </cfRule>
  </conditionalFormatting>
  <conditionalFormatting sqref="J1488:L1488">
    <cfRule type="cellIs" dxfId="2872" priority="2867" stopIfTrue="1" operator="equal">
      <formula>"Pass"</formula>
    </cfRule>
    <cfRule type="cellIs" dxfId="2871" priority="2868" stopIfTrue="1" operator="equal">
      <formula>"Fail"</formula>
    </cfRule>
  </conditionalFormatting>
  <conditionalFormatting sqref="I1488">
    <cfRule type="cellIs" dxfId="2870" priority="2865" stopIfTrue="1" operator="equal">
      <formula>"Pass"</formula>
    </cfRule>
    <cfRule type="cellIs" dxfId="2869" priority="2866" stopIfTrue="1" operator="equal">
      <formula>"Fail"</formula>
    </cfRule>
  </conditionalFormatting>
  <conditionalFormatting sqref="I1488:L1488">
    <cfRule type="cellIs" dxfId="2868" priority="2863" stopIfTrue="1" operator="equal">
      <formula>"Pass"</formula>
    </cfRule>
    <cfRule type="cellIs" dxfId="2867" priority="2864" stopIfTrue="1" operator="equal">
      <formula>"Fail"</formula>
    </cfRule>
  </conditionalFormatting>
  <conditionalFormatting sqref="I1488:L1488">
    <cfRule type="cellIs" dxfId="2866" priority="2861" stopIfTrue="1" operator="equal">
      <formula>"Pass"</formula>
    </cfRule>
    <cfRule type="cellIs" dxfId="2865" priority="2862" stopIfTrue="1" operator="equal">
      <formula>"Fail"</formula>
    </cfRule>
  </conditionalFormatting>
  <conditionalFormatting sqref="I1488:L1488">
    <cfRule type="cellIs" dxfId="2864" priority="2859" stopIfTrue="1" operator="equal">
      <formula>"Pass"</formula>
    </cfRule>
    <cfRule type="cellIs" dxfId="2863" priority="2860" stopIfTrue="1" operator="equal">
      <formula>"Fail"</formula>
    </cfRule>
  </conditionalFormatting>
  <conditionalFormatting sqref="I1488:L1488">
    <cfRule type="cellIs" dxfId="2862" priority="2857" stopIfTrue="1" operator="equal">
      <formula>"Pass"</formula>
    </cfRule>
    <cfRule type="cellIs" dxfId="2861" priority="2858" stopIfTrue="1" operator="equal">
      <formula>"Fail"</formula>
    </cfRule>
  </conditionalFormatting>
  <conditionalFormatting sqref="I1488:L1488">
    <cfRule type="cellIs" dxfId="2860" priority="2855" stopIfTrue="1" operator="equal">
      <formula>"Pass"</formula>
    </cfRule>
    <cfRule type="cellIs" dxfId="2859" priority="2856" stopIfTrue="1" operator="equal">
      <formula>"Fail"</formula>
    </cfRule>
  </conditionalFormatting>
  <conditionalFormatting sqref="I1488:L1488">
    <cfRule type="cellIs" dxfId="2858" priority="2853" stopIfTrue="1" operator="equal">
      <formula>"Pass"</formula>
    </cfRule>
    <cfRule type="cellIs" dxfId="2857" priority="2854" stopIfTrue="1" operator="equal">
      <formula>"Fail"</formula>
    </cfRule>
  </conditionalFormatting>
  <conditionalFormatting sqref="I1488:L1488">
    <cfRule type="cellIs" dxfId="2856" priority="2851" stopIfTrue="1" operator="equal">
      <formula>"Pass"</formula>
    </cfRule>
    <cfRule type="cellIs" dxfId="2855" priority="2852" stopIfTrue="1" operator="equal">
      <formula>"Fail"</formula>
    </cfRule>
  </conditionalFormatting>
  <conditionalFormatting sqref="J1488:L1488">
    <cfRule type="cellIs" dxfId="2854" priority="2849" stopIfTrue="1" operator="equal">
      <formula>"Pass"</formula>
    </cfRule>
    <cfRule type="cellIs" dxfId="2853" priority="2850" stopIfTrue="1" operator="equal">
      <formula>"Fail"</formula>
    </cfRule>
  </conditionalFormatting>
  <conditionalFormatting sqref="I1488">
    <cfRule type="cellIs" dxfId="2852" priority="2847" stopIfTrue="1" operator="equal">
      <formula>"Pass"</formula>
    </cfRule>
    <cfRule type="cellIs" dxfId="2851" priority="2848" stopIfTrue="1" operator="equal">
      <formula>"Fail"</formula>
    </cfRule>
  </conditionalFormatting>
  <conditionalFormatting sqref="I1488:L1488">
    <cfRule type="cellIs" dxfId="2850" priority="2845" stopIfTrue="1" operator="equal">
      <formula>"Pass"</formula>
    </cfRule>
    <cfRule type="cellIs" dxfId="2849" priority="2846" stopIfTrue="1" operator="equal">
      <formula>"Fail"</formula>
    </cfRule>
  </conditionalFormatting>
  <conditionalFormatting sqref="J1488:L1488">
    <cfRule type="cellIs" dxfId="2848" priority="2843" stopIfTrue="1" operator="equal">
      <formula>"Pass"</formula>
    </cfRule>
    <cfRule type="cellIs" dxfId="2847" priority="2844" stopIfTrue="1" operator="equal">
      <formula>"Fail"</formula>
    </cfRule>
  </conditionalFormatting>
  <conditionalFormatting sqref="I1488">
    <cfRule type="cellIs" dxfId="2846" priority="2841" stopIfTrue="1" operator="equal">
      <formula>"Pass"</formula>
    </cfRule>
    <cfRule type="cellIs" dxfId="2845" priority="2842" stopIfTrue="1" operator="equal">
      <formula>"Fail"</formula>
    </cfRule>
  </conditionalFormatting>
  <conditionalFormatting sqref="I1488:L1488">
    <cfRule type="cellIs" dxfId="2844" priority="2839" stopIfTrue="1" operator="equal">
      <formula>"Pass"</formula>
    </cfRule>
    <cfRule type="cellIs" dxfId="2843" priority="2840" stopIfTrue="1" operator="equal">
      <formula>"Fail"</formula>
    </cfRule>
  </conditionalFormatting>
  <conditionalFormatting sqref="J1488:L1488">
    <cfRule type="cellIs" dxfId="2842" priority="2837" stopIfTrue="1" operator="equal">
      <formula>"Pass"</formula>
    </cfRule>
    <cfRule type="cellIs" dxfId="2841" priority="2838" stopIfTrue="1" operator="equal">
      <formula>"Fail"</formula>
    </cfRule>
  </conditionalFormatting>
  <conditionalFormatting sqref="I1488">
    <cfRule type="cellIs" dxfId="2840" priority="2835" stopIfTrue="1" operator="equal">
      <formula>"Pass"</formula>
    </cfRule>
    <cfRule type="cellIs" dxfId="2839" priority="2836" stopIfTrue="1" operator="equal">
      <formula>"Fail"</formula>
    </cfRule>
  </conditionalFormatting>
  <conditionalFormatting sqref="I1488:L1488">
    <cfRule type="cellIs" dxfId="2838" priority="2833" stopIfTrue="1" operator="equal">
      <formula>"Pass"</formula>
    </cfRule>
    <cfRule type="cellIs" dxfId="2837" priority="2834" stopIfTrue="1" operator="equal">
      <formula>"Fail"</formula>
    </cfRule>
  </conditionalFormatting>
  <conditionalFormatting sqref="J1488:L1488">
    <cfRule type="cellIs" dxfId="2836" priority="2831" stopIfTrue="1" operator="equal">
      <formula>"Pass"</formula>
    </cfRule>
    <cfRule type="cellIs" dxfId="2835" priority="2832" stopIfTrue="1" operator="equal">
      <formula>"Fail"</formula>
    </cfRule>
  </conditionalFormatting>
  <conditionalFormatting sqref="I1488">
    <cfRule type="cellIs" dxfId="2834" priority="2829" stopIfTrue="1" operator="equal">
      <formula>"Pass"</formula>
    </cfRule>
    <cfRule type="cellIs" dxfId="2833" priority="2830" stopIfTrue="1" operator="equal">
      <formula>"Fail"</formula>
    </cfRule>
  </conditionalFormatting>
  <conditionalFormatting sqref="I1488:L1488">
    <cfRule type="cellIs" dxfId="2832" priority="2827" stopIfTrue="1" operator="equal">
      <formula>"Pass"</formula>
    </cfRule>
    <cfRule type="cellIs" dxfId="2831" priority="2828" stopIfTrue="1" operator="equal">
      <formula>"Fail"</formula>
    </cfRule>
  </conditionalFormatting>
  <conditionalFormatting sqref="I1488:L1488">
    <cfRule type="cellIs" dxfId="2830" priority="2825" stopIfTrue="1" operator="equal">
      <formula>"Pass"</formula>
    </cfRule>
    <cfRule type="cellIs" dxfId="2829" priority="2826" stopIfTrue="1" operator="equal">
      <formula>"Fail"</formula>
    </cfRule>
  </conditionalFormatting>
  <conditionalFormatting sqref="I1488:L1488">
    <cfRule type="cellIs" dxfId="2828" priority="2823" stopIfTrue="1" operator="equal">
      <formula>"Pass"</formula>
    </cfRule>
    <cfRule type="cellIs" dxfId="2827" priority="2824" stopIfTrue="1" operator="equal">
      <formula>"Fail"</formula>
    </cfRule>
  </conditionalFormatting>
  <conditionalFormatting sqref="I1488:L1488">
    <cfRule type="cellIs" dxfId="2826" priority="2821" stopIfTrue="1" operator="equal">
      <formula>"Pass"</formula>
    </cfRule>
    <cfRule type="cellIs" dxfId="2825" priority="2822" stopIfTrue="1" operator="equal">
      <formula>"Fail"</formula>
    </cfRule>
  </conditionalFormatting>
  <conditionalFormatting sqref="I1488:L1488">
    <cfRule type="cellIs" dxfId="2824" priority="2819" stopIfTrue="1" operator="equal">
      <formula>"Pass"</formula>
    </cfRule>
    <cfRule type="cellIs" dxfId="2823" priority="2820" stopIfTrue="1" operator="equal">
      <formula>"Fail"</formula>
    </cfRule>
  </conditionalFormatting>
  <conditionalFormatting sqref="I1488:L1488">
    <cfRule type="cellIs" dxfId="2822" priority="2817" stopIfTrue="1" operator="equal">
      <formula>"Pass"</formula>
    </cfRule>
    <cfRule type="cellIs" dxfId="2821" priority="2818" stopIfTrue="1" operator="equal">
      <formula>"Fail"</formula>
    </cfRule>
  </conditionalFormatting>
  <conditionalFormatting sqref="I1488:L1488">
    <cfRule type="cellIs" dxfId="2820" priority="2815" stopIfTrue="1" operator="equal">
      <formula>"Pass"</formula>
    </cfRule>
    <cfRule type="cellIs" dxfId="2819" priority="2816" stopIfTrue="1" operator="equal">
      <formula>"Fail"</formula>
    </cfRule>
  </conditionalFormatting>
  <conditionalFormatting sqref="J1488:L1488">
    <cfRule type="cellIs" dxfId="2818" priority="2813" stopIfTrue="1" operator="equal">
      <formula>"Pass"</formula>
    </cfRule>
    <cfRule type="cellIs" dxfId="2817" priority="2814" stopIfTrue="1" operator="equal">
      <formula>"Fail"</formula>
    </cfRule>
  </conditionalFormatting>
  <conditionalFormatting sqref="I1488">
    <cfRule type="cellIs" dxfId="2816" priority="2811" stopIfTrue="1" operator="equal">
      <formula>"Pass"</formula>
    </cfRule>
    <cfRule type="cellIs" dxfId="2815" priority="2812" stopIfTrue="1" operator="equal">
      <formula>"Fail"</formula>
    </cfRule>
  </conditionalFormatting>
  <conditionalFormatting sqref="I1488:L1488">
    <cfRule type="cellIs" dxfId="2814" priority="2809" stopIfTrue="1" operator="equal">
      <formula>"Pass"</formula>
    </cfRule>
    <cfRule type="cellIs" dxfId="2813" priority="2810" stopIfTrue="1" operator="equal">
      <formula>"Fail"</formula>
    </cfRule>
  </conditionalFormatting>
  <conditionalFormatting sqref="J1488:L1488">
    <cfRule type="cellIs" dxfId="2812" priority="2807" stopIfTrue="1" operator="equal">
      <formula>"Pass"</formula>
    </cfRule>
    <cfRule type="cellIs" dxfId="2811" priority="2808" stopIfTrue="1" operator="equal">
      <formula>"Fail"</formula>
    </cfRule>
  </conditionalFormatting>
  <conditionalFormatting sqref="I1488">
    <cfRule type="cellIs" dxfId="2810" priority="2805" stopIfTrue="1" operator="equal">
      <formula>"Pass"</formula>
    </cfRule>
    <cfRule type="cellIs" dxfId="2809" priority="2806" stopIfTrue="1" operator="equal">
      <formula>"Fail"</formula>
    </cfRule>
  </conditionalFormatting>
  <conditionalFormatting sqref="I1488:L1488">
    <cfRule type="cellIs" dxfId="2808" priority="2803" stopIfTrue="1" operator="equal">
      <formula>"Pass"</formula>
    </cfRule>
    <cfRule type="cellIs" dxfId="2807" priority="2804" stopIfTrue="1" operator="equal">
      <formula>"Fail"</formula>
    </cfRule>
  </conditionalFormatting>
  <conditionalFormatting sqref="J1488:L1488">
    <cfRule type="cellIs" dxfId="2806" priority="2801" stopIfTrue="1" operator="equal">
      <formula>"Pass"</formula>
    </cfRule>
    <cfRule type="cellIs" dxfId="2805" priority="2802" stopIfTrue="1" operator="equal">
      <formula>"Fail"</formula>
    </cfRule>
  </conditionalFormatting>
  <conditionalFormatting sqref="I1488">
    <cfRule type="cellIs" dxfId="2804" priority="2799" stopIfTrue="1" operator="equal">
      <formula>"Pass"</formula>
    </cfRule>
    <cfRule type="cellIs" dxfId="2803" priority="2800" stopIfTrue="1" operator="equal">
      <formula>"Fail"</formula>
    </cfRule>
  </conditionalFormatting>
  <conditionalFormatting sqref="I1488:L1488">
    <cfRule type="cellIs" dxfId="2802" priority="2797" stopIfTrue="1" operator="equal">
      <formula>"Pass"</formula>
    </cfRule>
    <cfRule type="cellIs" dxfId="2801" priority="2798" stopIfTrue="1" operator="equal">
      <formula>"Fail"</formula>
    </cfRule>
  </conditionalFormatting>
  <conditionalFormatting sqref="J1488:L1488">
    <cfRule type="cellIs" dxfId="2800" priority="2795" stopIfTrue="1" operator="equal">
      <formula>"Pass"</formula>
    </cfRule>
    <cfRule type="cellIs" dxfId="2799" priority="2796" stopIfTrue="1" operator="equal">
      <formula>"Fail"</formula>
    </cfRule>
  </conditionalFormatting>
  <conditionalFormatting sqref="I1488">
    <cfRule type="cellIs" dxfId="2798" priority="2793" stopIfTrue="1" operator="equal">
      <formula>"Pass"</formula>
    </cfRule>
    <cfRule type="cellIs" dxfId="2797" priority="2794" stopIfTrue="1" operator="equal">
      <formula>"Fail"</formula>
    </cfRule>
  </conditionalFormatting>
  <conditionalFormatting sqref="I1488:L1488">
    <cfRule type="cellIs" dxfId="2796" priority="2791" stopIfTrue="1" operator="equal">
      <formula>"Pass"</formula>
    </cfRule>
    <cfRule type="cellIs" dxfId="2795" priority="2792" stopIfTrue="1" operator="equal">
      <formula>"Fail"</formula>
    </cfRule>
  </conditionalFormatting>
  <conditionalFormatting sqref="I1488:L1488">
    <cfRule type="cellIs" dxfId="2794" priority="2789" stopIfTrue="1" operator="equal">
      <formula>"Pass"</formula>
    </cfRule>
    <cfRule type="cellIs" dxfId="2793" priority="2790" stopIfTrue="1" operator="equal">
      <formula>"Fail"</formula>
    </cfRule>
  </conditionalFormatting>
  <conditionalFormatting sqref="H1488">
    <cfRule type="cellIs" dxfId="2792" priority="2787" stopIfTrue="1" operator="equal">
      <formula>"Pass"</formula>
    </cfRule>
    <cfRule type="cellIs" dxfId="2791" priority="2788" stopIfTrue="1" operator="equal">
      <formula>"Fail"</formula>
    </cfRule>
  </conditionalFormatting>
  <conditionalFormatting sqref="H1488">
    <cfRule type="cellIs" dxfId="2790" priority="2785" stopIfTrue="1" operator="equal">
      <formula>"Pass"</formula>
    </cfRule>
    <cfRule type="cellIs" dxfId="2789" priority="2786" stopIfTrue="1" operator="equal">
      <formula>"Fail"</formula>
    </cfRule>
  </conditionalFormatting>
  <conditionalFormatting sqref="H1488">
    <cfRule type="cellIs" dxfId="2788" priority="2783" stopIfTrue="1" operator="equal">
      <formula>"Pass"</formula>
    </cfRule>
    <cfRule type="cellIs" dxfId="2787" priority="2784" stopIfTrue="1" operator="equal">
      <formula>"Fail"</formula>
    </cfRule>
  </conditionalFormatting>
  <conditionalFormatting sqref="I1488:L1488">
    <cfRule type="cellIs" dxfId="2786" priority="2781" stopIfTrue="1" operator="equal">
      <formula>"Pass"</formula>
    </cfRule>
    <cfRule type="cellIs" dxfId="2785" priority="2782" stopIfTrue="1" operator="equal">
      <formula>"Fail"</formula>
    </cfRule>
  </conditionalFormatting>
  <conditionalFormatting sqref="I1488:L1488">
    <cfRule type="cellIs" dxfId="2784" priority="2779" stopIfTrue="1" operator="equal">
      <formula>"Pass"</formula>
    </cfRule>
    <cfRule type="cellIs" dxfId="2783" priority="2780" stopIfTrue="1" operator="equal">
      <formula>"Fail"</formula>
    </cfRule>
  </conditionalFormatting>
  <conditionalFormatting sqref="I1488:L1488">
    <cfRule type="cellIs" dxfId="2782" priority="2777" stopIfTrue="1" operator="equal">
      <formula>"Pass"</formula>
    </cfRule>
    <cfRule type="cellIs" dxfId="2781" priority="2778" stopIfTrue="1" operator="equal">
      <formula>"Fail"</formula>
    </cfRule>
  </conditionalFormatting>
  <conditionalFormatting sqref="I1488:L1488">
    <cfRule type="cellIs" dxfId="2780" priority="2775" stopIfTrue="1" operator="equal">
      <formula>"Pass"</formula>
    </cfRule>
    <cfRule type="cellIs" dxfId="2779" priority="2776" stopIfTrue="1" operator="equal">
      <formula>"Fail"</formula>
    </cfRule>
  </conditionalFormatting>
  <conditionalFormatting sqref="I1488:L1488">
    <cfRule type="cellIs" dxfId="2778" priority="2773" stopIfTrue="1" operator="equal">
      <formula>"Pass"</formula>
    </cfRule>
    <cfRule type="cellIs" dxfId="2777" priority="2774" stopIfTrue="1" operator="equal">
      <formula>"Fail"</formula>
    </cfRule>
  </conditionalFormatting>
  <conditionalFormatting sqref="I1488:L1488">
    <cfRule type="cellIs" dxfId="2776" priority="2771" stopIfTrue="1" operator="equal">
      <formula>"Pass"</formula>
    </cfRule>
    <cfRule type="cellIs" dxfId="2775" priority="2772" stopIfTrue="1" operator="equal">
      <formula>"Fail"</formula>
    </cfRule>
  </conditionalFormatting>
  <conditionalFormatting sqref="J1488:L1488">
    <cfRule type="cellIs" dxfId="2774" priority="2769" stopIfTrue="1" operator="equal">
      <formula>"Pass"</formula>
    </cfRule>
    <cfRule type="cellIs" dxfId="2773" priority="2770" stopIfTrue="1" operator="equal">
      <formula>"Fail"</formula>
    </cfRule>
  </conditionalFormatting>
  <conditionalFormatting sqref="I1488">
    <cfRule type="cellIs" dxfId="2772" priority="2767" stopIfTrue="1" operator="equal">
      <formula>"Pass"</formula>
    </cfRule>
    <cfRule type="cellIs" dxfId="2771" priority="2768" stopIfTrue="1" operator="equal">
      <formula>"Fail"</formula>
    </cfRule>
  </conditionalFormatting>
  <conditionalFormatting sqref="I1488:L1488">
    <cfRule type="cellIs" dxfId="2770" priority="2765" stopIfTrue="1" operator="equal">
      <formula>"Pass"</formula>
    </cfRule>
    <cfRule type="cellIs" dxfId="2769" priority="2766" stopIfTrue="1" operator="equal">
      <formula>"Fail"</formula>
    </cfRule>
  </conditionalFormatting>
  <conditionalFormatting sqref="J1488:L1488">
    <cfRule type="cellIs" dxfId="2768" priority="2763" stopIfTrue="1" operator="equal">
      <formula>"Pass"</formula>
    </cfRule>
    <cfRule type="cellIs" dxfId="2767" priority="2764" stopIfTrue="1" operator="equal">
      <formula>"Fail"</formula>
    </cfRule>
  </conditionalFormatting>
  <conditionalFormatting sqref="I1488">
    <cfRule type="cellIs" dxfId="2766" priority="2761" stopIfTrue="1" operator="equal">
      <formula>"Pass"</formula>
    </cfRule>
    <cfRule type="cellIs" dxfId="2765" priority="2762" stopIfTrue="1" operator="equal">
      <formula>"Fail"</formula>
    </cfRule>
  </conditionalFormatting>
  <conditionalFormatting sqref="I1488:L1488">
    <cfRule type="cellIs" dxfId="2764" priority="2759" stopIfTrue="1" operator="equal">
      <formula>"Pass"</formula>
    </cfRule>
    <cfRule type="cellIs" dxfId="2763" priority="2760" stopIfTrue="1" operator="equal">
      <formula>"Fail"</formula>
    </cfRule>
  </conditionalFormatting>
  <conditionalFormatting sqref="J1488:L1488">
    <cfRule type="cellIs" dxfId="2762" priority="2757" stopIfTrue="1" operator="equal">
      <formula>"Pass"</formula>
    </cfRule>
    <cfRule type="cellIs" dxfId="2761" priority="2758" stopIfTrue="1" operator="equal">
      <formula>"Fail"</formula>
    </cfRule>
  </conditionalFormatting>
  <conditionalFormatting sqref="I1488">
    <cfRule type="cellIs" dxfId="2760" priority="2755" stopIfTrue="1" operator="equal">
      <formula>"Pass"</formula>
    </cfRule>
    <cfRule type="cellIs" dxfId="2759" priority="2756" stopIfTrue="1" operator="equal">
      <formula>"Fail"</formula>
    </cfRule>
  </conditionalFormatting>
  <conditionalFormatting sqref="I1488:L1488">
    <cfRule type="cellIs" dxfId="2758" priority="2753" stopIfTrue="1" operator="equal">
      <formula>"Pass"</formula>
    </cfRule>
    <cfRule type="cellIs" dxfId="2757" priority="2754" stopIfTrue="1" operator="equal">
      <formula>"Fail"</formula>
    </cfRule>
  </conditionalFormatting>
  <conditionalFormatting sqref="J1488:L1488">
    <cfRule type="cellIs" dxfId="2756" priority="2751" stopIfTrue="1" operator="equal">
      <formula>"Pass"</formula>
    </cfRule>
    <cfRule type="cellIs" dxfId="2755" priority="2752" stopIfTrue="1" operator="equal">
      <formula>"Fail"</formula>
    </cfRule>
  </conditionalFormatting>
  <conditionalFormatting sqref="I1488">
    <cfRule type="cellIs" dxfId="2754" priority="2749" stopIfTrue="1" operator="equal">
      <formula>"Pass"</formula>
    </cfRule>
    <cfRule type="cellIs" dxfId="2753" priority="2750" stopIfTrue="1" operator="equal">
      <formula>"Fail"</formula>
    </cfRule>
  </conditionalFormatting>
  <conditionalFormatting sqref="I1488:L1488">
    <cfRule type="cellIs" dxfId="2752" priority="2747" stopIfTrue="1" operator="equal">
      <formula>"Pass"</formula>
    </cfRule>
    <cfRule type="cellIs" dxfId="2751" priority="2748" stopIfTrue="1" operator="equal">
      <formula>"Fail"</formula>
    </cfRule>
  </conditionalFormatting>
  <conditionalFormatting sqref="I1488:L1488">
    <cfRule type="cellIs" dxfId="2750" priority="2745" stopIfTrue="1" operator="equal">
      <formula>"Pass"</formula>
    </cfRule>
    <cfRule type="cellIs" dxfId="2749" priority="2746" stopIfTrue="1" operator="equal">
      <formula>"Fail"</formula>
    </cfRule>
  </conditionalFormatting>
  <conditionalFormatting sqref="H1488">
    <cfRule type="cellIs" dxfId="2748" priority="2743" stopIfTrue="1" operator="equal">
      <formula>"Pass"</formula>
    </cfRule>
    <cfRule type="cellIs" dxfId="2747" priority="2744" stopIfTrue="1" operator="equal">
      <formula>"Fail"</formula>
    </cfRule>
  </conditionalFormatting>
  <conditionalFormatting sqref="H1488">
    <cfRule type="cellIs" dxfId="2746" priority="2741" stopIfTrue="1" operator="equal">
      <formula>"Pass"</formula>
    </cfRule>
    <cfRule type="cellIs" dxfId="2745" priority="2742" stopIfTrue="1" operator="equal">
      <formula>"Fail"</formula>
    </cfRule>
  </conditionalFormatting>
  <conditionalFormatting sqref="H1488">
    <cfRule type="cellIs" dxfId="2744" priority="2739" stopIfTrue="1" operator="equal">
      <formula>"Pass"</formula>
    </cfRule>
    <cfRule type="cellIs" dxfId="2743" priority="2740" stopIfTrue="1" operator="equal">
      <formula>"Fail"</formula>
    </cfRule>
  </conditionalFormatting>
  <conditionalFormatting sqref="I1488:L1488">
    <cfRule type="cellIs" dxfId="2742" priority="2737" stopIfTrue="1" operator="equal">
      <formula>"Pass"</formula>
    </cfRule>
    <cfRule type="cellIs" dxfId="2741" priority="2738" stopIfTrue="1" operator="equal">
      <formula>"Fail"</formula>
    </cfRule>
  </conditionalFormatting>
  <conditionalFormatting sqref="I1488:L1488">
    <cfRule type="cellIs" dxfId="2740" priority="2735" stopIfTrue="1" operator="equal">
      <formula>"Pass"</formula>
    </cfRule>
    <cfRule type="cellIs" dxfId="2739" priority="2736" stopIfTrue="1" operator="equal">
      <formula>"Fail"</formula>
    </cfRule>
  </conditionalFormatting>
  <conditionalFormatting sqref="I1488:L1488">
    <cfRule type="cellIs" dxfId="2738" priority="2733" stopIfTrue="1" operator="equal">
      <formula>"Pass"</formula>
    </cfRule>
    <cfRule type="cellIs" dxfId="2737" priority="2734" stopIfTrue="1" operator="equal">
      <formula>"Fail"</formula>
    </cfRule>
  </conditionalFormatting>
  <conditionalFormatting sqref="I1488:L1488">
    <cfRule type="cellIs" dxfId="2736" priority="2731" stopIfTrue="1" operator="equal">
      <formula>"Pass"</formula>
    </cfRule>
    <cfRule type="cellIs" dxfId="2735" priority="2732" stopIfTrue="1" operator="equal">
      <formula>"Fail"</formula>
    </cfRule>
  </conditionalFormatting>
  <conditionalFormatting sqref="I1488:L1488">
    <cfRule type="cellIs" dxfId="2734" priority="2729" stopIfTrue="1" operator="equal">
      <formula>"Pass"</formula>
    </cfRule>
    <cfRule type="cellIs" dxfId="2733" priority="2730" stopIfTrue="1" operator="equal">
      <formula>"Fail"</formula>
    </cfRule>
  </conditionalFormatting>
  <conditionalFormatting sqref="I1488:L1488">
    <cfRule type="cellIs" dxfId="2732" priority="2727" stopIfTrue="1" operator="equal">
      <formula>"Pass"</formula>
    </cfRule>
    <cfRule type="cellIs" dxfId="2731" priority="2728" stopIfTrue="1" operator="equal">
      <formula>"Fail"</formula>
    </cfRule>
  </conditionalFormatting>
  <conditionalFormatting sqref="J1488:L1488">
    <cfRule type="cellIs" dxfId="2730" priority="2725" stopIfTrue="1" operator="equal">
      <formula>"Pass"</formula>
    </cfRule>
    <cfRule type="cellIs" dxfId="2729" priority="2726" stopIfTrue="1" operator="equal">
      <formula>"Fail"</formula>
    </cfRule>
  </conditionalFormatting>
  <conditionalFormatting sqref="I1488">
    <cfRule type="cellIs" dxfId="2728" priority="2723" stopIfTrue="1" operator="equal">
      <formula>"Pass"</formula>
    </cfRule>
    <cfRule type="cellIs" dxfId="2727" priority="2724" stopIfTrue="1" operator="equal">
      <formula>"Fail"</formula>
    </cfRule>
  </conditionalFormatting>
  <conditionalFormatting sqref="I1488:L1488">
    <cfRule type="cellIs" dxfId="2726" priority="2721" stopIfTrue="1" operator="equal">
      <formula>"Pass"</formula>
    </cfRule>
    <cfRule type="cellIs" dxfId="2725" priority="2722" stopIfTrue="1" operator="equal">
      <formula>"Fail"</formula>
    </cfRule>
  </conditionalFormatting>
  <conditionalFormatting sqref="J1488:L1488">
    <cfRule type="cellIs" dxfId="2724" priority="2719" stopIfTrue="1" operator="equal">
      <formula>"Pass"</formula>
    </cfRule>
    <cfRule type="cellIs" dxfId="2723" priority="2720" stopIfTrue="1" operator="equal">
      <formula>"Fail"</formula>
    </cfRule>
  </conditionalFormatting>
  <conditionalFormatting sqref="I1488">
    <cfRule type="cellIs" dxfId="2722" priority="2717" stopIfTrue="1" operator="equal">
      <formula>"Pass"</formula>
    </cfRule>
    <cfRule type="cellIs" dxfId="2721" priority="2718" stopIfTrue="1" operator="equal">
      <formula>"Fail"</formula>
    </cfRule>
  </conditionalFormatting>
  <conditionalFormatting sqref="I1488:L1488">
    <cfRule type="cellIs" dxfId="2720" priority="2715" stopIfTrue="1" operator="equal">
      <formula>"Pass"</formula>
    </cfRule>
    <cfRule type="cellIs" dxfId="2719" priority="2716" stopIfTrue="1" operator="equal">
      <formula>"Fail"</formula>
    </cfRule>
  </conditionalFormatting>
  <conditionalFormatting sqref="J1488:L1488">
    <cfRule type="cellIs" dxfId="2718" priority="2713" stopIfTrue="1" operator="equal">
      <formula>"Pass"</formula>
    </cfRule>
    <cfRule type="cellIs" dxfId="2717" priority="2714" stopIfTrue="1" operator="equal">
      <formula>"Fail"</formula>
    </cfRule>
  </conditionalFormatting>
  <conditionalFormatting sqref="I1488">
    <cfRule type="cellIs" dxfId="2716" priority="2711" stopIfTrue="1" operator="equal">
      <formula>"Pass"</formula>
    </cfRule>
    <cfRule type="cellIs" dxfId="2715" priority="2712" stopIfTrue="1" operator="equal">
      <formula>"Fail"</formula>
    </cfRule>
  </conditionalFormatting>
  <conditionalFormatting sqref="I1488:L1488">
    <cfRule type="cellIs" dxfId="2714" priority="2709" stopIfTrue="1" operator="equal">
      <formula>"Pass"</formula>
    </cfRule>
    <cfRule type="cellIs" dxfId="2713" priority="2710" stopIfTrue="1" operator="equal">
      <formula>"Fail"</formula>
    </cfRule>
  </conditionalFormatting>
  <conditionalFormatting sqref="J1488:L1488">
    <cfRule type="cellIs" dxfId="2712" priority="2707" stopIfTrue="1" operator="equal">
      <formula>"Pass"</formula>
    </cfRule>
    <cfRule type="cellIs" dxfId="2711" priority="2708" stopIfTrue="1" operator="equal">
      <formula>"Fail"</formula>
    </cfRule>
  </conditionalFormatting>
  <conditionalFormatting sqref="I1488">
    <cfRule type="cellIs" dxfId="2710" priority="2705" stopIfTrue="1" operator="equal">
      <formula>"Pass"</formula>
    </cfRule>
    <cfRule type="cellIs" dxfId="2709" priority="2706" stopIfTrue="1" operator="equal">
      <formula>"Fail"</formula>
    </cfRule>
  </conditionalFormatting>
  <conditionalFormatting sqref="I1488:L1488">
    <cfRule type="cellIs" dxfId="2708" priority="2703" stopIfTrue="1" operator="equal">
      <formula>"Pass"</formula>
    </cfRule>
    <cfRule type="cellIs" dxfId="2707" priority="2704" stopIfTrue="1" operator="equal">
      <formula>"Fail"</formula>
    </cfRule>
  </conditionalFormatting>
  <conditionalFormatting sqref="I1488:L1488">
    <cfRule type="cellIs" dxfId="2706" priority="2701" stopIfTrue="1" operator="equal">
      <formula>"Pass"</formula>
    </cfRule>
    <cfRule type="cellIs" dxfId="2705" priority="2702" stopIfTrue="1" operator="equal">
      <formula>"Fail"</formula>
    </cfRule>
  </conditionalFormatting>
  <conditionalFormatting sqref="I1488">
    <cfRule type="cellIs" dxfId="2704" priority="2699" stopIfTrue="1" operator="equal">
      <formula>"Pass"</formula>
    </cfRule>
    <cfRule type="cellIs" dxfId="2703" priority="2700" stopIfTrue="1" operator="equal">
      <formula>"Fail"</formula>
    </cfRule>
  </conditionalFormatting>
  <conditionalFormatting sqref="I1488">
    <cfRule type="cellIs" dxfId="2702" priority="2697" stopIfTrue="1" operator="equal">
      <formula>"Pass"</formula>
    </cfRule>
    <cfRule type="cellIs" dxfId="2701" priority="2698" stopIfTrue="1" operator="equal">
      <formula>"Fail"</formula>
    </cfRule>
  </conditionalFormatting>
  <conditionalFormatting sqref="H1488:L1488">
    <cfRule type="cellIs" dxfId="2700" priority="2695" stopIfTrue="1" operator="equal">
      <formula>"Pass"</formula>
    </cfRule>
    <cfRule type="cellIs" dxfId="2699" priority="2696" stopIfTrue="1" operator="equal">
      <formula>"Fail"</formula>
    </cfRule>
  </conditionalFormatting>
  <conditionalFormatting sqref="H1488:L1488">
    <cfRule type="cellIs" dxfId="2698" priority="2693" stopIfTrue="1" operator="equal">
      <formula>"Pass"</formula>
    </cfRule>
    <cfRule type="cellIs" dxfId="2697" priority="2694" stopIfTrue="1" operator="equal">
      <formula>"Fail"</formula>
    </cfRule>
  </conditionalFormatting>
  <conditionalFormatting sqref="H1488:L1488">
    <cfRule type="cellIs" dxfId="2696" priority="2691" stopIfTrue="1" operator="equal">
      <formula>"Pass"</formula>
    </cfRule>
    <cfRule type="cellIs" dxfId="2695" priority="2692" stopIfTrue="1" operator="equal">
      <formula>"Fail"</formula>
    </cfRule>
  </conditionalFormatting>
  <conditionalFormatting sqref="H1488:L1488">
    <cfRule type="cellIs" dxfId="2694" priority="2689" stopIfTrue="1" operator="equal">
      <formula>"Pass"</formula>
    </cfRule>
    <cfRule type="cellIs" dxfId="2693" priority="2690" stopIfTrue="1" operator="equal">
      <formula>"Fail"</formula>
    </cfRule>
  </conditionalFormatting>
  <conditionalFormatting sqref="H1488:L1488">
    <cfRule type="cellIs" dxfId="2692" priority="2687" stopIfTrue="1" operator="equal">
      <formula>"Pass"</formula>
    </cfRule>
    <cfRule type="cellIs" dxfId="2691" priority="2688" stopIfTrue="1" operator="equal">
      <formula>"Fail"</formula>
    </cfRule>
  </conditionalFormatting>
  <conditionalFormatting sqref="J1488:L1488">
    <cfRule type="cellIs" dxfId="2690" priority="2685" stopIfTrue="1" operator="equal">
      <formula>"Pass"</formula>
    </cfRule>
    <cfRule type="cellIs" dxfId="2689" priority="2686" stopIfTrue="1" operator="equal">
      <formula>"Fail"</formula>
    </cfRule>
  </conditionalFormatting>
  <conditionalFormatting sqref="I1488">
    <cfRule type="cellIs" dxfId="2688" priority="2683" stopIfTrue="1" operator="equal">
      <formula>"Pass"</formula>
    </cfRule>
    <cfRule type="cellIs" dxfId="2687" priority="2684" stopIfTrue="1" operator="equal">
      <formula>"Fail"</formula>
    </cfRule>
  </conditionalFormatting>
  <conditionalFormatting sqref="I1488:L1488">
    <cfRule type="cellIs" dxfId="2686" priority="2681" stopIfTrue="1" operator="equal">
      <formula>"Pass"</formula>
    </cfRule>
    <cfRule type="cellIs" dxfId="2685" priority="2682" stopIfTrue="1" operator="equal">
      <formula>"Fail"</formula>
    </cfRule>
  </conditionalFormatting>
  <conditionalFormatting sqref="J1488:L1488">
    <cfRule type="cellIs" dxfId="2684" priority="2679" stopIfTrue="1" operator="equal">
      <formula>"Pass"</formula>
    </cfRule>
    <cfRule type="cellIs" dxfId="2683" priority="2680" stopIfTrue="1" operator="equal">
      <formula>"Fail"</formula>
    </cfRule>
  </conditionalFormatting>
  <conditionalFormatting sqref="I1488">
    <cfRule type="cellIs" dxfId="2682" priority="2677" stopIfTrue="1" operator="equal">
      <formula>"Pass"</formula>
    </cfRule>
    <cfRule type="cellIs" dxfId="2681" priority="2678" stopIfTrue="1" operator="equal">
      <formula>"Fail"</formula>
    </cfRule>
  </conditionalFormatting>
  <conditionalFormatting sqref="I1488:L1488">
    <cfRule type="cellIs" dxfId="2680" priority="2675" stopIfTrue="1" operator="equal">
      <formula>"Pass"</formula>
    </cfRule>
    <cfRule type="cellIs" dxfId="2679" priority="2676" stopIfTrue="1" operator="equal">
      <formula>"Fail"</formula>
    </cfRule>
  </conditionalFormatting>
  <conditionalFormatting sqref="J1488:L1488">
    <cfRule type="cellIs" dxfId="2678" priority="2673" stopIfTrue="1" operator="equal">
      <formula>"Pass"</formula>
    </cfRule>
    <cfRule type="cellIs" dxfId="2677" priority="2674" stopIfTrue="1" operator="equal">
      <formula>"Fail"</formula>
    </cfRule>
  </conditionalFormatting>
  <conditionalFormatting sqref="I1488">
    <cfRule type="cellIs" dxfId="2676" priority="2671" stopIfTrue="1" operator="equal">
      <formula>"Pass"</formula>
    </cfRule>
    <cfRule type="cellIs" dxfId="2675" priority="2672" stopIfTrue="1" operator="equal">
      <formula>"Fail"</formula>
    </cfRule>
  </conditionalFormatting>
  <conditionalFormatting sqref="I1488:L1488">
    <cfRule type="cellIs" dxfId="2674" priority="2669" stopIfTrue="1" operator="equal">
      <formula>"Pass"</formula>
    </cfRule>
    <cfRule type="cellIs" dxfId="2673" priority="2670" stopIfTrue="1" operator="equal">
      <formula>"Fail"</formula>
    </cfRule>
  </conditionalFormatting>
  <conditionalFormatting sqref="J1488:L1488">
    <cfRule type="cellIs" dxfId="2672" priority="2667" stopIfTrue="1" operator="equal">
      <formula>"Pass"</formula>
    </cfRule>
    <cfRule type="cellIs" dxfId="2671" priority="2668" stopIfTrue="1" operator="equal">
      <formula>"Fail"</formula>
    </cfRule>
  </conditionalFormatting>
  <conditionalFormatting sqref="I1488">
    <cfRule type="cellIs" dxfId="2670" priority="2665" stopIfTrue="1" operator="equal">
      <formula>"Pass"</formula>
    </cfRule>
    <cfRule type="cellIs" dxfId="2669" priority="2666" stopIfTrue="1" operator="equal">
      <formula>"Fail"</formula>
    </cfRule>
  </conditionalFormatting>
  <conditionalFormatting sqref="I1488:L1488">
    <cfRule type="cellIs" dxfId="2668" priority="2663" stopIfTrue="1" operator="equal">
      <formula>"Pass"</formula>
    </cfRule>
    <cfRule type="cellIs" dxfId="2667" priority="2664" stopIfTrue="1" operator="equal">
      <formula>"Fail"</formula>
    </cfRule>
  </conditionalFormatting>
  <conditionalFormatting sqref="J1488:L1488">
    <cfRule type="cellIs" dxfId="2666" priority="2661" stopIfTrue="1" operator="equal">
      <formula>"Pass"</formula>
    </cfRule>
    <cfRule type="cellIs" dxfId="2665" priority="2662" stopIfTrue="1" operator="equal">
      <formula>"Fail"</formula>
    </cfRule>
  </conditionalFormatting>
  <conditionalFormatting sqref="I1488">
    <cfRule type="cellIs" dxfId="2664" priority="2659" stopIfTrue="1" operator="equal">
      <formula>"Pass"</formula>
    </cfRule>
    <cfRule type="cellIs" dxfId="2663" priority="2660" stopIfTrue="1" operator="equal">
      <formula>"Fail"</formula>
    </cfRule>
  </conditionalFormatting>
  <conditionalFormatting sqref="I1488:L1488">
    <cfRule type="cellIs" dxfId="2662" priority="2657" stopIfTrue="1" operator="equal">
      <formula>"Pass"</formula>
    </cfRule>
    <cfRule type="cellIs" dxfId="2661" priority="2658" stopIfTrue="1" operator="equal">
      <formula>"Fail"</formula>
    </cfRule>
  </conditionalFormatting>
  <conditionalFormatting sqref="J1488:L1488">
    <cfRule type="cellIs" dxfId="2660" priority="2655" stopIfTrue="1" operator="equal">
      <formula>"Pass"</formula>
    </cfRule>
    <cfRule type="cellIs" dxfId="2659" priority="2656" stopIfTrue="1" operator="equal">
      <formula>"Fail"</formula>
    </cfRule>
  </conditionalFormatting>
  <conditionalFormatting sqref="I1488">
    <cfRule type="cellIs" dxfId="2658" priority="2653" stopIfTrue="1" operator="equal">
      <formula>"Pass"</formula>
    </cfRule>
    <cfRule type="cellIs" dxfId="2657" priority="2654" stopIfTrue="1" operator="equal">
      <formula>"Fail"</formula>
    </cfRule>
  </conditionalFormatting>
  <conditionalFormatting sqref="I1488:L1488">
    <cfRule type="cellIs" dxfId="2656" priority="2651" stopIfTrue="1" operator="equal">
      <formula>"Pass"</formula>
    </cfRule>
    <cfRule type="cellIs" dxfId="2655" priority="2652" stopIfTrue="1" operator="equal">
      <formula>"Fail"</formula>
    </cfRule>
  </conditionalFormatting>
  <conditionalFormatting sqref="J1488:L1488">
    <cfRule type="cellIs" dxfId="2654" priority="2649" stopIfTrue="1" operator="equal">
      <formula>"Pass"</formula>
    </cfRule>
    <cfRule type="cellIs" dxfId="2653" priority="2650" stopIfTrue="1" operator="equal">
      <formula>"Fail"</formula>
    </cfRule>
  </conditionalFormatting>
  <conditionalFormatting sqref="I1488">
    <cfRule type="cellIs" dxfId="2652" priority="2647" stopIfTrue="1" operator="equal">
      <formula>"Pass"</formula>
    </cfRule>
    <cfRule type="cellIs" dxfId="2651" priority="2648" stopIfTrue="1" operator="equal">
      <formula>"Fail"</formula>
    </cfRule>
  </conditionalFormatting>
  <conditionalFormatting sqref="I1488:L1488">
    <cfRule type="cellIs" dxfId="2650" priority="2645" stopIfTrue="1" operator="equal">
      <formula>"Pass"</formula>
    </cfRule>
    <cfRule type="cellIs" dxfId="2649" priority="2646" stopIfTrue="1" operator="equal">
      <formula>"Fail"</formula>
    </cfRule>
  </conditionalFormatting>
  <conditionalFormatting sqref="J1488:L1488">
    <cfRule type="cellIs" dxfId="2648" priority="2643" stopIfTrue="1" operator="equal">
      <formula>"Pass"</formula>
    </cfRule>
    <cfRule type="cellIs" dxfId="2647" priority="2644" stopIfTrue="1" operator="equal">
      <formula>"Fail"</formula>
    </cfRule>
  </conditionalFormatting>
  <conditionalFormatting sqref="I1488">
    <cfRule type="cellIs" dxfId="2646" priority="2641" stopIfTrue="1" operator="equal">
      <formula>"Pass"</formula>
    </cfRule>
    <cfRule type="cellIs" dxfId="2645" priority="2642" stopIfTrue="1" operator="equal">
      <formula>"Fail"</formula>
    </cfRule>
  </conditionalFormatting>
  <conditionalFormatting sqref="I1488:L1488">
    <cfRule type="cellIs" dxfId="2644" priority="2639" stopIfTrue="1" operator="equal">
      <formula>"Pass"</formula>
    </cfRule>
    <cfRule type="cellIs" dxfId="2643" priority="2640" stopIfTrue="1" operator="equal">
      <formula>"Fail"</formula>
    </cfRule>
  </conditionalFormatting>
  <conditionalFormatting sqref="J1488:L1488">
    <cfRule type="cellIs" dxfId="2642" priority="2637" stopIfTrue="1" operator="equal">
      <formula>"Pass"</formula>
    </cfRule>
    <cfRule type="cellIs" dxfId="2641" priority="2638" stopIfTrue="1" operator="equal">
      <formula>"Fail"</formula>
    </cfRule>
  </conditionalFormatting>
  <conditionalFormatting sqref="I1488">
    <cfRule type="cellIs" dxfId="2640" priority="2635" stopIfTrue="1" operator="equal">
      <formula>"Pass"</formula>
    </cfRule>
    <cfRule type="cellIs" dxfId="2639" priority="2636" stopIfTrue="1" operator="equal">
      <formula>"Fail"</formula>
    </cfRule>
  </conditionalFormatting>
  <conditionalFormatting sqref="I1488:L1488">
    <cfRule type="cellIs" dxfId="2638" priority="2633" stopIfTrue="1" operator="equal">
      <formula>"Pass"</formula>
    </cfRule>
    <cfRule type="cellIs" dxfId="2637" priority="2634" stopIfTrue="1" operator="equal">
      <formula>"Fail"</formula>
    </cfRule>
  </conditionalFormatting>
  <conditionalFormatting sqref="J1488:L1488">
    <cfRule type="cellIs" dxfId="2636" priority="2631" stopIfTrue="1" operator="equal">
      <formula>"Pass"</formula>
    </cfRule>
    <cfRule type="cellIs" dxfId="2635" priority="2632" stopIfTrue="1" operator="equal">
      <formula>"Fail"</formula>
    </cfRule>
  </conditionalFormatting>
  <conditionalFormatting sqref="I1488">
    <cfRule type="cellIs" dxfId="2634" priority="2629" stopIfTrue="1" operator="equal">
      <formula>"Pass"</formula>
    </cfRule>
    <cfRule type="cellIs" dxfId="2633" priority="2630" stopIfTrue="1" operator="equal">
      <formula>"Fail"</formula>
    </cfRule>
  </conditionalFormatting>
  <conditionalFormatting sqref="I1488:L1488">
    <cfRule type="cellIs" dxfId="2632" priority="2627" stopIfTrue="1" operator="equal">
      <formula>"Pass"</formula>
    </cfRule>
    <cfRule type="cellIs" dxfId="2631" priority="2628" stopIfTrue="1" operator="equal">
      <formula>"Fail"</formula>
    </cfRule>
  </conditionalFormatting>
  <conditionalFormatting sqref="J1488:L1488">
    <cfRule type="cellIs" dxfId="2630" priority="2625" stopIfTrue="1" operator="equal">
      <formula>"Pass"</formula>
    </cfRule>
    <cfRule type="cellIs" dxfId="2629" priority="2626" stopIfTrue="1" operator="equal">
      <formula>"Fail"</formula>
    </cfRule>
  </conditionalFormatting>
  <conditionalFormatting sqref="I1488">
    <cfRule type="cellIs" dxfId="2628" priority="2623" stopIfTrue="1" operator="equal">
      <formula>"Pass"</formula>
    </cfRule>
    <cfRule type="cellIs" dxfId="2627" priority="2624" stopIfTrue="1" operator="equal">
      <formula>"Fail"</formula>
    </cfRule>
  </conditionalFormatting>
  <conditionalFormatting sqref="I1488:L1488">
    <cfRule type="cellIs" dxfId="2626" priority="2621" stopIfTrue="1" operator="equal">
      <formula>"Pass"</formula>
    </cfRule>
    <cfRule type="cellIs" dxfId="2625" priority="2622" stopIfTrue="1" operator="equal">
      <formula>"Fail"</formula>
    </cfRule>
  </conditionalFormatting>
  <conditionalFormatting sqref="J1488:L1488">
    <cfRule type="cellIs" dxfId="2624" priority="2619" stopIfTrue="1" operator="equal">
      <formula>"Pass"</formula>
    </cfRule>
    <cfRule type="cellIs" dxfId="2623" priority="2620" stopIfTrue="1" operator="equal">
      <formula>"Fail"</formula>
    </cfRule>
  </conditionalFormatting>
  <conditionalFormatting sqref="I1488">
    <cfRule type="cellIs" dxfId="2622" priority="2617" stopIfTrue="1" operator="equal">
      <formula>"Pass"</formula>
    </cfRule>
    <cfRule type="cellIs" dxfId="2621" priority="2618" stopIfTrue="1" operator="equal">
      <formula>"Fail"</formula>
    </cfRule>
  </conditionalFormatting>
  <conditionalFormatting sqref="I1488:L1488">
    <cfRule type="cellIs" dxfId="2620" priority="2615" stopIfTrue="1" operator="equal">
      <formula>"Pass"</formula>
    </cfRule>
    <cfRule type="cellIs" dxfId="2619" priority="2616" stopIfTrue="1" operator="equal">
      <formula>"Fail"</formula>
    </cfRule>
  </conditionalFormatting>
  <conditionalFormatting sqref="J1488:L1488">
    <cfRule type="cellIs" dxfId="2618" priority="2613" stopIfTrue="1" operator="equal">
      <formula>"Pass"</formula>
    </cfRule>
    <cfRule type="cellIs" dxfId="2617" priority="2614" stopIfTrue="1" operator="equal">
      <formula>"Fail"</formula>
    </cfRule>
  </conditionalFormatting>
  <conditionalFormatting sqref="I1488">
    <cfRule type="cellIs" dxfId="2616" priority="2611" stopIfTrue="1" operator="equal">
      <formula>"Pass"</formula>
    </cfRule>
    <cfRule type="cellIs" dxfId="2615" priority="2612" stopIfTrue="1" operator="equal">
      <formula>"Fail"</formula>
    </cfRule>
  </conditionalFormatting>
  <conditionalFormatting sqref="I1488:L1488">
    <cfRule type="cellIs" dxfId="2614" priority="2609" stopIfTrue="1" operator="equal">
      <formula>"Pass"</formula>
    </cfRule>
    <cfRule type="cellIs" dxfId="2613" priority="2610" stopIfTrue="1" operator="equal">
      <formula>"Fail"</formula>
    </cfRule>
  </conditionalFormatting>
  <conditionalFormatting sqref="J1488:L1488">
    <cfRule type="cellIs" dxfId="2612" priority="2607" stopIfTrue="1" operator="equal">
      <formula>"Pass"</formula>
    </cfRule>
    <cfRule type="cellIs" dxfId="2611" priority="2608" stopIfTrue="1" operator="equal">
      <formula>"Fail"</formula>
    </cfRule>
  </conditionalFormatting>
  <conditionalFormatting sqref="I1488">
    <cfRule type="cellIs" dxfId="2610" priority="2605" stopIfTrue="1" operator="equal">
      <formula>"Pass"</formula>
    </cfRule>
    <cfRule type="cellIs" dxfId="2609" priority="2606" stopIfTrue="1" operator="equal">
      <formula>"Fail"</formula>
    </cfRule>
  </conditionalFormatting>
  <conditionalFormatting sqref="I1488:L1488">
    <cfRule type="cellIs" dxfId="2608" priority="2603" stopIfTrue="1" operator="equal">
      <formula>"Pass"</formula>
    </cfRule>
    <cfRule type="cellIs" dxfId="2607" priority="2604" stopIfTrue="1" operator="equal">
      <formula>"Fail"</formula>
    </cfRule>
  </conditionalFormatting>
  <conditionalFormatting sqref="J1488:L1488">
    <cfRule type="cellIs" dxfId="2606" priority="2601" stopIfTrue="1" operator="equal">
      <formula>"Pass"</formula>
    </cfRule>
    <cfRule type="cellIs" dxfId="2605" priority="2602" stopIfTrue="1" operator="equal">
      <formula>"Fail"</formula>
    </cfRule>
  </conditionalFormatting>
  <conditionalFormatting sqref="I1488">
    <cfRule type="cellIs" dxfId="2604" priority="2599" stopIfTrue="1" operator="equal">
      <formula>"Pass"</formula>
    </cfRule>
    <cfRule type="cellIs" dxfId="2603" priority="2600" stopIfTrue="1" operator="equal">
      <formula>"Fail"</formula>
    </cfRule>
  </conditionalFormatting>
  <conditionalFormatting sqref="I1488:L1488">
    <cfRule type="cellIs" dxfId="2602" priority="2597" stopIfTrue="1" operator="equal">
      <formula>"Pass"</formula>
    </cfRule>
    <cfRule type="cellIs" dxfId="2601" priority="2598" stopIfTrue="1" operator="equal">
      <formula>"Fail"</formula>
    </cfRule>
  </conditionalFormatting>
  <conditionalFormatting sqref="J1488:L1488">
    <cfRule type="cellIs" dxfId="2600" priority="2595" stopIfTrue="1" operator="equal">
      <formula>"Pass"</formula>
    </cfRule>
    <cfRule type="cellIs" dxfId="2599" priority="2596" stopIfTrue="1" operator="equal">
      <formula>"Fail"</formula>
    </cfRule>
  </conditionalFormatting>
  <conditionalFormatting sqref="I1488">
    <cfRule type="cellIs" dxfId="2598" priority="2593" stopIfTrue="1" operator="equal">
      <formula>"Pass"</formula>
    </cfRule>
    <cfRule type="cellIs" dxfId="2597" priority="2594" stopIfTrue="1" operator="equal">
      <formula>"Fail"</formula>
    </cfRule>
  </conditionalFormatting>
  <conditionalFormatting sqref="I1488:L1488">
    <cfRule type="cellIs" dxfId="2596" priority="2591" stopIfTrue="1" operator="equal">
      <formula>"Pass"</formula>
    </cfRule>
    <cfRule type="cellIs" dxfId="2595" priority="2592" stopIfTrue="1" operator="equal">
      <formula>"Fail"</formula>
    </cfRule>
  </conditionalFormatting>
  <conditionalFormatting sqref="J1488:L1488">
    <cfRule type="cellIs" dxfId="2594" priority="2589" stopIfTrue="1" operator="equal">
      <formula>"Pass"</formula>
    </cfRule>
    <cfRule type="cellIs" dxfId="2593" priority="2590" stopIfTrue="1" operator="equal">
      <formula>"Fail"</formula>
    </cfRule>
  </conditionalFormatting>
  <conditionalFormatting sqref="I1488">
    <cfRule type="cellIs" dxfId="2592" priority="2587" stopIfTrue="1" operator="equal">
      <formula>"Pass"</formula>
    </cfRule>
    <cfRule type="cellIs" dxfId="2591" priority="2588" stopIfTrue="1" operator="equal">
      <formula>"Fail"</formula>
    </cfRule>
  </conditionalFormatting>
  <conditionalFormatting sqref="I1488:L1488">
    <cfRule type="cellIs" dxfId="2590" priority="2585" stopIfTrue="1" operator="equal">
      <formula>"Pass"</formula>
    </cfRule>
    <cfRule type="cellIs" dxfId="2589" priority="2586" stopIfTrue="1" operator="equal">
      <formula>"Fail"</formula>
    </cfRule>
  </conditionalFormatting>
  <conditionalFormatting sqref="J1488:L1488">
    <cfRule type="cellIs" dxfId="2588" priority="2583" stopIfTrue="1" operator="equal">
      <formula>"Pass"</formula>
    </cfRule>
    <cfRule type="cellIs" dxfId="2587" priority="2584" stopIfTrue="1" operator="equal">
      <formula>"Fail"</formula>
    </cfRule>
  </conditionalFormatting>
  <conditionalFormatting sqref="I1488">
    <cfRule type="cellIs" dxfId="2586" priority="2581" stopIfTrue="1" operator="equal">
      <formula>"Pass"</formula>
    </cfRule>
    <cfRule type="cellIs" dxfId="2585" priority="2582" stopIfTrue="1" operator="equal">
      <formula>"Fail"</formula>
    </cfRule>
  </conditionalFormatting>
  <conditionalFormatting sqref="I1488:L1488">
    <cfRule type="cellIs" dxfId="2584" priority="2579" stopIfTrue="1" operator="equal">
      <formula>"Pass"</formula>
    </cfRule>
    <cfRule type="cellIs" dxfId="2583" priority="2580" stopIfTrue="1" operator="equal">
      <formula>"Fail"</formula>
    </cfRule>
  </conditionalFormatting>
  <conditionalFormatting sqref="J1488:L1488">
    <cfRule type="cellIs" dxfId="2582" priority="2577" stopIfTrue="1" operator="equal">
      <formula>"Pass"</formula>
    </cfRule>
    <cfRule type="cellIs" dxfId="2581" priority="2578" stopIfTrue="1" operator="equal">
      <formula>"Fail"</formula>
    </cfRule>
  </conditionalFormatting>
  <conditionalFormatting sqref="I1488">
    <cfRule type="cellIs" dxfId="2580" priority="2575" stopIfTrue="1" operator="equal">
      <formula>"Pass"</formula>
    </cfRule>
    <cfRule type="cellIs" dxfId="2579" priority="2576" stopIfTrue="1" operator="equal">
      <formula>"Fail"</formula>
    </cfRule>
  </conditionalFormatting>
  <conditionalFormatting sqref="I1488:L1488">
    <cfRule type="cellIs" dxfId="2578" priority="2573" stopIfTrue="1" operator="equal">
      <formula>"Pass"</formula>
    </cfRule>
    <cfRule type="cellIs" dxfId="2577" priority="2574" stopIfTrue="1" operator="equal">
      <formula>"Fail"</formula>
    </cfRule>
  </conditionalFormatting>
  <conditionalFormatting sqref="J1488:L1488">
    <cfRule type="cellIs" dxfId="2576" priority="2571" stopIfTrue="1" operator="equal">
      <formula>"Pass"</formula>
    </cfRule>
    <cfRule type="cellIs" dxfId="2575" priority="2572" stopIfTrue="1" operator="equal">
      <formula>"Fail"</formula>
    </cfRule>
  </conditionalFormatting>
  <conditionalFormatting sqref="I1488">
    <cfRule type="cellIs" dxfId="2574" priority="2569" stopIfTrue="1" operator="equal">
      <formula>"Pass"</formula>
    </cfRule>
    <cfRule type="cellIs" dxfId="2573" priority="2570" stopIfTrue="1" operator="equal">
      <formula>"Fail"</formula>
    </cfRule>
  </conditionalFormatting>
  <conditionalFormatting sqref="I1488:L1488">
    <cfRule type="cellIs" dxfId="2572" priority="2567" stopIfTrue="1" operator="equal">
      <formula>"Pass"</formula>
    </cfRule>
    <cfRule type="cellIs" dxfId="2571" priority="2568" stopIfTrue="1" operator="equal">
      <formula>"Fail"</formula>
    </cfRule>
  </conditionalFormatting>
  <conditionalFormatting sqref="J1488:L1488">
    <cfRule type="cellIs" dxfId="2570" priority="2565" stopIfTrue="1" operator="equal">
      <formula>"Pass"</formula>
    </cfRule>
    <cfRule type="cellIs" dxfId="2569" priority="2566" stopIfTrue="1" operator="equal">
      <formula>"Fail"</formula>
    </cfRule>
  </conditionalFormatting>
  <conditionalFormatting sqref="I1488">
    <cfRule type="cellIs" dxfId="2568" priority="2563" stopIfTrue="1" operator="equal">
      <formula>"Pass"</formula>
    </cfRule>
    <cfRule type="cellIs" dxfId="2567" priority="2564" stopIfTrue="1" operator="equal">
      <formula>"Fail"</formula>
    </cfRule>
  </conditionalFormatting>
  <conditionalFormatting sqref="I1488:L1488">
    <cfRule type="cellIs" dxfId="2566" priority="2561" stopIfTrue="1" operator="equal">
      <formula>"Pass"</formula>
    </cfRule>
    <cfRule type="cellIs" dxfId="2565" priority="2562" stopIfTrue="1" operator="equal">
      <formula>"Fail"</formula>
    </cfRule>
  </conditionalFormatting>
  <conditionalFormatting sqref="J1488:L1488">
    <cfRule type="cellIs" dxfId="2564" priority="2559" stopIfTrue="1" operator="equal">
      <formula>"Pass"</formula>
    </cfRule>
    <cfRule type="cellIs" dxfId="2563" priority="2560" stopIfTrue="1" operator="equal">
      <formula>"Fail"</formula>
    </cfRule>
  </conditionalFormatting>
  <conditionalFormatting sqref="I1488">
    <cfRule type="cellIs" dxfId="2562" priority="2557" stopIfTrue="1" operator="equal">
      <formula>"Pass"</formula>
    </cfRule>
    <cfRule type="cellIs" dxfId="2561" priority="2558" stopIfTrue="1" operator="equal">
      <formula>"Fail"</formula>
    </cfRule>
  </conditionalFormatting>
  <conditionalFormatting sqref="I1488:L1488">
    <cfRule type="cellIs" dxfId="2560" priority="2555" stopIfTrue="1" operator="equal">
      <formula>"Pass"</formula>
    </cfRule>
    <cfRule type="cellIs" dxfId="2559" priority="2556" stopIfTrue="1" operator="equal">
      <formula>"Fail"</formula>
    </cfRule>
  </conditionalFormatting>
  <conditionalFormatting sqref="J1488:L1488">
    <cfRule type="cellIs" dxfId="2558" priority="2553" stopIfTrue="1" operator="equal">
      <formula>"Pass"</formula>
    </cfRule>
    <cfRule type="cellIs" dxfId="2557" priority="2554" stopIfTrue="1" operator="equal">
      <formula>"Fail"</formula>
    </cfRule>
  </conditionalFormatting>
  <conditionalFormatting sqref="I1488">
    <cfRule type="cellIs" dxfId="2556" priority="2551" stopIfTrue="1" operator="equal">
      <formula>"Pass"</formula>
    </cfRule>
    <cfRule type="cellIs" dxfId="2555" priority="2552" stopIfTrue="1" operator="equal">
      <formula>"Fail"</formula>
    </cfRule>
  </conditionalFormatting>
  <conditionalFormatting sqref="I1488:L1488">
    <cfRule type="cellIs" dxfId="2554" priority="2549" stopIfTrue="1" operator="equal">
      <formula>"Pass"</formula>
    </cfRule>
    <cfRule type="cellIs" dxfId="2553" priority="2550" stopIfTrue="1" operator="equal">
      <formula>"Fail"</formula>
    </cfRule>
  </conditionalFormatting>
  <conditionalFormatting sqref="J1488:L1488">
    <cfRule type="cellIs" dxfId="2552" priority="2547" stopIfTrue="1" operator="equal">
      <formula>"Pass"</formula>
    </cfRule>
    <cfRule type="cellIs" dxfId="2551" priority="2548" stopIfTrue="1" operator="equal">
      <formula>"Fail"</formula>
    </cfRule>
  </conditionalFormatting>
  <conditionalFormatting sqref="I1488">
    <cfRule type="cellIs" dxfId="2550" priority="2545" stopIfTrue="1" operator="equal">
      <formula>"Pass"</formula>
    </cfRule>
    <cfRule type="cellIs" dxfId="2549" priority="2546" stopIfTrue="1" operator="equal">
      <formula>"Fail"</formula>
    </cfRule>
  </conditionalFormatting>
  <conditionalFormatting sqref="I1488:L1488">
    <cfRule type="cellIs" dxfId="2548" priority="2543" stopIfTrue="1" operator="equal">
      <formula>"Pass"</formula>
    </cfRule>
    <cfRule type="cellIs" dxfId="2547" priority="2544" stopIfTrue="1" operator="equal">
      <formula>"Fail"</formula>
    </cfRule>
  </conditionalFormatting>
  <conditionalFormatting sqref="I1488:L1488">
    <cfRule type="cellIs" dxfId="2546" priority="2541" stopIfTrue="1" operator="equal">
      <formula>"Pass"</formula>
    </cfRule>
    <cfRule type="cellIs" dxfId="2545" priority="2542" stopIfTrue="1" operator="equal">
      <formula>"Fail"</formula>
    </cfRule>
  </conditionalFormatting>
  <conditionalFormatting sqref="J1488:L1488">
    <cfRule type="cellIs" dxfId="2544" priority="2539" stopIfTrue="1" operator="equal">
      <formula>"Pass"</formula>
    </cfRule>
    <cfRule type="cellIs" dxfId="2543" priority="2540" stopIfTrue="1" operator="equal">
      <formula>"Fail"</formula>
    </cfRule>
  </conditionalFormatting>
  <conditionalFormatting sqref="I1488">
    <cfRule type="cellIs" dxfId="2542" priority="2537" stopIfTrue="1" operator="equal">
      <formula>"Pass"</formula>
    </cfRule>
    <cfRule type="cellIs" dxfId="2541" priority="2538" stopIfTrue="1" operator="equal">
      <formula>"Fail"</formula>
    </cfRule>
  </conditionalFormatting>
  <conditionalFormatting sqref="I1488:L1488">
    <cfRule type="cellIs" dxfId="2540" priority="2535" stopIfTrue="1" operator="equal">
      <formula>"Pass"</formula>
    </cfRule>
    <cfRule type="cellIs" dxfId="2539" priority="2536" stopIfTrue="1" operator="equal">
      <formula>"Fail"</formula>
    </cfRule>
  </conditionalFormatting>
  <conditionalFormatting sqref="J1488:L1488">
    <cfRule type="cellIs" dxfId="2538" priority="2533" stopIfTrue="1" operator="equal">
      <formula>"Pass"</formula>
    </cfRule>
    <cfRule type="cellIs" dxfId="2537" priority="2534" stopIfTrue="1" operator="equal">
      <formula>"Fail"</formula>
    </cfRule>
  </conditionalFormatting>
  <conditionalFormatting sqref="I1488">
    <cfRule type="cellIs" dxfId="2536" priority="2531" stopIfTrue="1" operator="equal">
      <formula>"Pass"</formula>
    </cfRule>
    <cfRule type="cellIs" dxfId="2535" priority="2532" stopIfTrue="1" operator="equal">
      <formula>"Fail"</formula>
    </cfRule>
  </conditionalFormatting>
  <conditionalFormatting sqref="I1488:L1488">
    <cfRule type="cellIs" dxfId="2534" priority="2529" stopIfTrue="1" operator="equal">
      <formula>"Pass"</formula>
    </cfRule>
    <cfRule type="cellIs" dxfId="2533" priority="2530" stopIfTrue="1" operator="equal">
      <formula>"Fail"</formula>
    </cfRule>
  </conditionalFormatting>
  <conditionalFormatting sqref="I1488:L1488">
    <cfRule type="cellIs" dxfId="2532" priority="2527" stopIfTrue="1" operator="equal">
      <formula>"Pass"</formula>
    </cfRule>
    <cfRule type="cellIs" dxfId="2531" priority="2528" stopIfTrue="1" operator="equal">
      <formula>"Fail"</formula>
    </cfRule>
  </conditionalFormatting>
  <conditionalFormatting sqref="J1488:L1488">
    <cfRule type="cellIs" dxfId="2530" priority="2525" stopIfTrue="1" operator="equal">
      <formula>"Pass"</formula>
    </cfRule>
    <cfRule type="cellIs" dxfId="2529" priority="2526" stopIfTrue="1" operator="equal">
      <formula>"Fail"</formula>
    </cfRule>
  </conditionalFormatting>
  <conditionalFormatting sqref="I1488">
    <cfRule type="cellIs" dxfId="2528" priority="2523" stopIfTrue="1" operator="equal">
      <formula>"Pass"</formula>
    </cfRule>
    <cfRule type="cellIs" dxfId="2527" priority="2524" stopIfTrue="1" operator="equal">
      <formula>"Fail"</formula>
    </cfRule>
  </conditionalFormatting>
  <conditionalFormatting sqref="I1488:L1488">
    <cfRule type="cellIs" dxfId="2526" priority="2521" stopIfTrue="1" operator="equal">
      <formula>"Pass"</formula>
    </cfRule>
    <cfRule type="cellIs" dxfId="2525" priority="2522" stopIfTrue="1" operator="equal">
      <formula>"Fail"</formula>
    </cfRule>
  </conditionalFormatting>
  <conditionalFormatting sqref="J1488:L1488">
    <cfRule type="cellIs" dxfId="2524" priority="2519" stopIfTrue="1" operator="equal">
      <formula>"Pass"</formula>
    </cfRule>
    <cfRule type="cellIs" dxfId="2523" priority="2520" stopIfTrue="1" operator="equal">
      <formula>"Fail"</formula>
    </cfRule>
  </conditionalFormatting>
  <conditionalFormatting sqref="I1488">
    <cfRule type="cellIs" dxfId="2522" priority="2517" stopIfTrue="1" operator="equal">
      <formula>"Pass"</formula>
    </cfRule>
    <cfRule type="cellIs" dxfId="2521" priority="2518" stopIfTrue="1" operator="equal">
      <formula>"Fail"</formula>
    </cfRule>
  </conditionalFormatting>
  <conditionalFormatting sqref="I1488:L1488">
    <cfRule type="cellIs" dxfId="2520" priority="2515" stopIfTrue="1" operator="equal">
      <formula>"Pass"</formula>
    </cfRule>
    <cfRule type="cellIs" dxfId="2519" priority="2516" stopIfTrue="1" operator="equal">
      <formula>"Fail"</formula>
    </cfRule>
  </conditionalFormatting>
  <conditionalFormatting sqref="I1488:L1488">
    <cfRule type="cellIs" dxfId="2518" priority="2513" stopIfTrue="1" operator="equal">
      <formula>"Pass"</formula>
    </cfRule>
    <cfRule type="cellIs" dxfId="2517" priority="2514" stopIfTrue="1" operator="equal">
      <formula>"Fail"</formula>
    </cfRule>
  </conditionalFormatting>
  <conditionalFormatting sqref="J1488:L1488">
    <cfRule type="cellIs" dxfId="2516" priority="2511" stopIfTrue="1" operator="equal">
      <formula>"Pass"</formula>
    </cfRule>
    <cfRule type="cellIs" dxfId="2515" priority="2512" stopIfTrue="1" operator="equal">
      <formula>"Fail"</formula>
    </cfRule>
  </conditionalFormatting>
  <conditionalFormatting sqref="I1488">
    <cfRule type="cellIs" dxfId="2514" priority="2509" stopIfTrue="1" operator="equal">
      <formula>"Pass"</formula>
    </cfRule>
    <cfRule type="cellIs" dxfId="2513" priority="2510" stopIfTrue="1" operator="equal">
      <formula>"Fail"</formula>
    </cfRule>
  </conditionalFormatting>
  <conditionalFormatting sqref="I1488:L1488">
    <cfRule type="cellIs" dxfId="2512" priority="2507" stopIfTrue="1" operator="equal">
      <formula>"Pass"</formula>
    </cfRule>
    <cfRule type="cellIs" dxfId="2511" priority="2508" stopIfTrue="1" operator="equal">
      <formula>"Fail"</formula>
    </cfRule>
  </conditionalFormatting>
  <conditionalFormatting sqref="J1488:L1488">
    <cfRule type="cellIs" dxfId="2510" priority="2505" stopIfTrue="1" operator="equal">
      <formula>"Pass"</formula>
    </cfRule>
    <cfRule type="cellIs" dxfId="2509" priority="2506" stopIfTrue="1" operator="equal">
      <formula>"Fail"</formula>
    </cfRule>
  </conditionalFormatting>
  <conditionalFormatting sqref="I1488">
    <cfRule type="cellIs" dxfId="2508" priority="2503" stopIfTrue="1" operator="equal">
      <formula>"Pass"</formula>
    </cfRule>
    <cfRule type="cellIs" dxfId="2507" priority="2504" stopIfTrue="1" operator="equal">
      <formula>"Fail"</formula>
    </cfRule>
  </conditionalFormatting>
  <conditionalFormatting sqref="I1488:L1488">
    <cfRule type="cellIs" dxfId="2506" priority="2501" stopIfTrue="1" operator="equal">
      <formula>"Pass"</formula>
    </cfRule>
    <cfRule type="cellIs" dxfId="2505" priority="2502" stopIfTrue="1" operator="equal">
      <formula>"Fail"</formula>
    </cfRule>
  </conditionalFormatting>
  <conditionalFormatting sqref="I1488:L1488">
    <cfRule type="cellIs" dxfId="2504" priority="2499" stopIfTrue="1" operator="equal">
      <formula>"Pass"</formula>
    </cfRule>
    <cfRule type="cellIs" dxfId="2503" priority="2500" stopIfTrue="1" operator="equal">
      <formula>"Fail"</formula>
    </cfRule>
  </conditionalFormatting>
  <conditionalFormatting sqref="J1488:L1488">
    <cfRule type="cellIs" dxfId="2502" priority="2497" stopIfTrue="1" operator="equal">
      <formula>"Pass"</formula>
    </cfRule>
    <cfRule type="cellIs" dxfId="2501" priority="2498" stopIfTrue="1" operator="equal">
      <formula>"Fail"</formula>
    </cfRule>
  </conditionalFormatting>
  <conditionalFormatting sqref="I1488">
    <cfRule type="cellIs" dxfId="2500" priority="2495" stopIfTrue="1" operator="equal">
      <formula>"Pass"</formula>
    </cfRule>
    <cfRule type="cellIs" dxfId="2499" priority="2496" stopIfTrue="1" operator="equal">
      <formula>"Fail"</formula>
    </cfRule>
  </conditionalFormatting>
  <conditionalFormatting sqref="I1488:L1488">
    <cfRule type="cellIs" dxfId="2498" priority="2493" stopIfTrue="1" operator="equal">
      <formula>"Pass"</formula>
    </cfRule>
    <cfRule type="cellIs" dxfId="2497" priority="2494" stopIfTrue="1" operator="equal">
      <formula>"Fail"</formula>
    </cfRule>
  </conditionalFormatting>
  <conditionalFormatting sqref="J1488:L1488">
    <cfRule type="cellIs" dxfId="2496" priority="2491" stopIfTrue="1" operator="equal">
      <formula>"Pass"</formula>
    </cfRule>
    <cfRule type="cellIs" dxfId="2495" priority="2492" stopIfTrue="1" operator="equal">
      <formula>"Fail"</formula>
    </cfRule>
  </conditionalFormatting>
  <conditionalFormatting sqref="I1488">
    <cfRule type="cellIs" dxfId="2494" priority="2489" stopIfTrue="1" operator="equal">
      <formula>"Pass"</formula>
    </cfRule>
    <cfRule type="cellIs" dxfId="2493" priority="2490" stopIfTrue="1" operator="equal">
      <formula>"Fail"</formula>
    </cfRule>
  </conditionalFormatting>
  <conditionalFormatting sqref="I1488:L1488">
    <cfRule type="cellIs" dxfId="2492" priority="2487" stopIfTrue="1" operator="equal">
      <formula>"Pass"</formula>
    </cfRule>
    <cfRule type="cellIs" dxfId="2491" priority="2488" stopIfTrue="1" operator="equal">
      <formula>"Fail"</formula>
    </cfRule>
  </conditionalFormatting>
  <conditionalFormatting sqref="I1488:L1488">
    <cfRule type="cellIs" dxfId="2490" priority="2485" stopIfTrue="1" operator="equal">
      <formula>"Pass"</formula>
    </cfRule>
    <cfRule type="cellIs" dxfId="2489" priority="2486" stopIfTrue="1" operator="equal">
      <formula>"Fail"</formula>
    </cfRule>
  </conditionalFormatting>
  <conditionalFormatting sqref="J1488:L1488">
    <cfRule type="cellIs" dxfId="2488" priority="2483" stopIfTrue="1" operator="equal">
      <formula>"Pass"</formula>
    </cfRule>
    <cfRule type="cellIs" dxfId="2487" priority="2484" stopIfTrue="1" operator="equal">
      <formula>"Fail"</formula>
    </cfRule>
  </conditionalFormatting>
  <conditionalFormatting sqref="I1488">
    <cfRule type="cellIs" dxfId="2486" priority="2481" stopIfTrue="1" operator="equal">
      <formula>"Pass"</formula>
    </cfRule>
    <cfRule type="cellIs" dxfId="2485" priority="2482" stopIfTrue="1" operator="equal">
      <formula>"Fail"</formula>
    </cfRule>
  </conditionalFormatting>
  <conditionalFormatting sqref="I1488:L1488">
    <cfRule type="cellIs" dxfId="2484" priority="2479" stopIfTrue="1" operator="equal">
      <formula>"Pass"</formula>
    </cfRule>
    <cfRule type="cellIs" dxfId="2483" priority="2480" stopIfTrue="1" operator="equal">
      <formula>"Fail"</formula>
    </cfRule>
  </conditionalFormatting>
  <conditionalFormatting sqref="J1488:L1488">
    <cfRule type="cellIs" dxfId="2482" priority="2477" stopIfTrue="1" operator="equal">
      <formula>"Pass"</formula>
    </cfRule>
    <cfRule type="cellIs" dxfId="2481" priority="2478" stopIfTrue="1" operator="equal">
      <formula>"Fail"</formula>
    </cfRule>
  </conditionalFormatting>
  <conditionalFormatting sqref="I1488">
    <cfRule type="cellIs" dxfId="2480" priority="2475" stopIfTrue="1" operator="equal">
      <formula>"Pass"</formula>
    </cfRule>
    <cfRule type="cellIs" dxfId="2479" priority="2476" stopIfTrue="1" operator="equal">
      <formula>"Fail"</formula>
    </cfRule>
  </conditionalFormatting>
  <conditionalFormatting sqref="I1488:L1488">
    <cfRule type="cellIs" dxfId="2478" priority="2473" stopIfTrue="1" operator="equal">
      <formula>"Pass"</formula>
    </cfRule>
    <cfRule type="cellIs" dxfId="2477" priority="2474" stopIfTrue="1" operator="equal">
      <formula>"Fail"</formula>
    </cfRule>
  </conditionalFormatting>
  <conditionalFormatting sqref="I1488:L1488">
    <cfRule type="cellIs" dxfId="2476" priority="2471" stopIfTrue="1" operator="equal">
      <formula>"Pass"</formula>
    </cfRule>
    <cfRule type="cellIs" dxfId="2475" priority="2472" stopIfTrue="1" operator="equal">
      <formula>"Fail"</formula>
    </cfRule>
  </conditionalFormatting>
  <conditionalFormatting sqref="I1488:L1488">
    <cfRule type="cellIs" dxfId="2474" priority="2469" stopIfTrue="1" operator="equal">
      <formula>"Pass"</formula>
    </cfRule>
    <cfRule type="cellIs" dxfId="2473" priority="2470" stopIfTrue="1" operator="equal">
      <formula>"Fail"</formula>
    </cfRule>
  </conditionalFormatting>
  <conditionalFormatting sqref="J1488:L1488">
    <cfRule type="cellIs" dxfId="2472" priority="2467" stopIfTrue="1" operator="equal">
      <formula>"Pass"</formula>
    </cfRule>
    <cfRule type="cellIs" dxfId="2471" priority="2468" stopIfTrue="1" operator="equal">
      <formula>"Fail"</formula>
    </cfRule>
  </conditionalFormatting>
  <conditionalFormatting sqref="I1488">
    <cfRule type="cellIs" dxfId="2470" priority="2465" stopIfTrue="1" operator="equal">
      <formula>"Pass"</formula>
    </cfRule>
    <cfRule type="cellIs" dxfId="2469" priority="2466" stopIfTrue="1" operator="equal">
      <formula>"Fail"</formula>
    </cfRule>
  </conditionalFormatting>
  <conditionalFormatting sqref="I1488:L1488">
    <cfRule type="cellIs" dxfId="2468" priority="2463" stopIfTrue="1" operator="equal">
      <formula>"Pass"</formula>
    </cfRule>
    <cfRule type="cellIs" dxfId="2467" priority="2464" stopIfTrue="1" operator="equal">
      <formula>"Fail"</formula>
    </cfRule>
  </conditionalFormatting>
  <conditionalFormatting sqref="J1488:L1488">
    <cfRule type="cellIs" dxfId="2466" priority="2461" stopIfTrue="1" operator="equal">
      <formula>"Pass"</formula>
    </cfRule>
    <cfRule type="cellIs" dxfId="2465" priority="2462" stopIfTrue="1" operator="equal">
      <formula>"Fail"</formula>
    </cfRule>
  </conditionalFormatting>
  <conditionalFormatting sqref="I1488">
    <cfRule type="cellIs" dxfId="2464" priority="2459" stopIfTrue="1" operator="equal">
      <formula>"Pass"</formula>
    </cfRule>
    <cfRule type="cellIs" dxfId="2463" priority="2460" stopIfTrue="1" operator="equal">
      <formula>"Fail"</formula>
    </cfRule>
  </conditionalFormatting>
  <conditionalFormatting sqref="I1488:L1488">
    <cfRule type="cellIs" dxfId="2462" priority="2457" stopIfTrue="1" operator="equal">
      <formula>"Pass"</formula>
    </cfRule>
    <cfRule type="cellIs" dxfId="2461" priority="2458" stopIfTrue="1" operator="equal">
      <formula>"Fail"</formula>
    </cfRule>
  </conditionalFormatting>
  <conditionalFormatting sqref="I1488:L1488">
    <cfRule type="cellIs" dxfId="2460" priority="2455" stopIfTrue="1" operator="equal">
      <formula>"Pass"</formula>
    </cfRule>
    <cfRule type="cellIs" dxfId="2459" priority="2456" stopIfTrue="1" operator="equal">
      <formula>"Fail"</formula>
    </cfRule>
  </conditionalFormatting>
  <conditionalFormatting sqref="I1488:L1488">
    <cfRule type="cellIs" dxfId="2458" priority="2453" stopIfTrue="1" operator="equal">
      <formula>"Pass"</formula>
    </cfRule>
    <cfRule type="cellIs" dxfId="2457" priority="2454" stopIfTrue="1" operator="equal">
      <formula>"Fail"</formula>
    </cfRule>
  </conditionalFormatting>
  <conditionalFormatting sqref="J1488:L1488">
    <cfRule type="cellIs" dxfId="2456" priority="2451" stopIfTrue="1" operator="equal">
      <formula>"Pass"</formula>
    </cfRule>
    <cfRule type="cellIs" dxfId="2455" priority="2452" stopIfTrue="1" operator="equal">
      <formula>"Fail"</formula>
    </cfRule>
  </conditionalFormatting>
  <conditionalFormatting sqref="I1488">
    <cfRule type="cellIs" dxfId="2454" priority="2449" stopIfTrue="1" operator="equal">
      <formula>"Pass"</formula>
    </cfRule>
    <cfRule type="cellIs" dxfId="2453" priority="2450" stopIfTrue="1" operator="equal">
      <formula>"Fail"</formula>
    </cfRule>
  </conditionalFormatting>
  <conditionalFormatting sqref="I1488:L1488">
    <cfRule type="cellIs" dxfId="2452" priority="2447" stopIfTrue="1" operator="equal">
      <formula>"Pass"</formula>
    </cfRule>
    <cfRule type="cellIs" dxfId="2451" priority="2448" stopIfTrue="1" operator="equal">
      <formula>"Fail"</formula>
    </cfRule>
  </conditionalFormatting>
  <conditionalFormatting sqref="J1488:L1488">
    <cfRule type="cellIs" dxfId="2450" priority="2445" stopIfTrue="1" operator="equal">
      <formula>"Pass"</formula>
    </cfRule>
    <cfRule type="cellIs" dxfId="2449" priority="2446" stopIfTrue="1" operator="equal">
      <formula>"Fail"</formula>
    </cfRule>
  </conditionalFormatting>
  <conditionalFormatting sqref="I1488">
    <cfRule type="cellIs" dxfId="2448" priority="2443" stopIfTrue="1" operator="equal">
      <formula>"Pass"</formula>
    </cfRule>
    <cfRule type="cellIs" dxfId="2447" priority="2444" stopIfTrue="1" operator="equal">
      <formula>"Fail"</formula>
    </cfRule>
  </conditionalFormatting>
  <conditionalFormatting sqref="I1488:L1488">
    <cfRule type="cellIs" dxfId="2446" priority="2441" stopIfTrue="1" operator="equal">
      <formula>"Pass"</formula>
    </cfRule>
    <cfRule type="cellIs" dxfId="2445" priority="2442" stopIfTrue="1" operator="equal">
      <formula>"Fail"</formula>
    </cfRule>
  </conditionalFormatting>
  <conditionalFormatting sqref="I1488:L1488">
    <cfRule type="cellIs" dxfId="2444" priority="2439" stopIfTrue="1" operator="equal">
      <formula>"Pass"</formula>
    </cfRule>
    <cfRule type="cellIs" dxfId="2443" priority="2440" stopIfTrue="1" operator="equal">
      <formula>"Fail"</formula>
    </cfRule>
  </conditionalFormatting>
  <conditionalFormatting sqref="I1488:L1488">
    <cfRule type="cellIs" dxfId="2442" priority="2437" stopIfTrue="1" operator="equal">
      <formula>"Pass"</formula>
    </cfRule>
    <cfRule type="cellIs" dxfId="2441" priority="2438" stopIfTrue="1" operator="equal">
      <formula>"Fail"</formula>
    </cfRule>
  </conditionalFormatting>
  <conditionalFormatting sqref="J1488:L1488">
    <cfRule type="cellIs" dxfId="2440" priority="2435" stopIfTrue="1" operator="equal">
      <formula>"Pass"</formula>
    </cfRule>
    <cfRule type="cellIs" dxfId="2439" priority="2436" stopIfTrue="1" operator="equal">
      <formula>"Fail"</formula>
    </cfRule>
  </conditionalFormatting>
  <conditionalFormatting sqref="I1488">
    <cfRule type="cellIs" dxfId="2438" priority="2433" stopIfTrue="1" operator="equal">
      <formula>"Pass"</formula>
    </cfRule>
    <cfRule type="cellIs" dxfId="2437" priority="2434" stopIfTrue="1" operator="equal">
      <formula>"Fail"</formula>
    </cfRule>
  </conditionalFormatting>
  <conditionalFormatting sqref="I1488:L1488">
    <cfRule type="cellIs" dxfId="2436" priority="2431" stopIfTrue="1" operator="equal">
      <formula>"Pass"</formula>
    </cfRule>
    <cfRule type="cellIs" dxfId="2435" priority="2432" stopIfTrue="1" operator="equal">
      <formula>"Fail"</formula>
    </cfRule>
  </conditionalFormatting>
  <conditionalFormatting sqref="J1488:L1488">
    <cfRule type="cellIs" dxfId="2434" priority="2429" stopIfTrue="1" operator="equal">
      <formula>"Pass"</formula>
    </cfRule>
    <cfRule type="cellIs" dxfId="2433" priority="2430" stopIfTrue="1" operator="equal">
      <formula>"Fail"</formula>
    </cfRule>
  </conditionalFormatting>
  <conditionalFormatting sqref="I1488">
    <cfRule type="cellIs" dxfId="2432" priority="2427" stopIfTrue="1" operator="equal">
      <formula>"Pass"</formula>
    </cfRule>
    <cfRule type="cellIs" dxfId="2431" priority="2428" stopIfTrue="1" operator="equal">
      <formula>"Fail"</formula>
    </cfRule>
  </conditionalFormatting>
  <conditionalFormatting sqref="I1488:L1488">
    <cfRule type="cellIs" dxfId="2430" priority="2425" stopIfTrue="1" operator="equal">
      <formula>"Pass"</formula>
    </cfRule>
    <cfRule type="cellIs" dxfId="2429" priority="2426" stopIfTrue="1" operator="equal">
      <formula>"Fail"</formula>
    </cfRule>
  </conditionalFormatting>
  <conditionalFormatting sqref="H1488">
    <cfRule type="cellIs" dxfId="2428" priority="2423" stopIfTrue="1" operator="equal">
      <formula>"Pass"</formula>
    </cfRule>
    <cfRule type="cellIs" dxfId="2427" priority="2424" stopIfTrue="1" operator="equal">
      <formula>"Fail"</formula>
    </cfRule>
  </conditionalFormatting>
  <conditionalFormatting sqref="H1488">
    <cfRule type="cellIs" dxfId="2426" priority="2421" stopIfTrue="1" operator="equal">
      <formula>"Pass"</formula>
    </cfRule>
    <cfRule type="cellIs" dxfId="2425" priority="2422" stopIfTrue="1" operator="equal">
      <formula>"Fail"</formula>
    </cfRule>
  </conditionalFormatting>
  <conditionalFormatting sqref="H1488">
    <cfRule type="cellIs" dxfId="2424" priority="2419" stopIfTrue="1" operator="equal">
      <formula>"Pass"</formula>
    </cfRule>
    <cfRule type="cellIs" dxfId="2423" priority="2420" stopIfTrue="1" operator="equal">
      <formula>"Fail"</formula>
    </cfRule>
  </conditionalFormatting>
  <conditionalFormatting sqref="I1488:L1488">
    <cfRule type="cellIs" dxfId="2422" priority="2417" stopIfTrue="1" operator="equal">
      <formula>"Pass"</formula>
    </cfRule>
    <cfRule type="cellIs" dxfId="2421" priority="2418" stopIfTrue="1" operator="equal">
      <formula>"Fail"</formula>
    </cfRule>
  </conditionalFormatting>
  <conditionalFormatting sqref="I1488:L1488">
    <cfRule type="cellIs" dxfId="2420" priority="2415" stopIfTrue="1" operator="equal">
      <formula>"Pass"</formula>
    </cfRule>
    <cfRule type="cellIs" dxfId="2419" priority="2416" stopIfTrue="1" operator="equal">
      <formula>"Fail"</formula>
    </cfRule>
  </conditionalFormatting>
  <conditionalFormatting sqref="J1488:L1488">
    <cfRule type="cellIs" dxfId="2418" priority="2413" stopIfTrue="1" operator="equal">
      <formula>"Pass"</formula>
    </cfRule>
    <cfRule type="cellIs" dxfId="2417" priority="2414" stopIfTrue="1" operator="equal">
      <formula>"Fail"</formula>
    </cfRule>
  </conditionalFormatting>
  <conditionalFormatting sqref="I1488">
    <cfRule type="cellIs" dxfId="2416" priority="2411" stopIfTrue="1" operator="equal">
      <formula>"Pass"</formula>
    </cfRule>
    <cfRule type="cellIs" dxfId="2415" priority="2412" stopIfTrue="1" operator="equal">
      <formula>"Fail"</formula>
    </cfRule>
  </conditionalFormatting>
  <conditionalFormatting sqref="I1488:L1488">
    <cfRule type="cellIs" dxfId="2414" priority="2409" stopIfTrue="1" operator="equal">
      <formula>"Pass"</formula>
    </cfRule>
    <cfRule type="cellIs" dxfId="2413" priority="2410" stopIfTrue="1" operator="equal">
      <formula>"Fail"</formula>
    </cfRule>
  </conditionalFormatting>
  <conditionalFormatting sqref="J1488:L1488">
    <cfRule type="cellIs" dxfId="2412" priority="2407" stopIfTrue="1" operator="equal">
      <formula>"Pass"</formula>
    </cfRule>
    <cfRule type="cellIs" dxfId="2411" priority="2408" stopIfTrue="1" operator="equal">
      <formula>"Fail"</formula>
    </cfRule>
  </conditionalFormatting>
  <conditionalFormatting sqref="I1488">
    <cfRule type="cellIs" dxfId="2410" priority="2405" stopIfTrue="1" operator="equal">
      <formula>"Pass"</formula>
    </cfRule>
    <cfRule type="cellIs" dxfId="2409" priority="2406" stopIfTrue="1" operator="equal">
      <formula>"Fail"</formula>
    </cfRule>
  </conditionalFormatting>
  <conditionalFormatting sqref="I1488:L1488">
    <cfRule type="cellIs" dxfId="2408" priority="2403" stopIfTrue="1" operator="equal">
      <formula>"Pass"</formula>
    </cfRule>
    <cfRule type="cellIs" dxfId="2407" priority="2404" stopIfTrue="1" operator="equal">
      <formula>"Fail"</formula>
    </cfRule>
  </conditionalFormatting>
  <conditionalFormatting sqref="H1488">
    <cfRule type="cellIs" dxfId="2406" priority="2401" stopIfTrue="1" operator="equal">
      <formula>"Pass"</formula>
    </cfRule>
    <cfRule type="cellIs" dxfId="2405" priority="2402" stopIfTrue="1" operator="equal">
      <formula>"Fail"</formula>
    </cfRule>
  </conditionalFormatting>
  <conditionalFormatting sqref="H1488">
    <cfRule type="cellIs" dxfId="2404" priority="2399" stopIfTrue="1" operator="equal">
      <formula>"Pass"</formula>
    </cfRule>
    <cfRule type="cellIs" dxfId="2403" priority="2400" stopIfTrue="1" operator="equal">
      <formula>"Fail"</formula>
    </cfRule>
  </conditionalFormatting>
  <conditionalFormatting sqref="H1488">
    <cfRule type="cellIs" dxfId="2402" priority="2397" stopIfTrue="1" operator="equal">
      <formula>"Pass"</formula>
    </cfRule>
    <cfRule type="cellIs" dxfId="2401" priority="2398" stopIfTrue="1" operator="equal">
      <formula>"Fail"</formula>
    </cfRule>
  </conditionalFormatting>
  <conditionalFormatting sqref="I1488:L1488">
    <cfRule type="cellIs" dxfId="2400" priority="2395" stopIfTrue="1" operator="equal">
      <formula>"Pass"</formula>
    </cfRule>
    <cfRule type="cellIs" dxfId="2399" priority="2396" stopIfTrue="1" operator="equal">
      <formula>"Fail"</formula>
    </cfRule>
  </conditionalFormatting>
  <conditionalFormatting sqref="I1488:L1488">
    <cfRule type="cellIs" dxfId="2398" priority="2393" stopIfTrue="1" operator="equal">
      <formula>"Pass"</formula>
    </cfRule>
    <cfRule type="cellIs" dxfId="2397" priority="2394" stopIfTrue="1" operator="equal">
      <formula>"Fail"</formula>
    </cfRule>
  </conditionalFormatting>
  <conditionalFormatting sqref="J1488:L1488">
    <cfRule type="cellIs" dxfId="2396" priority="2391" stopIfTrue="1" operator="equal">
      <formula>"Pass"</formula>
    </cfRule>
    <cfRule type="cellIs" dxfId="2395" priority="2392" stopIfTrue="1" operator="equal">
      <formula>"Fail"</formula>
    </cfRule>
  </conditionalFormatting>
  <conditionalFormatting sqref="I1488">
    <cfRule type="cellIs" dxfId="2394" priority="2389" stopIfTrue="1" operator="equal">
      <formula>"Pass"</formula>
    </cfRule>
    <cfRule type="cellIs" dxfId="2393" priority="2390" stopIfTrue="1" operator="equal">
      <formula>"Fail"</formula>
    </cfRule>
  </conditionalFormatting>
  <conditionalFormatting sqref="I1488:L1488">
    <cfRule type="cellIs" dxfId="2392" priority="2387" stopIfTrue="1" operator="equal">
      <formula>"Pass"</formula>
    </cfRule>
    <cfRule type="cellIs" dxfId="2391" priority="2388" stopIfTrue="1" operator="equal">
      <formula>"Fail"</formula>
    </cfRule>
  </conditionalFormatting>
  <conditionalFormatting sqref="J1488:L1488">
    <cfRule type="cellIs" dxfId="2390" priority="2385" stopIfTrue="1" operator="equal">
      <formula>"Pass"</formula>
    </cfRule>
    <cfRule type="cellIs" dxfId="2389" priority="2386" stopIfTrue="1" operator="equal">
      <formula>"Fail"</formula>
    </cfRule>
  </conditionalFormatting>
  <conditionalFormatting sqref="I1488">
    <cfRule type="cellIs" dxfId="2388" priority="2383" stopIfTrue="1" operator="equal">
      <formula>"Pass"</formula>
    </cfRule>
    <cfRule type="cellIs" dxfId="2387" priority="2384" stopIfTrue="1" operator="equal">
      <formula>"Fail"</formula>
    </cfRule>
  </conditionalFormatting>
  <conditionalFormatting sqref="I1488:L1488">
    <cfRule type="cellIs" dxfId="2386" priority="2381" stopIfTrue="1" operator="equal">
      <formula>"Pass"</formula>
    </cfRule>
    <cfRule type="cellIs" dxfId="2385" priority="2382" stopIfTrue="1" operator="equal">
      <formula>"Fail"</formula>
    </cfRule>
  </conditionalFormatting>
  <conditionalFormatting sqref="H1488:L1488">
    <cfRule type="cellIs" dxfId="2384" priority="2379" stopIfTrue="1" operator="equal">
      <formula>"Pass"</formula>
    </cfRule>
    <cfRule type="cellIs" dxfId="2383" priority="2380" stopIfTrue="1" operator="equal">
      <formula>"Fail"</formula>
    </cfRule>
  </conditionalFormatting>
  <conditionalFormatting sqref="H1488:L1488">
    <cfRule type="cellIs" dxfId="2382" priority="2377" stopIfTrue="1" operator="equal">
      <formula>"Pass"</formula>
    </cfRule>
    <cfRule type="cellIs" dxfId="2381" priority="2378" stopIfTrue="1" operator="equal">
      <formula>"Fail"</formula>
    </cfRule>
  </conditionalFormatting>
  <conditionalFormatting sqref="H1488:L1488">
    <cfRule type="cellIs" dxfId="2380" priority="2375" stopIfTrue="1" operator="equal">
      <formula>"Pass"</formula>
    </cfRule>
    <cfRule type="cellIs" dxfId="2379" priority="2376" stopIfTrue="1" operator="equal">
      <formula>"Fail"</formula>
    </cfRule>
  </conditionalFormatting>
  <conditionalFormatting sqref="H1488:L1488">
    <cfRule type="cellIs" dxfId="2378" priority="2373" stopIfTrue="1" operator="equal">
      <formula>"Pass"</formula>
    </cfRule>
    <cfRule type="cellIs" dxfId="2377" priority="2374" stopIfTrue="1" operator="equal">
      <formula>"Fail"</formula>
    </cfRule>
  </conditionalFormatting>
  <conditionalFormatting sqref="H1488:L1488">
    <cfRule type="cellIs" dxfId="2376" priority="2371" stopIfTrue="1" operator="equal">
      <formula>"Pass"</formula>
    </cfRule>
    <cfRule type="cellIs" dxfId="2375" priority="2372" stopIfTrue="1" operator="equal">
      <formula>"Fail"</formula>
    </cfRule>
  </conditionalFormatting>
  <conditionalFormatting sqref="J1488:L1488">
    <cfRule type="cellIs" dxfId="2374" priority="2369" stopIfTrue="1" operator="equal">
      <formula>"Pass"</formula>
    </cfRule>
    <cfRule type="cellIs" dxfId="2373" priority="2370" stopIfTrue="1" operator="equal">
      <formula>"Fail"</formula>
    </cfRule>
  </conditionalFormatting>
  <conditionalFormatting sqref="I1488">
    <cfRule type="cellIs" dxfId="2372" priority="2367" stopIfTrue="1" operator="equal">
      <formula>"Pass"</formula>
    </cfRule>
    <cfRule type="cellIs" dxfId="2371" priority="2368" stopIfTrue="1" operator="equal">
      <formula>"Fail"</formula>
    </cfRule>
  </conditionalFormatting>
  <conditionalFormatting sqref="I1488:L1488">
    <cfRule type="cellIs" dxfId="2370" priority="2365" stopIfTrue="1" operator="equal">
      <formula>"Pass"</formula>
    </cfRule>
    <cfRule type="cellIs" dxfId="2369" priority="2366" stopIfTrue="1" operator="equal">
      <formula>"Fail"</formula>
    </cfRule>
  </conditionalFormatting>
  <conditionalFormatting sqref="J1488:L1488">
    <cfRule type="cellIs" dxfId="2368" priority="2363" stopIfTrue="1" operator="equal">
      <formula>"Pass"</formula>
    </cfRule>
    <cfRule type="cellIs" dxfId="2367" priority="2364" stopIfTrue="1" operator="equal">
      <formula>"Fail"</formula>
    </cfRule>
  </conditionalFormatting>
  <conditionalFormatting sqref="I1488">
    <cfRule type="cellIs" dxfId="2366" priority="2361" stopIfTrue="1" operator="equal">
      <formula>"Pass"</formula>
    </cfRule>
    <cfRule type="cellIs" dxfId="2365" priority="2362" stopIfTrue="1" operator="equal">
      <formula>"Fail"</formula>
    </cfRule>
  </conditionalFormatting>
  <conditionalFormatting sqref="I1488:L1488">
    <cfRule type="cellIs" dxfId="2364" priority="2359" stopIfTrue="1" operator="equal">
      <formula>"Pass"</formula>
    </cfRule>
    <cfRule type="cellIs" dxfId="2363" priority="2360" stopIfTrue="1" operator="equal">
      <formula>"Fail"</formula>
    </cfRule>
  </conditionalFormatting>
  <conditionalFormatting sqref="J1488:L1488">
    <cfRule type="cellIs" dxfId="2362" priority="2357" stopIfTrue="1" operator="equal">
      <formula>"Pass"</formula>
    </cfRule>
    <cfRule type="cellIs" dxfId="2361" priority="2358" stopIfTrue="1" operator="equal">
      <formula>"Fail"</formula>
    </cfRule>
  </conditionalFormatting>
  <conditionalFormatting sqref="I1488">
    <cfRule type="cellIs" dxfId="2360" priority="2355" stopIfTrue="1" operator="equal">
      <formula>"Pass"</formula>
    </cfRule>
    <cfRule type="cellIs" dxfId="2359" priority="2356" stopIfTrue="1" operator="equal">
      <formula>"Fail"</formula>
    </cfRule>
  </conditionalFormatting>
  <conditionalFormatting sqref="I1488:L1488">
    <cfRule type="cellIs" dxfId="2358" priority="2353" stopIfTrue="1" operator="equal">
      <formula>"Pass"</formula>
    </cfRule>
    <cfRule type="cellIs" dxfId="2357" priority="2354" stopIfTrue="1" operator="equal">
      <formula>"Fail"</formula>
    </cfRule>
  </conditionalFormatting>
  <conditionalFormatting sqref="J1488:L1488">
    <cfRule type="cellIs" dxfId="2356" priority="2351" stopIfTrue="1" operator="equal">
      <formula>"Pass"</formula>
    </cfRule>
    <cfRule type="cellIs" dxfId="2355" priority="2352" stopIfTrue="1" operator="equal">
      <formula>"Fail"</formula>
    </cfRule>
  </conditionalFormatting>
  <conditionalFormatting sqref="I1488">
    <cfRule type="cellIs" dxfId="2354" priority="2349" stopIfTrue="1" operator="equal">
      <formula>"Pass"</formula>
    </cfRule>
    <cfRule type="cellIs" dxfId="2353" priority="2350" stopIfTrue="1" operator="equal">
      <formula>"Fail"</formula>
    </cfRule>
  </conditionalFormatting>
  <conditionalFormatting sqref="I1488:L1488">
    <cfRule type="cellIs" dxfId="2352" priority="2347" stopIfTrue="1" operator="equal">
      <formula>"Pass"</formula>
    </cfRule>
    <cfRule type="cellIs" dxfId="2351" priority="2348" stopIfTrue="1" operator="equal">
      <formula>"Fail"</formula>
    </cfRule>
  </conditionalFormatting>
  <conditionalFormatting sqref="J1488:L1488">
    <cfRule type="cellIs" dxfId="2350" priority="2345" stopIfTrue="1" operator="equal">
      <formula>"Pass"</formula>
    </cfRule>
    <cfRule type="cellIs" dxfId="2349" priority="2346" stopIfTrue="1" operator="equal">
      <formula>"Fail"</formula>
    </cfRule>
  </conditionalFormatting>
  <conditionalFormatting sqref="I1488">
    <cfRule type="cellIs" dxfId="2348" priority="2343" stopIfTrue="1" operator="equal">
      <formula>"Pass"</formula>
    </cfRule>
    <cfRule type="cellIs" dxfId="2347" priority="2344" stopIfTrue="1" operator="equal">
      <formula>"Fail"</formula>
    </cfRule>
  </conditionalFormatting>
  <conditionalFormatting sqref="I1488:L1488">
    <cfRule type="cellIs" dxfId="2346" priority="2341" stopIfTrue="1" operator="equal">
      <formula>"Pass"</formula>
    </cfRule>
    <cfRule type="cellIs" dxfId="2345" priority="2342" stopIfTrue="1" operator="equal">
      <formula>"Fail"</formula>
    </cfRule>
  </conditionalFormatting>
  <conditionalFormatting sqref="J1488:L1488">
    <cfRule type="cellIs" dxfId="2344" priority="2339" stopIfTrue="1" operator="equal">
      <formula>"Pass"</formula>
    </cfRule>
    <cfRule type="cellIs" dxfId="2343" priority="2340" stopIfTrue="1" operator="equal">
      <formula>"Fail"</formula>
    </cfRule>
  </conditionalFormatting>
  <conditionalFormatting sqref="I1488">
    <cfRule type="cellIs" dxfId="2342" priority="2337" stopIfTrue="1" operator="equal">
      <formula>"Pass"</formula>
    </cfRule>
    <cfRule type="cellIs" dxfId="2341" priority="2338" stopIfTrue="1" operator="equal">
      <formula>"Fail"</formula>
    </cfRule>
  </conditionalFormatting>
  <conditionalFormatting sqref="I1488:L1488">
    <cfRule type="cellIs" dxfId="2340" priority="2335" stopIfTrue="1" operator="equal">
      <formula>"Pass"</formula>
    </cfRule>
    <cfRule type="cellIs" dxfId="2339" priority="2336" stopIfTrue="1" operator="equal">
      <formula>"Fail"</formula>
    </cfRule>
  </conditionalFormatting>
  <conditionalFormatting sqref="J1488:L1488">
    <cfRule type="cellIs" dxfId="2338" priority="2333" stopIfTrue="1" operator="equal">
      <formula>"Pass"</formula>
    </cfRule>
    <cfRule type="cellIs" dxfId="2337" priority="2334" stopIfTrue="1" operator="equal">
      <formula>"Fail"</formula>
    </cfRule>
  </conditionalFormatting>
  <conditionalFormatting sqref="I1488">
    <cfRule type="cellIs" dxfId="2336" priority="2331" stopIfTrue="1" operator="equal">
      <formula>"Pass"</formula>
    </cfRule>
    <cfRule type="cellIs" dxfId="2335" priority="2332" stopIfTrue="1" operator="equal">
      <formula>"Fail"</formula>
    </cfRule>
  </conditionalFormatting>
  <conditionalFormatting sqref="I1488:L1488">
    <cfRule type="cellIs" dxfId="2334" priority="2329" stopIfTrue="1" operator="equal">
      <formula>"Pass"</formula>
    </cfRule>
    <cfRule type="cellIs" dxfId="2333" priority="2330" stopIfTrue="1" operator="equal">
      <formula>"Fail"</formula>
    </cfRule>
  </conditionalFormatting>
  <conditionalFormatting sqref="J1488:L1488">
    <cfRule type="cellIs" dxfId="2332" priority="2327" stopIfTrue="1" operator="equal">
      <formula>"Pass"</formula>
    </cfRule>
    <cfRule type="cellIs" dxfId="2331" priority="2328" stopIfTrue="1" operator="equal">
      <formula>"Fail"</formula>
    </cfRule>
  </conditionalFormatting>
  <conditionalFormatting sqref="I1488">
    <cfRule type="cellIs" dxfId="2330" priority="2325" stopIfTrue="1" operator="equal">
      <formula>"Pass"</formula>
    </cfRule>
    <cfRule type="cellIs" dxfId="2329" priority="2326" stopIfTrue="1" operator="equal">
      <formula>"Fail"</formula>
    </cfRule>
  </conditionalFormatting>
  <conditionalFormatting sqref="I1488:L1488">
    <cfRule type="cellIs" dxfId="2328" priority="2323" stopIfTrue="1" operator="equal">
      <formula>"Pass"</formula>
    </cfRule>
    <cfRule type="cellIs" dxfId="2327" priority="2324" stopIfTrue="1" operator="equal">
      <formula>"Fail"</formula>
    </cfRule>
  </conditionalFormatting>
  <conditionalFormatting sqref="J1488:L1488">
    <cfRule type="cellIs" dxfId="2326" priority="2321" stopIfTrue="1" operator="equal">
      <formula>"Pass"</formula>
    </cfRule>
    <cfRule type="cellIs" dxfId="2325" priority="2322" stopIfTrue="1" operator="equal">
      <formula>"Fail"</formula>
    </cfRule>
  </conditionalFormatting>
  <conditionalFormatting sqref="I1488">
    <cfRule type="cellIs" dxfId="2324" priority="2319" stopIfTrue="1" operator="equal">
      <formula>"Pass"</formula>
    </cfRule>
    <cfRule type="cellIs" dxfId="2323" priority="2320" stopIfTrue="1" operator="equal">
      <formula>"Fail"</formula>
    </cfRule>
  </conditionalFormatting>
  <conditionalFormatting sqref="I1488:L1488">
    <cfRule type="cellIs" dxfId="2322" priority="2317" stopIfTrue="1" operator="equal">
      <formula>"Pass"</formula>
    </cfRule>
    <cfRule type="cellIs" dxfId="2321" priority="2318" stopIfTrue="1" operator="equal">
      <formula>"Fail"</formula>
    </cfRule>
  </conditionalFormatting>
  <conditionalFormatting sqref="J1488:L1488">
    <cfRule type="cellIs" dxfId="2320" priority="2315" stopIfTrue="1" operator="equal">
      <formula>"Pass"</formula>
    </cfRule>
    <cfRule type="cellIs" dxfId="2319" priority="2316" stopIfTrue="1" operator="equal">
      <formula>"Fail"</formula>
    </cfRule>
  </conditionalFormatting>
  <conditionalFormatting sqref="I1488">
    <cfRule type="cellIs" dxfId="2318" priority="2313" stopIfTrue="1" operator="equal">
      <formula>"Pass"</formula>
    </cfRule>
    <cfRule type="cellIs" dxfId="2317" priority="2314" stopIfTrue="1" operator="equal">
      <formula>"Fail"</formula>
    </cfRule>
  </conditionalFormatting>
  <conditionalFormatting sqref="I1488:L1488">
    <cfRule type="cellIs" dxfId="2316" priority="2311" stopIfTrue="1" operator="equal">
      <formula>"Pass"</formula>
    </cfRule>
    <cfRule type="cellIs" dxfId="2315" priority="2312" stopIfTrue="1" operator="equal">
      <formula>"Fail"</formula>
    </cfRule>
  </conditionalFormatting>
  <conditionalFormatting sqref="J1488:L1488">
    <cfRule type="cellIs" dxfId="2314" priority="2309" stopIfTrue="1" operator="equal">
      <formula>"Pass"</formula>
    </cfRule>
    <cfRule type="cellIs" dxfId="2313" priority="2310" stopIfTrue="1" operator="equal">
      <formula>"Fail"</formula>
    </cfRule>
  </conditionalFormatting>
  <conditionalFormatting sqref="I1488">
    <cfRule type="cellIs" dxfId="2312" priority="2307" stopIfTrue="1" operator="equal">
      <formula>"Pass"</formula>
    </cfRule>
    <cfRule type="cellIs" dxfId="2311" priority="2308" stopIfTrue="1" operator="equal">
      <formula>"Fail"</formula>
    </cfRule>
  </conditionalFormatting>
  <conditionalFormatting sqref="I1488:L1488">
    <cfRule type="cellIs" dxfId="2310" priority="2305" stopIfTrue="1" operator="equal">
      <formula>"Pass"</formula>
    </cfRule>
    <cfRule type="cellIs" dxfId="2309" priority="2306" stopIfTrue="1" operator="equal">
      <formula>"Fail"</formula>
    </cfRule>
  </conditionalFormatting>
  <conditionalFormatting sqref="J1488:L1488">
    <cfRule type="cellIs" dxfId="2308" priority="2303" stopIfTrue="1" operator="equal">
      <formula>"Pass"</formula>
    </cfRule>
    <cfRule type="cellIs" dxfId="2307" priority="2304" stopIfTrue="1" operator="equal">
      <formula>"Fail"</formula>
    </cfRule>
  </conditionalFormatting>
  <conditionalFormatting sqref="I1488">
    <cfRule type="cellIs" dxfId="2306" priority="2301" stopIfTrue="1" operator="equal">
      <formula>"Pass"</formula>
    </cfRule>
    <cfRule type="cellIs" dxfId="2305" priority="2302" stopIfTrue="1" operator="equal">
      <formula>"Fail"</formula>
    </cfRule>
  </conditionalFormatting>
  <conditionalFormatting sqref="I1488:L1488">
    <cfRule type="cellIs" dxfId="2304" priority="2299" stopIfTrue="1" operator="equal">
      <formula>"Pass"</formula>
    </cfRule>
    <cfRule type="cellIs" dxfId="2303" priority="2300" stopIfTrue="1" operator="equal">
      <formula>"Fail"</formula>
    </cfRule>
  </conditionalFormatting>
  <conditionalFormatting sqref="J1488:L1488">
    <cfRule type="cellIs" dxfId="2302" priority="2297" stopIfTrue="1" operator="equal">
      <formula>"Pass"</formula>
    </cfRule>
    <cfRule type="cellIs" dxfId="2301" priority="2298" stopIfTrue="1" operator="equal">
      <formula>"Fail"</formula>
    </cfRule>
  </conditionalFormatting>
  <conditionalFormatting sqref="I1488">
    <cfRule type="cellIs" dxfId="2300" priority="2295" stopIfTrue="1" operator="equal">
      <formula>"Pass"</formula>
    </cfRule>
    <cfRule type="cellIs" dxfId="2299" priority="2296" stopIfTrue="1" operator="equal">
      <formula>"Fail"</formula>
    </cfRule>
  </conditionalFormatting>
  <conditionalFormatting sqref="I1488:L1488">
    <cfRule type="cellIs" dxfId="2298" priority="2293" stopIfTrue="1" operator="equal">
      <formula>"Pass"</formula>
    </cfRule>
    <cfRule type="cellIs" dxfId="2297" priority="2294" stopIfTrue="1" operator="equal">
      <formula>"Fail"</formula>
    </cfRule>
  </conditionalFormatting>
  <conditionalFormatting sqref="J1488:L1488">
    <cfRule type="cellIs" dxfId="2296" priority="2291" stopIfTrue="1" operator="equal">
      <formula>"Pass"</formula>
    </cfRule>
    <cfRule type="cellIs" dxfId="2295" priority="2292" stopIfTrue="1" operator="equal">
      <formula>"Fail"</formula>
    </cfRule>
  </conditionalFormatting>
  <conditionalFormatting sqref="I1488">
    <cfRule type="cellIs" dxfId="2294" priority="2289" stopIfTrue="1" operator="equal">
      <formula>"Pass"</formula>
    </cfRule>
    <cfRule type="cellIs" dxfId="2293" priority="2290" stopIfTrue="1" operator="equal">
      <formula>"Fail"</formula>
    </cfRule>
  </conditionalFormatting>
  <conditionalFormatting sqref="I1488:L1488">
    <cfRule type="cellIs" dxfId="2292" priority="2287" stopIfTrue="1" operator="equal">
      <formula>"Pass"</formula>
    </cfRule>
    <cfRule type="cellIs" dxfId="2291" priority="2288" stopIfTrue="1" operator="equal">
      <formula>"Fail"</formula>
    </cfRule>
  </conditionalFormatting>
  <conditionalFormatting sqref="J1488:L1488">
    <cfRule type="cellIs" dxfId="2290" priority="2285" stopIfTrue="1" operator="equal">
      <formula>"Pass"</formula>
    </cfRule>
    <cfRule type="cellIs" dxfId="2289" priority="2286" stopIfTrue="1" operator="equal">
      <formula>"Fail"</formula>
    </cfRule>
  </conditionalFormatting>
  <conditionalFormatting sqref="I1488">
    <cfRule type="cellIs" dxfId="2288" priority="2283" stopIfTrue="1" operator="equal">
      <formula>"Pass"</formula>
    </cfRule>
    <cfRule type="cellIs" dxfId="2287" priority="2284" stopIfTrue="1" operator="equal">
      <formula>"Fail"</formula>
    </cfRule>
  </conditionalFormatting>
  <conditionalFormatting sqref="I1488:L1488">
    <cfRule type="cellIs" dxfId="2286" priority="2281" stopIfTrue="1" operator="equal">
      <formula>"Pass"</formula>
    </cfRule>
    <cfRule type="cellIs" dxfId="2285" priority="2282" stopIfTrue="1" operator="equal">
      <formula>"Fail"</formula>
    </cfRule>
  </conditionalFormatting>
  <conditionalFormatting sqref="J1488:L1488">
    <cfRule type="cellIs" dxfId="2284" priority="2279" stopIfTrue="1" operator="equal">
      <formula>"Pass"</formula>
    </cfRule>
    <cfRule type="cellIs" dxfId="2283" priority="2280" stopIfTrue="1" operator="equal">
      <formula>"Fail"</formula>
    </cfRule>
  </conditionalFormatting>
  <conditionalFormatting sqref="I1488">
    <cfRule type="cellIs" dxfId="2282" priority="2277" stopIfTrue="1" operator="equal">
      <formula>"Pass"</formula>
    </cfRule>
    <cfRule type="cellIs" dxfId="2281" priority="2278" stopIfTrue="1" operator="equal">
      <formula>"Fail"</formula>
    </cfRule>
  </conditionalFormatting>
  <conditionalFormatting sqref="I1488:L1488">
    <cfRule type="cellIs" dxfId="2280" priority="2275" stopIfTrue="1" operator="equal">
      <formula>"Pass"</formula>
    </cfRule>
    <cfRule type="cellIs" dxfId="2279" priority="2276" stopIfTrue="1" operator="equal">
      <formula>"Fail"</formula>
    </cfRule>
  </conditionalFormatting>
  <conditionalFormatting sqref="J1488:L1488">
    <cfRule type="cellIs" dxfId="2278" priority="2273" stopIfTrue="1" operator="equal">
      <formula>"Pass"</formula>
    </cfRule>
    <cfRule type="cellIs" dxfId="2277" priority="2274" stopIfTrue="1" operator="equal">
      <formula>"Fail"</formula>
    </cfRule>
  </conditionalFormatting>
  <conditionalFormatting sqref="I1488">
    <cfRule type="cellIs" dxfId="2276" priority="2271" stopIfTrue="1" operator="equal">
      <formula>"Pass"</formula>
    </cfRule>
    <cfRule type="cellIs" dxfId="2275" priority="2272" stopIfTrue="1" operator="equal">
      <formula>"Fail"</formula>
    </cfRule>
  </conditionalFormatting>
  <conditionalFormatting sqref="I1488:L1488">
    <cfRule type="cellIs" dxfId="2274" priority="2269" stopIfTrue="1" operator="equal">
      <formula>"Pass"</formula>
    </cfRule>
    <cfRule type="cellIs" dxfId="2273" priority="2270" stopIfTrue="1" operator="equal">
      <formula>"Fail"</formula>
    </cfRule>
  </conditionalFormatting>
  <conditionalFormatting sqref="J1488:L1488">
    <cfRule type="cellIs" dxfId="2272" priority="2267" stopIfTrue="1" operator="equal">
      <formula>"Pass"</formula>
    </cfRule>
    <cfRule type="cellIs" dxfId="2271" priority="2268" stopIfTrue="1" operator="equal">
      <formula>"Fail"</formula>
    </cfRule>
  </conditionalFormatting>
  <conditionalFormatting sqref="I1488">
    <cfRule type="cellIs" dxfId="2270" priority="2265" stopIfTrue="1" operator="equal">
      <formula>"Pass"</formula>
    </cfRule>
    <cfRule type="cellIs" dxfId="2269" priority="2266" stopIfTrue="1" operator="equal">
      <formula>"Fail"</formula>
    </cfRule>
  </conditionalFormatting>
  <conditionalFormatting sqref="I1488:L1488">
    <cfRule type="cellIs" dxfId="2268" priority="2263" stopIfTrue="1" operator="equal">
      <formula>"Pass"</formula>
    </cfRule>
    <cfRule type="cellIs" dxfId="2267" priority="2264" stopIfTrue="1" operator="equal">
      <formula>"Fail"</formula>
    </cfRule>
  </conditionalFormatting>
  <conditionalFormatting sqref="J1488:L1488">
    <cfRule type="cellIs" dxfId="2266" priority="2261" stopIfTrue="1" operator="equal">
      <formula>"Pass"</formula>
    </cfRule>
    <cfRule type="cellIs" dxfId="2265" priority="2262" stopIfTrue="1" operator="equal">
      <formula>"Fail"</formula>
    </cfRule>
  </conditionalFormatting>
  <conditionalFormatting sqref="I1488">
    <cfRule type="cellIs" dxfId="2264" priority="2259" stopIfTrue="1" operator="equal">
      <formula>"Pass"</formula>
    </cfRule>
    <cfRule type="cellIs" dxfId="2263" priority="2260" stopIfTrue="1" operator="equal">
      <formula>"Fail"</formula>
    </cfRule>
  </conditionalFormatting>
  <conditionalFormatting sqref="I1488:L1488">
    <cfRule type="cellIs" dxfId="2262" priority="2257" stopIfTrue="1" operator="equal">
      <formula>"Pass"</formula>
    </cfRule>
    <cfRule type="cellIs" dxfId="2261" priority="2258" stopIfTrue="1" operator="equal">
      <formula>"Fail"</formula>
    </cfRule>
  </conditionalFormatting>
  <conditionalFormatting sqref="J1488:L1488">
    <cfRule type="cellIs" dxfId="2260" priority="2255" stopIfTrue="1" operator="equal">
      <formula>"Pass"</formula>
    </cfRule>
    <cfRule type="cellIs" dxfId="2259" priority="2256" stopIfTrue="1" operator="equal">
      <formula>"Fail"</formula>
    </cfRule>
  </conditionalFormatting>
  <conditionalFormatting sqref="I1488">
    <cfRule type="cellIs" dxfId="2258" priority="2253" stopIfTrue="1" operator="equal">
      <formula>"Pass"</formula>
    </cfRule>
    <cfRule type="cellIs" dxfId="2257" priority="2254" stopIfTrue="1" operator="equal">
      <formula>"Fail"</formula>
    </cfRule>
  </conditionalFormatting>
  <conditionalFormatting sqref="I1488:L1488">
    <cfRule type="cellIs" dxfId="2256" priority="2251" stopIfTrue="1" operator="equal">
      <formula>"Pass"</formula>
    </cfRule>
    <cfRule type="cellIs" dxfId="2255" priority="2252" stopIfTrue="1" operator="equal">
      <formula>"Fail"</formula>
    </cfRule>
  </conditionalFormatting>
  <conditionalFormatting sqref="J1488:L1488">
    <cfRule type="cellIs" dxfId="2254" priority="2249" stopIfTrue="1" operator="equal">
      <formula>"Pass"</formula>
    </cfRule>
    <cfRule type="cellIs" dxfId="2253" priority="2250" stopIfTrue="1" operator="equal">
      <formula>"Fail"</formula>
    </cfRule>
  </conditionalFormatting>
  <conditionalFormatting sqref="I1488">
    <cfRule type="cellIs" dxfId="2252" priority="2247" stopIfTrue="1" operator="equal">
      <formula>"Pass"</formula>
    </cfRule>
    <cfRule type="cellIs" dxfId="2251" priority="2248" stopIfTrue="1" operator="equal">
      <formula>"Fail"</formula>
    </cfRule>
  </conditionalFormatting>
  <conditionalFormatting sqref="I1488:L1488">
    <cfRule type="cellIs" dxfId="2250" priority="2245" stopIfTrue="1" operator="equal">
      <formula>"Pass"</formula>
    </cfRule>
    <cfRule type="cellIs" dxfId="2249" priority="2246" stopIfTrue="1" operator="equal">
      <formula>"Fail"</formula>
    </cfRule>
  </conditionalFormatting>
  <conditionalFormatting sqref="J1488:L1488">
    <cfRule type="cellIs" dxfId="2248" priority="2243" stopIfTrue="1" operator="equal">
      <formula>"Pass"</formula>
    </cfRule>
    <cfRule type="cellIs" dxfId="2247" priority="2244" stopIfTrue="1" operator="equal">
      <formula>"Fail"</formula>
    </cfRule>
  </conditionalFormatting>
  <conditionalFormatting sqref="I1488">
    <cfRule type="cellIs" dxfId="2246" priority="2241" stopIfTrue="1" operator="equal">
      <formula>"Pass"</formula>
    </cfRule>
    <cfRule type="cellIs" dxfId="2245" priority="2242" stopIfTrue="1" operator="equal">
      <formula>"Fail"</formula>
    </cfRule>
  </conditionalFormatting>
  <conditionalFormatting sqref="I1488:L1488">
    <cfRule type="cellIs" dxfId="2244" priority="2239" stopIfTrue="1" operator="equal">
      <formula>"Pass"</formula>
    </cfRule>
    <cfRule type="cellIs" dxfId="2243" priority="2240" stopIfTrue="1" operator="equal">
      <formula>"Fail"</formula>
    </cfRule>
  </conditionalFormatting>
  <conditionalFormatting sqref="J1488:L1488">
    <cfRule type="cellIs" dxfId="2242" priority="2237" stopIfTrue="1" operator="equal">
      <formula>"Pass"</formula>
    </cfRule>
    <cfRule type="cellIs" dxfId="2241" priority="2238" stopIfTrue="1" operator="equal">
      <formula>"Fail"</formula>
    </cfRule>
  </conditionalFormatting>
  <conditionalFormatting sqref="I1488">
    <cfRule type="cellIs" dxfId="2240" priority="2235" stopIfTrue="1" operator="equal">
      <formula>"Pass"</formula>
    </cfRule>
    <cfRule type="cellIs" dxfId="2239" priority="2236" stopIfTrue="1" operator="equal">
      <formula>"Fail"</formula>
    </cfRule>
  </conditionalFormatting>
  <conditionalFormatting sqref="I1488:L1488">
    <cfRule type="cellIs" dxfId="2238" priority="2233" stopIfTrue="1" operator="equal">
      <formula>"Pass"</formula>
    </cfRule>
    <cfRule type="cellIs" dxfId="2237" priority="2234" stopIfTrue="1" operator="equal">
      <formula>"Fail"</formula>
    </cfRule>
  </conditionalFormatting>
  <conditionalFormatting sqref="J1488:L1488">
    <cfRule type="cellIs" dxfId="2236" priority="2231" stopIfTrue="1" operator="equal">
      <formula>"Pass"</formula>
    </cfRule>
    <cfRule type="cellIs" dxfId="2235" priority="2232" stopIfTrue="1" operator="equal">
      <formula>"Fail"</formula>
    </cfRule>
  </conditionalFormatting>
  <conditionalFormatting sqref="I1488">
    <cfRule type="cellIs" dxfId="2234" priority="2229" stopIfTrue="1" operator="equal">
      <formula>"Pass"</formula>
    </cfRule>
    <cfRule type="cellIs" dxfId="2233" priority="2230" stopIfTrue="1" operator="equal">
      <formula>"Fail"</formula>
    </cfRule>
  </conditionalFormatting>
  <conditionalFormatting sqref="I1488:L1488">
    <cfRule type="cellIs" dxfId="2232" priority="2227" stopIfTrue="1" operator="equal">
      <formula>"Pass"</formula>
    </cfRule>
    <cfRule type="cellIs" dxfId="2231" priority="2228" stopIfTrue="1" operator="equal">
      <formula>"Fail"</formula>
    </cfRule>
  </conditionalFormatting>
  <conditionalFormatting sqref="I1488:L1488">
    <cfRule type="cellIs" dxfId="2230" priority="2225" stopIfTrue="1" operator="equal">
      <formula>"Pass"</formula>
    </cfRule>
    <cfRule type="cellIs" dxfId="2229" priority="2226" stopIfTrue="1" operator="equal">
      <formula>"Fail"</formula>
    </cfRule>
  </conditionalFormatting>
  <conditionalFormatting sqref="J1488:L1488">
    <cfRule type="cellIs" dxfId="2228" priority="2223" stopIfTrue="1" operator="equal">
      <formula>"Pass"</formula>
    </cfRule>
    <cfRule type="cellIs" dxfId="2227" priority="2224" stopIfTrue="1" operator="equal">
      <formula>"Fail"</formula>
    </cfRule>
  </conditionalFormatting>
  <conditionalFormatting sqref="I1488">
    <cfRule type="cellIs" dxfId="2226" priority="2221" stopIfTrue="1" operator="equal">
      <formula>"Pass"</formula>
    </cfRule>
    <cfRule type="cellIs" dxfId="2225" priority="2222" stopIfTrue="1" operator="equal">
      <formula>"Fail"</formula>
    </cfRule>
  </conditionalFormatting>
  <conditionalFormatting sqref="I1488:L1488">
    <cfRule type="cellIs" dxfId="2224" priority="2219" stopIfTrue="1" operator="equal">
      <formula>"Pass"</formula>
    </cfRule>
    <cfRule type="cellIs" dxfId="2223" priority="2220" stopIfTrue="1" operator="equal">
      <formula>"Fail"</formula>
    </cfRule>
  </conditionalFormatting>
  <conditionalFormatting sqref="J1488:L1488">
    <cfRule type="cellIs" dxfId="2222" priority="2217" stopIfTrue="1" operator="equal">
      <formula>"Pass"</formula>
    </cfRule>
    <cfRule type="cellIs" dxfId="2221" priority="2218" stopIfTrue="1" operator="equal">
      <formula>"Fail"</formula>
    </cfRule>
  </conditionalFormatting>
  <conditionalFormatting sqref="I1488">
    <cfRule type="cellIs" dxfId="2220" priority="2215" stopIfTrue="1" operator="equal">
      <formula>"Pass"</formula>
    </cfRule>
    <cfRule type="cellIs" dxfId="2219" priority="2216" stopIfTrue="1" operator="equal">
      <formula>"Fail"</formula>
    </cfRule>
  </conditionalFormatting>
  <conditionalFormatting sqref="I1488:L1488">
    <cfRule type="cellIs" dxfId="2218" priority="2213" stopIfTrue="1" operator="equal">
      <formula>"Pass"</formula>
    </cfRule>
    <cfRule type="cellIs" dxfId="2217" priority="2214" stopIfTrue="1" operator="equal">
      <formula>"Fail"</formula>
    </cfRule>
  </conditionalFormatting>
  <conditionalFormatting sqref="I1488:L1488">
    <cfRule type="cellIs" dxfId="2216" priority="2211" stopIfTrue="1" operator="equal">
      <formula>"Pass"</formula>
    </cfRule>
    <cfRule type="cellIs" dxfId="2215" priority="2212" stopIfTrue="1" operator="equal">
      <formula>"Fail"</formula>
    </cfRule>
  </conditionalFormatting>
  <conditionalFormatting sqref="J1488:L1488">
    <cfRule type="cellIs" dxfId="2214" priority="2209" stopIfTrue="1" operator="equal">
      <formula>"Pass"</formula>
    </cfRule>
    <cfRule type="cellIs" dxfId="2213" priority="2210" stopIfTrue="1" operator="equal">
      <formula>"Fail"</formula>
    </cfRule>
  </conditionalFormatting>
  <conditionalFormatting sqref="I1488">
    <cfRule type="cellIs" dxfId="2212" priority="2207" stopIfTrue="1" operator="equal">
      <formula>"Pass"</formula>
    </cfRule>
    <cfRule type="cellIs" dxfId="2211" priority="2208" stopIfTrue="1" operator="equal">
      <formula>"Fail"</formula>
    </cfRule>
  </conditionalFormatting>
  <conditionalFormatting sqref="I1488:L1488">
    <cfRule type="cellIs" dxfId="2210" priority="2205" stopIfTrue="1" operator="equal">
      <formula>"Pass"</formula>
    </cfRule>
    <cfRule type="cellIs" dxfId="2209" priority="2206" stopIfTrue="1" operator="equal">
      <formula>"Fail"</formula>
    </cfRule>
  </conditionalFormatting>
  <conditionalFormatting sqref="J1488:L1488">
    <cfRule type="cellIs" dxfId="2208" priority="2203" stopIfTrue="1" operator="equal">
      <formula>"Pass"</formula>
    </cfRule>
    <cfRule type="cellIs" dxfId="2207" priority="2204" stopIfTrue="1" operator="equal">
      <formula>"Fail"</formula>
    </cfRule>
  </conditionalFormatting>
  <conditionalFormatting sqref="I1488">
    <cfRule type="cellIs" dxfId="2206" priority="2201" stopIfTrue="1" operator="equal">
      <formula>"Pass"</formula>
    </cfRule>
    <cfRule type="cellIs" dxfId="2205" priority="2202" stopIfTrue="1" operator="equal">
      <formula>"Fail"</formula>
    </cfRule>
  </conditionalFormatting>
  <conditionalFormatting sqref="I1488:L1488">
    <cfRule type="cellIs" dxfId="2204" priority="2199" stopIfTrue="1" operator="equal">
      <formula>"Pass"</formula>
    </cfRule>
    <cfRule type="cellIs" dxfId="2203" priority="2200" stopIfTrue="1" operator="equal">
      <formula>"Fail"</formula>
    </cfRule>
  </conditionalFormatting>
  <conditionalFormatting sqref="I1488:L1488">
    <cfRule type="cellIs" dxfId="2202" priority="2197" stopIfTrue="1" operator="equal">
      <formula>"Pass"</formula>
    </cfRule>
    <cfRule type="cellIs" dxfId="2201" priority="2198" stopIfTrue="1" operator="equal">
      <formula>"Fail"</formula>
    </cfRule>
  </conditionalFormatting>
  <conditionalFormatting sqref="J1488:L1488">
    <cfRule type="cellIs" dxfId="2200" priority="2195" stopIfTrue="1" operator="equal">
      <formula>"Pass"</formula>
    </cfRule>
    <cfRule type="cellIs" dxfId="2199" priority="2196" stopIfTrue="1" operator="equal">
      <formula>"Fail"</formula>
    </cfRule>
  </conditionalFormatting>
  <conditionalFormatting sqref="I1488">
    <cfRule type="cellIs" dxfId="2198" priority="2193" stopIfTrue="1" operator="equal">
      <formula>"Pass"</formula>
    </cfRule>
    <cfRule type="cellIs" dxfId="2197" priority="2194" stopIfTrue="1" operator="equal">
      <formula>"Fail"</formula>
    </cfRule>
  </conditionalFormatting>
  <conditionalFormatting sqref="I1488:L1488">
    <cfRule type="cellIs" dxfId="2196" priority="2191" stopIfTrue="1" operator="equal">
      <formula>"Pass"</formula>
    </cfRule>
    <cfRule type="cellIs" dxfId="2195" priority="2192" stopIfTrue="1" operator="equal">
      <formula>"Fail"</formula>
    </cfRule>
  </conditionalFormatting>
  <conditionalFormatting sqref="J1488:L1488">
    <cfRule type="cellIs" dxfId="2194" priority="2189" stopIfTrue="1" operator="equal">
      <formula>"Pass"</formula>
    </cfRule>
    <cfRule type="cellIs" dxfId="2193" priority="2190" stopIfTrue="1" operator="equal">
      <formula>"Fail"</formula>
    </cfRule>
  </conditionalFormatting>
  <conditionalFormatting sqref="I1488">
    <cfRule type="cellIs" dxfId="2192" priority="2187" stopIfTrue="1" operator="equal">
      <formula>"Pass"</formula>
    </cfRule>
    <cfRule type="cellIs" dxfId="2191" priority="2188" stopIfTrue="1" operator="equal">
      <formula>"Fail"</formula>
    </cfRule>
  </conditionalFormatting>
  <conditionalFormatting sqref="I1488:L1488">
    <cfRule type="cellIs" dxfId="2190" priority="2185" stopIfTrue="1" operator="equal">
      <formula>"Pass"</formula>
    </cfRule>
    <cfRule type="cellIs" dxfId="2189" priority="2186" stopIfTrue="1" operator="equal">
      <formula>"Fail"</formula>
    </cfRule>
  </conditionalFormatting>
  <conditionalFormatting sqref="I1488:L1488">
    <cfRule type="cellIs" dxfId="2188" priority="2183" stopIfTrue="1" operator="equal">
      <formula>"Pass"</formula>
    </cfRule>
    <cfRule type="cellIs" dxfId="2187" priority="2184" stopIfTrue="1" operator="equal">
      <formula>"Fail"</formula>
    </cfRule>
  </conditionalFormatting>
  <conditionalFormatting sqref="J1488:L1488">
    <cfRule type="cellIs" dxfId="2186" priority="2181" stopIfTrue="1" operator="equal">
      <formula>"Pass"</formula>
    </cfRule>
    <cfRule type="cellIs" dxfId="2185" priority="2182" stopIfTrue="1" operator="equal">
      <formula>"Fail"</formula>
    </cfRule>
  </conditionalFormatting>
  <conditionalFormatting sqref="I1488">
    <cfRule type="cellIs" dxfId="2184" priority="2179" stopIfTrue="1" operator="equal">
      <formula>"Pass"</formula>
    </cfRule>
    <cfRule type="cellIs" dxfId="2183" priority="2180" stopIfTrue="1" operator="equal">
      <formula>"Fail"</formula>
    </cfRule>
  </conditionalFormatting>
  <conditionalFormatting sqref="I1488:L1488">
    <cfRule type="cellIs" dxfId="2182" priority="2177" stopIfTrue="1" operator="equal">
      <formula>"Pass"</formula>
    </cfRule>
    <cfRule type="cellIs" dxfId="2181" priority="2178" stopIfTrue="1" operator="equal">
      <formula>"Fail"</formula>
    </cfRule>
  </conditionalFormatting>
  <conditionalFormatting sqref="J1488:L1488">
    <cfRule type="cellIs" dxfId="2180" priority="2175" stopIfTrue="1" operator="equal">
      <formula>"Pass"</formula>
    </cfRule>
    <cfRule type="cellIs" dxfId="2179" priority="2176" stopIfTrue="1" operator="equal">
      <formula>"Fail"</formula>
    </cfRule>
  </conditionalFormatting>
  <conditionalFormatting sqref="I1488">
    <cfRule type="cellIs" dxfId="2178" priority="2173" stopIfTrue="1" operator="equal">
      <formula>"Pass"</formula>
    </cfRule>
    <cfRule type="cellIs" dxfId="2177" priority="2174" stopIfTrue="1" operator="equal">
      <formula>"Fail"</formula>
    </cfRule>
  </conditionalFormatting>
  <conditionalFormatting sqref="I1488:L1488">
    <cfRule type="cellIs" dxfId="2176" priority="2171" stopIfTrue="1" operator="equal">
      <formula>"Pass"</formula>
    </cfRule>
    <cfRule type="cellIs" dxfId="2175" priority="2172" stopIfTrue="1" operator="equal">
      <formula>"Fail"</formula>
    </cfRule>
  </conditionalFormatting>
  <conditionalFormatting sqref="I1488:L1488">
    <cfRule type="cellIs" dxfId="2174" priority="2169" stopIfTrue="1" operator="equal">
      <formula>"Pass"</formula>
    </cfRule>
    <cfRule type="cellIs" dxfId="2173" priority="2170" stopIfTrue="1" operator="equal">
      <formula>"Fail"</formula>
    </cfRule>
  </conditionalFormatting>
  <conditionalFormatting sqref="J1488:L1488">
    <cfRule type="cellIs" dxfId="2172" priority="2167" stopIfTrue="1" operator="equal">
      <formula>"Pass"</formula>
    </cfRule>
    <cfRule type="cellIs" dxfId="2171" priority="2168" stopIfTrue="1" operator="equal">
      <formula>"Fail"</formula>
    </cfRule>
  </conditionalFormatting>
  <conditionalFormatting sqref="I1488">
    <cfRule type="cellIs" dxfId="2170" priority="2165" stopIfTrue="1" operator="equal">
      <formula>"Pass"</formula>
    </cfRule>
    <cfRule type="cellIs" dxfId="2169" priority="2166" stopIfTrue="1" operator="equal">
      <formula>"Fail"</formula>
    </cfRule>
  </conditionalFormatting>
  <conditionalFormatting sqref="I1488:L1488">
    <cfRule type="cellIs" dxfId="2168" priority="2163" stopIfTrue="1" operator="equal">
      <formula>"Pass"</formula>
    </cfRule>
    <cfRule type="cellIs" dxfId="2167" priority="2164" stopIfTrue="1" operator="equal">
      <formula>"Fail"</formula>
    </cfRule>
  </conditionalFormatting>
  <conditionalFormatting sqref="J1488:L1488">
    <cfRule type="cellIs" dxfId="2166" priority="2161" stopIfTrue="1" operator="equal">
      <formula>"Pass"</formula>
    </cfRule>
    <cfRule type="cellIs" dxfId="2165" priority="2162" stopIfTrue="1" operator="equal">
      <formula>"Fail"</formula>
    </cfRule>
  </conditionalFormatting>
  <conditionalFormatting sqref="I1488">
    <cfRule type="cellIs" dxfId="2164" priority="2159" stopIfTrue="1" operator="equal">
      <formula>"Pass"</formula>
    </cfRule>
    <cfRule type="cellIs" dxfId="2163" priority="2160" stopIfTrue="1" operator="equal">
      <formula>"Fail"</formula>
    </cfRule>
  </conditionalFormatting>
  <conditionalFormatting sqref="I1488:L1488">
    <cfRule type="cellIs" dxfId="2162" priority="2157" stopIfTrue="1" operator="equal">
      <formula>"Pass"</formula>
    </cfRule>
    <cfRule type="cellIs" dxfId="2161" priority="2158" stopIfTrue="1" operator="equal">
      <formula>"Fail"</formula>
    </cfRule>
  </conditionalFormatting>
  <conditionalFormatting sqref="I1488:L1488">
    <cfRule type="cellIs" dxfId="2160" priority="2155" stopIfTrue="1" operator="equal">
      <formula>"Pass"</formula>
    </cfRule>
    <cfRule type="cellIs" dxfId="2159" priority="2156" stopIfTrue="1" operator="equal">
      <formula>"Fail"</formula>
    </cfRule>
  </conditionalFormatting>
  <conditionalFormatting sqref="I1488:L1488">
    <cfRule type="cellIs" dxfId="2158" priority="2153" stopIfTrue="1" operator="equal">
      <formula>"Pass"</formula>
    </cfRule>
    <cfRule type="cellIs" dxfId="2157" priority="2154" stopIfTrue="1" operator="equal">
      <formula>"Fail"</formula>
    </cfRule>
  </conditionalFormatting>
  <conditionalFormatting sqref="J1488:L1488">
    <cfRule type="cellIs" dxfId="2156" priority="2151" stopIfTrue="1" operator="equal">
      <formula>"Pass"</formula>
    </cfRule>
    <cfRule type="cellIs" dxfId="2155" priority="2152" stopIfTrue="1" operator="equal">
      <formula>"Fail"</formula>
    </cfRule>
  </conditionalFormatting>
  <conditionalFormatting sqref="I1488">
    <cfRule type="cellIs" dxfId="2154" priority="2149" stopIfTrue="1" operator="equal">
      <formula>"Pass"</formula>
    </cfRule>
    <cfRule type="cellIs" dxfId="2153" priority="2150" stopIfTrue="1" operator="equal">
      <formula>"Fail"</formula>
    </cfRule>
  </conditionalFormatting>
  <conditionalFormatting sqref="I1488:L1488">
    <cfRule type="cellIs" dxfId="2152" priority="2147" stopIfTrue="1" operator="equal">
      <formula>"Pass"</formula>
    </cfRule>
    <cfRule type="cellIs" dxfId="2151" priority="2148" stopIfTrue="1" operator="equal">
      <formula>"Fail"</formula>
    </cfRule>
  </conditionalFormatting>
  <conditionalFormatting sqref="J1488:L1488">
    <cfRule type="cellIs" dxfId="2150" priority="2145" stopIfTrue="1" operator="equal">
      <formula>"Pass"</formula>
    </cfRule>
    <cfRule type="cellIs" dxfId="2149" priority="2146" stopIfTrue="1" operator="equal">
      <formula>"Fail"</formula>
    </cfRule>
  </conditionalFormatting>
  <conditionalFormatting sqref="I1488">
    <cfRule type="cellIs" dxfId="2148" priority="2143" stopIfTrue="1" operator="equal">
      <formula>"Pass"</formula>
    </cfRule>
    <cfRule type="cellIs" dxfId="2147" priority="2144" stopIfTrue="1" operator="equal">
      <formula>"Fail"</formula>
    </cfRule>
  </conditionalFormatting>
  <conditionalFormatting sqref="I1488:L1488">
    <cfRule type="cellIs" dxfId="2146" priority="2141" stopIfTrue="1" operator="equal">
      <formula>"Pass"</formula>
    </cfRule>
    <cfRule type="cellIs" dxfId="2145" priority="2142" stopIfTrue="1" operator="equal">
      <formula>"Fail"</formula>
    </cfRule>
  </conditionalFormatting>
  <conditionalFormatting sqref="I1488:L1488">
    <cfRule type="cellIs" dxfId="2144" priority="2139" stopIfTrue="1" operator="equal">
      <formula>"Pass"</formula>
    </cfRule>
    <cfRule type="cellIs" dxfId="2143" priority="2140" stopIfTrue="1" operator="equal">
      <formula>"Fail"</formula>
    </cfRule>
  </conditionalFormatting>
  <conditionalFormatting sqref="I1488:L1488">
    <cfRule type="cellIs" dxfId="2142" priority="2137" stopIfTrue="1" operator="equal">
      <formula>"Pass"</formula>
    </cfRule>
    <cfRule type="cellIs" dxfId="2141" priority="2138" stopIfTrue="1" operator="equal">
      <formula>"Fail"</formula>
    </cfRule>
  </conditionalFormatting>
  <conditionalFormatting sqref="J1488:L1488">
    <cfRule type="cellIs" dxfId="2140" priority="2135" stopIfTrue="1" operator="equal">
      <formula>"Pass"</formula>
    </cfRule>
    <cfRule type="cellIs" dxfId="2139" priority="2136" stopIfTrue="1" operator="equal">
      <formula>"Fail"</formula>
    </cfRule>
  </conditionalFormatting>
  <conditionalFormatting sqref="I1488">
    <cfRule type="cellIs" dxfId="2138" priority="2133" stopIfTrue="1" operator="equal">
      <formula>"Pass"</formula>
    </cfRule>
    <cfRule type="cellIs" dxfId="2137" priority="2134" stopIfTrue="1" operator="equal">
      <formula>"Fail"</formula>
    </cfRule>
  </conditionalFormatting>
  <conditionalFormatting sqref="I1488:L1488">
    <cfRule type="cellIs" dxfId="2136" priority="2131" stopIfTrue="1" operator="equal">
      <formula>"Pass"</formula>
    </cfRule>
    <cfRule type="cellIs" dxfId="2135" priority="2132" stopIfTrue="1" operator="equal">
      <formula>"Fail"</formula>
    </cfRule>
  </conditionalFormatting>
  <conditionalFormatting sqref="J1488:L1488">
    <cfRule type="cellIs" dxfId="2134" priority="2129" stopIfTrue="1" operator="equal">
      <formula>"Pass"</formula>
    </cfRule>
    <cfRule type="cellIs" dxfId="2133" priority="2130" stopIfTrue="1" operator="equal">
      <formula>"Fail"</formula>
    </cfRule>
  </conditionalFormatting>
  <conditionalFormatting sqref="I1488">
    <cfRule type="cellIs" dxfId="2132" priority="2127" stopIfTrue="1" operator="equal">
      <formula>"Pass"</formula>
    </cfRule>
    <cfRule type="cellIs" dxfId="2131" priority="2128" stopIfTrue="1" operator="equal">
      <formula>"Fail"</formula>
    </cfRule>
  </conditionalFormatting>
  <conditionalFormatting sqref="I1488:L1488">
    <cfRule type="cellIs" dxfId="2130" priority="2125" stopIfTrue="1" operator="equal">
      <formula>"Pass"</formula>
    </cfRule>
    <cfRule type="cellIs" dxfId="2129" priority="2126" stopIfTrue="1" operator="equal">
      <formula>"Fail"</formula>
    </cfRule>
  </conditionalFormatting>
  <conditionalFormatting sqref="I1488:L1488">
    <cfRule type="cellIs" dxfId="2128" priority="2123" stopIfTrue="1" operator="equal">
      <formula>"Pass"</formula>
    </cfRule>
    <cfRule type="cellIs" dxfId="2127" priority="2124" stopIfTrue="1" operator="equal">
      <formula>"Fail"</formula>
    </cfRule>
  </conditionalFormatting>
  <conditionalFormatting sqref="I1488:L1488">
    <cfRule type="cellIs" dxfId="2126" priority="2121" stopIfTrue="1" operator="equal">
      <formula>"Pass"</formula>
    </cfRule>
    <cfRule type="cellIs" dxfId="2125" priority="2122" stopIfTrue="1" operator="equal">
      <formula>"Fail"</formula>
    </cfRule>
  </conditionalFormatting>
  <conditionalFormatting sqref="J1488:L1488">
    <cfRule type="cellIs" dxfId="2124" priority="2119" stopIfTrue="1" operator="equal">
      <formula>"Pass"</formula>
    </cfRule>
    <cfRule type="cellIs" dxfId="2123" priority="2120" stopIfTrue="1" operator="equal">
      <formula>"Fail"</formula>
    </cfRule>
  </conditionalFormatting>
  <conditionalFormatting sqref="I1488">
    <cfRule type="cellIs" dxfId="2122" priority="2117" stopIfTrue="1" operator="equal">
      <formula>"Pass"</formula>
    </cfRule>
    <cfRule type="cellIs" dxfId="2121" priority="2118" stopIfTrue="1" operator="equal">
      <formula>"Fail"</formula>
    </cfRule>
  </conditionalFormatting>
  <conditionalFormatting sqref="I1488:L1488">
    <cfRule type="cellIs" dxfId="2120" priority="2115" stopIfTrue="1" operator="equal">
      <formula>"Pass"</formula>
    </cfRule>
    <cfRule type="cellIs" dxfId="2119" priority="2116" stopIfTrue="1" operator="equal">
      <formula>"Fail"</formula>
    </cfRule>
  </conditionalFormatting>
  <conditionalFormatting sqref="J1488:L1488">
    <cfRule type="cellIs" dxfId="2118" priority="2113" stopIfTrue="1" operator="equal">
      <formula>"Pass"</formula>
    </cfRule>
    <cfRule type="cellIs" dxfId="2117" priority="2114" stopIfTrue="1" operator="equal">
      <formula>"Fail"</formula>
    </cfRule>
  </conditionalFormatting>
  <conditionalFormatting sqref="I1488">
    <cfRule type="cellIs" dxfId="2116" priority="2111" stopIfTrue="1" operator="equal">
      <formula>"Pass"</formula>
    </cfRule>
    <cfRule type="cellIs" dxfId="2115" priority="2112" stopIfTrue="1" operator="equal">
      <formula>"Fail"</formula>
    </cfRule>
  </conditionalFormatting>
  <conditionalFormatting sqref="I1488:L1488">
    <cfRule type="cellIs" dxfId="2114" priority="2109" stopIfTrue="1" operator="equal">
      <formula>"Pass"</formula>
    </cfRule>
    <cfRule type="cellIs" dxfId="2113" priority="2110" stopIfTrue="1" operator="equal">
      <formula>"Fail"</formula>
    </cfRule>
  </conditionalFormatting>
  <conditionalFormatting sqref="H1488">
    <cfRule type="cellIs" dxfId="2112" priority="2107" stopIfTrue="1" operator="equal">
      <formula>"Pass"</formula>
    </cfRule>
    <cfRule type="cellIs" dxfId="2111" priority="2108" stopIfTrue="1" operator="equal">
      <formula>"Fail"</formula>
    </cfRule>
  </conditionalFormatting>
  <conditionalFormatting sqref="H1488">
    <cfRule type="cellIs" dxfId="2110" priority="2105" stopIfTrue="1" operator="equal">
      <formula>"Pass"</formula>
    </cfRule>
    <cfRule type="cellIs" dxfId="2109" priority="2106" stopIfTrue="1" operator="equal">
      <formula>"Fail"</formula>
    </cfRule>
  </conditionalFormatting>
  <conditionalFormatting sqref="H1488">
    <cfRule type="cellIs" dxfId="2108" priority="2103" stopIfTrue="1" operator="equal">
      <formula>"Pass"</formula>
    </cfRule>
    <cfRule type="cellIs" dxfId="2107" priority="2104" stopIfTrue="1" operator="equal">
      <formula>"Fail"</formula>
    </cfRule>
  </conditionalFormatting>
  <conditionalFormatting sqref="I1488:L1488">
    <cfRule type="cellIs" dxfId="2106" priority="2101" stopIfTrue="1" operator="equal">
      <formula>"Pass"</formula>
    </cfRule>
    <cfRule type="cellIs" dxfId="2105" priority="2102" stopIfTrue="1" operator="equal">
      <formula>"Fail"</formula>
    </cfRule>
  </conditionalFormatting>
  <conditionalFormatting sqref="I1488:L1488">
    <cfRule type="cellIs" dxfId="2104" priority="2099" stopIfTrue="1" operator="equal">
      <formula>"Pass"</formula>
    </cfRule>
    <cfRule type="cellIs" dxfId="2103" priority="2100" stopIfTrue="1" operator="equal">
      <formula>"Fail"</formula>
    </cfRule>
  </conditionalFormatting>
  <conditionalFormatting sqref="J1488:L1488">
    <cfRule type="cellIs" dxfId="2102" priority="2097" stopIfTrue="1" operator="equal">
      <formula>"Pass"</formula>
    </cfRule>
    <cfRule type="cellIs" dxfId="2101" priority="2098" stopIfTrue="1" operator="equal">
      <formula>"Fail"</formula>
    </cfRule>
  </conditionalFormatting>
  <conditionalFormatting sqref="I1488">
    <cfRule type="cellIs" dxfId="2100" priority="2095" stopIfTrue="1" operator="equal">
      <formula>"Pass"</formula>
    </cfRule>
    <cfRule type="cellIs" dxfId="2099" priority="2096" stopIfTrue="1" operator="equal">
      <formula>"Fail"</formula>
    </cfRule>
  </conditionalFormatting>
  <conditionalFormatting sqref="I1488:L1488">
    <cfRule type="cellIs" dxfId="2098" priority="2093" stopIfTrue="1" operator="equal">
      <formula>"Pass"</formula>
    </cfRule>
    <cfRule type="cellIs" dxfId="2097" priority="2094" stopIfTrue="1" operator="equal">
      <formula>"Fail"</formula>
    </cfRule>
  </conditionalFormatting>
  <conditionalFormatting sqref="J1488:L1488">
    <cfRule type="cellIs" dxfId="2096" priority="2091" stopIfTrue="1" operator="equal">
      <formula>"Pass"</formula>
    </cfRule>
    <cfRule type="cellIs" dxfId="2095" priority="2092" stopIfTrue="1" operator="equal">
      <formula>"Fail"</formula>
    </cfRule>
  </conditionalFormatting>
  <conditionalFormatting sqref="I1488">
    <cfRule type="cellIs" dxfId="2094" priority="2089" stopIfTrue="1" operator="equal">
      <formula>"Pass"</formula>
    </cfRule>
    <cfRule type="cellIs" dxfId="2093" priority="2090" stopIfTrue="1" operator="equal">
      <formula>"Fail"</formula>
    </cfRule>
  </conditionalFormatting>
  <conditionalFormatting sqref="I1488:L1488">
    <cfRule type="cellIs" dxfId="2092" priority="2087" stopIfTrue="1" operator="equal">
      <formula>"Pass"</formula>
    </cfRule>
    <cfRule type="cellIs" dxfId="2091" priority="2088" stopIfTrue="1" operator="equal">
      <formula>"Fail"</formula>
    </cfRule>
  </conditionalFormatting>
  <conditionalFormatting sqref="H1488">
    <cfRule type="cellIs" dxfId="2090" priority="2085" stopIfTrue="1" operator="equal">
      <formula>"Pass"</formula>
    </cfRule>
    <cfRule type="cellIs" dxfId="2089" priority="2086" stopIfTrue="1" operator="equal">
      <formula>"Fail"</formula>
    </cfRule>
  </conditionalFormatting>
  <conditionalFormatting sqref="H1488">
    <cfRule type="cellIs" dxfId="2088" priority="2083" stopIfTrue="1" operator="equal">
      <formula>"Pass"</formula>
    </cfRule>
    <cfRule type="cellIs" dxfId="2087" priority="2084" stopIfTrue="1" operator="equal">
      <formula>"Fail"</formula>
    </cfRule>
  </conditionalFormatting>
  <conditionalFormatting sqref="H1488">
    <cfRule type="cellIs" dxfId="2086" priority="2081" stopIfTrue="1" operator="equal">
      <formula>"Pass"</formula>
    </cfRule>
    <cfRule type="cellIs" dxfId="2085" priority="2082" stopIfTrue="1" operator="equal">
      <formula>"Fail"</formula>
    </cfRule>
  </conditionalFormatting>
  <conditionalFormatting sqref="I1488:L1488">
    <cfRule type="cellIs" dxfId="2084" priority="2079" stopIfTrue="1" operator="equal">
      <formula>"Pass"</formula>
    </cfRule>
    <cfRule type="cellIs" dxfId="2083" priority="2080" stopIfTrue="1" operator="equal">
      <formula>"Fail"</formula>
    </cfRule>
  </conditionalFormatting>
  <conditionalFormatting sqref="I1488:L1488">
    <cfRule type="cellIs" dxfId="2082" priority="2077" stopIfTrue="1" operator="equal">
      <formula>"Pass"</formula>
    </cfRule>
    <cfRule type="cellIs" dxfId="2081" priority="2078" stopIfTrue="1" operator="equal">
      <formula>"Fail"</formula>
    </cfRule>
  </conditionalFormatting>
  <conditionalFormatting sqref="J1488:L1488">
    <cfRule type="cellIs" dxfId="2080" priority="2075" stopIfTrue="1" operator="equal">
      <formula>"Pass"</formula>
    </cfRule>
    <cfRule type="cellIs" dxfId="2079" priority="2076" stopIfTrue="1" operator="equal">
      <formula>"Fail"</formula>
    </cfRule>
  </conditionalFormatting>
  <conditionalFormatting sqref="I1488">
    <cfRule type="cellIs" dxfId="2078" priority="2073" stopIfTrue="1" operator="equal">
      <formula>"Pass"</formula>
    </cfRule>
    <cfRule type="cellIs" dxfId="2077" priority="2074" stopIfTrue="1" operator="equal">
      <formula>"Fail"</formula>
    </cfRule>
  </conditionalFormatting>
  <conditionalFormatting sqref="I1488:L1488">
    <cfRule type="cellIs" dxfId="2076" priority="2071" stopIfTrue="1" operator="equal">
      <formula>"Pass"</formula>
    </cfRule>
    <cfRule type="cellIs" dxfId="2075" priority="2072" stopIfTrue="1" operator="equal">
      <formula>"Fail"</formula>
    </cfRule>
  </conditionalFormatting>
  <conditionalFormatting sqref="J1488:L1488">
    <cfRule type="cellIs" dxfId="2074" priority="2069" stopIfTrue="1" operator="equal">
      <formula>"Pass"</formula>
    </cfRule>
    <cfRule type="cellIs" dxfId="2073" priority="2070" stopIfTrue="1" operator="equal">
      <formula>"Fail"</formula>
    </cfRule>
  </conditionalFormatting>
  <conditionalFormatting sqref="I1488">
    <cfRule type="cellIs" dxfId="2072" priority="2067" stopIfTrue="1" operator="equal">
      <formula>"Pass"</formula>
    </cfRule>
    <cfRule type="cellIs" dxfId="2071" priority="2068" stopIfTrue="1" operator="equal">
      <formula>"Fail"</formula>
    </cfRule>
  </conditionalFormatting>
  <conditionalFormatting sqref="I1488:L1488">
    <cfRule type="cellIs" dxfId="2070" priority="2065" stopIfTrue="1" operator="equal">
      <formula>"Pass"</formula>
    </cfRule>
    <cfRule type="cellIs" dxfId="2069" priority="2066" stopIfTrue="1" operator="equal">
      <formula>"Fail"</formula>
    </cfRule>
  </conditionalFormatting>
  <conditionalFormatting sqref="H1488:L1488">
    <cfRule type="cellIs" dxfId="2068" priority="2063" stopIfTrue="1" operator="equal">
      <formula>"Pass"</formula>
    </cfRule>
    <cfRule type="cellIs" dxfId="2067" priority="2064" stopIfTrue="1" operator="equal">
      <formula>"Fail"</formula>
    </cfRule>
  </conditionalFormatting>
  <conditionalFormatting sqref="H1488:L1488">
    <cfRule type="cellIs" dxfId="2066" priority="2061" stopIfTrue="1" operator="equal">
      <formula>"Pass"</formula>
    </cfRule>
    <cfRule type="cellIs" dxfId="2065" priority="2062" stopIfTrue="1" operator="equal">
      <formula>"Fail"</formula>
    </cfRule>
  </conditionalFormatting>
  <conditionalFormatting sqref="H1488:L1488">
    <cfRule type="cellIs" dxfId="2064" priority="2059" stopIfTrue="1" operator="equal">
      <formula>"Pass"</formula>
    </cfRule>
    <cfRule type="cellIs" dxfId="2063" priority="2060" stopIfTrue="1" operator="equal">
      <formula>"Fail"</formula>
    </cfRule>
  </conditionalFormatting>
  <conditionalFormatting sqref="H1488:L1488">
    <cfRule type="cellIs" dxfId="2062" priority="2057" stopIfTrue="1" operator="equal">
      <formula>"Pass"</formula>
    </cfRule>
    <cfRule type="cellIs" dxfId="2061" priority="2058" stopIfTrue="1" operator="equal">
      <formula>"Fail"</formula>
    </cfRule>
  </conditionalFormatting>
  <conditionalFormatting sqref="H1488:L1488">
    <cfRule type="cellIs" dxfId="2060" priority="2055" stopIfTrue="1" operator="equal">
      <formula>"Pass"</formula>
    </cfRule>
    <cfRule type="cellIs" dxfId="2059" priority="2056" stopIfTrue="1" operator="equal">
      <formula>"Fail"</formula>
    </cfRule>
  </conditionalFormatting>
  <conditionalFormatting sqref="J1489:L1489">
    <cfRule type="cellIs" dxfId="2058" priority="2053" stopIfTrue="1" operator="equal">
      <formula>"Pass"</formula>
    </cfRule>
    <cfRule type="cellIs" dxfId="2057" priority="2054" stopIfTrue="1" operator="equal">
      <formula>"Fail"</formula>
    </cfRule>
  </conditionalFormatting>
  <conditionalFormatting sqref="I1489">
    <cfRule type="cellIs" dxfId="2056" priority="2051" stopIfTrue="1" operator="equal">
      <formula>"Pass"</formula>
    </cfRule>
    <cfRule type="cellIs" dxfId="2055" priority="2052" stopIfTrue="1" operator="equal">
      <formula>"Fail"</formula>
    </cfRule>
  </conditionalFormatting>
  <conditionalFormatting sqref="I1489:L1489">
    <cfRule type="cellIs" dxfId="2054" priority="2049" stopIfTrue="1" operator="equal">
      <formula>"Pass"</formula>
    </cfRule>
    <cfRule type="cellIs" dxfId="2053" priority="2050" stopIfTrue="1" operator="equal">
      <formula>"Fail"</formula>
    </cfRule>
  </conditionalFormatting>
  <conditionalFormatting sqref="J1489:L1489">
    <cfRule type="cellIs" dxfId="2052" priority="2047" stopIfTrue="1" operator="equal">
      <formula>"Pass"</formula>
    </cfRule>
    <cfRule type="cellIs" dxfId="2051" priority="2048" stopIfTrue="1" operator="equal">
      <formula>"Fail"</formula>
    </cfRule>
  </conditionalFormatting>
  <conditionalFormatting sqref="I1489">
    <cfRule type="cellIs" dxfId="2050" priority="2045" stopIfTrue="1" operator="equal">
      <formula>"Pass"</formula>
    </cfRule>
    <cfRule type="cellIs" dxfId="2049" priority="2046" stopIfTrue="1" operator="equal">
      <formula>"Fail"</formula>
    </cfRule>
  </conditionalFormatting>
  <conditionalFormatting sqref="I1489:L1489">
    <cfRule type="cellIs" dxfId="2048" priority="2043" stopIfTrue="1" operator="equal">
      <formula>"Pass"</formula>
    </cfRule>
    <cfRule type="cellIs" dxfId="2047" priority="2044" stopIfTrue="1" operator="equal">
      <formula>"Fail"</formula>
    </cfRule>
  </conditionalFormatting>
  <conditionalFormatting sqref="J1489:L1489">
    <cfRule type="cellIs" dxfId="2046" priority="2041" stopIfTrue="1" operator="equal">
      <formula>"Pass"</formula>
    </cfRule>
    <cfRule type="cellIs" dxfId="2045" priority="2042" stopIfTrue="1" operator="equal">
      <formula>"Fail"</formula>
    </cfRule>
  </conditionalFormatting>
  <conditionalFormatting sqref="I1489">
    <cfRule type="cellIs" dxfId="2044" priority="2039" stopIfTrue="1" operator="equal">
      <formula>"Pass"</formula>
    </cfRule>
    <cfRule type="cellIs" dxfId="2043" priority="2040" stopIfTrue="1" operator="equal">
      <formula>"Fail"</formula>
    </cfRule>
  </conditionalFormatting>
  <conditionalFormatting sqref="I1489:L1489">
    <cfRule type="cellIs" dxfId="2042" priority="2037" stopIfTrue="1" operator="equal">
      <formula>"Pass"</formula>
    </cfRule>
    <cfRule type="cellIs" dxfId="2041" priority="2038" stopIfTrue="1" operator="equal">
      <formula>"Fail"</formula>
    </cfRule>
  </conditionalFormatting>
  <conditionalFormatting sqref="J1489:L1489">
    <cfRule type="cellIs" dxfId="2040" priority="2035" stopIfTrue="1" operator="equal">
      <formula>"Pass"</formula>
    </cfRule>
    <cfRule type="cellIs" dxfId="2039" priority="2036" stopIfTrue="1" operator="equal">
      <formula>"Fail"</formula>
    </cfRule>
  </conditionalFormatting>
  <conditionalFormatting sqref="I1489">
    <cfRule type="cellIs" dxfId="2038" priority="2033" stopIfTrue="1" operator="equal">
      <formula>"Pass"</formula>
    </cfRule>
    <cfRule type="cellIs" dxfId="2037" priority="2034" stopIfTrue="1" operator="equal">
      <formula>"Fail"</formula>
    </cfRule>
  </conditionalFormatting>
  <conditionalFormatting sqref="I1489:L1489">
    <cfRule type="cellIs" dxfId="2036" priority="2031" stopIfTrue="1" operator="equal">
      <formula>"Pass"</formula>
    </cfRule>
    <cfRule type="cellIs" dxfId="2035" priority="2032" stopIfTrue="1" operator="equal">
      <formula>"Fail"</formula>
    </cfRule>
  </conditionalFormatting>
  <conditionalFormatting sqref="J1489:L1489">
    <cfRule type="cellIs" dxfId="2034" priority="2029" stopIfTrue="1" operator="equal">
      <formula>"Pass"</formula>
    </cfRule>
    <cfRule type="cellIs" dxfId="2033" priority="2030" stopIfTrue="1" operator="equal">
      <formula>"Fail"</formula>
    </cfRule>
  </conditionalFormatting>
  <conditionalFormatting sqref="I1489">
    <cfRule type="cellIs" dxfId="2032" priority="2027" stopIfTrue="1" operator="equal">
      <formula>"Pass"</formula>
    </cfRule>
    <cfRule type="cellIs" dxfId="2031" priority="2028" stopIfTrue="1" operator="equal">
      <formula>"Fail"</formula>
    </cfRule>
  </conditionalFormatting>
  <conditionalFormatting sqref="I1489:L1489">
    <cfRule type="cellIs" dxfId="2030" priority="2025" stopIfTrue="1" operator="equal">
      <formula>"Pass"</formula>
    </cfRule>
    <cfRule type="cellIs" dxfId="2029" priority="2026" stopIfTrue="1" operator="equal">
      <formula>"Fail"</formula>
    </cfRule>
  </conditionalFormatting>
  <conditionalFormatting sqref="J1489:L1489">
    <cfRule type="cellIs" dxfId="2028" priority="2023" stopIfTrue="1" operator="equal">
      <formula>"Pass"</formula>
    </cfRule>
    <cfRule type="cellIs" dxfId="2027" priority="2024" stopIfTrue="1" operator="equal">
      <formula>"Fail"</formula>
    </cfRule>
  </conditionalFormatting>
  <conditionalFormatting sqref="I1489">
    <cfRule type="cellIs" dxfId="2026" priority="2021" stopIfTrue="1" operator="equal">
      <formula>"Pass"</formula>
    </cfRule>
    <cfRule type="cellIs" dxfId="2025" priority="2022" stopIfTrue="1" operator="equal">
      <formula>"Fail"</formula>
    </cfRule>
  </conditionalFormatting>
  <conditionalFormatting sqref="I1489:L1489">
    <cfRule type="cellIs" dxfId="2024" priority="2019" stopIfTrue="1" operator="equal">
      <formula>"Pass"</formula>
    </cfRule>
    <cfRule type="cellIs" dxfId="2023" priority="2020" stopIfTrue="1" operator="equal">
      <formula>"Fail"</formula>
    </cfRule>
  </conditionalFormatting>
  <conditionalFormatting sqref="J1489:L1489">
    <cfRule type="cellIs" dxfId="2022" priority="2017" stopIfTrue="1" operator="equal">
      <formula>"Pass"</formula>
    </cfRule>
    <cfRule type="cellIs" dxfId="2021" priority="2018" stopIfTrue="1" operator="equal">
      <formula>"Fail"</formula>
    </cfRule>
  </conditionalFormatting>
  <conditionalFormatting sqref="I1489">
    <cfRule type="cellIs" dxfId="2020" priority="2015" stopIfTrue="1" operator="equal">
      <formula>"Pass"</formula>
    </cfRule>
    <cfRule type="cellIs" dxfId="2019" priority="2016" stopIfTrue="1" operator="equal">
      <formula>"Fail"</formula>
    </cfRule>
  </conditionalFormatting>
  <conditionalFormatting sqref="I1489:L1489">
    <cfRule type="cellIs" dxfId="2018" priority="2013" stopIfTrue="1" operator="equal">
      <formula>"Pass"</formula>
    </cfRule>
    <cfRule type="cellIs" dxfId="2017" priority="2014" stopIfTrue="1" operator="equal">
      <formula>"Fail"</formula>
    </cfRule>
  </conditionalFormatting>
  <conditionalFormatting sqref="J1489:L1489">
    <cfRule type="cellIs" dxfId="2016" priority="2011" stopIfTrue="1" operator="equal">
      <formula>"Pass"</formula>
    </cfRule>
    <cfRule type="cellIs" dxfId="2015" priority="2012" stopIfTrue="1" operator="equal">
      <formula>"Fail"</formula>
    </cfRule>
  </conditionalFormatting>
  <conditionalFormatting sqref="I1489">
    <cfRule type="cellIs" dxfId="2014" priority="2009" stopIfTrue="1" operator="equal">
      <formula>"Pass"</formula>
    </cfRule>
    <cfRule type="cellIs" dxfId="2013" priority="2010" stopIfTrue="1" operator="equal">
      <formula>"Fail"</formula>
    </cfRule>
  </conditionalFormatting>
  <conditionalFormatting sqref="I1489:L1489">
    <cfRule type="cellIs" dxfId="2012" priority="2007" stopIfTrue="1" operator="equal">
      <formula>"Pass"</formula>
    </cfRule>
    <cfRule type="cellIs" dxfId="2011" priority="2008" stopIfTrue="1" operator="equal">
      <formula>"Fail"</formula>
    </cfRule>
  </conditionalFormatting>
  <conditionalFormatting sqref="J1489:L1489">
    <cfRule type="cellIs" dxfId="2010" priority="2005" stopIfTrue="1" operator="equal">
      <formula>"Pass"</formula>
    </cfRule>
    <cfRule type="cellIs" dxfId="2009" priority="2006" stopIfTrue="1" operator="equal">
      <formula>"Fail"</formula>
    </cfRule>
  </conditionalFormatting>
  <conditionalFormatting sqref="I1489">
    <cfRule type="cellIs" dxfId="2008" priority="2003" stopIfTrue="1" operator="equal">
      <formula>"Pass"</formula>
    </cfRule>
    <cfRule type="cellIs" dxfId="2007" priority="2004" stopIfTrue="1" operator="equal">
      <formula>"Fail"</formula>
    </cfRule>
  </conditionalFormatting>
  <conditionalFormatting sqref="I1489:L1489">
    <cfRule type="cellIs" dxfId="2006" priority="2001" stopIfTrue="1" operator="equal">
      <formula>"Pass"</formula>
    </cfRule>
    <cfRule type="cellIs" dxfId="2005" priority="2002" stopIfTrue="1" operator="equal">
      <formula>"Fail"</formula>
    </cfRule>
  </conditionalFormatting>
  <conditionalFormatting sqref="J1489:L1489">
    <cfRule type="cellIs" dxfId="2004" priority="1999" stopIfTrue="1" operator="equal">
      <formula>"Pass"</formula>
    </cfRule>
    <cfRule type="cellIs" dxfId="2003" priority="2000" stopIfTrue="1" operator="equal">
      <formula>"Fail"</formula>
    </cfRule>
  </conditionalFormatting>
  <conditionalFormatting sqref="I1489">
    <cfRule type="cellIs" dxfId="2002" priority="1997" stopIfTrue="1" operator="equal">
      <formula>"Pass"</formula>
    </cfRule>
    <cfRule type="cellIs" dxfId="2001" priority="1998" stopIfTrue="1" operator="equal">
      <formula>"Fail"</formula>
    </cfRule>
  </conditionalFormatting>
  <conditionalFormatting sqref="I1489:L1489">
    <cfRule type="cellIs" dxfId="2000" priority="1995" stopIfTrue="1" operator="equal">
      <formula>"Pass"</formula>
    </cfRule>
    <cfRule type="cellIs" dxfId="1999" priority="1996" stopIfTrue="1" operator="equal">
      <formula>"Fail"</formula>
    </cfRule>
  </conditionalFormatting>
  <conditionalFormatting sqref="J1489:L1489">
    <cfRule type="cellIs" dxfId="1998" priority="1993" stopIfTrue="1" operator="equal">
      <formula>"Pass"</formula>
    </cfRule>
    <cfRule type="cellIs" dxfId="1997" priority="1994" stopIfTrue="1" operator="equal">
      <formula>"Fail"</formula>
    </cfRule>
  </conditionalFormatting>
  <conditionalFormatting sqref="I1489">
    <cfRule type="cellIs" dxfId="1996" priority="1991" stopIfTrue="1" operator="equal">
      <formula>"Pass"</formula>
    </cfRule>
    <cfRule type="cellIs" dxfId="1995" priority="1992" stopIfTrue="1" operator="equal">
      <formula>"Fail"</formula>
    </cfRule>
  </conditionalFormatting>
  <conditionalFormatting sqref="I1489:L1489">
    <cfRule type="cellIs" dxfId="1994" priority="1989" stopIfTrue="1" operator="equal">
      <formula>"Pass"</formula>
    </cfRule>
    <cfRule type="cellIs" dxfId="1993" priority="1990" stopIfTrue="1" operator="equal">
      <formula>"Fail"</formula>
    </cfRule>
  </conditionalFormatting>
  <conditionalFormatting sqref="J1489:L1489">
    <cfRule type="cellIs" dxfId="1992" priority="1987" stopIfTrue="1" operator="equal">
      <formula>"Pass"</formula>
    </cfRule>
    <cfRule type="cellIs" dxfId="1991" priority="1988" stopIfTrue="1" operator="equal">
      <formula>"Fail"</formula>
    </cfRule>
  </conditionalFormatting>
  <conditionalFormatting sqref="I1489">
    <cfRule type="cellIs" dxfId="1990" priority="1985" stopIfTrue="1" operator="equal">
      <formula>"Pass"</formula>
    </cfRule>
    <cfRule type="cellIs" dxfId="1989" priority="1986" stopIfTrue="1" operator="equal">
      <formula>"Fail"</formula>
    </cfRule>
  </conditionalFormatting>
  <conditionalFormatting sqref="I1489:L1489">
    <cfRule type="cellIs" dxfId="1988" priority="1983" stopIfTrue="1" operator="equal">
      <formula>"Pass"</formula>
    </cfRule>
    <cfRule type="cellIs" dxfId="1987" priority="1984" stopIfTrue="1" operator="equal">
      <formula>"Fail"</formula>
    </cfRule>
  </conditionalFormatting>
  <conditionalFormatting sqref="J1489:L1489">
    <cfRule type="cellIs" dxfId="1986" priority="1981" stopIfTrue="1" operator="equal">
      <formula>"Pass"</formula>
    </cfRule>
    <cfRule type="cellIs" dxfId="1985" priority="1982" stopIfTrue="1" operator="equal">
      <formula>"Fail"</formula>
    </cfRule>
  </conditionalFormatting>
  <conditionalFormatting sqref="I1489">
    <cfRule type="cellIs" dxfId="1984" priority="1979" stopIfTrue="1" operator="equal">
      <formula>"Pass"</formula>
    </cfRule>
    <cfRule type="cellIs" dxfId="1983" priority="1980" stopIfTrue="1" operator="equal">
      <formula>"Fail"</formula>
    </cfRule>
  </conditionalFormatting>
  <conditionalFormatting sqref="I1489:L1489">
    <cfRule type="cellIs" dxfId="1982" priority="1977" stopIfTrue="1" operator="equal">
      <formula>"Pass"</formula>
    </cfRule>
    <cfRule type="cellIs" dxfId="1981" priority="1978" stopIfTrue="1" operator="equal">
      <formula>"Fail"</formula>
    </cfRule>
  </conditionalFormatting>
  <conditionalFormatting sqref="J1489:L1489">
    <cfRule type="cellIs" dxfId="1980" priority="1975" stopIfTrue="1" operator="equal">
      <formula>"Pass"</formula>
    </cfRule>
    <cfRule type="cellIs" dxfId="1979" priority="1976" stopIfTrue="1" operator="equal">
      <formula>"Fail"</formula>
    </cfRule>
  </conditionalFormatting>
  <conditionalFormatting sqref="I1489">
    <cfRule type="cellIs" dxfId="1978" priority="1973" stopIfTrue="1" operator="equal">
      <formula>"Pass"</formula>
    </cfRule>
    <cfRule type="cellIs" dxfId="1977" priority="1974" stopIfTrue="1" operator="equal">
      <formula>"Fail"</formula>
    </cfRule>
  </conditionalFormatting>
  <conditionalFormatting sqref="I1489:L1489">
    <cfRule type="cellIs" dxfId="1976" priority="1971" stopIfTrue="1" operator="equal">
      <formula>"Pass"</formula>
    </cfRule>
    <cfRule type="cellIs" dxfId="1975" priority="1972" stopIfTrue="1" operator="equal">
      <formula>"Fail"</formula>
    </cfRule>
  </conditionalFormatting>
  <conditionalFormatting sqref="J1489:L1489">
    <cfRule type="cellIs" dxfId="1974" priority="1969" stopIfTrue="1" operator="equal">
      <formula>"Pass"</formula>
    </cfRule>
    <cfRule type="cellIs" dxfId="1973" priority="1970" stopIfTrue="1" operator="equal">
      <formula>"Fail"</formula>
    </cfRule>
  </conditionalFormatting>
  <conditionalFormatting sqref="I1489">
    <cfRule type="cellIs" dxfId="1972" priority="1967" stopIfTrue="1" operator="equal">
      <formula>"Pass"</formula>
    </cfRule>
    <cfRule type="cellIs" dxfId="1971" priority="1968" stopIfTrue="1" operator="equal">
      <formula>"Fail"</formula>
    </cfRule>
  </conditionalFormatting>
  <conditionalFormatting sqref="I1489:L1489">
    <cfRule type="cellIs" dxfId="1970" priority="1965" stopIfTrue="1" operator="equal">
      <formula>"Pass"</formula>
    </cfRule>
    <cfRule type="cellIs" dxfId="1969" priority="1966" stopIfTrue="1" operator="equal">
      <formula>"Fail"</formula>
    </cfRule>
  </conditionalFormatting>
  <conditionalFormatting sqref="J1489:L1489">
    <cfRule type="cellIs" dxfId="1968" priority="1963" stopIfTrue="1" operator="equal">
      <formula>"Pass"</formula>
    </cfRule>
    <cfRule type="cellIs" dxfId="1967" priority="1964" stopIfTrue="1" operator="equal">
      <formula>"Fail"</formula>
    </cfRule>
  </conditionalFormatting>
  <conditionalFormatting sqref="I1489">
    <cfRule type="cellIs" dxfId="1966" priority="1961" stopIfTrue="1" operator="equal">
      <formula>"Pass"</formula>
    </cfRule>
    <cfRule type="cellIs" dxfId="1965" priority="1962" stopIfTrue="1" operator="equal">
      <formula>"Fail"</formula>
    </cfRule>
  </conditionalFormatting>
  <conditionalFormatting sqref="I1489:L1489">
    <cfRule type="cellIs" dxfId="1964" priority="1959" stopIfTrue="1" operator="equal">
      <formula>"Pass"</formula>
    </cfRule>
    <cfRule type="cellIs" dxfId="1963" priority="1960" stopIfTrue="1" operator="equal">
      <formula>"Fail"</formula>
    </cfRule>
  </conditionalFormatting>
  <conditionalFormatting sqref="J1489:L1489">
    <cfRule type="cellIs" dxfId="1962" priority="1957" stopIfTrue="1" operator="equal">
      <formula>"Pass"</formula>
    </cfRule>
    <cfRule type="cellIs" dxfId="1961" priority="1958" stopIfTrue="1" operator="equal">
      <formula>"Fail"</formula>
    </cfRule>
  </conditionalFormatting>
  <conditionalFormatting sqref="I1489">
    <cfRule type="cellIs" dxfId="1960" priority="1955" stopIfTrue="1" operator="equal">
      <formula>"Pass"</formula>
    </cfRule>
    <cfRule type="cellIs" dxfId="1959" priority="1956" stopIfTrue="1" operator="equal">
      <formula>"Fail"</formula>
    </cfRule>
  </conditionalFormatting>
  <conditionalFormatting sqref="I1489:L1489">
    <cfRule type="cellIs" dxfId="1958" priority="1953" stopIfTrue="1" operator="equal">
      <formula>"Pass"</formula>
    </cfRule>
    <cfRule type="cellIs" dxfId="1957" priority="1954" stopIfTrue="1" operator="equal">
      <formula>"Fail"</formula>
    </cfRule>
  </conditionalFormatting>
  <conditionalFormatting sqref="J1489:L1489">
    <cfRule type="cellIs" dxfId="1956" priority="1951" stopIfTrue="1" operator="equal">
      <formula>"Pass"</formula>
    </cfRule>
    <cfRule type="cellIs" dxfId="1955" priority="1952" stopIfTrue="1" operator="equal">
      <formula>"Fail"</formula>
    </cfRule>
  </conditionalFormatting>
  <conditionalFormatting sqref="I1489">
    <cfRule type="cellIs" dxfId="1954" priority="1949" stopIfTrue="1" operator="equal">
      <formula>"Pass"</formula>
    </cfRule>
    <cfRule type="cellIs" dxfId="1953" priority="1950" stopIfTrue="1" operator="equal">
      <formula>"Fail"</formula>
    </cfRule>
  </conditionalFormatting>
  <conditionalFormatting sqref="I1489:L1489">
    <cfRule type="cellIs" dxfId="1952" priority="1947" stopIfTrue="1" operator="equal">
      <formula>"Pass"</formula>
    </cfRule>
    <cfRule type="cellIs" dxfId="1951" priority="1948" stopIfTrue="1" operator="equal">
      <formula>"Fail"</formula>
    </cfRule>
  </conditionalFormatting>
  <conditionalFormatting sqref="J1489:L1489">
    <cfRule type="cellIs" dxfId="1950" priority="1945" stopIfTrue="1" operator="equal">
      <formula>"Pass"</formula>
    </cfRule>
    <cfRule type="cellIs" dxfId="1949" priority="1946" stopIfTrue="1" operator="equal">
      <formula>"Fail"</formula>
    </cfRule>
  </conditionalFormatting>
  <conditionalFormatting sqref="I1489">
    <cfRule type="cellIs" dxfId="1948" priority="1943" stopIfTrue="1" operator="equal">
      <formula>"Pass"</formula>
    </cfRule>
    <cfRule type="cellIs" dxfId="1947" priority="1944" stopIfTrue="1" operator="equal">
      <formula>"Fail"</formula>
    </cfRule>
  </conditionalFormatting>
  <conditionalFormatting sqref="I1489:L1489">
    <cfRule type="cellIs" dxfId="1946" priority="1941" stopIfTrue="1" operator="equal">
      <formula>"Pass"</formula>
    </cfRule>
    <cfRule type="cellIs" dxfId="1945" priority="1942" stopIfTrue="1" operator="equal">
      <formula>"Fail"</formula>
    </cfRule>
  </conditionalFormatting>
  <conditionalFormatting sqref="J1489:L1489">
    <cfRule type="cellIs" dxfId="1944" priority="1939" stopIfTrue="1" operator="equal">
      <formula>"Pass"</formula>
    </cfRule>
    <cfRule type="cellIs" dxfId="1943" priority="1940" stopIfTrue="1" operator="equal">
      <formula>"Fail"</formula>
    </cfRule>
  </conditionalFormatting>
  <conditionalFormatting sqref="I1489">
    <cfRule type="cellIs" dxfId="1942" priority="1937" stopIfTrue="1" operator="equal">
      <formula>"Pass"</formula>
    </cfRule>
    <cfRule type="cellIs" dxfId="1941" priority="1938" stopIfTrue="1" operator="equal">
      <formula>"Fail"</formula>
    </cfRule>
  </conditionalFormatting>
  <conditionalFormatting sqref="I1489:L1489">
    <cfRule type="cellIs" dxfId="1940" priority="1935" stopIfTrue="1" operator="equal">
      <formula>"Pass"</formula>
    </cfRule>
    <cfRule type="cellIs" dxfId="1939" priority="1936" stopIfTrue="1" operator="equal">
      <formula>"Fail"</formula>
    </cfRule>
  </conditionalFormatting>
  <conditionalFormatting sqref="J1489:L1489">
    <cfRule type="cellIs" dxfId="1938" priority="1933" stopIfTrue="1" operator="equal">
      <formula>"Pass"</formula>
    </cfRule>
    <cfRule type="cellIs" dxfId="1937" priority="1934" stopIfTrue="1" operator="equal">
      <formula>"Fail"</formula>
    </cfRule>
  </conditionalFormatting>
  <conditionalFormatting sqref="I1489">
    <cfRule type="cellIs" dxfId="1936" priority="1931" stopIfTrue="1" operator="equal">
      <formula>"Pass"</formula>
    </cfRule>
    <cfRule type="cellIs" dxfId="1935" priority="1932" stopIfTrue="1" operator="equal">
      <formula>"Fail"</formula>
    </cfRule>
  </conditionalFormatting>
  <conditionalFormatting sqref="I1489:L1489">
    <cfRule type="cellIs" dxfId="1934" priority="1929" stopIfTrue="1" operator="equal">
      <formula>"Pass"</formula>
    </cfRule>
    <cfRule type="cellIs" dxfId="1933" priority="1930" stopIfTrue="1" operator="equal">
      <formula>"Fail"</formula>
    </cfRule>
  </conditionalFormatting>
  <conditionalFormatting sqref="J1489:L1489">
    <cfRule type="cellIs" dxfId="1932" priority="1927" stopIfTrue="1" operator="equal">
      <formula>"Pass"</formula>
    </cfRule>
    <cfRule type="cellIs" dxfId="1931" priority="1928" stopIfTrue="1" operator="equal">
      <formula>"Fail"</formula>
    </cfRule>
  </conditionalFormatting>
  <conditionalFormatting sqref="I1489">
    <cfRule type="cellIs" dxfId="1930" priority="1925" stopIfTrue="1" operator="equal">
      <formula>"Pass"</formula>
    </cfRule>
    <cfRule type="cellIs" dxfId="1929" priority="1926" stopIfTrue="1" operator="equal">
      <formula>"Fail"</formula>
    </cfRule>
  </conditionalFormatting>
  <conditionalFormatting sqref="I1489:L1489">
    <cfRule type="cellIs" dxfId="1928" priority="1923" stopIfTrue="1" operator="equal">
      <formula>"Pass"</formula>
    </cfRule>
    <cfRule type="cellIs" dxfId="1927" priority="1924" stopIfTrue="1" operator="equal">
      <formula>"Fail"</formula>
    </cfRule>
  </conditionalFormatting>
  <conditionalFormatting sqref="J1489:L1489">
    <cfRule type="cellIs" dxfId="1926" priority="1921" stopIfTrue="1" operator="equal">
      <formula>"Pass"</formula>
    </cfRule>
    <cfRule type="cellIs" dxfId="1925" priority="1922" stopIfTrue="1" operator="equal">
      <formula>"Fail"</formula>
    </cfRule>
  </conditionalFormatting>
  <conditionalFormatting sqref="I1489">
    <cfRule type="cellIs" dxfId="1924" priority="1919" stopIfTrue="1" operator="equal">
      <formula>"Pass"</formula>
    </cfRule>
    <cfRule type="cellIs" dxfId="1923" priority="1920" stopIfTrue="1" operator="equal">
      <formula>"Fail"</formula>
    </cfRule>
  </conditionalFormatting>
  <conditionalFormatting sqref="I1489:L1489">
    <cfRule type="cellIs" dxfId="1922" priority="1917" stopIfTrue="1" operator="equal">
      <formula>"Pass"</formula>
    </cfRule>
    <cfRule type="cellIs" dxfId="1921" priority="1918" stopIfTrue="1" operator="equal">
      <formula>"Fail"</formula>
    </cfRule>
  </conditionalFormatting>
  <conditionalFormatting sqref="J1489:L1489">
    <cfRule type="cellIs" dxfId="1920" priority="1915" stopIfTrue="1" operator="equal">
      <formula>"Pass"</formula>
    </cfRule>
    <cfRule type="cellIs" dxfId="1919" priority="1916" stopIfTrue="1" operator="equal">
      <formula>"Fail"</formula>
    </cfRule>
  </conditionalFormatting>
  <conditionalFormatting sqref="I1489">
    <cfRule type="cellIs" dxfId="1918" priority="1913" stopIfTrue="1" operator="equal">
      <formula>"Pass"</formula>
    </cfRule>
    <cfRule type="cellIs" dxfId="1917" priority="1914" stopIfTrue="1" operator="equal">
      <formula>"Fail"</formula>
    </cfRule>
  </conditionalFormatting>
  <conditionalFormatting sqref="I1489:L1489">
    <cfRule type="cellIs" dxfId="1916" priority="1911" stopIfTrue="1" operator="equal">
      <formula>"Pass"</formula>
    </cfRule>
    <cfRule type="cellIs" dxfId="1915" priority="1912" stopIfTrue="1" operator="equal">
      <formula>"Fail"</formula>
    </cfRule>
  </conditionalFormatting>
  <conditionalFormatting sqref="I1489:L1489">
    <cfRule type="cellIs" dxfId="1914" priority="1909" stopIfTrue="1" operator="equal">
      <formula>"Pass"</formula>
    </cfRule>
    <cfRule type="cellIs" dxfId="1913" priority="1910" stopIfTrue="1" operator="equal">
      <formula>"Fail"</formula>
    </cfRule>
  </conditionalFormatting>
  <conditionalFormatting sqref="J1489:L1489">
    <cfRule type="cellIs" dxfId="1912" priority="1907" stopIfTrue="1" operator="equal">
      <formula>"Pass"</formula>
    </cfRule>
    <cfRule type="cellIs" dxfId="1911" priority="1908" stopIfTrue="1" operator="equal">
      <formula>"Fail"</formula>
    </cfRule>
  </conditionalFormatting>
  <conditionalFormatting sqref="I1489">
    <cfRule type="cellIs" dxfId="1910" priority="1905" stopIfTrue="1" operator="equal">
      <formula>"Pass"</formula>
    </cfRule>
    <cfRule type="cellIs" dxfId="1909" priority="1906" stopIfTrue="1" operator="equal">
      <formula>"Fail"</formula>
    </cfRule>
  </conditionalFormatting>
  <conditionalFormatting sqref="I1489:L1489">
    <cfRule type="cellIs" dxfId="1908" priority="1903" stopIfTrue="1" operator="equal">
      <formula>"Pass"</formula>
    </cfRule>
    <cfRule type="cellIs" dxfId="1907" priority="1904" stopIfTrue="1" operator="equal">
      <formula>"Fail"</formula>
    </cfRule>
  </conditionalFormatting>
  <conditionalFormatting sqref="J1489:L1489">
    <cfRule type="cellIs" dxfId="1906" priority="1901" stopIfTrue="1" operator="equal">
      <formula>"Pass"</formula>
    </cfRule>
    <cfRule type="cellIs" dxfId="1905" priority="1902" stopIfTrue="1" operator="equal">
      <formula>"Fail"</formula>
    </cfRule>
  </conditionalFormatting>
  <conditionalFormatting sqref="I1489">
    <cfRule type="cellIs" dxfId="1904" priority="1899" stopIfTrue="1" operator="equal">
      <formula>"Pass"</formula>
    </cfRule>
    <cfRule type="cellIs" dxfId="1903" priority="1900" stopIfTrue="1" operator="equal">
      <formula>"Fail"</formula>
    </cfRule>
  </conditionalFormatting>
  <conditionalFormatting sqref="I1489:L1489">
    <cfRule type="cellIs" dxfId="1902" priority="1897" stopIfTrue="1" operator="equal">
      <formula>"Pass"</formula>
    </cfRule>
    <cfRule type="cellIs" dxfId="1901" priority="1898" stopIfTrue="1" operator="equal">
      <formula>"Fail"</formula>
    </cfRule>
  </conditionalFormatting>
  <conditionalFormatting sqref="I1489:L1489">
    <cfRule type="cellIs" dxfId="1900" priority="1895" stopIfTrue="1" operator="equal">
      <formula>"Pass"</formula>
    </cfRule>
    <cfRule type="cellIs" dxfId="1899" priority="1896" stopIfTrue="1" operator="equal">
      <formula>"Fail"</formula>
    </cfRule>
  </conditionalFormatting>
  <conditionalFormatting sqref="J1489:L1489">
    <cfRule type="cellIs" dxfId="1898" priority="1893" stopIfTrue="1" operator="equal">
      <formula>"Pass"</formula>
    </cfRule>
    <cfRule type="cellIs" dxfId="1897" priority="1894" stopIfTrue="1" operator="equal">
      <formula>"Fail"</formula>
    </cfRule>
  </conditionalFormatting>
  <conditionalFormatting sqref="I1489">
    <cfRule type="cellIs" dxfId="1896" priority="1891" stopIfTrue="1" operator="equal">
      <formula>"Pass"</formula>
    </cfRule>
    <cfRule type="cellIs" dxfId="1895" priority="1892" stopIfTrue="1" operator="equal">
      <formula>"Fail"</formula>
    </cfRule>
  </conditionalFormatting>
  <conditionalFormatting sqref="I1489:L1489">
    <cfRule type="cellIs" dxfId="1894" priority="1889" stopIfTrue="1" operator="equal">
      <formula>"Pass"</formula>
    </cfRule>
    <cfRule type="cellIs" dxfId="1893" priority="1890" stopIfTrue="1" operator="equal">
      <formula>"Fail"</formula>
    </cfRule>
  </conditionalFormatting>
  <conditionalFormatting sqref="J1489:L1489">
    <cfRule type="cellIs" dxfId="1892" priority="1887" stopIfTrue="1" operator="equal">
      <formula>"Pass"</formula>
    </cfRule>
    <cfRule type="cellIs" dxfId="1891" priority="1888" stopIfTrue="1" operator="equal">
      <formula>"Fail"</formula>
    </cfRule>
  </conditionalFormatting>
  <conditionalFormatting sqref="I1489">
    <cfRule type="cellIs" dxfId="1890" priority="1885" stopIfTrue="1" operator="equal">
      <formula>"Pass"</formula>
    </cfRule>
    <cfRule type="cellIs" dxfId="1889" priority="1886" stopIfTrue="1" operator="equal">
      <formula>"Fail"</formula>
    </cfRule>
  </conditionalFormatting>
  <conditionalFormatting sqref="I1489:L1489">
    <cfRule type="cellIs" dxfId="1888" priority="1883" stopIfTrue="1" operator="equal">
      <formula>"Pass"</formula>
    </cfRule>
    <cfRule type="cellIs" dxfId="1887" priority="1884" stopIfTrue="1" operator="equal">
      <formula>"Fail"</formula>
    </cfRule>
  </conditionalFormatting>
  <conditionalFormatting sqref="I1489:L1489">
    <cfRule type="cellIs" dxfId="1886" priority="1881" stopIfTrue="1" operator="equal">
      <formula>"Pass"</formula>
    </cfRule>
    <cfRule type="cellIs" dxfId="1885" priority="1882" stopIfTrue="1" operator="equal">
      <formula>"Fail"</formula>
    </cfRule>
  </conditionalFormatting>
  <conditionalFormatting sqref="J1489:L1489">
    <cfRule type="cellIs" dxfId="1884" priority="1879" stopIfTrue="1" operator="equal">
      <formula>"Pass"</formula>
    </cfRule>
    <cfRule type="cellIs" dxfId="1883" priority="1880" stopIfTrue="1" operator="equal">
      <formula>"Fail"</formula>
    </cfRule>
  </conditionalFormatting>
  <conditionalFormatting sqref="I1489">
    <cfRule type="cellIs" dxfId="1882" priority="1877" stopIfTrue="1" operator="equal">
      <formula>"Pass"</formula>
    </cfRule>
    <cfRule type="cellIs" dxfId="1881" priority="1878" stopIfTrue="1" operator="equal">
      <formula>"Fail"</formula>
    </cfRule>
  </conditionalFormatting>
  <conditionalFormatting sqref="I1489:L1489">
    <cfRule type="cellIs" dxfId="1880" priority="1875" stopIfTrue="1" operator="equal">
      <formula>"Pass"</formula>
    </cfRule>
    <cfRule type="cellIs" dxfId="1879" priority="1876" stopIfTrue="1" operator="equal">
      <formula>"Fail"</formula>
    </cfRule>
  </conditionalFormatting>
  <conditionalFormatting sqref="J1489:L1489">
    <cfRule type="cellIs" dxfId="1878" priority="1873" stopIfTrue="1" operator="equal">
      <formula>"Pass"</formula>
    </cfRule>
    <cfRule type="cellIs" dxfId="1877" priority="1874" stopIfTrue="1" operator="equal">
      <formula>"Fail"</formula>
    </cfRule>
  </conditionalFormatting>
  <conditionalFormatting sqref="I1489">
    <cfRule type="cellIs" dxfId="1876" priority="1871" stopIfTrue="1" operator="equal">
      <formula>"Pass"</formula>
    </cfRule>
    <cfRule type="cellIs" dxfId="1875" priority="1872" stopIfTrue="1" operator="equal">
      <formula>"Fail"</formula>
    </cfRule>
  </conditionalFormatting>
  <conditionalFormatting sqref="I1489:L1489">
    <cfRule type="cellIs" dxfId="1874" priority="1869" stopIfTrue="1" operator="equal">
      <formula>"Pass"</formula>
    </cfRule>
    <cfRule type="cellIs" dxfId="1873" priority="1870" stopIfTrue="1" operator="equal">
      <formula>"Fail"</formula>
    </cfRule>
  </conditionalFormatting>
  <conditionalFormatting sqref="I1489:L1489">
    <cfRule type="cellIs" dxfId="1872" priority="1867" stopIfTrue="1" operator="equal">
      <formula>"Pass"</formula>
    </cfRule>
    <cfRule type="cellIs" dxfId="1871" priority="1868" stopIfTrue="1" operator="equal">
      <formula>"Fail"</formula>
    </cfRule>
  </conditionalFormatting>
  <conditionalFormatting sqref="J1489:L1489">
    <cfRule type="cellIs" dxfId="1870" priority="1865" stopIfTrue="1" operator="equal">
      <formula>"Pass"</formula>
    </cfRule>
    <cfRule type="cellIs" dxfId="1869" priority="1866" stopIfTrue="1" operator="equal">
      <formula>"Fail"</formula>
    </cfRule>
  </conditionalFormatting>
  <conditionalFormatting sqref="I1489">
    <cfRule type="cellIs" dxfId="1868" priority="1863" stopIfTrue="1" operator="equal">
      <formula>"Pass"</formula>
    </cfRule>
    <cfRule type="cellIs" dxfId="1867" priority="1864" stopIfTrue="1" operator="equal">
      <formula>"Fail"</formula>
    </cfRule>
  </conditionalFormatting>
  <conditionalFormatting sqref="I1489:L1489">
    <cfRule type="cellIs" dxfId="1866" priority="1861" stopIfTrue="1" operator="equal">
      <formula>"Pass"</formula>
    </cfRule>
    <cfRule type="cellIs" dxfId="1865" priority="1862" stopIfTrue="1" operator="equal">
      <formula>"Fail"</formula>
    </cfRule>
  </conditionalFormatting>
  <conditionalFormatting sqref="J1489:L1489">
    <cfRule type="cellIs" dxfId="1864" priority="1859" stopIfTrue="1" operator="equal">
      <formula>"Pass"</formula>
    </cfRule>
    <cfRule type="cellIs" dxfId="1863" priority="1860" stopIfTrue="1" operator="equal">
      <formula>"Fail"</formula>
    </cfRule>
  </conditionalFormatting>
  <conditionalFormatting sqref="I1489">
    <cfRule type="cellIs" dxfId="1862" priority="1857" stopIfTrue="1" operator="equal">
      <formula>"Pass"</formula>
    </cfRule>
    <cfRule type="cellIs" dxfId="1861" priority="1858" stopIfTrue="1" operator="equal">
      <formula>"Fail"</formula>
    </cfRule>
  </conditionalFormatting>
  <conditionalFormatting sqref="I1489:L1489">
    <cfRule type="cellIs" dxfId="1860" priority="1855" stopIfTrue="1" operator="equal">
      <formula>"Pass"</formula>
    </cfRule>
    <cfRule type="cellIs" dxfId="1859" priority="1856" stopIfTrue="1" operator="equal">
      <formula>"Fail"</formula>
    </cfRule>
  </conditionalFormatting>
  <conditionalFormatting sqref="I1489:L1489">
    <cfRule type="cellIs" dxfId="1858" priority="1853" stopIfTrue="1" operator="equal">
      <formula>"Pass"</formula>
    </cfRule>
    <cfRule type="cellIs" dxfId="1857" priority="1854" stopIfTrue="1" operator="equal">
      <formula>"Fail"</formula>
    </cfRule>
  </conditionalFormatting>
  <conditionalFormatting sqref="J1489:L1489">
    <cfRule type="cellIs" dxfId="1856" priority="1851" stopIfTrue="1" operator="equal">
      <formula>"Pass"</formula>
    </cfRule>
    <cfRule type="cellIs" dxfId="1855" priority="1852" stopIfTrue="1" operator="equal">
      <formula>"Fail"</formula>
    </cfRule>
  </conditionalFormatting>
  <conditionalFormatting sqref="I1489">
    <cfRule type="cellIs" dxfId="1854" priority="1849" stopIfTrue="1" operator="equal">
      <formula>"Pass"</formula>
    </cfRule>
    <cfRule type="cellIs" dxfId="1853" priority="1850" stopIfTrue="1" operator="equal">
      <formula>"Fail"</formula>
    </cfRule>
  </conditionalFormatting>
  <conditionalFormatting sqref="I1489:L1489">
    <cfRule type="cellIs" dxfId="1852" priority="1847" stopIfTrue="1" operator="equal">
      <formula>"Pass"</formula>
    </cfRule>
    <cfRule type="cellIs" dxfId="1851" priority="1848" stopIfTrue="1" operator="equal">
      <formula>"Fail"</formula>
    </cfRule>
  </conditionalFormatting>
  <conditionalFormatting sqref="J1489:L1489">
    <cfRule type="cellIs" dxfId="1850" priority="1845" stopIfTrue="1" operator="equal">
      <formula>"Pass"</formula>
    </cfRule>
    <cfRule type="cellIs" dxfId="1849" priority="1846" stopIfTrue="1" operator="equal">
      <formula>"Fail"</formula>
    </cfRule>
  </conditionalFormatting>
  <conditionalFormatting sqref="I1489">
    <cfRule type="cellIs" dxfId="1848" priority="1843" stopIfTrue="1" operator="equal">
      <formula>"Pass"</formula>
    </cfRule>
    <cfRule type="cellIs" dxfId="1847" priority="1844" stopIfTrue="1" operator="equal">
      <formula>"Fail"</formula>
    </cfRule>
  </conditionalFormatting>
  <conditionalFormatting sqref="I1489:L1489">
    <cfRule type="cellIs" dxfId="1846" priority="1841" stopIfTrue="1" operator="equal">
      <formula>"Pass"</formula>
    </cfRule>
    <cfRule type="cellIs" dxfId="1845" priority="1842" stopIfTrue="1" operator="equal">
      <formula>"Fail"</formula>
    </cfRule>
  </conditionalFormatting>
  <conditionalFormatting sqref="I1489:L1489">
    <cfRule type="cellIs" dxfId="1844" priority="1839" stopIfTrue="1" operator="equal">
      <formula>"Pass"</formula>
    </cfRule>
    <cfRule type="cellIs" dxfId="1843" priority="1840" stopIfTrue="1" operator="equal">
      <formula>"Fail"</formula>
    </cfRule>
  </conditionalFormatting>
  <conditionalFormatting sqref="I1489:L1489">
    <cfRule type="cellIs" dxfId="1842" priority="1837" stopIfTrue="1" operator="equal">
      <formula>"Pass"</formula>
    </cfRule>
    <cfRule type="cellIs" dxfId="1841" priority="1838" stopIfTrue="1" operator="equal">
      <formula>"Fail"</formula>
    </cfRule>
  </conditionalFormatting>
  <conditionalFormatting sqref="J1489:L1489">
    <cfRule type="cellIs" dxfId="1840" priority="1835" stopIfTrue="1" operator="equal">
      <formula>"Pass"</formula>
    </cfRule>
    <cfRule type="cellIs" dxfId="1839" priority="1836" stopIfTrue="1" operator="equal">
      <formula>"Fail"</formula>
    </cfRule>
  </conditionalFormatting>
  <conditionalFormatting sqref="I1489">
    <cfRule type="cellIs" dxfId="1838" priority="1833" stopIfTrue="1" operator="equal">
      <formula>"Pass"</formula>
    </cfRule>
    <cfRule type="cellIs" dxfId="1837" priority="1834" stopIfTrue="1" operator="equal">
      <formula>"Fail"</formula>
    </cfRule>
  </conditionalFormatting>
  <conditionalFormatting sqref="I1489:L1489">
    <cfRule type="cellIs" dxfId="1836" priority="1831" stopIfTrue="1" operator="equal">
      <formula>"Pass"</formula>
    </cfRule>
    <cfRule type="cellIs" dxfId="1835" priority="1832" stopIfTrue="1" operator="equal">
      <formula>"Fail"</formula>
    </cfRule>
  </conditionalFormatting>
  <conditionalFormatting sqref="J1489:L1489">
    <cfRule type="cellIs" dxfId="1834" priority="1829" stopIfTrue="1" operator="equal">
      <formula>"Pass"</formula>
    </cfRule>
    <cfRule type="cellIs" dxfId="1833" priority="1830" stopIfTrue="1" operator="equal">
      <formula>"Fail"</formula>
    </cfRule>
  </conditionalFormatting>
  <conditionalFormatting sqref="I1489">
    <cfRule type="cellIs" dxfId="1832" priority="1827" stopIfTrue="1" operator="equal">
      <formula>"Pass"</formula>
    </cfRule>
    <cfRule type="cellIs" dxfId="1831" priority="1828" stopIfTrue="1" operator="equal">
      <formula>"Fail"</formula>
    </cfRule>
  </conditionalFormatting>
  <conditionalFormatting sqref="I1489:L1489">
    <cfRule type="cellIs" dxfId="1830" priority="1825" stopIfTrue="1" operator="equal">
      <formula>"Pass"</formula>
    </cfRule>
    <cfRule type="cellIs" dxfId="1829" priority="1826" stopIfTrue="1" operator="equal">
      <formula>"Fail"</formula>
    </cfRule>
  </conditionalFormatting>
  <conditionalFormatting sqref="I1489:L1489">
    <cfRule type="cellIs" dxfId="1828" priority="1823" stopIfTrue="1" operator="equal">
      <formula>"Pass"</formula>
    </cfRule>
    <cfRule type="cellIs" dxfId="1827" priority="1824" stopIfTrue="1" operator="equal">
      <formula>"Fail"</formula>
    </cfRule>
  </conditionalFormatting>
  <conditionalFormatting sqref="I1489:L1489">
    <cfRule type="cellIs" dxfId="1826" priority="1821" stopIfTrue="1" operator="equal">
      <formula>"Pass"</formula>
    </cfRule>
    <cfRule type="cellIs" dxfId="1825" priority="1822" stopIfTrue="1" operator="equal">
      <formula>"Fail"</formula>
    </cfRule>
  </conditionalFormatting>
  <conditionalFormatting sqref="J1489:L1489">
    <cfRule type="cellIs" dxfId="1824" priority="1819" stopIfTrue="1" operator="equal">
      <formula>"Pass"</formula>
    </cfRule>
    <cfRule type="cellIs" dxfId="1823" priority="1820" stopIfTrue="1" operator="equal">
      <formula>"Fail"</formula>
    </cfRule>
  </conditionalFormatting>
  <conditionalFormatting sqref="I1489">
    <cfRule type="cellIs" dxfId="1822" priority="1817" stopIfTrue="1" operator="equal">
      <formula>"Pass"</formula>
    </cfRule>
    <cfRule type="cellIs" dxfId="1821" priority="1818" stopIfTrue="1" operator="equal">
      <formula>"Fail"</formula>
    </cfRule>
  </conditionalFormatting>
  <conditionalFormatting sqref="I1489:L1489">
    <cfRule type="cellIs" dxfId="1820" priority="1815" stopIfTrue="1" operator="equal">
      <formula>"Pass"</formula>
    </cfRule>
    <cfRule type="cellIs" dxfId="1819" priority="1816" stopIfTrue="1" operator="equal">
      <formula>"Fail"</formula>
    </cfRule>
  </conditionalFormatting>
  <conditionalFormatting sqref="J1489:L1489">
    <cfRule type="cellIs" dxfId="1818" priority="1813" stopIfTrue="1" operator="equal">
      <formula>"Pass"</formula>
    </cfRule>
    <cfRule type="cellIs" dxfId="1817" priority="1814" stopIfTrue="1" operator="equal">
      <formula>"Fail"</formula>
    </cfRule>
  </conditionalFormatting>
  <conditionalFormatting sqref="I1489">
    <cfRule type="cellIs" dxfId="1816" priority="1811" stopIfTrue="1" operator="equal">
      <formula>"Pass"</formula>
    </cfRule>
    <cfRule type="cellIs" dxfId="1815" priority="1812" stopIfTrue="1" operator="equal">
      <formula>"Fail"</formula>
    </cfRule>
  </conditionalFormatting>
  <conditionalFormatting sqref="I1489:L1489">
    <cfRule type="cellIs" dxfId="1814" priority="1809" stopIfTrue="1" operator="equal">
      <formula>"Pass"</formula>
    </cfRule>
    <cfRule type="cellIs" dxfId="1813" priority="1810" stopIfTrue="1" operator="equal">
      <formula>"Fail"</formula>
    </cfRule>
  </conditionalFormatting>
  <conditionalFormatting sqref="I1489:L1489">
    <cfRule type="cellIs" dxfId="1812" priority="1807" stopIfTrue="1" operator="equal">
      <formula>"Pass"</formula>
    </cfRule>
    <cfRule type="cellIs" dxfId="1811" priority="1808" stopIfTrue="1" operator="equal">
      <formula>"Fail"</formula>
    </cfRule>
  </conditionalFormatting>
  <conditionalFormatting sqref="I1489:L1489">
    <cfRule type="cellIs" dxfId="1810" priority="1805" stopIfTrue="1" operator="equal">
      <formula>"Pass"</formula>
    </cfRule>
    <cfRule type="cellIs" dxfId="1809" priority="1806" stopIfTrue="1" operator="equal">
      <formula>"Fail"</formula>
    </cfRule>
  </conditionalFormatting>
  <conditionalFormatting sqref="J1489:L1489">
    <cfRule type="cellIs" dxfId="1808" priority="1803" stopIfTrue="1" operator="equal">
      <formula>"Pass"</formula>
    </cfRule>
    <cfRule type="cellIs" dxfId="1807" priority="1804" stopIfTrue="1" operator="equal">
      <formula>"Fail"</formula>
    </cfRule>
  </conditionalFormatting>
  <conditionalFormatting sqref="I1489">
    <cfRule type="cellIs" dxfId="1806" priority="1801" stopIfTrue="1" operator="equal">
      <formula>"Pass"</formula>
    </cfRule>
    <cfRule type="cellIs" dxfId="1805" priority="1802" stopIfTrue="1" operator="equal">
      <formula>"Fail"</formula>
    </cfRule>
  </conditionalFormatting>
  <conditionalFormatting sqref="I1489:L1489">
    <cfRule type="cellIs" dxfId="1804" priority="1799" stopIfTrue="1" operator="equal">
      <formula>"Pass"</formula>
    </cfRule>
    <cfRule type="cellIs" dxfId="1803" priority="1800" stopIfTrue="1" operator="equal">
      <formula>"Fail"</formula>
    </cfRule>
  </conditionalFormatting>
  <conditionalFormatting sqref="J1489:L1489">
    <cfRule type="cellIs" dxfId="1802" priority="1797" stopIfTrue="1" operator="equal">
      <formula>"Pass"</formula>
    </cfRule>
    <cfRule type="cellIs" dxfId="1801" priority="1798" stopIfTrue="1" operator="equal">
      <formula>"Fail"</formula>
    </cfRule>
  </conditionalFormatting>
  <conditionalFormatting sqref="I1489">
    <cfRule type="cellIs" dxfId="1800" priority="1795" stopIfTrue="1" operator="equal">
      <formula>"Pass"</formula>
    </cfRule>
    <cfRule type="cellIs" dxfId="1799" priority="1796" stopIfTrue="1" operator="equal">
      <formula>"Fail"</formula>
    </cfRule>
  </conditionalFormatting>
  <conditionalFormatting sqref="I1489:L1489">
    <cfRule type="cellIs" dxfId="1798" priority="1793" stopIfTrue="1" operator="equal">
      <formula>"Pass"</formula>
    </cfRule>
    <cfRule type="cellIs" dxfId="1797" priority="1794" stopIfTrue="1" operator="equal">
      <formula>"Fail"</formula>
    </cfRule>
  </conditionalFormatting>
  <conditionalFormatting sqref="H1489">
    <cfRule type="cellIs" dxfId="1796" priority="1791" stopIfTrue="1" operator="equal">
      <formula>"Pass"</formula>
    </cfRule>
    <cfRule type="cellIs" dxfId="1795" priority="1792" stopIfTrue="1" operator="equal">
      <formula>"Fail"</formula>
    </cfRule>
  </conditionalFormatting>
  <conditionalFormatting sqref="H1489">
    <cfRule type="cellIs" dxfId="1794" priority="1789" stopIfTrue="1" operator="equal">
      <formula>"Pass"</formula>
    </cfRule>
    <cfRule type="cellIs" dxfId="1793" priority="1790" stopIfTrue="1" operator="equal">
      <formula>"Fail"</formula>
    </cfRule>
  </conditionalFormatting>
  <conditionalFormatting sqref="H1489">
    <cfRule type="cellIs" dxfId="1792" priority="1787" stopIfTrue="1" operator="equal">
      <formula>"Pass"</formula>
    </cfRule>
    <cfRule type="cellIs" dxfId="1791" priority="1788" stopIfTrue="1" operator="equal">
      <formula>"Fail"</formula>
    </cfRule>
  </conditionalFormatting>
  <conditionalFormatting sqref="I1489:L1489">
    <cfRule type="cellIs" dxfId="1790" priority="1785" stopIfTrue="1" operator="equal">
      <formula>"Pass"</formula>
    </cfRule>
    <cfRule type="cellIs" dxfId="1789" priority="1786" stopIfTrue="1" operator="equal">
      <formula>"Fail"</formula>
    </cfRule>
  </conditionalFormatting>
  <conditionalFormatting sqref="I1489:L1489">
    <cfRule type="cellIs" dxfId="1788" priority="1783" stopIfTrue="1" operator="equal">
      <formula>"Pass"</formula>
    </cfRule>
    <cfRule type="cellIs" dxfId="1787" priority="1784" stopIfTrue="1" operator="equal">
      <formula>"Fail"</formula>
    </cfRule>
  </conditionalFormatting>
  <conditionalFormatting sqref="J1489:L1489">
    <cfRule type="cellIs" dxfId="1786" priority="1781" stopIfTrue="1" operator="equal">
      <formula>"Pass"</formula>
    </cfRule>
    <cfRule type="cellIs" dxfId="1785" priority="1782" stopIfTrue="1" operator="equal">
      <formula>"Fail"</formula>
    </cfRule>
  </conditionalFormatting>
  <conditionalFormatting sqref="I1489">
    <cfRule type="cellIs" dxfId="1784" priority="1779" stopIfTrue="1" operator="equal">
      <formula>"Pass"</formula>
    </cfRule>
    <cfRule type="cellIs" dxfId="1783" priority="1780" stopIfTrue="1" operator="equal">
      <formula>"Fail"</formula>
    </cfRule>
  </conditionalFormatting>
  <conditionalFormatting sqref="I1489:L1489">
    <cfRule type="cellIs" dxfId="1782" priority="1777" stopIfTrue="1" operator="equal">
      <formula>"Pass"</formula>
    </cfRule>
    <cfRule type="cellIs" dxfId="1781" priority="1778" stopIfTrue="1" operator="equal">
      <formula>"Fail"</formula>
    </cfRule>
  </conditionalFormatting>
  <conditionalFormatting sqref="J1489:L1489">
    <cfRule type="cellIs" dxfId="1780" priority="1775" stopIfTrue="1" operator="equal">
      <formula>"Pass"</formula>
    </cfRule>
    <cfRule type="cellIs" dxfId="1779" priority="1776" stopIfTrue="1" operator="equal">
      <formula>"Fail"</formula>
    </cfRule>
  </conditionalFormatting>
  <conditionalFormatting sqref="I1489">
    <cfRule type="cellIs" dxfId="1778" priority="1773" stopIfTrue="1" operator="equal">
      <formula>"Pass"</formula>
    </cfRule>
    <cfRule type="cellIs" dxfId="1777" priority="1774" stopIfTrue="1" operator="equal">
      <formula>"Fail"</formula>
    </cfRule>
  </conditionalFormatting>
  <conditionalFormatting sqref="I1489:L1489">
    <cfRule type="cellIs" dxfId="1776" priority="1771" stopIfTrue="1" operator="equal">
      <formula>"Pass"</formula>
    </cfRule>
    <cfRule type="cellIs" dxfId="1775" priority="1772" stopIfTrue="1" operator="equal">
      <formula>"Fail"</formula>
    </cfRule>
  </conditionalFormatting>
  <conditionalFormatting sqref="H1489">
    <cfRule type="cellIs" dxfId="1774" priority="1769" stopIfTrue="1" operator="equal">
      <formula>"Pass"</formula>
    </cfRule>
    <cfRule type="cellIs" dxfId="1773" priority="1770" stopIfTrue="1" operator="equal">
      <formula>"Fail"</formula>
    </cfRule>
  </conditionalFormatting>
  <conditionalFormatting sqref="H1489">
    <cfRule type="cellIs" dxfId="1772" priority="1767" stopIfTrue="1" operator="equal">
      <formula>"Pass"</formula>
    </cfRule>
    <cfRule type="cellIs" dxfId="1771" priority="1768" stopIfTrue="1" operator="equal">
      <formula>"Fail"</formula>
    </cfRule>
  </conditionalFormatting>
  <conditionalFormatting sqref="H1489">
    <cfRule type="cellIs" dxfId="1770" priority="1765" stopIfTrue="1" operator="equal">
      <formula>"Pass"</formula>
    </cfRule>
    <cfRule type="cellIs" dxfId="1769" priority="1766" stopIfTrue="1" operator="equal">
      <formula>"Fail"</formula>
    </cfRule>
  </conditionalFormatting>
  <conditionalFormatting sqref="I1489:L1489">
    <cfRule type="cellIs" dxfId="1768" priority="1763" stopIfTrue="1" operator="equal">
      <formula>"Pass"</formula>
    </cfRule>
    <cfRule type="cellIs" dxfId="1767" priority="1764" stopIfTrue="1" operator="equal">
      <formula>"Fail"</formula>
    </cfRule>
  </conditionalFormatting>
  <conditionalFormatting sqref="I1489:L1489">
    <cfRule type="cellIs" dxfId="1766" priority="1761" stopIfTrue="1" operator="equal">
      <formula>"Pass"</formula>
    </cfRule>
    <cfRule type="cellIs" dxfId="1765" priority="1762" stopIfTrue="1" operator="equal">
      <formula>"Fail"</formula>
    </cfRule>
  </conditionalFormatting>
  <conditionalFormatting sqref="J1489:L1489">
    <cfRule type="cellIs" dxfId="1764" priority="1759" stopIfTrue="1" operator="equal">
      <formula>"Pass"</formula>
    </cfRule>
    <cfRule type="cellIs" dxfId="1763" priority="1760" stopIfTrue="1" operator="equal">
      <formula>"Fail"</formula>
    </cfRule>
  </conditionalFormatting>
  <conditionalFormatting sqref="I1489">
    <cfRule type="cellIs" dxfId="1762" priority="1757" stopIfTrue="1" operator="equal">
      <formula>"Pass"</formula>
    </cfRule>
    <cfRule type="cellIs" dxfId="1761" priority="1758" stopIfTrue="1" operator="equal">
      <formula>"Fail"</formula>
    </cfRule>
  </conditionalFormatting>
  <conditionalFormatting sqref="I1489:L1489">
    <cfRule type="cellIs" dxfId="1760" priority="1755" stopIfTrue="1" operator="equal">
      <formula>"Pass"</formula>
    </cfRule>
    <cfRule type="cellIs" dxfId="1759" priority="1756" stopIfTrue="1" operator="equal">
      <formula>"Fail"</formula>
    </cfRule>
  </conditionalFormatting>
  <conditionalFormatting sqref="J1489:L1489">
    <cfRule type="cellIs" dxfId="1758" priority="1753" stopIfTrue="1" operator="equal">
      <formula>"Pass"</formula>
    </cfRule>
    <cfRule type="cellIs" dxfId="1757" priority="1754" stopIfTrue="1" operator="equal">
      <formula>"Fail"</formula>
    </cfRule>
  </conditionalFormatting>
  <conditionalFormatting sqref="I1489">
    <cfRule type="cellIs" dxfId="1756" priority="1751" stopIfTrue="1" operator="equal">
      <formula>"Pass"</formula>
    </cfRule>
    <cfRule type="cellIs" dxfId="1755" priority="1752" stopIfTrue="1" operator="equal">
      <formula>"Fail"</formula>
    </cfRule>
  </conditionalFormatting>
  <conditionalFormatting sqref="I1489:L1489">
    <cfRule type="cellIs" dxfId="1754" priority="1749" stopIfTrue="1" operator="equal">
      <formula>"Pass"</formula>
    </cfRule>
    <cfRule type="cellIs" dxfId="1753" priority="1750" stopIfTrue="1" operator="equal">
      <formula>"Fail"</formula>
    </cfRule>
  </conditionalFormatting>
  <conditionalFormatting sqref="H1489:L1489">
    <cfRule type="cellIs" dxfId="1752" priority="1747" stopIfTrue="1" operator="equal">
      <formula>"Pass"</formula>
    </cfRule>
    <cfRule type="cellIs" dxfId="1751" priority="1748" stopIfTrue="1" operator="equal">
      <formula>"Fail"</formula>
    </cfRule>
  </conditionalFormatting>
  <conditionalFormatting sqref="H1489:L1489">
    <cfRule type="cellIs" dxfId="1750" priority="1745" stopIfTrue="1" operator="equal">
      <formula>"Pass"</formula>
    </cfRule>
    <cfRule type="cellIs" dxfId="1749" priority="1746" stopIfTrue="1" operator="equal">
      <formula>"Fail"</formula>
    </cfRule>
  </conditionalFormatting>
  <conditionalFormatting sqref="H1489:L1489">
    <cfRule type="cellIs" dxfId="1748" priority="1743" stopIfTrue="1" operator="equal">
      <formula>"Pass"</formula>
    </cfRule>
    <cfRule type="cellIs" dxfId="1747" priority="1744" stopIfTrue="1" operator="equal">
      <formula>"Fail"</formula>
    </cfRule>
  </conditionalFormatting>
  <conditionalFormatting sqref="H1489:L1489">
    <cfRule type="cellIs" dxfId="1746" priority="1741" stopIfTrue="1" operator="equal">
      <formula>"Pass"</formula>
    </cfRule>
    <cfRule type="cellIs" dxfId="1745" priority="1742" stopIfTrue="1" operator="equal">
      <formula>"Fail"</formula>
    </cfRule>
  </conditionalFormatting>
  <conditionalFormatting sqref="H1489:L1489">
    <cfRule type="cellIs" dxfId="1744" priority="1739" stopIfTrue="1" operator="equal">
      <formula>"Pass"</formula>
    </cfRule>
    <cfRule type="cellIs" dxfId="1743" priority="1740" stopIfTrue="1" operator="equal">
      <formula>"Fail"</formula>
    </cfRule>
  </conditionalFormatting>
  <conditionalFormatting sqref="H1489:L1489">
    <cfRule type="cellIs" dxfId="1742" priority="1737" stopIfTrue="1" operator="equal">
      <formula>"Pass"</formula>
    </cfRule>
    <cfRule type="cellIs" dxfId="1741" priority="1738" stopIfTrue="1" operator="equal">
      <formula>"Fail"</formula>
    </cfRule>
  </conditionalFormatting>
  <conditionalFormatting sqref="J1489:L1489">
    <cfRule type="cellIs" dxfId="1740" priority="1735" stopIfTrue="1" operator="equal">
      <formula>"Pass"</formula>
    </cfRule>
    <cfRule type="cellIs" dxfId="1739" priority="1736" stopIfTrue="1" operator="equal">
      <formula>"Fail"</formula>
    </cfRule>
  </conditionalFormatting>
  <conditionalFormatting sqref="I1489">
    <cfRule type="cellIs" dxfId="1738" priority="1733" stopIfTrue="1" operator="equal">
      <formula>"Pass"</formula>
    </cfRule>
    <cfRule type="cellIs" dxfId="1737" priority="1734" stopIfTrue="1" operator="equal">
      <formula>"Fail"</formula>
    </cfRule>
  </conditionalFormatting>
  <conditionalFormatting sqref="I1489:L1489">
    <cfRule type="cellIs" dxfId="1736" priority="1731" stopIfTrue="1" operator="equal">
      <formula>"Pass"</formula>
    </cfRule>
    <cfRule type="cellIs" dxfId="1735" priority="1732" stopIfTrue="1" operator="equal">
      <formula>"Fail"</formula>
    </cfRule>
  </conditionalFormatting>
  <conditionalFormatting sqref="J1489:L1489">
    <cfRule type="cellIs" dxfId="1734" priority="1729" stopIfTrue="1" operator="equal">
      <formula>"Pass"</formula>
    </cfRule>
    <cfRule type="cellIs" dxfId="1733" priority="1730" stopIfTrue="1" operator="equal">
      <formula>"Fail"</formula>
    </cfRule>
  </conditionalFormatting>
  <conditionalFormatting sqref="I1489">
    <cfRule type="cellIs" dxfId="1732" priority="1727" stopIfTrue="1" operator="equal">
      <formula>"Pass"</formula>
    </cfRule>
    <cfRule type="cellIs" dxfId="1731" priority="1728" stopIfTrue="1" operator="equal">
      <formula>"Fail"</formula>
    </cfRule>
  </conditionalFormatting>
  <conditionalFormatting sqref="I1489:L1489">
    <cfRule type="cellIs" dxfId="1730" priority="1725" stopIfTrue="1" operator="equal">
      <formula>"Pass"</formula>
    </cfRule>
    <cfRule type="cellIs" dxfId="1729" priority="1726" stopIfTrue="1" operator="equal">
      <formula>"Fail"</formula>
    </cfRule>
  </conditionalFormatting>
  <conditionalFormatting sqref="J1489:L1489">
    <cfRule type="cellIs" dxfId="1728" priority="1723" stopIfTrue="1" operator="equal">
      <formula>"Pass"</formula>
    </cfRule>
    <cfRule type="cellIs" dxfId="1727" priority="1724" stopIfTrue="1" operator="equal">
      <formula>"Fail"</formula>
    </cfRule>
  </conditionalFormatting>
  <conditionalFormatting sqref="I1489">
    <cfRule type="cellIs" dxfId="1726" priority="1721" stopIfTrue="1" operator="equal">
      <formula>"Pass"</formula>
    </cfRule>
    <cfRule type="cellIs" dxfId="1725" priority="1722" stopIfTrue="1" operator="equal">
      <formula>"Fail"</formula>
    </cfRule>
  </conditionalFormatting>
  <conditionalFormatting sqref="I1489:L1489">
    <cfRule type="cellIs" dxfId="1724" priority="1719" stopIfTrue="1" operator="equal">
      <formula>"Pass"</formula>
    </cfRule>
    <cfRule type="cellIs" dxfId="1723" priority="1720" stopIfTrue="1" operator="equal">
      <formula>"Fail"</formula>
    </cfRule>
  </conditionalFormatting>
  <conditionalFormatting sqref="J1489:L1489">
    <cfRule type="cellIs" dxfId="1722" priority="1717" stopIfTrue="1" operator="equal">
      <formula>"Pass"</formula>
    </cfRule>
    <cfRule type="cellIs" dxfId="1721" priority="1718" stopIfTrue="1" operator="equal">
      <formula>"Fail"</formula>
    </cfRule>
  </conditionalFormatting>
  <conditionalFormatting sqref="I1489">
    <cfRule type="cellIs" dxfId="1720" priority="1715" stopIfTrue="1" operator="equal">
      <formula>"Pass"</formula>
    </cfRule>
    <cfRule type="cellIs" dxfId="1719" priority="1716" stopIfTrue="1" operator="equal">
      <formula>"Fail"</formula>
    </cfRule>
  </conditionalFormatting>
  <conditionalFormatting sqref="I1489:L1489">
    <cfRule type="cellIs" dxfId="1718" priority="1713" stopIfTrue="1" operator="equal">
      <formula>"Pass"</formula>
    </cfRule>
    <cfRule type="cellIs" dxfId="1717" priority="1714" stopIfTrue="1" operator="equal">
      <formula>"Fail"</formula>
    </cfRule>
  </conditionalFormatting>
  <conditionalFormatting sqref="J1489:L1489">
    <cfRule type="cellIs" dxfId="1716" priority="1711" stopIfTrue="1" operator="equal">
      <formula>"Pass"</formula>
    </cfRule>
    <cfRule type="cellIs" dxfId="1715" priority="1712" stopIfTrue="1" operator="equal">
      <formula>"Fail"</formula>
    </cfRule>
  </conditionalFormatting>
  <conditionalFormatting sqref="I1489">
    <cfRule type="cellIs" dxfId="1714" priority="1709" stopIfTrue="1" operator="equal">
      <formula>"Pass"</formula>
    </cfRule>
    <cfRule type="cellIs" dxfId="1713" priority="1710" stopIfTrue="1" operator="equal">
      <formula>"Fail"</formula>
    </cfRule>
  </conditionalFormatting>
  <conditionalFormatting sqref="I1489:L1489">
    <cfRule type="cellIs" dxfId="1712" priority="1707" stopIfTrue="1" operator="equal">
      <formula>"Pass"</formula>
    </cfRule>
    <cfRule type="cellIs" dxfId="1711" priority="1708" stopIfTrue="1" operator="equal">
      <formula>"Fail"</formula>
    </cfRule>
  </conditionalFormatting>
  <conditionalFormatting sqref="J1489:L1489">
    <cfRule type="cellIs" dxfId="1710" priority="1705" stopIfTrue="1" operator="equal">
      <formula>"Pass"</formula>
    </cfRule>
    <cfRule type="cellIs" dxfId="1709" priority="1706" stopIfTrue="1" operator="equal">
      <formula>"Fail"</formula>
    </cfRule>
  </conditionalFormatting>
  <conditionalFormatting sqref="I1489">
    <cfRule type="cellIs" dxfId="1708" priority="1703" stopIfTrue="1" operator="equal">
      <formula>"Pass"</formula>
    </cfRule>
    <cfRule type="cellIs" dxfId="1707" priority="1704" stopIfTrue="1" operator="equal">
      <formula>"Fail"</formula>
    </cfRule>
  </conditionalFormatting>
  <conditionalFormatting sqref="I1489:L1489">
    <cfRule type="cellIs" dxfId="1706" priority="1701" stopIfTrue="1" operator="equal">
      <formula>"Pass"</formula>
    </cfRule>
    <cfRule type="cellIs" dxfId="1705" priority="1702" stopIfTrue="1" operator="equal">
      <formula>"Fail"</formula>
    </cfRule>
  </conditionalFormatting>
  <conditionalFormatting sqref="J1489:L1489">
    <cfRule type="cellIs" dxfId="1704" priority="1699" stopIfTrue="1" operator="equal">
      <formula>"Pass"</formula>
    </cfRule>
    <cfRule type="cellIs" dxfId="1703" priority="1700" stopIfTrue="1" operator="equal">
      <formula>"Fail"</formula>
    </cfRule>
  </conditionalFormatting>
  <conditionalFormatting sqref="I1489">
    <cfRule type="cellIs" dxfId="1702" priority="1697" stopIfTrue="1" operator="equal">
      <formula>"Pass"</formula>
    </cfRule>
    <cfRule type="cellIs" dxfId="1701" priority="1698" stopIfTrue="1" operator="equal">
      <formula>"Fail"</formula>
    </cfRule>
  </conditionalFormatting>
  <conditionalFormatting sqref="I1489:L1489">
    <cfRule type="cellIs" dxfId="1700" priority="1695" stopIfTrue="1" operator="equal">
      <formula>"Pass"</formula>
    </cfRule>
    <cfRule type="cellIs" dxfId="1699" priority="1696" stopIfTrue="1" operator="equal">
      <formula>"Fail"</formula>
    </cfRule>
  </conditionalFormatting>
  <conditionalFormatting sqref="J1489:L1489">
    <cfRule type="cellIs" dxfId="1698" priority="1693" stopIfTrue="1" operator="equal">
      <formula>"Pass"</formula>
    </cfRule>
    <cfRule type="cellIs" dxfId="1697" priority="1694" stopIfTrue="1" operator="equal">
      <formula>"Fail"</formula>
    </cfRule>
  </conditionalFormatting>
  <conditionalFormatting sqref="I1489">
    <cfRule type="cellIs" dxfId="1696" priority="1691" stopIfTrue="1" operator="equal">
      <formula>"Pass"</formula>
    </cfRule>
    <cfRule type="cellIs" dxfId="1695" priority="1692" stopIfTrue="1" operator="equal">
      <formula>"Fail"</formula>
    </cfRule>
  </conditionalFormatting>
  <conditionalFormatting sqref="I1489:L1489">
    <cfRule type="cellIs" dxfId="1694" priority="1689" stopIfTrue="1" operator="equal">
      <formula>"Pass"</formula>
    </cfRule>
    <cfRule type="cellIs" dxfId="1693" priority="1690" stopIfTrue="1" operator="equal">
      <formula>"Fail"</formula>
    </cfRule>
  </conditionalFormatting>
  <conditionalFormatting sqref="J1489:L1489">
    <cfRule type="cellIs" dxfId="1692" priority="1687" stopIfTrue="1" operator="equal">
      <formula>"Pass"</formula>
    </cfRule>
    <cfRule type="cellIs" dxfId="1691" priority="1688" stopIfTrue="1" operator="equal">
      <formula>"Fail"</formula>
    </cfRule>
  </conditionalFormatting>
  <conditionalFormatting sqref="I1489">
    <cfRule type="cellIs" dxfId="1690" priority="1685" stopIfTrue="1" operator="equal">
      <formula>"Pass"</formula>
    </cfRule>
    <cfRule type="cellIs" dxfId="1689" priority="1686" stopIfTrue="1" operator="equal">
      <formula>"Fail"</formula>
    </cfRule>
  </conditionalFormatting>
  <conditionalFormatting sqref="I1489:L1489">
    <cfRule type="cellIs" dxfId="1688" priority="1683" stopIfTrue="1" operator="equal">
      <formula>"Pass"</formula>
    </cfRule>
    <cfRule type="cellIs" dxfId="1687" priority="1684" stopIfTrue="1" operator="equal">
      <formula>"Fail"</formula>
    </cfRule>
  </conditionalFormatting>
  <conditionalFormatting sqref="J1489:L1489">
    <cfRule type="cellIs" dxfId="1686" priority="1681" stopIfTrue="1" operator="equal">
      <formula>"Pass"</formula>
    </cfRule>
    <cfRule type="cellIs" dxfId="1685" priority="1682" stopIfTrue="1" operator="equal">
      <formula>"Fail"</formula>
    </cfRule>
  </conditionalFormatting>
  <conditionalFormatting sqref="I1489">
    <cfRule type="cellIs" dxfId="1684" priority="1679" stopIfTrue="1" operator="equal">
      <formula>"Pass"</formula>
    </cfRule>
    <cfRule type="cellIs" dxfId="1683" priority="1680" stopIfTrue="1" operator="equal">
      <formula>"Fail"</formula>
    </cfRule>
  </conditionalFormatting>
  <conditionalFormatting sqref="I1489:L1489">
    <cfRule type="cellIs" dxfId="1682" priority="1677" stopIfTrue="1" operator="equal">
      <formula>"Pass"</formula>
    </cfRule>
    <cfRule type="cellIs" dxfId="1681" priority="1678" stopIfTrue="1" operator="equal">
      <formula>"Fail"</formula>
    </cfRule>
  </conditionalFormatting>
  <conditionalFormatting sqref="J1489:L1489">
    <cfRule type="cellIs" dxfId="1680" priority="1675" stopIfTrue="1" operator="equal">
      <formula>"Pass"</formula>
    </cfRule>
    <cfRule type="cellIs" dxfId="1679" priority="1676" stopIfTrue="1" operator="equal">
      <formula>"Fail"</formula>
    </cfRule>
  </conditionalFormatting>
  <conditionalFormatting sqref="I1489">
    <cfRule type="cellIs" dxfId="1678" priority="1673" stopIfTrue="1" operator="equal">
      <formula>"Pass"</formula>
    </cfRule>
    <cfRule type="cellIs" dxfId="1677" priority="1674" stopIfTrue="1" operator="equal">
      <formula>"Fail"</formula>
    </cfRule>
  </conditionalFormatting>
  <conditionalFormatting sqref="I1489:L1489">
    <cfRule type="cellIs" dxfId="1676" priority="1671" stopIfTrue="1" operator="equal">
      <formula>"Pass"</formula>
    </cfRule>
    <cfRule type="cellIs" dxfId="1675" priority="1672" stopIfTrue="1" operator="equal">
      <formula>"Fail"</formula>
    </cfRule>
  </conditionalFormatting>
  <conditionalFormatting sqref="J1489:L1489">
    <cfRule type="cellIs" dxfId="1674" priority="1669" stopIfTrue="1" operator="equal">
      <formula>"Pass"</formula>
    </cfRule>
    <cfRule type="cellIs" dxfId="1673" priority="1670" stopIfTrue="1" operator="equal">
      <formula>"Fail"</formula>
    </cfRule>
  </conditionalFormatting>
  <conditionalFormatting sqref="I1489">
    <cfRule type="cellIs" dxfId="1672" priority="1667" stopIfTrue="1" operator="equal">
      <formula>"Pass"</formula>
    </cfRule>
    <cfRule type="cellIs" dxfId="1671" priority="1668" stopIfTrue="1" operator="equal">
      <formula>"Fail"</formula>
    </cfRule>
  </conditionalFormatting>
  <conditionalFormatting sqref="I1489:L1489">
    <cfRule type="cellIs" dxfId="1670" priority="1665" stopIfTrue="1" operator="equal">
      <formula>"Pass"</formula>
    </cfRule>
    <cfRule type="cellIs" dxfId="1669" priority="1666" stopIfTrue="1" operator="equal">
      <formula>"Fail"</formula>
    </cfRule>
  </conditionalFormatting>
  <conditionalFormatting sqref="J1489:L1489">
    <cfRule type="cellIs" dxfId="1668" priority="1663" stopIfTrue="1" operator="equal">
      <formula>"Pass"</formula>
    </cfRule>
    <cfRule type="cellIs" dxfId="1667" priority="1664" stopIfTrue="1" operator="equal">
      <formula>"Fail"</formula>
    </cfRule>
  </conditionalFormatting>
  <conditionalFormatting sqref="I1489">
    <cfRule type="cellIs" dxfId="1666" priority="1661" stopIfTrue="1" operator="equal">
      <formula>"Pass"</formula>
    </cfRule>
    <cfRule type="cellIs" dxfId="1665" priority="1662" stopIfTrue="1" operator="equal">
      <formula>"Fail"</formula>
    </cfRule>
  </conditionalFormatting>
  <conditionalFormatting sqref="I1489:L1489">
    <cfRule type="cellIs" dxfId="1664" priority="1659" stopIfTrue="1" operator="equal">
      <formula>"Pass"</formula>
    </cfRule>
    <cfRule type="cellIs" dxfId="1663" priority="1660" stopIfTrue="1" operator="equal">
      <formula>"Fail"</formula>
    </cfRule>
  </conditionalFormatting>
  <conditionalFormatting sqref="J1489:L1489">
    <cfRule type="cellIs" dxfId="1662" priority="1657" stopIfTrue="1" operator="equal">
      <formula>"Pass"</formula>
    </cfRule>
    <cfRule type="cellIs" dxfId="1661" priority="1658" stopIfTrue="1" operator="equal">
      <formula>"Fail"</formula>
    </cfRule>
  </conditionalFormatting>
  <conditionalFormatting sqref="I1489">
    <cfRule type="cellIs" dxfId="1660" priority="1655" stopIfTrue="1" operator="equal">
      <formula>"Pass"</formula>
    </cfRule>
    <cfRule type="cellIs" dxfId="1659" priority="1656" stopIfTrue="1" operator="equal">
      <formula>"Fail"</formula>
    </cfRule>
  </conditionalFormatting>
  <conditionalFormatting sqref="I1489:L1489">
    <cfRule type="cellIs" dxfId="1658" priority="1653" stopIfTrue="1" operator="equal">
      <formula>"Pass"</formula>
    </cfRule>
    <cfRule type="cellIs" dxfId="1657" priority="1654" stopIfTrue="1" operator="equal">
      <formula>"Fail"</formula>
    </cfRule>
  </conditionalFormatting>
  <conditionalFormatting sqref="J1489:L1489">
    <cfRule type="cellIs" dxfId="1656" priority="1651" stopIfTrue="1" operator="equal">
      <formula>"Pass"</formula>
    </cfRule>
    <cfRule type="cellIs" dxfId="1655" priority="1652" stopIfTrue="1" operator="equal">
      <formula>"Fail"</formula>
    </cfRule>
  </conditionalFormatting>
  <conditionalFormatting sqref="I1489">
    <cfRule type="cellIs" dxfId="1654" priority="1649" stopIfTrue="1" operator="equal">
      <formula>"Pass"</formula>
    </cfRule>
    <cfRule type="cellIs" dxfId="1653" priority="1650" stopIfTrue="1" operator="equal">
      <formula>"Fail"</formula>
    </cfRule>
  </conditionalFormatting>
  <conditionalFormatting sqref="I1489:L1489">
    <cfRule type="cellIs" dxfId="1652" priority="1647" stopIfTrue="1" operator="equal">
      <formula>"Pass"</formula>
    </cfRule>
    <cfRule type="cellIs" dxfId="1651" priority="1648" stopIfTrue="1" operator="equal">
      <formula>"Fail"</formula>
    </cfRule>
  </conditionalFormatting>
  <conditionalFormatting sqref="J1489:L1489">
    <cfRule type="cellIs" dxfId="1650" priority="1645" stopIfTrue="1" operator="equal">
      <formula>"Pass"</formula>
    </cfRule>
    <cfRule type="cellIs" dxfId="1649" priority="1646" stopIfTrue="1" operator="equal">
      <formula>"Fail"</formula>
    </cfRule>
  </conditionalFormatting>
  <conditionalFormatting sqref="I1489">
    <cfRule type="cellIs" dxfId="1648" priority="1643" stopIfTrue="1" operator="equal">
      <formula>"Pass"</formula>
    </cfRule>
    <cfRule type="cellIs" dxfId="1647" priority="1644" stopIfTrue="1" operator="equal">
      <formula>"Fail"</formula>
    </cfRule>
  </conditionalFormatting>
  <conditionalFormatting sqref="I1489:L1489">
    <cfRule type="cellIs" dxfId="1646" priority="1641" stopIfTrue="1" operator="equal">
      <formula>"Pass"</formula>
    </cfRule>
    <cfRule type="cellIs" dxfId="1645" priority="1642" stopIfTrue="1" operator="equal">
      <formula>"Fail"</formula>
    </cfRule>
  </conditionalFormatting>
  <conditionalFormatting sqref="J1489:L1489">
    <cfRule type="cellIs" dxfId="1644" priority="1639" stopIfTrue="1" operator="equal">
      <formula>"Pass"</formula>
    </cfRule>
    <cfRule type="cellIs" dxfId="1643" priority="1640" stopIfTrue="1" operator="equal">
      <formula>"Fail"</formula>
    </cfRule>
  </conditionalFormatting>
  <conditionalFormatting sqref="I1489">
    <cfRule type="cellIs" dxfId="1642" priority="1637" stopIfTrue="1" operator="equal">
      <formula>"Pass"</formula>
    </cfRule>
    <cfRule type="cellIs" dxfId="1641" priority="1638" stopIfTrue="1" operator="equal">
      <formula>"Fail"</formula>
    </cfRule>
  </conditionalFormatting>
  <conditionalFormatting sqref="I1489:L1489">
    <cfRule type="cellIs" dxfId="1640" priority="1635" stopIfTrue="1" operator="equal">
      <formula>"Pass"</formula>
    </cfRule>
    <cfRule type="cellIs" dxfId="1639" priority="1636" stopIfTrue="1" operator="equal">
      <formula>"Fail"</formula>
    </cfRule>
  </conditionalFormatting>
  <conditionalFormatting sqref="J1489:L1489">
    <cfRule type="cellIs" dxfId="1638" priority="1633" stopIfTrue="1" operator="equal">
      <formula>"Pass"</formula>
    </cfRule>
    <cfRule type="cellIs" dxfId="1637" priority="1634" stopIfTrue="1" operator="equal">
      <formula>"Fail"</formula>
    </cfRule>
  </conditionalFormatting>
  <conditionalFormatting sqref="I1489">
    <cfRule type="cellIs" dxfId="1636" priority="1631" stopIfTrue="1" operator="equal">
      <formula>"Pass"</formula>
    </cfRule>
    <cfRule type="cellIs" dxfId="1635" priority="1632" stopIfTrue="1" operator="equal">
      <formula>"Fail"</formula>
    </cfRule>
  </conditionalFormatting>
  <conditionalFormatting sqref="I1489:L1489">
    <cfRule type="cellIs" dxfId="1634" priority="1629" stopIfTrue="1" operator="equal">
      <formula>"Pass"</formula>
    </cfRule>
    <cfRule type="cellIs" dxfId="1633" priority="1630" stopIfTrue="1" operator="equal">
      <formula>"Fail"</formula>
    </cfRule>
  </conditionalFormatting>
  <conditionalFormatting sqref="J1489:L1489">
    <cfRule type="cellIs" dxfId="1632" priority="1627" stopIfTrue="1" operator="equal">
      <formula>"Pass"</formula>
    </cfRule>
    <cfRule type="cellIs" dxfId="1631" priority="1628" stopIfTrue="1" operator="equal">
      <formula>"Fail"</formula>
    </cfRule>
  </conditionalFormatting>
  <conditionalFormatting sqref="I1489">
    <cfRule type="cellIs" dxfId="1630" priority="1625" stopIfTrue="1" operator="equal">
      <formula>"Pass"</formula>
    </cfRule>
    <cfRule type="cellIs" dxfId="1629" priority="1626" stopIfTrue="1" operator="equal">
      <formula>"Fail"</formula>
    </cfRule>
  </conditionalFormatting>
  <conditionalFormatting sqref="I1489:L1489">
    <cfRule type="cellIs" dxfId="1628" priority="1623" stopIfTrue="1" operator="equal">
      <formula>"Pass"</formula>
    </cfRule>
    <cfRule type="cellIs" dxfId="1627" priority="1624" stopIfTrue="1" operator="equal">
      <formula>"Fail"</formula>
    </cfRule>
  </conditionalFormatting>
  <conditionalFormatting sqref="J1489:L1489">
    <cfRule type="cellIs" dxfId="1626" priority="1621" stopIfTrue="1" operator="equal">
      <formula>"Pass"</formula>
    </cfRule>
    <cfRule type="cellIs" dxfId="1625" priority="1622" stopIfTrue="1" operator="equal">
      <formula>"Fail"</formula>
    </cfRule>
  </conditionalFormatting>
  <conditionalFormatting sqref="I1489">
    <cfRule type="cellIs" dxfId="1624" priority="1619" stopIfTrue="1" operator="equal">
      <formula>"Pass"</formula>
    </cfRule>
    <cfRule type="cellIs" dxfId="1623" priority="1620" stopIfTrue="1" operator="equal">
      <formula>"Fail"</formula>
    </cfRule>
  </conditionalFormatting>
  <conditionalFormatting sqref="I1489:L1489">
    <cfRule type="cellIs" dxfId="1622" priority="1617" stopIfTrue="1" operator="equal">
      <formula>"Pass"</formula>
    </cfRule>
    <cfRule type="cellIs" dxfId="1621" priority="1618" stopIfTrue="1" operator="equal">
      <formula>"Fail"</formula>
    </cfRule>
  </conditionalFormatting>
  <conditionalFormatting sqref="J1489:L1489">
    <cfRule type="cellIs" dxfId="1620" priority="1615" stopIfTrue="1" operator="equal">
      <formula>"Pass"</formula>
    </cfRule>
    <cfRule type="cellIs" dxfId="1619" priority="1616" stopIfTrue="1" operator="equal">
      <formula>"Fail"</formula>
    </cfRule>
  </conditionalFormatting>
  <conditionalFormatting sqref="I1489">
    <cfRule type="cellIs" dxfId="1618" priority="1613" stopIfTrue="1" operator="equal">
      <formula>"Pass"</formula>
    </cfRule>
    <cfRule type="cellIs" dxfId="1617" priority="1614" stopIfTrue="1" operator="equal">
      <formula>"Fail"</formula>
    </cfRule>
  </conditionalFormatting>
  <conditionalFormatting sqref="I1489:L1489">
    <cfRule type="cellIs" dxfId="1616" priority="1611" stopIfTrue="1" operator="equal">
      <formula>"Pass"</formula>
    </cfRule>
    <cfRule type="cellIs" dxfId="1615" priority="1612" stopIfTrue="1" operator="equal">
      <formula>"Fail"</formula>
    </cfRule>
  </conditionalFormatting>
  <conditionalFormatting sqref="J1489:L1489">
    <cfRule type="cellIs" dxfId="1614" priority="1609" stopIfTrue="1" operator="equal">
      <formula>"Pass"</formula>
    </cfRule>
    <cfRule type="cellIs" dxfId="1613" priority="1610" stopIfTrue="1" operator="equal">
      <formula>"Fail"</formula>
    </cfRule>
  </conditionalFormatting>
  <conditionalFormatting sqref="I1489">
    <cfRule type="cellIs" dxfId="1612" priority="1607" stopIfTrue="1" operator="equal">
      <formula>"Pass"</formula>
    </cfRule>
    <cfRule type="cellIs" dxfId="1611" priority="1608" stopIfTrue="1" operator="equal">
      <formula>"Fail"</formula>
    </cfRule>
  </conditionalFormatting>
  <conditionalFormatting sqref="I1489:L1489">
    <cfRule type="cellIs" dxfId="1610" priority="1605" stopIfTrue="1" operator="equal">
      <formula>"Pass"</formula>
    </cfRule>
    <cfRule type="cellIs" dxfId="1609" priority="1606" stopIfTrue="1" operator="equal">
      <formula>"Fail"</formula>
    </cfRule>
  </conditionalFormatting>
  <conditionalFormatting sqref="J1489:L1489">
    <cfRule type="cellIs" dxfId="1608" priority="1603" stopIfTrue="1" operator="equal">
      <formula>"Pass"</formula>
    </cfRule>
    <cfRule type="cellIs" dxfId="1607" priority="1604" stopIfTrue="1" operator="equal">
      <formula>"Fail"</formula>
    </cfRule>
  </conditionalFormatting>
  <conditionalFormatting sqref="I1489">
    <cfRule type="cellIs" dxfId="1606" priority="1601" stopIfTrue="1" operator="equal">
      <formula>"Pass"</formula>
    </cfRule>
    <cfRule type="cellIs" dxfId="1605" priority="1602" stopIfTrue="1" operator="equal">
      <formula>"Fail"</formula>
    </cfRule>
  </conditionalFormatting>
  <conditionalFormatting sqref="I1489:L1489">
    <cfRule type="cellIs" dxfId="1604" priority="1599" stopIfTrue="1" operator="equal">
      <formula>"Pass"</formula>
    </cfRule>
    <cfRule type="cellIs" dxfId="1603" priority="1600" stopIfTrue="1" operator="equal">
      <formula>"Fail"</formula>
    </cfRule>
  </conditionalFormatting>
  <conditionalFormatting sqref="J1489:L1489">
    <cfRule type="cellIs" dxfId="1602" priority="1597" stopIfTrue="1" operator="equal">
      <formula>"Pass"</formula>
    </cfRule>
    <cfRule type="cellIs" dxfId="1601" priority="1598" stopIfTrue="1" operator="equal">
      <formula>"Fail"</formula>
    </cfRule>
  </conditionalFormatting>
  <conditionalFormatting sqref="I1489">
    <cfRule type="cellIs" dxfId="1600" priority="1595" stopIfTrue="1" operator="equal">
      <formula>"Pass"</formula>
    </cfRule>
    <cfRule type="cellIs" dxfId="1599" priority="1596" stopIfTrue="1" operator="equal">
      <formula>"Fail"</formula>
    </cfRule>
  </conditionalFormatting>
  <conditionalFormatting sqref="I1489:L1489">
    <cfRule type="cellIs" dxfId="1598" priority="1593" stopIfTrue="1" operator="equal">
      <formula>"Pass"</formula>
    </cfRule>
    <cfRule type="cellIs" dxfId="1597" priority="1594" stopIfTrue="1" operator="equal">
      <formula>"Fail"</formula>
    </cfRule>
  </conditionalFormatting>
  <conditionalFormatting sqref="I1489:L1489">
    <cfRule type="cellIs" dxfId="1596" priority="1591" stopIfTrue="1" operator="equal">
      <formula>"Pass"</formula>
    </cfRule>
    <cfRule type="cellIs" dxfId="1595" priority="1592" stopIfTrue="1" operator="equal">
      <formula>"Fail"</formula>
    </cfRule>
  </conditionalFormatting>
  <conditionalFormatting sqref="J1489:L1489">
    <cfRule type="cellIs" dxfId="1594" priority="1589" stopIfTrue="1" operator="equal">
      <formula>"Pass"</formula>
    </cfRule>
    <cfRule type="cellIs" dxfId="1593" priority="1590" stopIfTrue="1" operator="equal">
      <formula>"Fail"</formula>
    </cfRule>
  </conditionalFormatting>
  <conditionalFormatting sqref="I1489">
    <cfRule type="cellIs" dxfId="1592" priority="1587" stopIfTrue="1" operator="equal">
      <formula>"Pass"</formula>
    </cfRule>
    <cfRule type="cellIs" dxfId="1591" priority="1588" stopIfTrue="1" operator="equal">
      <formula>"Fail"</formula>
    </cfRule>
  </conditionalFormatting>
  <conditionalFormatting sqref="I1489:L1489">
    <cfRule type="cellIs" dxfId="1590" priority="1585" stopIfTrue="1" operator="equal">
      <formula>"Pass"</formula>
    </cfRule>
    <cfRule type="cellIs" dxfId="1589" priority="1586" stopIfTrue="1" operator="equal">
      <formula>"Fail"</formula>
    </cfRule>
  </conditionalFormatting>
  <conditionalFormatting sqref="J1489:L1489">
    <cfRule type="cellIs" dxfId="1588" priority="1583" stopIfTrue="1" operator="equal">
      <formula>"Pass"</formula>
    </cfRule>
    <cfRule type="cellIs" dxfId="1587" priority="1584" stopIfTrue="1" operator="equal">
      <formula>"Fail"</formula>
    </cfRule>
  </conditionalFormatting>
  <conditionalFormatting sqref="I1489">
    <cfRule type="cellIs" dxfId="1586" priority="1581" stopIfTrue="1" operator="equal">
      <formula>"Pass"</formula>
    </cfRule>
    <cfRule type="cellIs" dxfId="1585" priority="1582" stopIfTrue="1" operator="equal">
      <formula>"Fail"</formula>
    </cfRule>
  </conditionalFormatting>
  <conditionalFormatting sqref="I1489:L1489">
    <cfRule type="cellIs" dxfId="1584" priority="1579" stopIfTrue="1" operator="equal">
      <formula>"Pass"</formula>
    </cfRule>
    <cfRule type="cellIs" dxfId="1583" priority="1580" stopIfTrue="1" operator="equal">
      <formula>"Fail"</formula>
    </cfRule>
  </conditionalFormatting>
  <conditionalFormatting sqref="I1489:L1489">
    <cfRule type="cellIs" dxfId="1582" priority="1577" stopIfTrue="1" operator="equal">
      <formula>"Pass"</formula>
    </cfRule>
    <cfRule type="cellIs" dxfId="1581" priority="1578" stopIfTrue="1" operator="equal">
      <formula>"Fail"</formula>
    </cfRule>
  </conditionalFormatting>
  <conditionalFormatting sqref="J1489:L1489">
    <cfRule type="cellIs" dxfId="1580" priority="1575" stopIfTrue="1" operator="equal">
      <formula>"Pass"</formula>
    </cfRule>
    <cfRule type="cellIs" dxfId="1579" priority="1576" stopIfTrue="1" operator="equal">
      <formula>"Fail"</formula>
    </cfRule>
  </conditionalFormatting>
  <conditionalFormatting sqref="I1489">
    <cfRule type="cellIs" dxfId="1578" priority="1573" stopIfTrue="1" operator="equal">
      <formula>"Pass"</formula>
    </cfRule>
    <cfRule type="cellIs" dxfId="1577" priority="1574" stopIfTrue="1" operator="equal">
      <formula>"Fail"</formula>
    </cfRule>
  </conditionalFormatting>
  <conditionalFormatting sqref="I1489:L1489">
    <cfRule type="cellIs" dxfId="1576" priority="1571" stopIfTrue="1" operator="equal">
      <formula>"Pass"</formula>
    </cfRule>
    <cfRule type="cellIs" dxfId="1575" priority="1572" stopIfTrue="1" operator="equal">
      <formula>"Fail"</formula>
    </cfRule>
  </conditionalFormatting>
  <conditionalFormatting sqref="J1489:L1489">
    <cfRule type="cellIs" dxfId="1574" priority="1569" stopIfTrue="1" operator="equal">
      <formula>"Pass"</formula>
    </cfRule>
    <cfRule type="cellIs" dxfId="1573" priority="1570" stopIfTrue="1" operator="equal">
      <formula>"Fail"</formula>
    </cfRule>
  </conditionalFormatting>
  <conditionalFormatting sqref="I1489">
    <cfRule type="cellIs" dxfId="1572" priority="1567" stopIfTrue="1" operator="equal">
      <formula>"Pass"</formula>
    </cfRule>
    <cfRule type="cellIs" dxfId="1571" priority="1568" stopIfTrue="1" operator="equal">
      <formula>"Fail"</formula>
    </cfRule>
  </conditionalFormatting>
  <conditionalFormatting sqref="I1489:L1489">
    <cfRule type="cellIs" dxfId="1570" priority="1565" stopIfTrue="1" operator="equal">
      <formula>"Pass"</formula>
    </cfRule>
    <cfRule type="cellIs" dxfId="1569" priority="1566" stopIfTrue="1" operator="equal">
      <formula>"Fail"</formula>
    </cfRule>
  </conditionalFormatting>
  <conditionalFormatting sqref="I1489:L1489">
    <cfRule type="cellIs" dxfId="1568" priority="1563" stopIfTrue="1" operator="equal">
      <formula>"Pass"</formula>
    </cfRule>
    <cfRule type="cellIs" dxfId="1567" priority="1564" stopIfTrue="1" operator="equal">
      <formula>"Fail"</formula>
    </cfRule>
  </conditionalFormatting>
  <conditionalFormatting sqref="J1489:L1489">
    <cfRule type="cellIs" dxfId="1566" priority="1561" stopIfTrue="1" operator="equal">
      <formula>"Pass"</formula>
    </cfRule>
    <cfRule type="cellIs" dxfId="1565" priority="1562" stopIfTrue="1" operator="equal">
      <formula>"Fail"</formula>
    </cfRule>
  </conditionalFormatting>
  <conditionalFormatting sqref="I1489">
    <cfRule type="cellIs" dxfId="1564" priority="1559" stopIfTrue="1" operator="equal">
      <formula>"Pass"</formula>
    </cfRule>
    <cfRule type="cellIs" dxfId="1563" priority="1560" stopIfTrue="1" operator="equal">
      <formula>"Fail"</formula>
    </cfRule>
  </conditionalFormatting>
  <conditionalFormatting sqref="I1489:L1489">
    <cfRule type="cellIs" dxfId="1562" priority="1557" stopIfTrue="1" operator="equal">
      <formula>"Pass"</formula>
    </cfRule>
    <cfRule type="cellIs" dxfId="1561" priority="1558" stopIfTrue="1" operator="equal">
      <formula>"Fail"</formula>
    </cfRule>
  </conditionalFormatting>
  <conditionalFormatting sqref="J1489:L1489">
    <cfRule type="cellIs" dxfId="1560" priority="1555" stopIfTrue="1" operator="equal">
      <formula>"Pass"</formula>
    </cfRule>
    <cfRule type="cellIs" dxfId="1559" priority="1556" stopIfTrue="1" operator="equal">
      <formula>"Fail"</formula>
    </cfRule>
  </conditionalFormatting>
  <conditionalFormatting sqref="I1489">
    <cfRule type="cellIs" dxfId="1558" priority="1553" stopIfTrue="1" operator="equal">
      <formula>"Pass"</formula>
    </cfRule>
    <cfRule type="cellIs" dxfId="1557" priority="1554" stopIfTrue="1" operator="equal">
      <formula>"Fail"</formula>
    </cfRule>
  </conditionalFormatting>
  <conditionalFormatting sqref="I1489:L1489">
    <cfRule type="cellIs" dxfId="1556" priority="1551" stopIfTrue="1" operator="equal">
      <formula>"Pass"</formula>
    </cfRule>
    <cfRule type="cellIs" dxfId="1555" priority="1552" stopIfTrue="1" operator="equal">
      <formula>"Fail"</formula>
    </cfRule>
  </conditionalFormatting>
  <conditionalFormatting sqref="I1489:L1489">
    <cfRule type="cellIs" dxfId="1554" priority="1549" stopIfTrue="1" operator="equal">
      <formula>"Pass"</formula>
    </cfRule>
    <cfRule type="cellIs" dxfId="1553" priority="1550" stopIfTrue="1" operator="equal">
      <formula>"Fail"</formula>
    </cfRule>
  </conditionalFormatting>
  <conditionalFormatting sqref="J1489:L1489">
    <cfRule type="cellIs" dxfId="1552" priority="1547" stopIfTrue="1" operator="equal">
      <formula>"Pass"</formula>
    </cfRule>
    <cfRule type="cellIs" dxfId="1551" priority="1548" stopIfTrue="1" operator="equal">
      <formula>"Fail"</formula>
    </cfRule>
  </conditionalFormatting>
  <conditionalFormatting sqref="I1489">
    <cfRule type="cellIs" dxfId="1550" priority="1545" stopIfTrue="1" operator="equal">
      <formula>"Pass"</formula>
    </cfRule>
    <cfRule type="cellIs" dxfId="1549" priority="1546" stopIfTrue="1" operator="equal">
      <formula>"Fail"</formula>
    </cfRule>
  </conditionalFormatting>
  <conditionalFormatting sqref="I1489:L1489">
    <cfRule type="cellIs" dxfId="1548" priority="1543" stopIfTrue="1" operator="equal">
      <formula>"Pass"</formula>
    </cfRule>
    <cfRule type="cellIs" dxfId="1547" priority="1544" stopIfTrue="1" operator="equal">
      <formula>"Fail"</formula>
    </cfRule>
  </conditionalFormatting>
  <conditionalFormatting sqref="J1489:L1489">
    <cfRule type="cellIs" dxfId="1546" priority="1541" stopIfTrue="1" operator="equal">
      <formula>"Pass"</formula>
    </cfRule>
    <cfRule type="cellIs" dxfId="1545" priority="1542" stopIfTrue="1" operator="equal">
      <formula>"Fail"</formula>
    </cfRule>
  </conditionalFormatting>
  <conditionalFormatting sqref="I1489">
    <cfRule type="cellIs" dxfId="1544" priority="1539" stopIfTrue="1" operator="equal">
      <formula>"Pass"</formula>
    </cfRule>
    <cfRule type="cellIs" dxfId="1543" priority="1540" stopIfTrue="1" operator="equal">
      <formula>"Fail"</formula>
    </cfRule>
  </conditionalFormatting>
  <conditionalFormatting sqref="I1489:L1489">
    <cfRule type="cellIs" dxfId="1542" priority="1537" stopIfTrue="1" operator="equal">
      <formula>"Pass"</formula>
    </cfRule>
    <cfRule type="cellIs" dxfId="1541" priority="1538" stopIfTrue="1" operator="equal">
      <formula>"Fail"</formula>
    </cfRule>
  </conditionalFormatting>
  <conditionalFormatting sqref="I1489:L1489">
    <cfRule type="cellIs" dxfId="1540" priority="1535" stopIfTrue="1" operator="equal">
      <formula>"Pass"</formula>
    </cfRule>
    <cfRule type="cellIs" dxfId="1539" priority="1536" stopIfTrue="1" operator="equal">
      <formula>"Fail"</formula>
    </cfRule>
  </conditionalFormatting>
  <conditionalFormatting sqref="J1489:L1489">
    <cfRule type="cellIs" dxfId="1538" priority="1533" stopIfTrue="1" operator="equal">
      <formula>"Pass"</formula>
    </cfRule>
    <cfRule type="cellIs" dxfId="1537" priority="1534" stopIfTrue="1" operator="equal">
      <formula>"Fail"</formula>
    </cfRule>
  </conditionalFormatting>
  <conditionalFormatting sqref="I1489">
    <cfRule type="cellIs" dxfId="1536" priority="1531" stopIfTrue="1" operator="equal">
      <formula>"Pass"</formula>
    </cfRule>
    <cfRule type="cellIs" dxfId="1535" priority="1532" stopIfTrue="1" operator="equal">
      <formula>"Fail"</formula>
    </cfRule>
  </conditionalFormatting>
  <conditionalFormatting sqref="I1489:L1489">
    <cfRule type="cellIs" dxfId="1534" priority="1529" stopIfTrue="1" operator="equal">
      <formula>"Pass"</formula>
    </cfRule>
    <cfRule type="cellIs" dxfId="1533" priority="1530" stopIfTrue="1" operator="equal">
      <formula>"Fail"</formula>
    </cfRule>
  </conditionalFormatting>
  <conditionalFormatting sqref="J1489:L1489">
    <cfRule type="cellIs" dxfId="1532" priority="1527" stopIfTrue="1" operator="equal">
      <formula>"Pass"</formula>
    </cfRule>
    <cfRule type="cellIs" dxfId="1531" priority="1528" stopIfTrue="1" operator="equal">
      <formula>"Fail"</formula>
    </cfRule>
  </conditionalFormatting>
  <conditionalFormatting sqref="I1489">
    <cfRule type="cellIs" dxfId="1530" priority="1525" stopIfTrue="1" operator="equal">
      <formula>"Pass"</formula>
    </cfRule>
    <cfRule type="cellIs" dxfId="1529" priority="1526" stopIfTrue="1" operator="equal">
      <formula>"Fail"</formula>
    </cfRule>
  </conditionalFormatting>
  <conditionalFormatting sqref="I1489:L1489">
    <cfRule type="cellIs" dxfId="1528" priority="1523" stopIfTrue="1" operator="equal">
      <formula>"Pass"</formula>
    </cfRule>
    <cfRule type="cellIs" dxfId="1527" priority="1524" stopIfTrue="1" operator="equal">
      <formula>"Fail"</formula>
    </cfRule>
  </conditionalFormatting>
  <conditionalFormatting sqref="I1489:L1489">
    <cfRule type="cellIs" dxfId="1526" priority="1521" stopIfTrue="1" operator="equal">
      <formula>"Pass"</formula>
    </cfRule>
    <cfRule type="cellIs" dxfId="1525" priority="1522" stopIfTrue="1" operator="equal">
      <formula>"Fail"</formula>
    </cfRule>
  </conditionalFormatting>
  <conditionalFormatting sqref="I1489:L1489">
    <cfRule type="cellIs" dxfId="1524" priority="1519" stopIfTrue="1" operator="equal">
      <formula>"Pass"</formula>
    </cfRule>
    <cfRule type="cellIs" dxfId="1523" priority="1520" stopIfTrue="1" operator="equal">
      <formula>"Fail"</formula>
    </cfRule>
  </conditionalFormatting>
  <conditionalFormatting sqref="J1489:L1489">
    <cfRule type="cellIs" dxfId="1522" priority="1517" stopIfTrue="1" operator="equal">
      <formula>"Pass"</formula>
    </cfRule>
    <cfRule type="cellIs" dxfId="1521" priority="1518" stopIfTrue="1" operator="equal">
      <formula>"Fail"</formula>
    </cfRule>
  </conditionalFormatting>
  <conditionalFormatting sqref="I1489">
    <cfRule type="cellIs" dxfId="1520" priority="1515" stopIfTrue="1" operator="equal">
      <formula>"Pass"</formula>
    </cfRule>
    <cfRule type="cellIs" dxfId="1519" priority="1516" stopIfTrue="1" operator="equal">
      <formula>"Fail"</formula>
    </cfRule>
  </conditionalFormatting>
  <conditionalFormatting sqref="I1489:L1489">
    <cfRule type="cellIs" dxfId="1518" priority="1513" stopIfTrue="1" operator="equal">
      <formula>"Pass"</formula>
    </cfRule>
    <cfRule type="cellIs" dxfId="1517" priority="1514" stopIfTrue="1" operator="equal">
      <formula>"Fail"</formula>
    </cfRule>
  </conditionalFormatting>
  <conditionalFormatting sqref="J1489:L1489">
    <cfRule type="cellIs" dxfId="1516" priority="1511" stopIfTrue="1" operator="equal">
      <formula>"Pass"</formula>
    </cfRule>
    <cfRule type="cellIs" dxfId="1515" priority="1512" stopIfTrue="1" operator="equal">
      <formula>"Fail"</formula>
    </cfRule>
  </conditionalFormatting>
  <conditionalFormatting sqref="I1489">
    <cfRule type="cellIs" dxfId="1514" priority="1509" stopIfTrue="1" operator="equal">
      <formula>"Pass"</formula>
    </cfRule>
    <cfRule type="cellIs" dxfId="1513" priority="1510" stopIfTrue="1" operator="equal">
      <formula>"Fail"</formula>
    </cfRule>
  </conditionalFormatting>
  <conditionalFormatting sqref="I1489:L1489">
    <cfRule type="cellIs" dxfId="1512" priority="1507" stopIfTrue="1" operator="equal">
      <formula>"Pass"</formula>
    </cfRule>
    <cfRule type="cellIs" dxfId="1511" priority="1508" stopIfTrue="1" operator="equal">
      <formula>"Fail"</formula>
    </cfRule>
  </conditionalFormatting>
  <conditionalFormatting sqref="I1489:L1489">
    <cfRule type="cellIs" dxfId="1510" priority="1505" stopIfTrue="1" operator="equal">
      <formula>"Pass"</formula>
    </cfRule>
    <cfRule type="cellIs" dxfId="1509" priority="1506" stopIfTrue="1" operator="equal">
      <formula>"Fail"</formula>
    </cfRule>
  </conditionalFormatting>
  <conditionalFormatting sqref="I1489:L1489">
    <cfRule type="cellIs" dxfId="1508" priority="1503" stopIfTrue="1" operator="equal">
      <formula>"Pass"</formula>
    </cfRule>
    <cfRule type="cellIs" dxfId="1507" priority="1504" stopIfTrue="1" operator="equal">
      <formula>"Fail"</formula>
    </cfRule>
  </conditionalFormatting>
  <conditionalFormatting sqref="J1489:L1489">
    <cfRule type="cellIs" dxfId="1506" priority="1501" stopIfTrue="1" operator="equal">
      <formula>"Pass"</formula>
    </cfRule>
    <cfRule type="cellIs" dxfId="1505" priority="1502" stopIfTrue="1" operator="equal">
      <formula>"Fail"</formula>
    </cfRule>
  </conditionalFormatting>
  <conditionalFormatting sqref="I1489">
    <cfRule type="cellIs" dxfId="1504" priority="1499" stopIfTrue="1" operator="equal">
      <formula>"Pass"</formula>
    </cfRule>
    <cfRule type="cellIs" dxfId="1503" priority="1500" stopIfTrue="1" operator="equal">
      <formula>"Fail"</formula>
    </cfRule>
  </conditionalFormatting>
  <conditionalFormatting sqref="I1489:L1489">
    <cfRule type="cellIs" dxfId="1502" priority="1497" stopIfTrue="1" operator="equal">
      <formula>"Pass"</formula>
    </cfRule>
    <cfRule type="cellIs" dxfId="1501" priority="1498" stopIfTrue="1" operator="equal">
      <formula>"Fail"</formula>
    </cfRule>
  </conditionalFormatting>
  <conditionalFormatting sqref="J1489:L1489">
    <cfRule type="cellIs" dxfId="1500" priority="1495" stopIfTrue="1" operator="equal">
      <formula>"Pass"</formula>
    </cfRule>
    <cfRule type="cellIs" dxfId="1499" priority="1496" stopIfTrue="1" operator="equal">
      <formula>"Fail"</formula>
    </cfRule>
  </conditionalFormatting>
  <conditionalFormatting sqref="I1489">
    <cfRule type="cellIs" dxfId="1498" priority="1493" stopIfTrue="1" operator="equal">
      <formula>"Pass"</formula>
    </cfRule>
    <cfRule type="cellIs" dxfId="1497" priority="1494" stopIfTrue="1" operator="equal">
      <formula>"Fail"</formula>
    </cfRule>
  </conditionalFormatting>
  <conditionalFormatting sqref="I1489:L1489">
    <cfRule type="cellIs" dxfId="1496" priority="1491" stopIfTrue="1" operator="equal">
      <formula>"Pass"</formula>
    </cfRule>
    <cfRule type="cellIs" dxfId="1495" priority="1492" stopIfTrue="1" operator="equal">
      <formula>"Fail"</formula>
    </cfRule>
  </conditionalFormatting>
  <conditionalFormatting sqref="I1489:L1489">
    <cfRule type="cellIs" dxfId="1494" priority="1489" stopIfTrue="1" operator="equal">
      <formula>"Pass"</formula>
    </cfRule>
    <cfRule type="cellIs" dxfId="1493" priority="1490" stopIfTrue="1" operator="equal">
      <formula>"Fail"</formula>
    </cfRule>
  </conditionalFormatting>
  <conditionalFormatting sqref="I1489:L1489">
    <cfRule type="cellIs" dxfId="1492" priority="1487" stopIfTrue="1" operator="equal">
      <formula>"Pass"</formula>
    </cfRule>
    <cfRule type="cellIs" dxfId="1491" priority="1488" stopIfTrue="1" operator="equal">
      <formula>"Fail"</formula>
    </cfRule>
  </conditionalFormatting>
  <conditionalFormatting sqref="J1489:L1489">
    <cfRule type="cellIs" dxfId="1490" priority="1485" stopIfTrue="1" operator="equal">
      <formula>"Pass"</formula>
    </cfRule>
    <cfRule type="cellIs" dxfId="1489" priority="1486" stopIfTrue="1" operator="equal">
      <formula>"Fail"</formula>
    </cfRule>
  </conditionalFormatting>
  <conditionalFormatting sqref="I1489">
    <cfRule type="cellIs" dxfId="1488" priority="1483" stopIfTrue="1" operator="equal">
      <formula>"Pass"</formula>
    </cfRule>
    <cfRule type="cellIs" dxfId="1487" priority="1484" stopIfTrue="1" operator="equal">
      <formula>"Fail"</formula>
    </cfRule>
  </conditionalFormatting>
  <conditionalFormatting sqref="I1489:L1489">
    <cfRule type="cellIs" dxfId="1486" priority="1481" stopIfTrue="1" operator="equal">
      <formula>"Pass"</formula>
    </cfRule>
    <cfRule type="cellIs" dxfId="1485" priority="1482" stopIfTrue="1" operator="equal">
      <formula>"Fail"</formula>
    </cfRule>
  </conditionalFormatting>
  <conditionalFormatting sqref="J1489:L1489">
    <cfRule type="cellIs" dxfId="1484" priority="1479" stopIfTrue="1" operator="equal">
      <formula>"Pass"</formula>
    </cfRule>
    <cfRule type="cellIs" dxfId="1483" priority="1480" stopIfTrue="1" operator="equal">
      <formula>"Fail"</formula>
    </cfRule>
  </conditionalFormatting>
  <conditionalFormatting sqref="I1489">
    <cfRule type="cellIs" dxfId="1482" priority="1477" stopIfTrue="1" operator="equal">
      <formula>"Pass"</formula>
    </cfRule>
    <cfRule type="cellIs" dxfId="1481" priority="1478" stopIfTrue="1" operator="equal">
      <formula>"Fail"</formula>
    </cfRule>
  </conditionalFormatting>
  <conditionalFormatting sqref="I1489:L1489">
    <cfRule type="cellIs" dxfId="1480" priority="1475" stopIfTrue="1" operator="equal">
      <formula>"Pass"</formula>
    </cfRule>
    <cfRule type="cellIs" dxfId="1479" priority="1476" stopIfTrue="1" operator="equal">
      <formula>"Fail"</formula>
    </cfRule>
  </conditionalFormatting>
  <conditionalFormatting sqref="H1489">
    <cfRule type="cellIs" dxfId="1478" priority="1473" stopIfTrue="1" operator="equal">
      <formula>"Pass"</formula>
    </cfRule>
    <cfRule type="cellIs" dxfId="1477" priority="1474" stopIfTrue="1" operator="equal">
      <formula>"Fail"</formula>
    </cfRule>
  </conditionalFormatting>
  <conditionalFormatting sqref="H1489">
    <cfRule type="cellIs" dxfId="1476" priority="1471" stopIfTrue="1" operator="equal">
      <formula>"Pass"</formula>
    </cfRule>
    <cfRule type="cellIs" dxfId="1475" priority="1472" stopIfTrue="1" operator="equal">
      <formula>"Fail"</formula>
    </cfRule>
  </conditionalFormatting>
  <conditionalFormatting sqref="H1489">
    <cfRule type="cellIs" dxfId="1474" priority="1469" stopIfTrue="1" operator="equal">
      <formula>"Pass"</formula>
    </cfRule>
    <cfRule type="cellIs" dxfId="1473" priority="1470" stopIfTrue="1" operator="equal">
      <formula>"Fail"</formula>
    </cfRule>
  </conditionalFormatting>
  <conditionalFormatting sqref="I1489:L1489">
    <cfRule type="cellIs" dxfId="1472" priority="1467" stopIfTrue="1" operator="equal">
      <formula>"Pass"</formula>
    </cfRule>
    <cfRule type="cellIs" dxfId="1471" priority="1468" stopIfTrue="1" operator="equal">
      <formula>"Fail"</formula>
    </cfRule>
  </conditionalFormatting>
  <conditionalFormatting sqref="I1489:L1489">
    <cfRule type="cellIs" dxfId="1470" priority="1465" stopIfTrue="1" operator="equal">
      <formula>"Pass"</formula>
    </cfRule>
    <cfRule type="cellIs" dxfId="1469" priority="1466" stopIfTrue="1" operator="equal">
      <formula>"Fail"</formula>
    </cfRule>
  </conditionalFormatting>
  <conditionalFormatting sqref="J1489:L1489">
    <cfRule type="cellIs" dxfId="1468" priority="1463" stopIfTrue="1" operator="equal">
      <formula>"Pass"</formula>
    </cfRule>
    <cfRule type="cellIs" dxfId="1467" priority="1464" stopIfTrue="1" operator="equal">
      <formula>"Fail"</formula>
    </cfRule>
  </conditionalFormatting>
  <conditionalFormatting sqref="I1489">
    <cfRule type="cellIs" dxfId="1466" priority="1461" stopIfTrue="1" operator="equal">
      <formula>"Pass"</formula>
    </cfRule>
    <cfRule type="cellIs" dxfId="1465" priority="1462" stopIfTrue="1" operator="equal">
      <formula>"Fail"</formula>
    </cfRule>
  </conditionalFormatting>
  <conditionalFormatting sqref="I1489:L1489">
    <cfRule type="cellIs" dxfId="1464" priority="1459" stopIfTrue="1" operator="equal">
      <formula>"Pass"</formula>
    </cfRule>
    <cfRule type="cellIs" dxfId="1463" priority="1460" stopIfTrue="1" operator="equal">
      <formula>"Fail"</formula>
    </cfRule>
  </conditionalFormatting>
  <conditionalFormatting sqref="J1489:L1489">
    <cfRule type="cellIs" dxfId="1462" priority="1457" stopIfTrue="1" operator="equal">
      <formula>"Pass"</formula>
    </cfRule>
    <cfRule type="cellIs" dxfId="1461" priority="1458" stopIfTrue="1" operator="equal">
      <formula>"Fail"</formula>
    </cfRule>
  </conditionalFormatting>
  <conditionalFormatting sqref="I1489">
    <cfRule type="cellIs" dxfId="1460" priority="1455" stopIfTrue="1" operator="equal">
      <formula>"Pass"</formula>
    </cfRule>
    <cfRule type="cellIs" dxfId="1459" priority="1456" stopIfTrue="1" operator="equal">
      <formula>"Fail"</formula>
    </cfRule>
  </conditionalFormatting>
  <conditionalFormatting sqref="I1489:L1489">
    <cfRule type="cellIs" dxfId="1458" priority="1453" stopIfTrue="1" operator="equal">
      <formula>"Pass"</formula>
    </cfRule>
    <cfRule type="cellIs" dxfId="1457" priority="1454" stopIfTrue="1" operator="equal">
      <formula>"Fail"</formula>
    </cfRule>
  </conditionalFormatting>
  <conditionalFormatting sqref="H1489">
    <cfRule type="cellIs" dxfId="1456" priority="1451" stopIfTrue="1" operator="equal">
      <formula>"Pass"</formula>
    </cfRule>
    <cfRule type="cellIs" dxfId="1455" priority="1452" stopIfTrue="1" operator="equal">
      <formula>"Fail"</formula>
    </cfRule>
  </conditionalFormatting>
  <conditionalFormatting sqref="H1489">
    <cfRule type="cellIs" dxfId="1454" priority="1449" stopIfTrue="1" operator="equal">
      <formula>"Pass"</formula>
    </cfRule>
    <cfRule type="cellIs" dxfId="1453" priority="1450" stopIfTrue="1" operator="equal">
      <formula>"Fail"</formula>
    </cfRule>
  </conditionalFormatting>
  <conditionalFormatting sqref="H1489">
    <cfRule type="cellIs" dxfId="1452" priority="1447" stopIfTrue="1" operator="equal">
      <formula>"Pass"</formula>
    </cfRule>
    <cfRule type="cellIs" dxfId="1451" priority="1448" stopIfTrue="1" operator="equal">
      <formula>"Fail"</formula>
    </cfRule>
  </conditionalFormatting>
  <conditionalFormatting sqref="I1489:L1489">
    <cfRule type="cellIs" dxfId="1450" priority="1445" stopIfTrue="1" operator="equal">
      <formula>"Pass"</formula>
    </cfRule>
    <cfRule type="cellIs" dxfId="1449" priority="1446" stopIfTrue="1" operator="equal">
      <formula>"Fail"</formula>
    </cfRule>
  </conditionalFormatting>
  <conditionalFormatting sqref="I1489:L1489">
    <cfRule type="cellIs" dxfId="1448" priority="1443" stopIfTrue="1" operator="equal">
      <formula>"Pass"</formula>
    </cfRule>
    <cfRule type="cellIs" dxfId="1447" priority="1444" stopIfTrue="1" operator="equal">
      <formula>"Fail"</formula>
    </cfRule>
  </conditionalFormatting>
  <conditionalFormatting sqref="J1489:L1489">
    <cfRule type="cellIs" dxfId="1446" priority="1441" stopIfTrue="1" operator="equal">
      <formula>"Pass"</formula>
    </cfRule>
    <cfRule type="cellIs" dxfId="1445" priority="1442" stopIfTrue="1" operator="equal">
      <formula>"Fail"</formula>
    </cfRule>
  </conditionalFormatting>
  <conditionalFormatting sqref="I1489">
    <cfRule type="cellIs" dxfId="1444" priority="1439" stopIfTrue="1" operator="equal">
      <formula>"Pass"</formula>
    </cfRule>
    <cfRule type="cellIs" dxfId="1443" priority="1440" stopIfTrue="1" operator="equal">
      <formula>"Fail"</formula>
    </cfRule>
  </conditionalFormatting>
  <conditionalFormatting sqref="I1489:L1489">
    <cfRule type="cellIs" dxfId="1442" priority="1437" stopIfTrue="1" operator="equal">
      <formula>"Pass"</formula>
    </cfRule>
    <cfRule type="cellIs" dxfId="1441" priority="1438" stopIfTrue="1" operator="equal">
      <formula>"Fail"</formula>
    </cfRule>
  </conditionalFormatting>
  <conditionalFormatting sqref="J1489:L1489">
    <cfRule type="cellIs" dxfId="1440" priority="1435" stopIfTrue="1" operator="equal">
      <formula>"Pass"</formula>
    </cfRule>
    <cfRule type="cellIs" dxfId="1439" priority="1436" stopIfTrue="1" operator="equal">
      <formula>"Fail"</formula>
    </cfRule>
  </conditionalFormatting>
  <conditionalFormatting sqref="I1489">
    <cfRule type="cellIs" dxfId="1438" priority="1433" stopIfTrue="1" operator="equal">
      <formula>"Pass"</formula>
    </cfRule>
    <cfRule type="cellIs" dxfId="1437" priority="1434" stopIfTrue="1" operator="equal">
      <formula>"Fail"</formula>
    </cfRule>
  </conditionalFormatting>
  <conditionalFormatting sqref="I1489:L1489">
    <cfRule type="cellIs" dxfId="1436" priority="1431" stopIfTrue="1" operator="equal">
      <formula>"Pass"</formula>
    </cfRule>
    <cfRule type="cellIs" dxfId="1435" priority="1432" stopIfTrue="1" operator="equal">
      <formula>"Fail"</formula>
    </cfRule>
  </conditionalFormatting>
  <conditionalFormatting sqref="H1489:L1489">
    <cfRule type="cellIs" dxfId="1434" priority="1429" stopIfTrue="1" operator="equal">
      <formula>"Pass"</formula>
    </cfRule>
    <cfRule type="cellIs" dxfId="1433" priority="1430" stopIfTrue="1" operator="equal">
      <formula>"Fail"</formula>
    </cfRule>
  </conditionalFormatting>
  <conditionalFormatting sqref="H1489:L1489">
    <cfRule type="cellIs" dxfId="1432" priority="1427" stopIfTrue="1" operator="equal">
      <formula>"Pass"</formula>
    </cfRule>
    <cfRule type="cellIs" dxfId="1431" priority="1428" stopIfTrue="1" operator="equal">
      <formula>"Fail"</formula>
    </cfRule>
  </conditionalFormatting>
  <conditionalFormatting sqref="H1489:L1489">
    <cfRule type="cellIs" dxfId="1430" priority="1425" stopIfTrue="1" operator="equal">
      <formula>"Pass"</formula>
    </cfRule>
    <cfRule type="cellIs" dxfId="1429" priority="1426" stopIfTrue="1" operator="equal">
      <formula>"Fail"</formula>
    </cfRule>
  </conditionalFormatting>
  <conditionalFormatting sqref="H1489:L1489">
    <cfRule type="cellIs" dxfId="1428" priority="1423" stopIfTrue="1" operator="equal">
      <formula>"Pass"</formula>
    </cfRule>
    <cfRule type="cellIs" dxfId="1427" priority="1424" stopIfTrue="1" operator="equal">
      <formula>"Fail"</formula>
    </cfRule>
  </conditionalFormatting>
  <conditionalFormatting sqref="H1489:L1489">
    <cfRule type="cellIs" dxfId="1426" priority="1421" stopIfTrue="1" operator="equal">
      <formula>"Pass"</formula>
    </cfRule>
    <cfRule type="cellIs" dxfId="1425" priority="1422" stopIfTrue="1" operator="equal">
      <formula>"Fail"</formula>
    </cfRule>
  </conditionalFormatting>
  <conditionalFormatting sqref="H1489:L1489">
    <cfRule type="cellIs" dxfId="1424" priority="1419" stopIfTrue="1" operator="equal">
      <formula>"Pass"</formula>
    </cfRule>
    <cfRule type="cellIs" dxfId="1423" priority="1420" stopIfTrue="1" operator="equal">
      <formula>"Fail"</formula>
    </cfRule>
  </conditionalFormatting>
  <conditionalFormatting sqref="J1489:L1489">
    <cfRule type="cellIs" dxfId="1422" priority="1417" stopIfTrue="1" operator="equal">
      <formula>"Pass"</formula>
    </cfRule>
    <cfRule type="cellIs" dxfId="1421" priority="1418" stopIfTrue="1" operator="equal">
      <formula>"Fail"</formula>
    </cfRule>
  </conditionalFormatting>
  <conditionalFormatting sqref="I1489">
    <cfRule type="cellIs" dxfId="1420" priority="1415" stopIfTrue="1" operator="equal">
      <formula>"Pass"</formula>
    </cfRule>
    <cfRule type="cellIs" dxfId="1419" priority="1416" stopIfTrue="1" operator="equal">
      <formula>"Fail"</formula>
    </cfRule>
  </conditionalFormatting>
  <conditionalFormatting sqref="I1489:L1489">
    <cfRule type="cellIs" dxfId="1418" priority="1413" stopIfTrue="1" operator="equal">
      <formula>"Pass"</formula>
    </cfRule>
    <cfRule type="cellIs" dxfId="1417" priority="1414" stopIfTrue="1" operator="equal">
      <formula>"Fail"</formula>
    </cfRule>
  </conditionalFormatting>
  <conditionalFormatting sqref="J1489:L1489">
    <cfRule type="cellIs" dxfId="1416" priority="1411" stopIfTrue="1" operator="equal">
      <formula>"Pass"</formula>
    </cfRule>
    <cfRule type="cellIs" dxfId="1415" priority="1412" stopIfTrue="1" operator="equal">
      <formula>"Fail"</formula>
    </cfRule>
  </conditionalFormatting>
  <conditionalFormatting sqref="I1489">
    <cfRule type="cellIs" dxfId="1414" priority="1409" stopIfTrue="1" operator="equal">
      <formula>"Pass"</formula>
    </cfRule>
    <cfRule type="cellIs" dxfId="1413" priority="1410" stopIfTrue="1" operator="equal">
      <formula>"Fail"</formula>
    </cfRule>
  </conditionalFormatting>
  <conditionalFormatting sqref="I1489:L1489">
    <cfRule type="cellIs" dxfId="1412" priority="1407" stopIfTrue="1" operator="equal">
      <formula>"Pass"</formula>
    </cfRule>
    <cfRule type="cellIs" dxfId="1411" priority="1408" stopIfTrue="1" operator="equal">
      <formula>"Fail"</formula>
    </cfRule>
  </conditionalFormatting>
  <conditionalFormatting sqref="J1489:L1489">
    <cfRule type="cellIs" dxfId="1410" priority="1405" stopIfTrue="1" operator="equal">
      <formula>"Pass"</formula>
    </cfRule>
    <cfRule type="cellIs" dxfId="1409" priority="1406" stopIfTrue="1" operator="equal">
      <formula>"Fail"</formula>
    </cfRule>
  </conditionalFormatting>
  <conditionalFormatting sqref="I1489">
    <cfRule type="cellIs" dxfId="1408" priority="1403" stopIfTrue="1" operator="equal">
      <formula>"Pass"</formula>
    </cfRule>
    <cfRule type="cellIs" dxfId="1407" priority="1404" stopIfTrue="1" operator="equal">
      <formula>"Fail"</formula>
    </cfRule>
  </conditionalFormatting>
  <conditionalFormatting sqref="I1489:L1489">
    <cfRule type="cellIs" dxfId="1406" priority="1401" stopIfTrue="1" operator="equal">
      <formula>"Pass"</formula>
    </cfRule>
    <cfRule type="cellIs" dxfId="1405" priority="1402" stopIfTrue="1" operator="equal">
      <formula>"Fail"</formula>
    </cfRule>
  </conditionalFormatting>
  <conditionalFormatting sqref="J1489:L1489">
    <cfRule type="cellIs" dxfId="1404" priority="1399" stopIfTrue="1" operator="equal">
      <formula>"Pass"</formula>
    </cfRule>
    <cfRule type="cellIs" dxfId="1403" priority="1400" stopIfTrue="1" operator="equal">
      <formula>"Fail"</formula>
    </cfRule>
  </conditionalFormatting>
  <conditionalFormatting sqref="I1489">
    <cfRule type="cellIs" dxfId="1402" priority="1397" stopIfTrue="1" operator="equal">
      <formula>"Pass"</formula>
    </cfRule>
    <cfRule type="cellIs" dxfId="1401" priority="1398" stopIfTrue="1" operator="equal">
      <formula>"Fail"</formula>
    </cfRule>
  </conditionalFormatting>
  <conditionalFormatting sqref="I1489:L1489">
    <cfRule type="cellIs" dxfId="1400" priority="1395" stopIfTrue="1" operator="equal">
      <formula>"Pass"</formula>
    </cfRule>
    <cfRule type="cellIs" dxfId="1399" priority="1396" stopIfTrue="1" operator="equal">
      <formula>"Fail"</formula>
    </cfRule>
  </conditionalFormatting>
  <conditionalFormatting sqref="J1489:L1489">
    <cfRule type="cellIs" dxfId="1398" priority="1393" stopIfTrue="1" operator="equal">
      <formula>"Pass"</formula>
    </cfRule>
    <cfRule type="cellIs" dxfId="1397" priority="1394" stopIfTrue="1" operator="equal">
      <formula>"Fail"</formula>
    </cfRule>
  </conditionalFormatting>
  <conditionalFormatting sqref="I1489">
    <cfRule type="cellIs" dxfId="1396" priority="1391" stopIfTrue="1" operator="equal">
      <formula>"Pass"</formula>
    </cfRule>
    <cfRule type="cellIs" dxfId="1395" priority="1392" stopIfTrue="1" operator="equal">
      <formula>"Fail"</formula>
    </cfRule>
  </conditionalFormatting>
  <conditionalFormatting sqref="I1489:L1489">
    <cfRule type="cellIs" dxfId="1394" priority="1389" stopIfTrue="1" operator="equal">
      <formula>"Pass"</formula>
    </cfRule>
    <cfRule type="cellIs" dxfId="1393" priority="1390" stopIfTrue="1" operator="equal">
      <formula>"Fail"</formula>
    </cfRule>
  </conditionalFormatting>
  <conditionalFormatting sqref="J1489:L1489">
    <cfRule type="cellIs" dxfId="1392" priority="1387" stopIfTrue="1" operator="equal">
      <formula>"Pass"</formula>
    </cfRule>
    <cfRule type="cellIs" dxfId="1391" priority="1388" stopIfTrue="1" operator="equal">
      <formula>"Fail"</formula>
    </cfRule>
  </conditionalFormatting>
  <conditionalFormatting sqref="I1489">
    <cfRule type="cellIs" dxfId="1390" priority="1385" stopIfTrue="1" operator="equal">
      <formula>"Pass"</formula>
    </cfRule>
    <cfRule type="cellIs" dxfId="1389" priority="1386" stopIfTrue="1" operator="equal">
      <formula>"Fail"</formula>
    </cfRule>
  </conditionalFormatting>
  <conditionalFormatting sqref="I1489:L1489">
    <cfRule type="cellIs" dxfId="1388" priority="1383" stopIfTrue="1" operator="equal">
      <formula>"Pass"</formula>
    </cfRule>
    <cfRule type="cellIs" dxfId="1387" priority="1384" stopIfTrue="1" operator="equal">
      <formula>"Fail"</formula>
    </cfRule>
  </conditionalFormatting>
  <conditionalFormatting sqref="J1489:L1489">
    <cfRule type="cellIs" dxfId="1386" priority="1381" stopIfTrue="1" operator="equal">
      <formula>"Pass"</formula>
    </cfRule>
    <cfRule type="cellIs" dxfId="1385" priority="1382" stopIfTrue="1" operator="equal">
      <formula>"Fail"</formula>
    </cfRule>
  </conditionalFormatting>
  <conditionalFormatting sqref="I1489">
    <cfRule type="cellIs" dxfId="1384" priority="1379" stopIfTrue="1" operator="equal">
      <formula>"Pass"</formula>
    </cfRule>
    <cfRule type="cellIs" dxfId="1383" priority="1380" stopIfTrue="1" operator="equal">
      <formula>"Fail"</formula>
    </cfRule>
  </conditionalFormatting>
  <conditionalFormatting sqref="I1489:L1489">
    <cfRule type="cellIs" dxfId="1382" priority="1377" stopIfTrue="1" operator="equal">
      <formula>"Pass"</formula>
    </cfRule>
    <cfRule type="cellIs" dxfId="1381" priority="1378" stopIfTrue="1" operator="equal">
      <formula>"Fail"</formula>
    </cfRule>
  </conditionalFormatting>
  <conditionalFormatting sqref="J1489:L1489">
    <cfRule type="cellIs" dxfId="1380" priority="1375" stopIfTrue="1" operator="equal">
      <formula>"Pass"</formula>
    </cfRule>
    <cfRule type="cellIs" dxfId="1379" priority="1376" stopIfTrue="1" operator="equal">
      <formula>"Fail"</formula>
    </cfRule>
  </conditionalFormatting>
  <conditionalFormatting sqref="I1489">
    <cfRule type="cellIs" dxfId="1378" priority="1373" stopIfTrue="1" operator="equal">
      <formula>"Pass"</formula>
    </cfRule>
    <cfRule type="cellIs" dxfId="1377" priority="1374" stopIfTrue="1" operator="equal">
      <formula>"Fail"</formula>
    </cfRule>
  </conditionalFormatting>
  <conditionalFormatting sqref="I1489:L1489">
    <cfRule type="cellIs" dxfId="1376" priority="1371" stopIfTrue="1" operator="equal">
      <formula>"Pass"</formula>
    </cfRule>
    <cfRule type="cellIs" dxfId="1375" priority="1372" stopIfTrue="1" operator="equal">
      <formula>"Fail"</formula>
    </cfRule>
  </conditionalFormatting>
  <conditionalFormatting sqref="J1489:L1489">
    <cfRule type="cellIs" dxfId="1374" priority="1369" stopIfTrue="1" operator="equal">
      <formula>"Pass"</formula>
    </cfRule>
    <cfRule type="cellIs" dxfId="1373" priority="1370" stopIfTrue="1" operator="equal">
      <formula>"Fail"</formula>
    </cfRule>
  </conditionalFormatting>
  <conditionalFormatting sqref="I1489">
    <cfRule type="cellIs" dxfId="1372" priority="1367" stopIfTrue="1" operator="equal">
      <formula>"Pass"</formula>
    </cfRule>
    <cfRule type="cellIs" dxfId="1371" priority="1368" stopIfTrue="1" operator="equal">
      <formula>"Fail"</formula>
    </cfRule>
  </conditionalFormatting>
  <conditionalFormatting sqref="I1489:L1489">
    <cfRule type="cellIs" dxfId="1370" priority="1365" stopIfTrue="1" operator="equal">
      <formula>"Pass"</formula>
    </cfRule>
    <cfRule type="cellIs" dxfId="1369" priority="1366" stopIfTrue="1" operator="equal">
      <formula>"Fail"</formula>
    </cfRule>
  </conditionalFormatting>
  <conditionalFormatting sqref="J1489:L1489">
    <cfRule type="cellIs" dxfId="1368" priority="1363" stopIfTrue="1" operator="equal">
      <formula>"Pass"</formula>
    </cfRule>
    <cfRule type="cellIs" dxfId="1367" priority="1364" stopIfTrue="1" operator="equal">
      <formula>"Fail"</formula>
    </cfRule>
  </conditionalFormatting>
  <conditionalFormatting sqref="I1489">
    <cfRule type="cellIs" dxfId="1366" priority="1361" stopIfTrue="1" operator="equal">
      <formula>"Pass"</formula>
    </cfRule>
    <cfRule type="cellIs" dxfId="1365" priority="1362" stopIfTrue="1" operator="equal">
      <formula>"Fail"</formula>
    </cfRule>
  </conditionalFormatting>
  <conditionalFormatting sqref="I1489:L1489">
    <cfRule type="cellIs" dxfId="1364" priority="1359" stopIfTrue="1" operator="equal">
      <formula>"Pass"</formula>
    </cfRule>
    <cfRule type="cellIs" dxfId="1363" priority="1360" stopIfTrue="1" operator="equal">
      <formula>"Fail"</formula>
    </cfRule>
  </conditionalFormatting>
  <conditionalFormatting sqref="J1489:L1489">
    <cfRule type="cellIs" dxfId="1362" priority="1357" stopIfTrue="1" operator="equal">
      <formula>"Pass"</formula>
    </cfRule>
    <cfRule type="cellIs" dxfId="1361" priority="1358" stopIfTrue="1" operator="equal">
      <formula>"Fail"</formula>
    </cfRule>
  </conditionalFormatting>
  <conditionalFormatting sqref="I1489">
    <cfRule type="cellIs" dxfId="1360" priority="1355" stopIfTrue="1" operator="equal">
      <formula>"Pass"</formula>
    </cfRule>
    <cfRule type="cellIs" dxfId="1359" priority="1356" stopIfTrue="1" operator="equal">
      <formula>"Fail"</formula>
    </cfRule>
  </conditionalFormatting>
  <conditionalFormatting sqref="I1489:L1489">
    <cfRule type="cellIs" dxfId="1358" priority="1353" stopIfTrue="1" operator="equal">
      <formula>"Pass"</formula>
    </cfRule>
    <cfRule type="cellIs" dxfId="1357" priority="1354" stopIfTrue="1" operator="equal">
      <formula>"Fail"</formula>
    </cfRule>
  </conditionalFormatting>
  <conditionalFormatting sqref="J1489:L1489">
    <cfRule type="cellIs" dxfId="1356" priority="1351" stopIfTrue="1" operator="equal">
      <formula>"Pass"</formula>
    </cfRule>
    <cfRule type="cellIs" dxfId="1355" priority="1352" stopIfTrue="1" operator="equal">
      <formula>"Fail"</formula>
    </cfRule>
  </conditionalFormatting>
  <conditionalFormatting sqref="I1489">
    <cfRule type="cellIs" dxfId="1354" priority="1349" stopIfTrue="1" operator="equal">
      <formula>"Pass"</formula>
    </cfRule>
    <cfRule type="cellIs" dxfId="1353" priority="1350" stopIfTrue="1" operator="equal">
      <formula>"Fail"</formula>
    </cfRule>
  </conditionalFormatting>
  <conditionalFormatting sqref="I1489:L1489">
    <cfRule type="cellIs" dxfId="1352" priority="1347" stopIfTrue="1" operator="equal">
      <formula>"Pass"</formula>
    </cfRule>
    <cfRule type="cellIs" dxfId="1351" priority="1348" stopIfTrue="1" operator="equal">
      <formula>"Fail"</formula>
    </cfRule>
  </conditionalFormatting>
  <conditionalFormatting sqref="J1489:L1489">
    <cfRule type="cellIs" dxfId="1350" priority="1345" stopIfTrue="1" operator="equal">
      <formula>"Pass"</formula>
    </cfRule>
    <cfRule type="cellIs" dxfId="1349" priority="1346" stopIfTrue="1" operator="equal">
      <formula>"Fail"</formula>
    </cfRule>
  </conditionalFormatting>
  <conditionalFormatting sqref="I1489">
    <cfRule type="cellIs" dxfId="1348" priority="1343" stopIfTrue="1" operator="equal">
      <formula>"Pass"</formula>
    </cfRule>
    <cfRule type="cellIs" dxfId="1347" priority="1344" stopIfTrue="1" operator="equal">
      <formula>"Fail"</formula>
    </cfRule>
  </conditionalFormatting>
  <conditionalFormatting sqref="I1489:L1489">
    <cfRule type="cellIs" dxfId="1346" priority="1341" stopIfTrue="1" operator="equal">
      <formula>"Pass"</formula>
    </cfRule>
    <cfRule type="cellIs" dxfId="1345" priority="1342" stopIfTrue="1" operator="equal">
      <formula>"Fail"</formula>
    </cfRule>
  </conditionalFormatting>
  <conditionalFormatting sqref="J1489:L1489">
    <cfRule type="cellIs" dxfId="1344" priority="1339" stopIfTrue="1" operator="equal">
      <formula>"Pass"</formula>
    </cfRule>
    <cfRule type="cellIs" dxfId="1343" priority="1340" stopIfTrue="1" operator="equal">
      <formula>"Fail"</formula>
    </cfRule>
  </conditionalFormatting>
  <conditionalFormatting sqref="I1489">
    <cfRule type="cellIs" dxfId="1342" priority="1337" stopIfTrue="1" operator="equal">
      <formula>"Pass"</formula>
    </cfRule>
    <cfRule type="cellIs" dxfId="1341" priority="1338" stopIfTrue="1" operator="equal">
      <formula>"Fail"</formula>
    </cfRule>
  </conditionalFormatting>
  <conditionalFormatting sqref="I1489:L1489">
    <cfRule type="cellIs" dxfId="1340" priority="1335" stopIfTrue="1" operator="equal">
      <formula>"Pass"</formula>
    </cfRule>
    <cfRule type="cellIs" dxfId="1339" priority="1336" stopIfTrue="1" operator="equal">
      <formula>"Fail"</formula>
    </cfRule>
  </conditionalFormatting>
  <conditionalFormatting sqref="J1489:L1489">
    <cfRule type="cellIs" dxfId="1338" priority="1333" stopIfTrue="1" operator="equal">
      <formula>"Pass"</formula>
    </cfRule>
    <cfRule type="cellIs" dxfId="1337" priority="1334" stopIfTrue="1" operator="equal">
      <formula>"Fail"</formula>
    </cfRule>
  </conditionalFormatting>
  <conditionalFormatting sqref="I1489">
    <cfRule type="cellIs" dxfId="1336" priority="1331" stopIfTrue="1" operator="equal">
      <formula>"Pass"</formula>
    </cfRule>
    <cfRule type="cellIs" dxfId="1335" priority="1332" stopIfTrue="1" operator="equal">
      <formula>"Fail"</formula>
    </cfRule>
  </conditionalFormatting>
  <conditionalFormatting sqref="I1489:L1489">
    <cfRule type="cellIs" dxfId="1334" priority="1329" stopIfTrue="1" operator="equal">
      <formula>"Pass"</formula>
    </cfRule>
    <cfRule type="cellIs" dxfId="1333" priority="1330" stopIfTrue="1" operator="equal">
      <formula>"Fail"</formula>
    </cfRule>
  </conditionalFormatting>
  <conditionalFormatting sqref="J1489:L1489">
    <cfRule type="cellIs" dxfId="1332" priority="1327" stopIfTrue="1" operator="equal">
      <formula>"Pass"</formula>
    </cfRule>
    <cfRule type="cellIs" dxfId="1331" priority="1328" stopIfTrue="1" operator="equal">
      <formula>"Fail"</formula>
    </cfRule>
  </conditionalFormatting>
  <conditionalFormatting sqref="I1489">
    <cfRule type="cellIs" dxfId="1330" priority="1325" stopIfTrue="1" operator="equal">
      <formula>"Pass"</formula>
    </cfRule>
    <cfRule type="cellIs" dxfId="1329" priority="1326" stopIfTrue="1" operator="equal">
      <formula>"Fail"</formula>
    </cfRule>
  </conditionalFormatting>
  <conditionalFormatting sqref="I1489:L1489">
    <cfRule type="cellIs" dxfId="1328" priority="1323" stopIfTrue="1" operator="equal">
      <formula>"Pass"</formula>
    </cfRule>
    <cfRule type="cellIs" dxfId="1327" priority="1324" stopIfTrue="1" operator="equal">
      <formula>"Fail"</formula>
    </cfRule>
  </conditionalFormatting>
  <conditionalFormatting sqref="J1489:L1489">
    <cfRule type="cellIs" dxfId="1326" priority="1321" stopIfTrue="1" operator="equal">
      <formula>"Pass"</formula>
    </cfRule>
    <cfRule type="cellIs" dxfId="1325" priority="1322" stopIfTrue="1" operator="equal">
      <formula>"Fail"</formula>
    </cfRule>
  </conditionalFormatting>
  <conditionalFormatting sqref="I1489">
    <cfRule type="cellIs" dxfId="1324" priority="1319" stopIfTrue="1" operator="equal">
      <formula>"Pass"</formula>
    </cfRule>
    <cfRule type="cellIs" dxfId="1323" priority="1320" stopIfTrue="1" operator="equal">
      <formula>"Fail"</formula>
    </cfRule>
  </conditionalFormatting>
  <conditionalFormatting sqref="I1489:L1489">
    <cfRule type="cellIs" dxfId="1322" priority="1317" stopIfTrue="1" operator="equal">
      <formula>"Pass"</formula>
    </cfRule>
    <cfRule type="cellIs" dxfId="1321" priority="1318" stopIfTrue="1" operator="equal">
      <formula>"Fail"</formula>
    </cfRule>
  </conditionalFormatting>
  <conditionalFormatting sqref="J1489:L1489">
    <cfRule type="cellIs" dxfId="1320" priority="1315" stopIfTrue="1" operator="equal">
      <formula>"Pass"</formula>
    </cfRule>
    <cfRule type="cellIs" dxfId="1319" priority="1316" stopIfTrue="1" operator="equal">
      <formula>"Fail"</formula>
    </cfRule>
  </conditionalFormatting>
  <conditionalFormatting sqref="I1489">
    <cfRule type="cellIs" dxfId="1318" priority="1313" stopIfTrue="1" operator="equal">
      <formula>"Pass"</formula>
    </cfRule>
    <cfRule type="cellIs" dxfId="1317" priority="1314" stopIfTrue="1" operator="equal">
      <formula>"Fail"</formula>
    </cfRule>
  </conditionalFormatting>
  <conditionalFormatting sqref="I1489:L1489">
    <cfRule type="cellIs" dxfId="1316" priority="1311" stopIfTrue="1" operator="equal">
      <formula>"Pass"</formula>
    </cfRule>
    <cfRule type="cellIs" dxfId="1315" priority="1312" stopIfTrue="1" operator="equal">
      <formula>"Fail"</formula>
    </cfRule>
  </conditionalFormatting>
  <conditionalFormatting sqref="J1489:L1489">
    <cfRule type="cellIs" dxfId="1314" priority="1309" stopIfTrue="1" operator="equal">
      <formula>"Pass"</formula>
    </cfRule>
    <cfRule type="cellIs" dxfId="1313" priority="1310" stopIfTrue="1" operator="equal">
      <formula>"Fail"</formula>
    </cfRule>
  </conditionalFormatting>
  <conditionalFormatting sqref="I1489">
    <cfRule type="cellIs" dxfId="1312" priority="1307" stopIfTrue="1" operator="equal">
      <formula>"Pass"</formula>
    </cfRule>
    <cfRule type="cellIs" dxfId="1311" priority="1308" stopIfTrue="1" operator="equal">
      <formula>"Fail"</formula>
    </cfRule>
  </conditionalFormatting>
  <conditionalFormatting sqref="I1489:L1489">
    <cfRule type="cellIs" dxfId="1310" priority="1305" stopIfTrue="1" operator="equal">
      <formula>"Pass"</formula>
    </cfRule>
    <cfRule type="cellIs" dxfId="1309" priority="1306" stopIfTrue="1" operator="equal">
      <formula>"Fail"</formula>
    </cfRule>
  </conditionalFormatting>
  <conditionalFormatting sqref="J1489:L1489">
    <cfRule type="cellIs" dxfId="1308" priority="1303" stopIfTrue="1" operator="equal">
      <formula>"Pass"</formula>
    </cfRule>
    <cfRule type="cellIs" dxfId="1307" priority="1304" stopIfTrue="1" operator="equal">
      <formula>"Fail"</formula>
    </cfRule>
  </conditionalFormatting>
  <conditionalFormatting sqref="I1489">
    <cfRule type="cellIs" dxfId="1306" priority="1301" stopIfTrue="1" operator="equal">
      <formula>"Pass"</formula>
    </cfRule>
    <cfRule type="cellIs" dxfId="1305" priority="1302" stopIfTrue="1" operator="equal">
      <formula>"Fail"</formula>
    </cfRule>
  </conditionalFormatting>
  <conditionalFormatting sqref="I1489:L1489">
    <cfRule type="cellIs" dxfId="1304" priority="1299" stopIfTrue="1" operator="equal">
      <formula>"Pass"</formula>
    </cfRule>
    <cfRule type="cellIs" dxfId="1303" priority="1300" stopIfTrue="1" operator="equal">
      <formula>"Fail"</formula>
    </cfRule>
  </conditionalFormatting>
  <conditionalFormatting sqref="J1489:L1489">
    <cfRule type="cellIs" dxfId="1302" priority="1297" stopIfTrue="1" operator="equal">
      <formula>"Pass"</formula>
    </cfRule>
    <cfRule type="cellIs" dxfId="1301" priority="1298" stopIfTrue="1" operator="equal">
      <formula>"Fail"</formula>
    </cfRule>
  </conditionalFormatting>
  <conditionalFormatting sqref="I1489">
    <cfRule type="cellIs" dxfId="1300" priority="1295" stopIfTrue="1" operator="equal">
      <formula>"Pass"</formula>
    </cfRule>
    <cfRule type="cellIs" dxfId="1299" priority="1296" stopIfTrue="1" operator="equal">
      <formula>"Fail"</formula>
    </cfRule>
  </conditionalFormatting>
  <conditionalFormatting sqref="I1489:L1489">
    <cfRule type="cellIs" dxfId="1298" priority="1293" stopIfTrue="1" operator="equal">
      <formula>"Pass"</formula>
    </cfRule>
    <cfRule type="cellIs" dxfId="1297" priority="1294" stopIfTrue="1" operator="equal">
      <formula>"Fail"</formula>
    </cfRule>
  </conditionalFormatting>
  <conditionalFormatting sqref="J1489:L1489">
    <cfRule type="cellIs" dxfId="1296" priority="1291" stopIfTrue="1" operator="equal">
      <formula>"Pass"</formula>
    </cfRule>
    <cfRule type="cellIs" dxfId="1295" priority="1292" stopIfTrue="1" operator="equal">
      <formula>"Fail"</formula>
    </cfRule>
  </conditionalFormatting>
  <conditionalFormatting sqref="I1489">
    <cfRule type="cellIs" dxfId="1294" priority="1289" stopIfTrue="1" operator="equal">
      <formula>"Pass"</formula>
    </cfRule>
    <cfRule type="cellIs" dxfId="1293" priority="1290" stopIfTrue="1" operator="equal">
      <formula>"Fail"</formula>
    </cfRule>
  </conditionalFormatting>
  <conditionalFormatting sqref="I1489:L1489">
    <cfRule type="cellIs" dxfId="1292" priority="1287" stopIfTrue="1" operator="equal">
      <formula>"Pass"</formula>
    </cfRule>
    <cfRule type="cellIs" dxfId="1291" priority="1288" stopIfTrue="1" operator="equal">
      <formula>"Fail"</formula>
    </cfRule>
  </conditionalFormatting>
  <conditionalFormatting sqref="J1489:L1489">
    <cfRule type="cellIs" dxfId="1290" priority="1285" stopIfTrue="1" operator="equal">
      <formula>"Pass"</formula>
    </cfRule>
    <cfRule type="cellIs" dxfId="1289" priority="1286" stopIfTrue="1" operator="equal">
      <formula>"Fail"</formula>
    </cfRule>
  </conditionalFormatting>
  <conditionalFormatting sqref="I1489">
    <cfRule type="cellIs" dxfId="1288" priority="1283" stopIfTrue="1" operator="equal">
      <formula>"Pass"</formula>
    </cfRule>
    <cfRule type="cellIs" dxfId="1287" priority="1284" stopIfTrue="1" operator="equal">
      <formula>"Fail"</formula>
    </cfRule>
  </conditionalFormatting>
  <conditionalFormatting sqref="I1489:L1489">
    <cfRule type="cellIs" dxfId="1286" priority="1281" stopIfTrue="1" operator="equal">
      <formula>"Pass"</formula>
    </cfRule>
    <cfRule type="cellIs" dxfId="1285" priority="1282" stopIfTrue="1" operator="equal">
      <formula>"Fail"</formula>
    </cfRule>
  </conditionalFormatting>
  <conditionalFormatting sqref="J1489:L1489">
    <cfRule type="cellIs" dxfId="1284" priority="1279" stopIfTrue="1" operator="equal">
      <formula>"Pass"</formula>
    </cfRule>
    <cfRule type="cellIs" dxfId="1283" priority="1280" stopIfTrue="1" operator="equal">
      <formula>"Fail"</formula>
    </cfRule>
  </conditionalFormatting>
  <conditionalFormatting sqref="I1489">
    <cfRule type="cellIs" dxfId="1282" priority="1277" stopIfTrue="1" operator="equal">
      <formula>"Pass"</formula>
    </cfRule>
    <cfRule type="cellIs" dxfId="1281" priority="1278" stopIfTrue="1" operator="equal">
      <formula>"Fail"</formula>
    </cfRule>
  </conditionalFormatting>
  <conditionalFormatting sqref="I1489:L1489">
    <cfRule type="cellIs" dxfId="1280" priority="1275" stopIfTrue="1" operator="equal">
      <formula>"Pass"</formula>
    </cfRule>
    <cfRule type="cellIs" dxfId="1279" priority="1276" stopIfTrue="1" operator="equal">
      <formula>"Fail"</formula>
    </cfRule>
  </conditionalFormatting>
  <conditionalFormatting sqref="I1489:L1489">
    <cfRule type="cellIs" dxfId="1278" priority="1273" stopIfTrue="1" operator="equal">
      <formula>"Pass"</formula>
    </cfRule>
    <cfRule type="cellIs" dxfId="1277" priority="1274" stopIfTrue="1" operator="equal">
      <formula>"Fail"</formula>
    </cfRule>
  </conditionalFormatting>
  <conditionalFormatting sqref="J1489:L1489">
    <cfRule type="cellIs" dxfId="1276" priority="1271" stopIfTrue="1" operator="equal">
      <formula>"Pass"</formula>
    </cfRule>
    <cfRule type="cellIs" dxfId="1275" priority="1272" stopIfTrue="1" operator="equal">
      <formula>"Fail"</formula>
    </cfRule>
  </conditionalFormatting>
  <conditionalFormatting sqref="I1489">
    <cfRule type="cellIs" dxfId="1274" priority="1269" stopIfTrue="1" operator="equal">
      <formula>"Pass"</formula>
    </cfRule>
    <cfRule type="cellIs" dxfId="1273" priority="1270" stopIfTrue="1" operator="equal">
      <formula>"Fail"</formula>
    </cfRule>
  </conditionalFormatting>
  <conditionalFormatting sqref="I1489:L1489">
    <cfRule type="cellIs" dxfId="1272" priority="1267" stopIfTrue="1" operator="equal">
      <formula>"Pass"</formula>
    </cfRule>
    <cfRule type="cellIs" dxfId="1271" priority="1268" stopIfTrue="1" operator="equal">
      <formula>"Fail"</formula>
    </cfRule>
  </conditionalFormatting>
  <conditionalFormatting sqref="J1489:L1489">
    <cfRule type="cellIs" dxfId="1270" priority="1265" stopIfTrue="1" operator="equal">
      <formula>"Pass"</formula>
    </cfRule>
    <cfRule type="cellIs" dxfId="1269" priority="1266" stopIfTrue="1" operator="equal">
      <formula>"Fail"</formula>
    </cfRule>
  </conditionalFormatting>
  <conditionalFormatting sqref="I1489">
    <cfRule type="cellIs" dxfId="1268" priority="1263" stopIfTrue="1" operator="equal">
      <formula>"Pass"</formula>
    </cfRule>
    <cfRule type="cellIs" dxfId="1267" priority="1264" stopIfTrue="1" operator="equal">
      <formula>"Fail"</formula>
    </cfRule>
  </conditionalFormatting>
  <conditionalFormatting sqref="I1489:L1489">
    <cfRule type="cellIs" dxfId="1266" priority="1261" stopIfTrue="1" operator="equal">
      <formula>"Pass"</formula>
    </cfRule>
    <cfRule type="cellIs" dxfId="1265" priority="1262" stopIfTrue="1" operator="equal">
      <formula>"Fail"</formula>
    </cfRule>
  </conditionalFormatting>
  <conditionalFormatting sqref="I1489:L1489">
    <cfRule type="cellIs" dxfId="1264" priority="1259" stopIfTrue="1" operator="equal">
      <formula>"Pass"</formula>
    </cfRule>
    <cfRule type="cellIs" dxfId="1263" priority="1260" stopIfTrue="1" operator="equal">
      <formula>"Fail"</formula>
    </cfRule>
  </conditionalFormatting>
  <conditionalFormatting sqref="J1489:L1489">
    <cfRule type="cellIs" dxfId="1262" priority="1257" stopIfTrue="1" operator="equal">
      <formula>"Pass"</formula>
    </cfRule>
    <cfRule type="cellIs" dxfId="1261" priority="1258" stopIfTrue="1" operator="equal">
      <formula>"Fail"</formula>
    </cfRule>
  </conditionalFormatting>
  <conditionalFormatting sqref="I1489">
    <cfRule type="cellIs" dxfId="1260" priority="1255" stopIfTrue="1" operator="equal">
      <formula>"Pass"</formula>
    </cfRule>
    <cfRule type="cellIs" dxfId="1259" priority="1256" stopIfTrue="1" operator="equal">
      <formula>"Fail"</formula>
    </cfRule>
  </conditionalFormatting>
  <conditionalFormatting sqref="I1489:L1489">
    <cfRule type="cellIs" dxfId="1258" priority="1253" stopIfTrue="1" operator="equal">
      <formula>"Pass"</formula>
    </cfRule>
    <cfRule type="cellIs" dxfId="1257" priority="1254" stopIfTrue="1" operator="equal">
      <formula>"Fail"</formula>
    </cfRule>
  </conditionalFormatting>
  <conditionalFormatting sqref="J1489:L1489">
    <cfRule type="cellIs" dxfId="1256" priority="1251" stopIfTrue="1" operator="equal">
      <formula>"Pass"</formula>
    </cfRule>
    <cfRule type="cellIs" dxfId="1255" priority="1252" stopIfTrue="1" operator="equal">
      <formula>"Fail"</formula>
    </cfRule>
  </conditionalFormatting>
  <conditionalFormatting sqref="I1489">
    <cfRule type="cellIs" dxfId="1254" priority="1249" stopIfTrue="1" operator="equal">
      <formula>"Pass"</formula>
    </cfRule>
    <cfRule type="cellIs" dxfId="1253" priority="1250" stopIfTrue="1" operator="equal">
      <formula>"Fail"</formula>
    </cfRule>
  </conditionalFormatting>
  <conditionalFormatting sqref="I1489:L1489">
    <cfRule type="cellIs" dxfId="1252" priority="1247" stopIfTrue="1" operator="equal">
      <formula>"Pass"</formula>
    </cfRule>
    <cfRule type="cellIs" dxfId="1251" priority="1248" stopIfTrue="1" operator="equal">
      <formula>"Fail"</formula>
    </cfRule>
  </conditionalFormatting>
  <conditionalFormatting sqref="I1489:L1489">
    <cfRule type="cellIs" dxfId="1250" priority="1245" stopIfTrue="1" operator="equal">
      <formula>"Pass"</formula>
    </cfRule>
    <cfRule type="cellIs" dxfId="1249" priority="1246" stopIfTrue="1" operator="equal">
      <formula>"Fail"</formula>
    </cfRule>
  </conditionalFormatting>
  <conditionalFormatting sqref="J1489:L1489">
    <cfRule type="cellIs" dxfId="1248" priority="1243" stopIfTrue="1" operator="equal">
      <formula>"Pass"</formula>
    </cfRule>
    <cfRule type="cellIs" dxfId="1247" priority="1244" stopIfTrue="1" operator="equal">
      <formula>"Fail"</formula>
    </cfRule>
  </conditionalFormatting>
  <conditionalFormatting sqref="I1489">
    <cfRule type="cellIs" dxfId="1246" priority="1241" stopIfTrue="1" operator="equal">
      <formula>"Pass"</formula>
    </cfRule>
    <cfRule type="cellIs" dxfId="1245" priority="1242" stopIfTrue="1" operator="equal">
      <formula>"Fail"</formula>
    </cfRule>
  </conditionalFormatting>
  <conditionalFormatting sqref="I1489:L1489">
    <cfRule type="cellIs" dxfId="1244" priority="1239" stopIfTrue="1" operator="equal">
      <formula>"Pass"</formula>
    </cfRule>
    <cfRule type="cellIs" dxfId="1243" priority="1240" stopIfTrue="1" operator="equal">
      <formula>"Fail"</formula>
    </cfRule>
  </conditionalFormatting>
  <conditionalFormatting sqref="J1489:L1489">
    <cfRule type="cellIs" dxfId="1242" priority="1237" stopIfTrue="1" operator="equal">
      <formula>"Pass"</formula>
    </cfRule>
    <cfRule type="cellIs" dxfId="1241" priority="1238" stopIfTrue="1" operator="equal">
      <formula>"Fail"</formula>
    </cfRule>
  </conditionalFormatting>
  <conditionalFormatting sqref="I1489">
    <cfRule type="cellIs" dxfId="1240" priority="1235" stopIfTrue="1" operator="equal">
      <formula>"Pass"</formula>
    </cfRule>
    <cfRule type="cellIs" dxfId="1239" priority="1236" stopIfTrue="1" operator="equal">
      <formula>"Fail"</formula>
    </cfRule>
  </conditionalFormatting>
  <conditionalFormatting sqref="I1489:L1489">
    <cfRule type="cellIs" dxfId="1238" priority="1233" stopIfTrue="1" operator="equal">
      <formula>"Pass"</formula>
    </cfRule>
    <cfRule type="cellIs" dxfId="1237" priority="1234" stopIfTrue="1" operator="equal">
      <formula>"Fail"</formula>
    </cfRule>
  </conditionalFormatting>
  <conditionalFormatting sqref="I1489:L1489">
    <cfRule type="cellIs" dxfId="1236" priority="1231" stopIfTrue="1" operator="equal">
      <formula>"Pass"</formula>
    </cfRule>
    <cfRule type="cellIs" dxfId="1235" priority="1232" stopIfTrue="1" operator="equal">
      <formula>"Fail"</formula>
    </cfRule>
  </conditionalFormatting>
  <conditionalFormatting sqref="J1489:L1489">
    <cfRule type="cellIs" dxfId="1234" priority="1229" stopIfTrue="1" operator="equal">
      <formula>"Pass"</formula>
    </cfRule>
    <cfRule type="cellIs" dxfId="1233" priority="1230" stopIfTrue="1" operator="equal">
      <formula>"Fail"</formula>
    </cfRule>
  </conditionalFormatting>
  <conditionalFormatting sqref="I1489">
    <cfRule type="cellIs" dxfId="1232" priority="1227" stopIfTrue="1" operator="equal">
      <formula>"Pass"</formula>
    </cfRule>
    <cfRule type="cellIs" dxfId="1231" priority="1228" stopIfTrue="1" operator="equal">
      <formula>"Fail"</formula>
    </cfRule>
  </conditionalFormatting>
  <conditionalFormatting sqref="I1489:L1489">
    <cfRule type="cellIs" dxfId="1230" priority="1225" stopIfTrue="1" operator="equal">
      <formula>"Pass"</formula>
    </cfRule>
    <cfRule type="cellIs" dxfId="1229" priority="1226" stopIfTrue="1" operator="equal">
      <formula>"Fail"</formula>
    </cfRule>
  </conditionalFormatting>
  <conditionalFormatting sqref="J1489:L1489">
    <cfRule type="cellIs" dxfId="1228" priority="1223" stopIfTrue="1" operator="equal">
      <formula>"Pass"</formula>
    </cfRule>
    <cfRule type="cellIs" dxfId="1227" priority="1224" stopIfTrue="1" operator="equal">
      <formula>"Fail"</formula>
    </cfRule>
  </conditionalFormatting>
  <conditionalFormatting sqref="I1489">
    <cfRule type="cellIs" dxfId="1226" priority="1221" stopIfTrue="1" operator="equal">
      <formula>"Pass"</formula>
    </cfRule>
    <cfRule type="cellIs" dxfId="1225" priority="1222" stopIfTrue="1" operator="equal">
      <formula>"Fail"</formula>
    </cfRule>
  </conditionalFormatting>
  <conditionalFormatting sqref="I1489:L1489">
    <cfRule type="cellIs" dxfId="1224" priority="1219" stopIfTrue="1" operator="equal">
      <formula>"Pass"</formula>
    </cfRule>
    <cfRule type="cellIs" dxfId="1223" priority="1220" stopIfTrue="1" operator="equal">
      <formula>"Fail"</formula>
    </cfRule>
  </conditionalFormatting>
  <conditionalFormatting sqref="I1489:L1489">
    <cfRule type="cellIs" dxfId="1222" priority="1217" stopIfTrue="1" operator="equal">
      <formula>"Pass"</formula>
    </cfRule>
    <cfRule type="cellIs" dxfId="1221" priority="1218" stopIfTrue="1" operator="equal">
      <formula>"Fail"</formula>
    </cfRule>
  </conditionalFormatting>
  <conditionalFormatting sqref="J1489:L1489">
    <cfRule type="cellIs" dxfId="1220" priority="1215" stopIfTrue="1" operator="equal">
      <formula>"Pass"</formula>
    </cfRule>
    <cfRule type="cellIs" dxfId="1219" priority="1216" stopIfTrue="1" operator="equal">
      <formula>"Fail"</formula>
    </cfRule>
  </conditionalFormatting>
  <conditionalFormatting sqref="I1489">
    <cfRule type="cellIs" dxfId="1218" priority="1213" stopIfTrue="1" operator="equal">
      <formula>"Pass"</formula>
    </cfRule>
    <cfRule type="cellIs" dxfId="1217" priority="1214" stopIfTrue="1" operator="equal">
      <formula>"Fail"</formula>
    </cfRule>
  </conditionalFormatting>
  <conditionalFormatting sqref="I1489:L1489">
    <cfRule type="cellIs" dxfId="1216" priority="1211" stopIfTrue="1" operator="equal">
      <formula>"Pass"</formula>
    </cfRule>
    <cfRule type="cellIs" dxfId="1215" priority="1212" stopIfTrue="1" operator="equal">
      <formula>"Fail"</formula>
    </cfRule>
  </conditionalFormatting>
  <conditionalFormatting sqref="J1489:L1489">
    <cfRule type="cellIs" dxfId="1214" priority="1209" stopIfTrue="1" operator="equal">
      <formula>"Pass"</formula>
    </cfRule>
    <cfRule type="cellIs" dxfId="1213" priority="1210" stopIfTrue="1" operator="equal">
      <formula>"Fail"</formula>
    </cfRule>
  </conditionalFormatting>
  <conditionalFormatting sqref="I1489">
    <cfRule type="cellIs" dxfId="1212" priority="1207" stopIfTrue="1" operator="equal">
      <formula>"Pass"</formula>
    </cfRule>
    <cfRule type="cellIs" dxfId="1211" priority="1208" stopIfTrue="1" operator="equal">
      <formula>"Fail"</formula>
    </cfRule>
  </conditionalFormatting>
  <conditionalFormatting sqref="I1489:L1489">
    <cfRule type="cellIs" dxfId="1210" priority="1205" stopIfTrue="1" operator="equal">
      <formula>"Pass"</formula>
    </cfRule>
    <cfRule type="cellIs" dxfId="1209" priority="1206" stopIfTrue="1" operator="equal">
      <formula>"Fail"</formula>
    </cfRule>
  </conditionalFormatting>
  <conditionalFormatting sqref="I1489:L1489">
    <cfRule type="cellIs" dxfId="1208" priority="1203" stopIfTrue="1" operator="equal">
      <formula>"Pass"</formula>
    </cfRule>
    <cfRule type="cellIs" dxfId="1207" priority="1204" stopIfTrue="1" operator="equal">
      <formula>"Fail"</formula>
    </cfRule>
  </conditionalFormatting>
  <conditionalFormatting sqref="I1489:L1489">
    <cfRule type="cellIs" dxfId="1206" priority="1201" stopIfTrue="1" operator="equal">
      <formula>"Pass"</formula>
    </cfRule>
    <cfRule type="cellIs" dxfId="1205" priority="1202" stopIfTrue="1" operator="equal">
      <formula>"Fail"</formula>
    </cfRule>
  </conditionalFormatting>
  <conditionalFormatting sqref="J1489:L1489">
    <cfRule type="cellIs" dxfId="1204" priority="1199" stopIfTrue="1" operator="equal">
      <formula>"Pass"</formula>
    </cfRule>
    <cfRule type="cellIs" dxfId="1203" priority="1200" stopIfTrue="1" operator="equal">
      <formula>"Fail"</formula>
    </cfRule>
  </conditionalFormatting>
  <conditionalFormatting sqref="I1489">
    <cfRule type="cellIs" dxfId="1202" priority="1197" stopIfTrue="1" operator="equal">
      <formula>"Pass"</formula>
    </cfRule>
    <cfRule type="cellIs" dxfId="1201" priority="1198" stopIfTrue="1" operator="equal">
      <formula>"Fail"</formula>
    </cfRule>
  </conditionalFormatting>
  <conditionalFormatting sqref="I1489:L1489">
    <cfRule type="cellIs" dxfId="1200" priority="1195" stopIfTrue="1" operator="equal">
      <formula>"Pass"</formula>
    </cfRule>
    <cfRule type="cellIs" dxfId="1199" priority="1196" stopIfTrue="1" operator="equal">
      <formula>"Fail"</formula>
    </cfRule>
  </conditionalFormatting>
  <conditionalFormatting sqref="J1489:L1489">
    <cfRule type="cellIs" dxfId="1198" priority="1193" stopIfTrue="1" operator="equal">
      <formula>"Pass"</formula>
    </cfRule>
    <cfRule type="cellIs" dxfId="1197" priority="1194" stopIfTrue="1" operator="equal">
      <formula>"Fail"</formula>
    </cfRule>
  </conditionalFormatting>
  <conditionalFormatting sqref="I1489">
    <cfRule type="cellIs" dxfId="1196" priority="1191" stopIfTrue="1" operator="equal">
      <formula>"Pass"</formula>
    </cfRule>
    <cfRule type="cellIs" dxfId="1195" priority="1192" stopIfTrue="1" operator="equal">
      <formula>"Fail"</formula>
    </cfRule>
  </conditionalFormatting>
  <conditionalFormatting sqref="I1489:L1489">
    <cfRule type="cellIs" dxfId="1194" priority="1189" stopIfTrue="1" operator="equal">
      <formula>"Pass"</formula>
    </cfRule>
    <cfRule type="cellIs" dxfId="1193" priority="1190" stopIfTrue="1" operator="equal">
      <formula>"Fail"</formula>
    </cfRule>
  </conditionalFormatting>
  <conditionalFormatting sqref="I1489:L1489">
    <cfRule type="cellIs" dxfId="1192" priority="1187" stopIfTrue="1" operator="equal">
      <formula>"Pass"</formula>
    </cfRule>
    <cfRule type="cellIs" dxfId="1191" priority="1188" stopIfTrue="1" operator="equal">
      <formula>"Fail"</formula>
    </cfRule>
  </conditionalFormatting>
  <conditionalFormatting sqref="I1489:L1489">
    <cfRule type="cellIs" dxfId="1190" priority="1185" stopIfTrue="1" operator="equal">
      <formula>"Pass"</formula>
    </cfRule>
    <cfRule type="cellIs" dxfId="1189" priority="1186" stopIfTrue="1" operator="equal">
      <formula>"Fail"</formula>
    </cfRule>
  </conditionalFormatting>
  <conditionalFormatting sqref="J1489:L1489">
    <cfRule type="cellIs" dxfId="1188" priority="1183" stopIfTrue="1" operator="equal">
      <formula>"Pass"</formula>
    </cfRule>
    <cfRule type="cellIs" dxfId="1187" priority="1184" stopIfTrue="1" operator="equal">
      <formula>"Fail"</formula>
    </cfRule>
  </conditionalFormatting>
  <conditionalFormatting sqref="I1489">
    <cfRule type="cellIs" dxfId="1186" priority="1181" stopIfTrue="1" operator="equal">
      <formula>"Pass"</formula>
    </cfRule>
    <cfRule type="cellIs" dxfId="1185" priority="1182" stopIfTrue="1" operator="equal">
      <formula>"Fail"</formula>
    </cfRule>
  </conditionalFormatting>
  <conditionalFormatting sqref="I1489:L1489">
    <cfRule type="cellIs" dxfId="1184" priority="1179" stopIfTrue="1" operator="equal">
      <formula>"Pass"</formula>
    </cfRule>
    <cfRule type="cellIs" dxfId="1183" priority="1180" stopIfTrue="1" operator="equal">
      <formula>"Fail"</formula>
    </cfRule>
  </conditionalFormatting>
  <conditionalFormatting sqref="J1489:L1489">
    <cfRule type="cellIs" dxfId="1182" priority="1177" stopIfTrue="1" operator="equal">
      <formula>"Pass"</formula>
    </cfRule>
    <cfRule type="cellIs" dxfId="1181" priority="1178" stopIfTrue="1" operator="equal">
      <formula>"Fail"</formula>
    </cfRule>
  </conditionalFormatting>
  <conditionalFormatting sqref="I1489">
    <cfRule type="cellIs" dxfId="1180" priority="1175" stopIfTrue="1" operator="equal">
      <formula>"Pass"</formula>
    </cfRule>
    <cfRule type="cellIs" dxfId="1179" priority="1176" stopIfTrue="1" operator="equal">
      <formula>"Fail"</formula>
    </cfRule>
  </conditionalFormatting>
  <conditionalFormatting sqref="I1489:L1489">
    <cfRule type="cellIs" dxfId="1178" priority="1173" stopIfTrue="1" operator="equal">
      <formula>"Pass"</formula>
    </cfRule>
    <cfRule type="cellIs" dxfId="1177" priority="1174" stopIfTrue="1" operator="equal">
      <formula>"Fail"</formula>
    </cfRule>
  </conditionalFormatting>
  <conditionalFormatting sqref="I1489:L1489">
    <cfRule type="cellIs" dxfId="1176" priority="1171" stopIfTrue="1" operator="equal">
      <formula>"Pass"</formula>
    </cfRule>
    <cfRule type="cellIs" dxfId="1175" priority="1172" stopIfTrue="1" operator="equal">
      <formula>"Fail"</formula>
    </cfRule>
  </conditionalFormatting>
  <conditionalFormatting sqref="I1489:L1489">
    <cfRule type="cellIs" dxfId="1174" priority="1169" stopIfTrue="1" operator="equal">
      <formula>"Pass"</formula>
    </cfRule>
    <cfRule type="cellIs" dxfId="1173" priority="1170" stopIfTrue="1" operator="equal">
      <formula>"Fail"</formula>
    </cfRule>
  </conditionalFormatting>
  <conditionalFormatting sqref="J1489:L1489">
    <cfRule type="cellIs" dxfId="1172" priority="1167" stopIfTrue="1" operator="equal">
      <formula>"Pass"</formula>
    </cfRule>
    <cfRule type="cellIs" dxfId="1171" priority="1168" stopIfTrue="1" operator="equal">
      <formula>"Fail"</formula>
    </cfRule>
  </conditionalFormatting>
  <conditionalFormatting sqref="I1489">
    <cfRule type="cellIs" dxfId="1170" priority="1165" stopIfTrue="1" operator="equal">
      <formula>"Pass"</formula>
    </cfRule>
    <cfRule type="cellIs" dxfId="1169" priority="1166" stopIfTrue="1" operator="equal">
      <formula>"Fail"</formula>
    </cfRule>
  </conditionalFormatting>
  <conditionalFormatting sqref="I1489:L1489">
    <cfRule type="cellIs" dxfId="1168" priority="1163" stopIfTrue="1" operator="equal">
      <formula>"Pass"</formula>
    </cfRule>
    <cfRule type="cellIs" dxfId="1167" priority="1164" stopIfTrue="1" operator="equal">
      <formula>"Fail"</formula>
    </cfRule>
  </conditionalFormatting>
  <conditionalFormatting sqref="J1489:L1489">
    <cfRule type="cellIs" dxfId="1166" priority="1161" stopIfTrue="1" operator="equal">
      <formula>"Pass"</formula>
    </cfRule>
    <cfRule type="cellIs" dxfId="1165" priority="1162" stopIfTrue="1" operator="equal">
      <formula>"Fail"</formula>
    </cfRule>
  </conditionalFormatting>
  <conditionalFormatting sqref="I1489">
    <cfRule type="cellIs" dxfId="1164" priority="1159" stopIfTrue="1" operator="equal">
      <formula>"Pass"</formula>
    </cfRule>
    <cfRule type="cellIs" dxfId="1163" priority="1160" stopIfTrue="1" operator="equal">
      <formula>"Fail"</formula>
    </cfRule>
  </conditionalFormatting>
  <conditionalFormatting sqref="I1489:L1489">
    <cfRule type="cellIs" dxfId="1162" priority="1157" stopIfTrue="1" operator="equal">
      <formula>"Pass"</formula>
    </cfRule>
    <cfRule type="cellIs" dxfId="1161" priority="1158" stopIfTrue="1" operator="equal">
      <formula>"Fail"</formula>
    </cfRule>
  </conditionalFormatting>
  <conditionalFormatting sqref="H1489">
    <cfRule type="cellIs" dxfId="1160" priority="1155" stopIfTrue="1" operator="equal">
      <formula>"Pass"</formula>
    </cfRule>
    <cfRule type="cellIs" dxfId="1159" priority="1156" stopIfTrue="1" operator="equal">
      <formula>"Fail"</formula>
    </cfRule>
  </conditionalFormatting>
  <conditionalFormatting sqref="H1489">
    <cfRule type="cellIs" dxfId="1158" priority="1153" stopIfTrue="1" operator="equal">
      <formula>"Pass"</formula>
    </cfRule>
    <cfRule type="cellIs" dxfId="1157" priority="1154" stopIfTrue="1" operator="equal">
      <formula>"Fail"</formula>
    </cfRule>
  </conditionalFormatting>
  <conditionalFormatting sqref="H1489">
    <cfRule type="cellIs" dxfId="1156" priority="1151" stopIfTrue="1" operator="equal">
      <formula>"Pass"</formula>
    </cfRule>
    <cfRule type="cellIs" dxfId="1155" priority="1152" stopIfTrue="1" operator="equal">
      <formula>"Fail"</formula>
    </cfRule>
  </conditionalFormatting>
  <conditionalFormatting sqref="I1489:L1489">
    <cfRule type="cellIs" dxfId="1154" priority="1149" stopIfTrue="1" operator="equal">
      <formula>"Pass"</formula>
    </cfRule>
    <cfRule type="cellIs" dxfId="1153" priority="1150" stopIfTrue="1" operator="equal">
      <formula>"Fail"</formula>
    </cfRule>
  </conditionalFormatting>
  <conditionalFormatting sqref="I1489:L1489">
    <cfRule type="cellIs" dxfId="1152" priority="1147" stopIfTrue="1" operator="equal">
      <formula>"Pass"</formula>
    </cfRule>
    <cfRule type="cellIs" dxfId="1151" priority="1148" stopIfTrue="1" operator="equal">
      <formula>"Fail"</formula>
    </cfRule>
  </conditionalFormatting>
  <conditionalFormatting sqref="J1489:L1489">
    <cfRule type="cellIs" dxfId="1150" priority="1145" stopIfTrue="1" operator="equal">
      <formula>"Pass"</formula>
    </cfRule>
    <cfRule type="cellIs" dxfId="1149" priority="1146" stopIfTrue="1" operator="equal">
      <formula>"Fail"</formula>
    </cfRule>
  </conditionalFormatting>
  <conditionalFormatting sqref="I1489">
    <cfRule type="cellIs" dxfId="1148" priority="1143" stopIfTrue="1" operator="equal">
      <formula>"Pass"</formula>
    </cfRule>
    <cfRule type="cellIs" dxfId="1147" priority="1144" stopIfTrue="1" operator="equal">
      <formula>"Fail"</formula>
    </cfRule>
  </conditionalFormatting>
  <conditionalFormatting sqref="I1489:L1489">
    <cfRule type="cellIs" dxfId="1146" priority="1141" stopIfTrue="1" operator="equal">
      <formula>"Pass"</formula>
    </cfRule>
    <cfRule type="cellIs" dxfId="1145" priority="1142" stopIfTrue="1" operator="equal">
      <formula>"Fail"</formula>
    </cfRule>
  </conditionalFormatting>
  <conditionalFormatting sqref="J1489:L1489">
    <cfRule type="cellIs" dxfId="1144" priority="1139" stopIfTrue="1" operator="equal">
      <formula>"Pass"</formula>
    </cfRule>
    <cfRule type="cellIs" dxfId="1143" priority="1140" stopIfTrue="1" operator="equal">
      <formula>"Fail"</formula>
    </cfRule>
  </conditionalFormatting>
  <conditionalFormatting sqref="I1489">
    <cfRule type="cellIs" dxfId="1142" priority="1137" stopIfTrue="1" operator="equal">
      <formula>"Pass"</formula>
    </cfRule>
    <cfRule type="cellIs" dxfId="1141" priority="1138" stopIfTrue="1" operator="equal">
      <formula>"Fail"</formula>
    </cfRule>
  </conditionalFormatting>
  <conditionalFormatting sqref="I1489:L1489">
    <cfRule type="cellIs" dxfId="1140" priority="1135" stopIfTrue="1" operator="equal">
      <formula>"Pass"</formula>
    </cfRule>
    <cfRule type="cellIs" dxfId="1139" priority="1136" stopIfTrue="1" operator="equal">
      <formula>"Fail"</formula>
    </cfRule>
  </conditionalFormatting>
  <conditionalFormatting sqref="H1489">
    <cfRule type="cellIs" dxfId="1138" priority="1133" stopIfTrue="1" operator="equal">
      <formula>"Pass"</formula>
    </cfRule>
    <cfRule type="cellIs" dxfId="1137" priority="1134" stopIfTrue="1" operator="equal">
      <formula>"Fail"</formula>
    </cfRule>
  </conditionalFormatting>
  <conditionalFormatting sqref="H1489">
    <cfRule type="cellIs" dxfId="1136" priority="1131" stopIfTrue="1" operator="equal">
      <formula>"Pass"</formula>
    </cfRule>
    <cfRule type="cellIs" dxfId="1135" priority="1132" stopIfTrue="1" operator="equal">
      <formula>"Fail"</formula>
    </cfRule>
  </conditionalFormatting>
  <conditionalFormatting sqref="H1489">
    <cfRule type="cellIs" dxfId="1134" priority="1129" stopIfTrue="1" operator="equal">
      <formula>"Pass"</formula>
    </cfRule>
    <cfRule type="cellIs" dxfId="1133" priority="1130" stopIfTrue="1" operator="equal">
      <formula>"Fail"</formula>
    </cfRule>
  </conditionalFormatting>
  <conditionalFormatting sqref="I1489:L1489">
    <cfRule type="cellIs" dxfId="1132" priority="1127" stopIfTrue="1" operator="equal">
      <formula>"Pass"</formula>
    </cfRule>
    <cfRule type="cellIs" dxfId="1131" priority="1128" stopIfTrue="1" operator="equal">
      <formula>"Fail"</formula>
    </cfRule>
  </conditionalFormatting>
  <conditionalFormatting sqref="I1489:L1489">
    <cfRule type="cellIs" dxfId="1130" priority="1125" stopIfTrue="1" operator="equal">
      <formula>"Pass"</formula>
    </cfRule>
    <cfRule type="cellIs" dxfId="1129" priority="1126" stopIfTrue="1" operator="equal">
      <formula>"Fail"</formula>
    </cfRule>
  </conditionalFormatting>
  <conditionalFormatting sqref="J1489:L1489">
    <cfRule type="cellIs" dxfId="1128" priority="1123" stopIfTrue="1" operator="equal">
      <formula>"Pass"</formula>
    </cfRule>
    <cfRule type="cellIs" dxfId="1127" priority="1124" stopIfTrue="1" operator="equal">
      <formula>"Fail"</formula>
    </cfRule>
  </conditionalFormatting>
  <conditionalFormatting sqref="I1489">
    <cfRule type="cellIs" dxfId="1126" priority="1121" stopIfTrue="1" operator="equal">
      <formula>"Pass"</formula>
    </cfRule>
    <cfRule type="cellIs" dxfId="1125" priority="1122" stopIfTrue="1" operator="equal">
      <formula>"Fail"</formula>
    </cfRule>
  </conditionalFormatting>
  <conditionalFormatting sqref="I1489:L1489">
    <cfRule type="cellIs" dxfId="1124" priority="1119" stopIfTrue="1" operator="equal">
      <formula>"Pass"</formula>
    </cfRule>
    <cfRule type="cellIs" dxfId="1123" priority="1120" stopIfTrue="1" operator="equal">
      <formula>"Fail"</formula>
    </cfRule>
  </conditionalFormatting>
  <conditionalFormatting sqref="J1489:L1489">
    <cfRule type="cellIs" dxfId="1122" priority="1117" stopIfTrue="1" operator="equal">
      <formula>"Pass"</formula>
    </cfRule>
    <cfRule type="cellIs" dxfId="1121" priority="1118" stopIfTrue="1" operator="equal">
      <formula>"Fail"</formula>
    </cfRule>
  </conditionalFormatting>
  <conditionalFormatting sqref="I1489">
    <cfRule type="cellIs" dxfId="1120" priority="1115" stopIfTrue="1" operator="equal">
      <formula>"Pass"</formula>
    </cfRule>
    <cfRule type="cellIs" dxfId="1119" priority="1116" stopIfTrue="1" operator="equal">
      <formula>"Fail"</formula>
    </cfRule>
  </conditionalFormatting>
  <conditionalFormatting sqref="I1489:L1489">
    <cfRule type="cellIs" dxfId="1118" priority="1113" stopIfTrue="1" operator="equal">
      <formula>"Pass"</formula>
    </cfRule>
    <cfRule type="cellIs" dxfId="1117" priority="1114" stopIfTrue="1" operator="equal">
      <formula>"Fail"</formula>
    </cfRule>
  </conditionalFormatting>
  <conditionalFormatting sqref="H1489:L1489">
    <cfRule type="cellIs" dxfId="1116" priority="1111" stopIfTrue="1" operator="equal">
      <formula>"Pass"</formula>
    </cfRule>
    <cfRule type="cellIs" dxfId="1115" priority="1112" stopIfTrue="1" operator="equal">
      <formula>"Fail"</formula>
    </cfRule>
  </conditionalFormatting>
  <conditionalFormatting sqref="H1489:L1489">
    <cfRule type="cellIs" dxfId="1114" priority="1109" stopIfTrue="1" operator="equal">
      <formula>"Pass"</formula>
    </cfRule>
    <cfRule type="cellIs" dxfId="1113" priority="1110" stopIfTrue="1" operator="equal">
      <formula>"Fail"</formula>
    </cfRule>
  </conditionalFormatting>
  <conditionalFormatting sqref="H1489:L1489">
    <cfRule type="cellIs" dxfId="1112" priority="1107" stopIfTrue="1" operator="equal">
      <formula>"Pass"</formula>
    </cfRule>
    <cfRule type="cellIs" dxfId="1111" priority="1108" stopIfTrue="1" operator="equal">
      <formula>"Fail"</formula>
    </cfRule>
  </conditionalFormatting>
  <conditionalFormatting sqref="H1489:L1489">
    <cfRule type="cellIs" dxfId="1110" priority="1105" stopIfTrue="1" operator="equal">
      <formula>"Pass"</formula>
    </cfRule>
    <cfRule type="cellIs" dxfId="1109" priority="1106" stopIfTrue="1" operator="equal">
      <formula>"Fail"</formula>
    </cfRule>
  </conditionalFormatting>
  <conditionalFormatting sqref="H1489:L1489">
    <cfRule type="cellIs" dxfId="1108" priority="1103" stopIfTrue="1" operator="equal">
      <formula>"Pass"</formula>
    </cfRule>
    <cfRule type="cellIs" dxfId="1107" priority="1104" stopIfTrue="1" operator="equal">
      <formula>"Fail"</formula>
    </cfRule>
  </conditionalFormatting>
  <conditionalFormatting sqref="I1491:L1491">
    <cfRule type="cellIs" dxfId="1106" priority="1101" stopIfTrue="1" operator="equal">
      <formula>"Pass"</formula>
    </cfRule>
    <cfRule type="cellIs" dxfId="1105" priority="1102" stopIfTrue="1" operator="equal">
      <formula>"Fail"</formula>
    </cfRule>
  </conditionalFormatting>
  <conditionalFormatting sqref="I1491:L1491">
    <cfRule type="cellIs" dxfId="1104" priority="1099" stopIfTrue="1" operator="equal">
      <formula>"Pass"</formula>
    </cfRule>
    <cfRule type="cellIs" dxfId="1103" priority="1100" stopIfTrue="1" operator="equal">
      <formula>"Fail"</formula>
    </cfRule>
  </conditionalFormatting>
  <conditionalFormatting sqref="I1491:L1491">
    <cfRule type="cellIs" dxfId="1102" priority="1097" stopIfTrue="1" operator="equal">
      <formula>"Pass"</formula>
    </cfRule>
    <cfRule type="cellIs" dxfId="1101" priority="1098" stopIfTrue="1" operator="equal">
      <formula>"Fail"</formula>
    </cfRule>
  </conditionalFormatting>
  <conditionalFormatting sqref="I1491:L1491">
    <cfRule type="cellIs" dxfId="1100" priority="1095" stopIfTrue="1" operator="equal">
      <formula>"Pass"</formula>
    </cfRule>
    <cfRule type="cellIs" dxfId="1099" priority="1096" stopIfTrue="1" operator="equal">
      <formula>"Fail"</formula>
    </cfRule>
  </conditionalFormatting>
  <conditionalFormatting sqref="I1491:L1491">
    <cfRule type="cellIs" dxfId="1098" priority="1093" stopIfTrue="1" operator="equal">
      <formula>"Pass"</formula>
    </cfRule>
    <cfRule type="cellIs" dxfId="1097" priority="1094" stopIfTrue="1" operator="equal">
      <formula>"Fail"</formula>
    </cfRule>
  </conditionalFormatting>
  <conditionalFormatting sqref="I1491:L1491">
    <cfRule type="cellIs" dxfId="1096" priority="1091" stopIfTrue="1" operator="equal">
      <formula>"Pass"</formula>
    </cfRule>
    <cfRule type="cellIs" dxfId="1095" priority="1092" stopIfTrue="1" operator="equal">
      <formula>"Fail"</formula>
    </cfRule>
  </conditionalFormatting>
  <conditionalFormatting sqref="I1491:L1491">
    <cfRule type="cellIs" dxfId="1094" priority="1089" stopIfTrue="1" operator="equal">
      <formula>"Pass"</formula>
    </cfRule>
    <cfRule type="cellIs" dxfId="1093" priority="1090" stopIfTrue="1" operator="equal">
      <formula>"Fail"</formula>
    </cfRule>
  </conditionalFormatting>
  <conditionalFormatting sqref="I1491:L1491">
    <cfRule type="cellIs" dxfId="1092" priority="1087" stopIfTrue="1" operator="equal">
      <formula>"Pass"</formula>
    </cfRule>
    <cfRule type="cellIs" dxfId="1091" priority="1088" stopIfTrue="1" operator="equal">
      <formula>"Fail"</formula>
    </cfRule>
  </conditionalFormatting>
  <conditionalFormatting sqref="I1491:L1491">
    <cfRule type="cellIs" dxfId="1090" priority="1085" stopIfTrue="1" operator="equal">
      <formula>"Pass"</formula>
    </cfRule>
    <cfRule type="cellIs" dxfId="1089" priority="1086" stopIfTrue="1" operator="equal">
      <formula>"Fail"</formula>
    </cfRule>
  </conditionalFormatting>
  <conditionalFormatting sqref="I1491:L1491">
    <cfRule type="cellIs" dxfId="1088" priority="1083" stopIfTrue="1" operator="equal">
      <formula>"Pass"</formula>
    </cfRule>
    <cfRule type="cellIs" dxfId="1087" priority="1084" stopIfTrue="1" operator="equal">
      <formula>"Fail"</formula>
    </cfRule>
  </conditionalFormatting>
  <conditionalFormatting sqref="I1491:L1491">
    <cfRule type="cellIs" dxfId="1086" priority="1081" stopIfTrue="1" operator="equal">
      <formula>"Pass"</formula>
    </cfRule>
    <cfRule type="cellIs" dxfId="1085" priority="1082" stopIfTrue="1" operator="equal">
      <formula>"Fail"</formula>
    </cfRule>
  </conditionalFormatting>
  <conditionalFormatting sqref="I1491:L1491">
    <cfRule type="cellIs" dxfId="1084" priority="1079" stopIfTrue="1" operator="equal">
      <formula>"Pass"</formula>
    </cfRule>
    <cfRule type="cellIs" dxfId="1083" priority="1080" stopIfTrue="1" operator="equal">
      <formula>"Fail"</formula>
    </cfRule>
  </conditionalFormatting>
  <conditionalFormatting sqref="I1491:L1491">
    <cfRule type="cellIs" dxfId="1082" priority="1077" stopIfTrue="1" operator="equal">
      <formula>"Pass"</formula>
    </cfRule>
    <cfRule type="cellIs" dxfId="1081" priority="1078" stopIfTrue="1" operator="equal">
      <formula>"Fail"</formula>
    </cfRule>
  </conditionalFormatting>
  <conditionalFormatting sqref="I1491:L1491">
    <cfRule type="cellIs" dxfId="1080" priority="1075" stopIfTrue="1" operator="equal">
      <formula>"Pass"</formula>
    </cfRule>
    <cfRule type="cellIs" dxfId="1079" priority="1076" stopIfTrue="1" operator="equal">
      <formula>"Fail"</formula>
    </cfRule>
  </conditionalFormatting>
  <conditionalFormatting sqref="I1491:L1491">
    <cfRule type="cellIs" dxfId="1078" priority="1073" stopIfTrue="1" operator="equal">
      <formula>"Pass"</formula>
    </cfRule>
    <cfRule type="cellIs" dxfId="1077" priority="1074" stopIfTrue="1" operator="equal">
      <formula>"Fail"</formula>
    </cfRule>
  </conditionalFormatting>
  <conditionalFormatting sqref="I1491:L1491">
    <cfRule type="cellIs" dxfId="1076" priority="1071" stopIfTrue="1" operator="equal">
      <formula>"Pass"</formula>
    </cfRule>
    <cfRule type="cellIs" dxfId="1075" priority="1072" stopIfTrue="1" operator="equal">
      <formula>"Fail"</formula>
    </cfRule>
  </conditionalFormatting>
  <conditionalFormatting sqref="I1491:L1491">
    <cfRule type="cellIs" dxfId="1074" priority="1069" stopIfTrue="1" operator="equal">
      <formula>"Pass"</formula>
    </cfRule>
    <cfRule type="cellIs" dxfId="1073" priority="1070" stopIfTrue="1" operator="equal">
      <formula>"Fail"</formula>
    </cfRule>
  </conditionalFormatting>
  <conditionalFormatting sqref="I1491:L1491">
    <cfRule type="cellIs" dxfId="1072" priority="1067" stopIfTrue="1" operator="equal">
      <formula>"Pass"</formula>
    </cfRule>
    <cfRule type="cellIs" dxfId="1071" priority="1068" stopIfTrue="1" operator="equal">
      <formula>"Fail"</formula>
    </cfRule>
  </conditionalFormatting>
  <conditionalFormatting sqref="I1491:L1491">
    <cfRule type="cellIs" dxfId="1070" priority="1065" stopIfTrue="1" operator="equal">
      <formula>"Pass"</formula>
    </cfRule>
    <cfRule type="cellIs" dxfId="1069" priority="1066" stopIfTrue="1" operator="equal">
      <formula>"Fail"</formula>
    </cfRule>
  </conditionalFormatting>
  <conditionalFormatting sqref="I1491:L1491">
    <cfRule type="cellIs" dxfId="1068" priority="1063" stopIfTrue="1" operator="equal">
      <formula>"Pass"</formula>
    </cfRule>
    <cfRule type="cellIs" dxfId="1067" priority="1064" stopIfTrue="1" operator="equal">
      <formula>"Fail"</formula>
    </cfRule>
  </conditionalFormatting>
  <conditionalFormatting sqref="I1491:L1491">
    <cfRule type="cellIs" dxfId="1066" priority="1061" stopIfTrue="1" operator="equal">
      <formula>"Pass"</formula>
    </cfRule>
    <cfRule type="cellIs" dxfId="1065" priority="1062" stopIfTrue="1" operator="equal">
      <formula>"Fail"</formula>
    </cfRule>
  </conditionalFormatting>
  <conditionalFormatting sqref="I1491:L1491">
    <cfRule type="cellIs" dxfId="1064" priority="1059" stopIfTrue="1" operator="equal">
      <formula>"Pass"</formula>
    </cfRule>
    <cfRule type="cellIs" dxfId="1063" priority="1060" stopIfTrue="1" operator="equal">
      <formula>"Fail"</formula>
    </cfRule>
  </conditionalFormatting>
  <conditionalFormatting sqref="J1491:L1491">
    <cfRule type="cellIs" dxfId="1062" priority="1057" stopIfTrue="1" operator="equal">
      <formula>"Pass"</formula>
    </cfRule>
    <cfRule type="cellIs" dxfId="1061" priority="1058" stopIfTrue="1" operator="equal">
      <formula>"Fail"</formula>
    </cfRule>
  </conditionalFormatting>
  <conditionalFormatting sqref="I1491">
    <cfRule type="cellIs" dxfId="1060" priority="1055" stopIfTrue="1" operator="equal">
      <formula>"Pass"</formula>
    </cfRule>
    <cfRule type="cellIs" dxfId="1059" priority="1056" stopIfTrue="1" operator="equal">
      <formula>"Fail"</formula>
    </cfRule>
  </conditionalFormatting>
  <conditionalFormatting sqref="I1491:L1491">
    <cfRule type="cellIs" dxfId="1058" priority="1053" stopIfTrue="1" operator="equal">
      <formula>"Pass"</formula>
    </cfRule>
    <cfRule type="cellIs" dxfId="1057" priority="1054" stopIfTrue="1" operator="equal">
      <formula>"Fail"</formula>
    </cfRule>
  </conditionalFormatting>
  <conditionalFormatting sqref="J1491:L1491">
    <cfRule type="cellIs" dxfId="1056" priority="1051" stopIfTrue="1" operator="equal">
      <formula>"Pass"</formula>
    </cfRule>
    <cfRule type="cellIs" dxfId="1055" priority="1052" stopIfTrue="1" operator="equal">
      <formula>"Fail"</formula>
    </cfRule>
  </conditionalFormatting>
  <conditionalFormatting sqref="I1491">
    <cfRule type="cellIs" dxfId="1054" priority="1049" stopIfTrue="1" operator="equal">
      <formula>"Pass"</formula>
    </cfRule>
    <cfRule type="cellIs" dxfId="1053" priority="1050" stopIfTrue="1" operator="equal">
      <formula>"Fail"</formula>
    </cfRule>
  </conditionalFormatting>
  <conditionalFormatting sqref="I1491:L1491">
    <cfRule type="cellIs" dxfId="1052" priority="1047" stopIfTrue="1" operator="equal">
      <formula>"Pass"</formula>
    </cfRule>
    <cfRule type="cellIs" dxfId="1051" priority="1048" stopIfTrue="1" operator="equal">
      <formula>"Fail"</formula>
    </cfRule>
  </conditionalFormatting>
  <conditionalFormatting sqref="I1491:L1491">
    <cfRule type="cellIs" dxfId="1050" priority="1045" stopIfTrue="1" operator="equal">
      <formula>"Pass"</formula>
    </cfRule>
    <cfRule type="cellIs" dxfId="1049" priority="1046" stopIfTrue="1" operator="equal">
      <formula>"Fail"</formula>
    </cfRule>
  </conditionalFormatting>
  <conditionalFormatting sqref="I1491:L1491">
    <cfRule type="cellIs" dxfId="1048" priority="1043" stopIfTrue="1" operator="equal">
      <formula>"Pass"</formula>
    </cfRule>
    <cfRule type="cellIs" dxfId="1047" priority="1044" stopIfTrue="1" operator="equal">
      <formula>"Fail"</formula>
    </cfRule>
  </conditionalFormatting>
  <conditionalFormatting sqref="I1491:L1491">
    <cfRule type="cellIs" dxfId="1046" priority="1041" stopIfTrue="1" operator="equal">
      <formula>"Pass"</formula>
    </cfRule>
    <cfRule type="cellIs" dxfId="1045" priority="1042" stopIfTrue="1" operator="equal">
      <formula>"Fail"</formula>
    </cfRule>
  </conditionalFormatting>
  <conditionalFormatting sqref="I1491:L1491">
    <cfRule type="cellIs" dxfId="1044" priority="1039" stopIfTrue="1" operator="equal">
      <formula>"Pass"</formula>
    </cfRule>
    <cfRule type="cellIs" dxfId="1043" priority="1040" stopIfTrue="1" operator="equal">
      <formula>"Fail"</formula>
    </cfRule>
  </conditionalFormatting>
  <conditionalFormatting sqref="I1491:L1491">
    <cfRule type="cellIs" dxfId="1042" priority="1037" stopIfTrue="1" operator="equal">
      <formula>"Pass"</formula>
    </cfRule>
    <cfRule type="cellIs" dxfId="1041" priority="1038" stopIfTrue="1" operator="equal">
      <formula>"Fail"</formula>
    </cfRule>
  </conditionalFormatting>
  <conditionalFormatting sqref="I1491:L1491">
    <cfRule type="cellIs" dxfId="1040" priority="1035" stopIfTrue="1" operator="equal">
      <formula>"Pass"</formula>
    </cfRule>
    <cfRule type="cellIs" dxfId="1039" priority="1036" stopIfTrue="1" operator="equal">
      <formula>"Fail"</formula>
    </cfRule>
  </conditionalFormatting>
  <conditionalFormatting sqref="I1491:L1491">
    <cfRule type="cellIs" dxfId="1038" priority="1033" stopIfTrue="1" operator="equal">
      <formula>"Pass"</formula>
    </cfRule>
    <cfRule type="cellIs" dxfId="1037" priority="1034" stopIfTrue="1" operator="equal">
      <formula>"Fail"</formula>
    </cfRule>
  </conditionalFormatting>
  <conditionalFormatting sqref="I1491:L1491">
    <cfRule type="cellIs" dxfId="1036" priority="1031" stopIfTrue="1" operator="equal">
      <formula>"Pass"</formula>
    </cfRule>
    <cfRule type="cellIs" dxfId="1035" priority="1032" stopIfTrue="1" operator="equal">
      <formula>"Fail"</formula>
    </cfRule>
  </conditionalFormatting>
  <conditionalFormatting sqref="J1491:L1491">
    <cfRule type="cellIs" dxfId="1034" priority="1029" stopIfTrue="1" operator="equal">
      <formula>"Pass"</formula>
    </cfRule>
    <cfRule type="cellIs" dxfId="1033" priority="1030" stopIfTrue="1" operator="equal">
      <formula>"Fail"</formula>
    </cfRule>
  </conditionalFormatting>
  <conditionalFormatting sqref="I1491">
    <cfRule type="cellIs" dxfId="1032" priority="1027" stopIfTrue="1" operator="equal">
      <formula>"Pass"</formula>
    </cfRule>
    <cfRule type="cellIs" dxfId="1031" priority="1028" stopIfTrue="1" operator="equal">
      <formula>"Fail"</formula>
    </cfRule>
  </conditionalFormatting>
  <conditionalFormatting sqref="I1491:L1491">
    <cfRule type="cellIs" dxfId="1030" priority="1025" stopIfTrue="1" operator="equal">
      <formula>"Pass"</formula>
    </cfRule>
    <cfRule type="cellIs" dxfId="1029" priority="1026" stopIfTrue="1" operator="equal">
      <formula>"Fail"</formula>
    </cfRule>
  </conditionalFormatting>
  <conditionalFormatting sqref="J1491:L1491">
    <cfRule type="cellIs" dxfId="1028" priority="1023" stopIfTrue="1" operator="equal">
      <formula>"Pass"</formula>
    </cfRule>
    <cfRule type="cellIs" dxfId="1027" priority="1024" stopIfTrue="1" operator="equal">
      <formula>"Fail"</formula>
    </cfRule>
  </conditionalFormatting>
  <conditionalFormatting sqref="I1491">
    <cfRule type="cellIs" dxfId="1026" priority="1021" stopIfTrue="1" operator="equal">
      <formula>"Pass"</formula>
    </cfRule>
    <cfRule type="cellIs" dxfId="1025" priority="1022" stopIfTrue="1" operator="equal">
      <formula>"Fail"</formula>
    </cfRule>
  </conditionalFormatting>
  <conditionalFormatting sqref="I1491:L1491">
    <cfRule type="cellIs" dxfId="1024" priority="1019" stopIfTrue="1" operator="equal">
      <formula>"Pass"</formula>
    </cfRule>
    <cfRule type="cellIs" dxfId="1023" priority="1020" stopIfTrue="1" operator="equal">
      <formula>"Fail"</formula>
    </cfRule>
  </conditionalFormatting>
  <conditionalFormatting sqref="I1491:L1491">
    <cfRule type="cellIs" dxfId="1022" priority="1017" stopIfTrue="1" operator="equal">
      <formula>"Pass"</formula>
    </cfRule>
    <cfRule type="cellIs" dxfId="1021" priority="1018" stopIfTrue="1" operator="equal">
      <formula>"Fail"</formula>
    </cfRule>
  </conditionalFormatting>
  <conditionalFormatting sqref="I1491:L1491">
    <cfRule type="cellIs" dxfId="1020" priority="1015" stopIfTrue="1" operator="equal">
      <formula>"Pass"</formula>
    </cfRule>
    <cfRule type="cellIs" dxfId="1019" priority="1016" stopIfTrue="1" operator="equal">
      <formula>"Fail"</formula>
    </cfRule>
  </conditionalFormatting>
  <conditionalFormatting sqref="I1491:L1491">
    <cfRule type="cellIs" dxfId="1018" priority="1013" stopIfTrue="1" operator="equal">
      <formula>"Pass"</formula>
    </cfRule>
    <cfRule type="cellIs" dxfId="1017" priority="1014" stopIfTrue="1" operator="equal">
      <formula>"Fail"</formula>
    </cfRule>
  </conditionalFormatting>
  <conditionalFormatting sqref="I1491:L1491">
    <cfRule type="cellIs" dxfId="1016" priority="1011" stopIfTrue="1" operator="equal">
      <formula>"Pass"</formula>
    </cfRule>
    <cfRule type="cellIs" dxfId="1015" priority="1012" stopIfTrue="1" operator="equal">
      <formula>"Fail"</formula>
    </cfRule>
  </conditionalFormatting>
  <conditionalFormatting sqref="I1491:L1491">
    <cfRule type="cellIs" dxfId="1014" priority="1009" stopIfTrue="1" operator="equal">
      <formula>"Pass"</formula>
    </cfRule>
    <cfRule type="cellIs" dxfId="1013" priority="1010" stopIfTrue="1" operator="equal">
      <formula>"Fail"</formula>
    </cfRule>
  </conditionalFormatting>
  <conditionalFormatting sqref="I1491:L1491">
    <cfRule type="cellIs" dxfId="1012" priority="1007" stopIfTrue="1" operator="equal">
      <formula>"Pass"</formula>
    </cfRule>
    <cfRule type="cellIs" dxfId="1011" priority="1008" stopIfTrue="1" operator="equal">
      <formula>"Fail"</formula>
    </cfRule>
  </conditionalFormatting>
  <conditionalFormatting sqref="I1491:L1491">
    <cfRule type="cellIs" dxfId="1010" priority="1005" stopIfTrue="1" operator="equal">
      <formula>"Pass"</formula>
    </cfRule>
    <cfRule type="cellIs" dxfId="1009" priority="1006" stopIfTrue="1" operator="equal">
      <formula>"Fail"</formula>
    </cfRule>
  </conditionalFormatting>
  <conditionalFormatting sqref="I1491:L1491">
    <cfRule type="cellIs" dxfId="1008" priority="1003" stopIfTrue="1" operator="equal">
      <formula>"Pass"</formula>
    </cfRule>
    <cfRule type="cellIs" dxfId="1007" priority="1004" stopIfTrue="1" operator="equal">
      <formula>"Fail"</formula>
    </cfRule>
  </conditionalFormatting>
  <conditionalFormatting sqref="I1491:L1491">
    <cfRule type="cellIs" dxfId="1006" priority="1001" stopIfTrue="1" operator="equal">
      <formula>"Pass"</formula>
    </cfRule>
    <cfRule type="cellIs" dxfId="1005" priority="1002" stopIfTrue="1" operator="equal">
      <formula>"Fail"</formula>
    </cfRule>
  </conditionalFormatting>
  <conditionalFormatting sqref="I1491:L1491">
    <cfRule type="cellIs" dxfId="1004" priority="999" stopIfTrue="1" operator="equal">
      <formula>"Pass"</formula>
    </cfRule>
    <cfRule type="cellIs" dxfId="1003" priority="1000" stopIfTrue="1" operator="equal">
      <formula>"Fail"</formula>
    </cfRule>
  </conditionalFormatting>
  <conditionalFormatting sqref="I1491:L1491">
    <cfRule type="cellIs" dxfId="1002" priority="997" stopIfTrue="1" operator="equal">
      <formula>"Pass"</formula>
    </cfRule>
    <cfRule type="cellIs" dxfId="1001" priority="998" stopIfTrue="1" operator="equal">
      <formula>"Fail"</formula>
    </cfRule>
  </conditionalFormatting>
  <conditionalFormatting sqref="I1491:L1491">
    <cfRule type="cellIs" dxfId="1000" priority="995" stopIfTrue="1" operator="equal">
      <formula>"Pass"</formula>
    </cfRule>
    <cfRule type="cellIs" dxfId="999" priority="996" stopIfTrue="1" operator="equal">
      <formula>"Fail"</formula>
    </cfRule>
  </conditionalFormatting>
  <conditionalFormatting sqref="I1491:L1491">
    <cfRule type="cellIs" dxfId="998" priority="993" stopIfTrue="1" operator="equal">
      <formula>"Pass"</formula>
    </cfRule>
    <cfRule type="cellIs" dxfId="997" priority="994" stopIfTrue="1" operator="equal">
      <formula>"Fail"</formula>
    </cfRule>
  </conditionalFormatting>
  <conditionalFormatting sqref="I1491:L1491">
    <cfRule type="cellIs" dxfId="996" priority="991" stopIfTrue="1" operator="equal">
      <formula>"Pass"</formula>
    </cfRule>
    <cfRule type="cellIs" dxfId="995" priority="992" stopIfTrue="1" operator="equal">
      <formula>"Fail"</formula>
    </cfRule>
  </conditionalFormatting>
  <conditionalFormatting sqref="I1491:L1491">
    <cfRule type="cellIs" dxfId="994" priority="989" stopIfTrue="1" operator="equal">
      <formula>"Pass"</formula>
    </cfRule>
    <cfRule type="cellIs" dxfId="993" priority="990" stopIfTrue="1" operator="equal">
      <formula>"Fail"</formula>
    </cfRule>
  </conditionalFormatting>
  <conditionalFormatting sqref="I1491:L1491">
    <cfRule type="cellIs" dxfId="992" priority="987" stopIfTrue="1" operator="equal">
      <formula>"Pass"</formula>
    </cfRule>
    <cfRule type="cellIs" dxfId="991" priority="988" stopIfTrue="1" operator="equal">
      <formula>"Fail"</formula>
    </cfRule>
  </conditionalFormatting>
  <conditionalFormatting sqref="I1491:L1491">
    <cfRule type="cellIs" dxfId="990" priority="985" stopIfTrue="1" operator="equal">
      <formula>"Pass"</formula>
    </cfRule>
    <cfRule type="cellIs" dxfId="989" priority="986" stopIfTrue="1" operator="equal">
      <formula>"Fail"</formula>
    </cfRule>
  </conditionalFormatting>
  <conditionalFormatting sqref="I1491:L1491">
    <cfRule type="cellIs" dxfId="988" priority="983" stopIfTrue="1" operator="equal">
      <formula>"Pass"</formula>
    </cfRule>
    <cfRule type="cellIs" dxfId="987" priority="984" stopIfTrue="1" operator="equal">
      <formula>"Fail"</formula>
    </cfRule>
  </conditionalFormatting>
  <conditionalFormatting sqref="J1491:L1491">
    <cfRule type="cellIs" dxfId="986" priority="981" stopIfTrue="1" operator="equal">
      <formula>"Pass"</formula>
    </cfRule>
    <cfRule type="cellIs" dxfId="985" priority="982" stopIfTrue="1" operator="equal">
      <formula>"Fail"</formula>
    </cfRule>
  </conditionalFormatting>
  <conditionalFormatting sqref="I1491">
    <cfRule type="cellIs" dxfId="984" priority="979" stopIfTrue="1" operator="equal">
      <formula>"Pass"</formula>
    </cfRule>
    <cfRule type="cellIs" dxfId="983" priority="980" stopIfTrue="1" operator="equal">
      <formula>"Fail"</formula>
    </cfRule>
  </conditionalFormatting>
  <conditionalFormatting sqref="I1491:L1491">
    <cfRule type="cellIs" dxfId="982" priority="977" stopIfTrue="1" operator="equal">
      <formula>"Pass"</formula>
    </cfRule>
    <cfRule type="cellIs" dxfId="981" priority="978" stopIfTrue="1" operator="equal">
      <formula>"Fail"</formula>
    </cfRule>
  </conditionalFormatting>
  <conditionalFormatting sqref="J1491:L1491">
    <cfRule type="cellIs" dxfId="980" priority="975" stopIfTrue="1" operator="equal">
      <formula>"Pass"</formula>
    </cfRule>
    <cfRule type="cellIs" dxfId="979" priority="976" stopIfTrue="1" operator="equal">
      <formula>"Fail"</formula>
    </cfRule>
  </conditionalFormatting>
  <conditionalFormatting sqref="I1491">
    <cfRule type="cellIs" dxfId="978" priority="973" stopIfTrue="1" operator="equal">
      <formula>"Pass"</formula>
    </cfRule>
    <cfRule type="cellIs" dxfId="977" priority="974" stopIfTrue="1" operator="equal">
      <formula>"Fail"</formula>
    </cfRule>
  </conditionalFormatting>
  <conditionalFormatting sqref="I1491:L1491">
    <cfRule type="cellIs" dxfId="976" priority="971" stopIfTrue="1" operator="equal">
      <formula>"Pass"</formula>
    </cfRule>
    <cfRule type="cellIs" dxfId="975" priority="972" stopIfTrue="1" operator="equal">
      <formula>"Fail"</formula>
    </cfRule>
  </conditionalFormatting>
  <conditionalFormatting sqref="I1491:L1491">
    <cfRule type="cellIs" dxfId="974" priority="969" stopIfTrue="1" operator="equal">
      <formula>"Pass"</formula>
    </cfRule>
    <cfRule type="cellIs" dxfId="973" priority="970" stopIfTrue="1" operator="equal">
      <formula>"Fail"</formula>
    </cfRule>
  </conditionalFormatting>
  <conditionalFormatting sqref="I1491:L1491">
    <cfRule type="cellIs" dxfId="972" priority="967" stopIfTrue="1" operator="equal">
      <formula>"Pass"</formula>
    </cfRule>
    <cfRule type="cellIs" dxfId="971" priority="968" stopIfTrue="1" operator="equal">
      <formula>"Fail"</formula>
    </cfRule>
  </conditionalFormatting>
  <conditionalFormatting sqref="I1491:L1491">
    <cfRule type="cellIs" dxfId="970" priority="965" stopIfTrue="1" operator="equal">
      <formula>"Pass"</formula>
    </cfRule>
    <cfRule type="cellIs" dxfId="969" priority="966" stopIfTrue="1" operator="equal">
      <formula>"Fail"</formula>
    </cfRule>
  </conditionalFormatting>
  <conditionalFormatting sqref="I1491:L1491">
    <cfRule type="cellIs" dxfId="968" priority="963" stopIfTrue="1" operator="equal">
      <formula>"Pass"</formula>
    </cfRule>
    <cfRule type="cellIs" dxfId="967" priority="964" stopIfTrue="1" operator="equal">
      <formula>"Fail"</formula>
    </cfRule>
  </conditionalFormatting>
  <conditionalFormatting sqref="I1491:L1491">
    <cfRule type="cellIs" dxfId="966" priority="961" stopIfTrue="1" operator="equal">
      <formula>"Pass"</formula>
    </cfRule>
    <cfRule type="cellIs" dxfId="965" priority="962" stopIfTrue="1" operator="equal">
      <formula>"Fail"</formula>
    </cfRule>
  </conditionalFormatting>
  <conditionalFormatting sqref="I1491:L1491">
    <cfRule type="cellIs" dxfId="964" priority="959" stopIfTrue="1" operator="equal">
      <formula>"Pass"</formula>
    </cfRule>
    <cfRule type="cellIs" dxfId="963" priority="960" stopIfTrue="1" operator="equal">
      <formula>"Fail"</formula>
    </cfRule>
  </conditionalFormatting>
  <conditionalFormatting sqref="I1491:L1491">
    <cfRule type="cellIs" dxfId="962" priority="957" stopIfTrue="1" operator="equal">
      <formula>"Pass"</formula>
    </cfRule>
    <cfRule type="cellIs" dxfId="961" priority="958" stopIfTrue="1" operator="equal">
      <formula>"Fail"</formula>
    </cfRule>
  </conditionalFormatting>
  <conditionalFormatting sqref="I1491:L1491">
    <cfRule type="cellIs" dxfId="960" priority="955" stopIfTrue="1" operator="equal">
      <formula>"Pass"</formula>
    </cfRule>
    <cfRule type="cellIs" dxfId="959" priority="956" stopIfTrue="1" operator="equal">
      <formula>"Fail"</formula>
    </cfRule>
  </conditionalFormatting>
  <conditionalFormatting sqref="I1491:L1491">
    <cfRule type="cellIs" dxfId="958" priority="953" stopIfTrue="1" operator="equal">
      <formula>"Pass"</formula>
    </cfRule>
    <cfRule type="cellIs" dxfId="957" priority="954" stopIfTrue="1" operator="equal">
      <formula>"Fail"</formula>
    </cfRule>
  </conditionalFormatting>
  <conditionalFormatting sqref="I1491:L1491">
    <cfRule type="cellIs" dxfId="956" priority="951" stopIfTrue="1" operator="equal">
      <formula>"Pass"</formula>
    </cfRule>
    <cfRule type="cellIs" dxfId="955" priority="952" stopIfTrue="1" operator="equal">
      <formula>"Fail"</formula>
    </cfRule>
  </conditionalFormatting>
  <conditionalFormatting sqref="I1491:L1491">
    <cfRule type="cellIs" dxfId="954" priority="949" stopIfTrue="1" operator="equal">
      <formula>"Pass"</formula>
    </cfRule>
    <cfRule type="cellIs" dxfId="953" priority="950" stopIfTrue="1" operator="equal">
      <formula>"Fail"</formula>
    </cfRule>
  </conditionalFormatting>
  <conditionalFormatting sqref="I1491:L1491">
    <cfRule type="cellIs" dxfId="952" priority="947" stopIfTrue="1" operator="equal">
      <formula>"Pass"</formula>
    </cfRule>
    <cfRule type="cellIs" dxfId="951" priority="948" stopIfTrue="1" operator="equal">
      <formula>"Fail"</formula>
    </cfRule>
  </conditionalFormatting>
  <conditionalFormatting sqref="I1491:L1491">
    <cfRule type="cellIs" dxfId="950" priority="945" stopIfTrue="1" operator="equal">
      <formula>"Pass"</formula>
    </cfRule>
    <cfRule type="cellIs" dxfId="949" priority="946" stopIfTrue="1" operator="equal">
      <formula>"Fail"</formula>
    </cfRule>
  </conditionalFormatting>
  <conditionalFormatting sqref="I1491:L1491">
    <cfRule type="cellIs" dxfId="948" priority="943" stopIfTrue="1" operator="equal">
      <formula>"Pass"</formula>
    </cfRule>
    <cfRule type="cellIs" dxfId="947" priority="944" stopIfTrue="1" operator="equal">
      <formula>"Fail"</formula>
    </cfRule>
  </conditionalFormatting>
  <conditionalFormatting sqref="I1491:L1491">
    <cfRule type="cellIs" dxfId="946" priority="941" stopIfTrue="1" operator="equal">
      <formula>"Pass"</formula>
    </cfRule>
    <cfRule type="cellIs" dxfId="945" priority="942" stopIfTrue="1" operator="equal">
      <formula>"Fail"</formula>
    </cfRule>
  </conditionalFormatting>
  <conditionalFormatting sqref="I1491:L1491">
    <cfRule type="cellIs" dxfId="944" priority="939" stopIfTrue="1" operator="equal">
      <formula>"Pass"</formula>
    </cfRule>
    <cfRule type="cellIs" dxfId="943" priority="940" stopIfTrue="1" operator="equal">
      <formula>"Fail"</formula>
    </cfRule>
  </conditionalFormatting>
  <conditionalFormatting sqref="I1491:L1491">
    <cfRule type="cellIs" dxfId="942" priority="937" stopIfTrue="1" operator="equal">
      <formula>"Pass"</formula>
    </cfRule>
    <cfRule type="cellIs" dxfId="941" priority="938" stopIfTrue="1" operator="equal">
      <formula>"Fail"</formula>
    </cfRule>
  </conditionalFormatting>
  <conditionalFormatting sqref="I1491:L1491">
    <cfRule type="cellIs" dxfId="940" priority="935" stopIfTrue="1" operator="equal">
      <formula>"Pass"</formula>
    </cfRule>
    <cfRule type="cellIs" dxfId="939" priority="936" stopIfTrue="1" operator="equal">
      <formula>"Fail"</formula>
    </cfRule>
  </conditionalFormatting>
  <conditionalFormatting sqref="J1491:L1491">
    <cfRule type="cellIs" dxfId="938" priority="933" stopIfTrue="1" operator="equal">
      <formula>"Pass"</formula>
    </cfRule>
    <cfRule type="cellIs" dxfId="937" priority="934" stopIfTrue="1" operator="equal">
      <formula>"Fail"</formula>
    </cfRule>
  </conditionalFormatting>
  <conditionalFormatting sqref="I1491">
    <cfRule type="cellIs" dxfId="936" priority="931" stopIfTrue="1" operator="equal">
      <formula>"Pass"</formula>
    </cfRule>
    <cfRule type="cellIs" dxfId="935" priority="932" stopIfTrue="1" operator="equal">
      <formula>"Fail"</formula>
    </cfRule>
  </conditionalFormatting>
  <conditionalFormatting sqref="I1491:L1491">
    <cfRule type="cellIs" dxfId="934" priority="929" stopIfTrue="1" operator="equal">
      <formula>"Pass"</formula>
    </cfRule>
    <cfRule type="cellIs" dxfId="933" priority="930" stopIfTrue="1" operator="equal">
      <formula>"Fail"</formula>
    </cfRule>
  </conditionalFormatting>
  <conditionalFormatting sqref="J1491:L1491">
    <cfRule type="cellIs" dxfId="932" priority="927" stopIfTrue="1" operator="equal">
      <formula>"Pass"</formula>
    </cfRule>
    <cfRule type="cellIs" dxfId="931" priority="928" stopIfTrue="1" operator="equal">
      <formula>"Fail"</formula>
    </cfRule>
  </conditionalFormatting>
  <conditionalFormatting sqref="I1491">
    <cfRule type="cellIs" dxfId="930" priority="925" stopIfTrue="1" operator="equal">
      <formula>"Pass"</formula>
    </cfRule>
    <cfRule type="cellIs" dxfId="929" priority="926" stopIfTrue="1" operator="equal">
      <formula>"Fail"</formula>
    </cfRule>
  </conditionalFormatting>
  <conditionalFormatting sqref="I1491:L1491">
    <cfRule type="cellIs" dxfId="928" priority="923" stopIfTrue="1" operator="equal">
      <formula>"Pass"</formula>
    </cfRule>
    <cfRule type="cellIs" dxfId="927" priority="924" stopIfTrue="1" operator="equal">
      <formula>"Fail"</formula>
    </cfRule>
  </conditionalFormatting>
  <conditionalFormatting sqref="I1491:L1491">
    <cfRule type="cellIs" dxfId="926" priority="921" stopIfTrue="1" operator="equal">
      <formula>"Pass"</formula>
    </cfRule>
    <cfRule type="cellIs" dxfId="925" priority="922" stopIfTrue="1" operator="equal">
      <formula>"Fail"</formula>
    </cfRule>
  </conditionalFormatting>
  <conditionalFormatting sqref="I1491:L1491">
    <cfRule type="cellIs" dxfId="924" priority="919" stopIfTrue="1" operator="equal">
      <formula>"Pass"</formula>
    </cfRule>
    <cfRule type="cellIs" dxfId="923" priority="920" stopIfTrue="1" operator="equal">
      <formula>"Fail"</formula>
    </cfRule>
  </conditionalFormatting>
  <conditionalFormatting sqref="I1491:L1491">
    <cfRule type="cellIs" dxfId="922" priority="917" stopIfTrue="1" operator="equal">
      <formula>"Pass"</formula>
    </cfRule>
    <cfRule type="cellIs" dxfId="921" priority="918" stopIfTrue="1" operator="equal">
      <formula>"Fail"</formula>
    </cfRule>
  </conditionalFormatting>
  <conditionalFormatting sqref="I1491:L1491">
    <cfRule type="cellIs" dxfId="920" priority="915" stopIfTrue="1" operator="equal">
      <formula>"Pass"</formula>
    </cfRule>
    <cfRule type="cellIs" dxfId="919" priority="916" stopIfTrue="1" operator="equal">
      <formula>"Fail"</formula>
    </cfRule>
  </conditionalFormatting>
  <conditionalFormatting sqref="I1491:L1491">
    <cfRule type="cellIs" dxfId="918" priority="913" stopIfTrue="1" operator="equal">
      <formula>"Pass"</formula>
    </cfRule>
    <cfRule type="cellIs" dxfId="917" priority="914" stopIfTrue="1" operator="equal">
      <formula>"Fail"</formula>
    </cfRule>
  </conditionalFormatting>
  <conditionalFormatting sqref="I1491:L1491">
    <cfRule type="cellIs" dxfId="916" priority="911" stopIfTrue="1" operator="equal">
      <formula>"Pass"</formula>
    </cfRule>
    <cfRule type="cellIs" dxfId="915" priority="912" stopIfTrue="1" operator="equal">
      <formula>"Fail"</formula>
    </cfRule>
  </conditionalFormatting>
  <conditionalFormatting sqref="I1491:L1491">
    <cfRule type="cellIs" dxfId="914" priority="909" stopIfTrue="1" operator="equal">
      <formula>"Pass"</formula>
    </cfRule>
    <cfRule type="cellIs" dxfId="913" priority="910" stopIfTrue="1" operator="equal">
      <formula>"Fail"</formula>
    </cfRule>
  </conditionalFormatting>
  <conditionalFormatting sqref="I1491:L1491">
    <cfRule type="cellIs" dxfId="912" priority="907" stopIfTrue="1" operator="equal">
      <formula>"Pass"</formula>
    </cfRule>
    <cfRule type="cellIs" dxfId="911" priority="908" stopIfTrue="1" operator="equal">
      <formula>"Fail"</formula>
    </cfRule>
  </conditionalFormatting>
  <conditionalFormatting sqref="I1491:L1491">
    <cfRule type="cellIs" dxfId="910" priority="905" stopIfTrue="1" operator="equal">
      <formula>"Pass"</formula>
    </cfRule>
    <cfRule type="cellIs" dxfId="909" priority="906" stopIfTrue="1" operator="equal">
      <formula>"Fail"</formula>
    </cfRule>
  </conditionalFormatting>
  <conditionalFormatting sqref="I1491:L1491">
    <cfRule type="cellIs" dxfId="908" priority="903" stopIfTrue="1" operator="equal">
      <formula>"Pass"</formula>
    </cfRule>
    <cfRule type="cellIs" dxfId="907" priority="904" stopIfTrue="1" operator="equal">
      <formula>"Fail"</formula>
    </cfRule>
  </conditionalFormatting>
  <conditionalFormatting sqref="I1491:L1491">
    <cfRule type="cellIs" dxfId="906" priority="901" stopIfTrue="1" operator="equal">
      <formula>"Pass"</formula>
    </cfRule>
    <cfRule type="cellIs" dxfId="905" priority="902" stopIfTrue="1" operator="equal">
      <formula>"Fail"</formula>
    </cfRule>
  </conditionalFormatting>
  <conditionalFormatting sqref="I1491:L1491">
    <cfRule type="cellIs" dxfId="904" priority="899" stopIfTrue="1" operator="equal">
      <formula>"Pass"</formula>
    </cfRule>
    <cfRule type="cellIs" dxfId="903" priority="900" stopIfTrue="1" operator="equal">
      <formula>"Fail"</formula>
    </cfRule>
  </conditionalFormatting>
  <conditionalFormatting sqref="I1491:L1491">
    <cfRule type="cellIs" dxfId="902" priority="897" stopIfTrue="1" operator="equal">
      <formula>"Pass"</formula>
    </cfRule>
    <cfRule type="cellIs" dxfId="901" priority="898" stopIfTrue="1" operator="equal">
      <formula>"Fail"</formula>
    </cfRule>
  </conditionalFormatting>
  <conditionalFormatting sqref="I1491:L1491">
    <cfRule type="cellIs" dxfId="900" priority="895" stopIfTrue="1" operator="equal">
      <formula>"Pass"</formula>
    </cfRule>
    <cfRule type="cellIs" dxfId="899" priority="896" stopIfTrue="1" operator="equal">
      <formula>"Fail"</formula>
    </cfRule>
  </conditionalFormatting>
  <conditionalFormatting sqref="I1491:L1491">
    <cfRule type="cellIs" dxfId="898" priority="893" stopIfTrue="1" operator="equal">
      <formula>"Pass"</formula>
    </cfRule>
    <cfRule type="cellIs" dxfId="897" priority="894" stopIfTrue="1" operator="equal">
      <formula>"Fail"</formula>
    </cfRule>
  </conditionalFormatting>
  <conditionalFormatting sqref="I1491:L1491">
    <cfRule type="cellIs" dxfId="896" priority="891" stopIfTrue="1" operator="equal">
      <formula>"Pass"</formula>
    </cfRule>
    <cfRule type="cellIs" dxfId="895" priority="892" stopIfTrue="1" operator="equal">
      <formula>"Fail"</formula>
    </cfRule>
  </conditionalFormatting>
  <conditionalFormatting sqref="I1491:L1491">
    <cfRule type="cellIs" dxfId="894" priority="889" stopIfTrue="1" operator="equal">
      <formula>"Pass"</formula>
    </cfRule>
    <cfRule type="cellIs" dxfId="893" priority="890" stopIfTrue="1" operator="equal">
      <formula>"Fail"</formula>
    </cfRule>
  </conditionalFormatting>
  <conditionalFormatting sqref="I1491:L1491">
    <cfRule type="cellIs" dxfId="892" priority="887" stopIfTrue="1" operator="equal">
      <formula>"Pass"</formula>
    </cfRule>
    <cfRule type="cellIs" dxfId="891" priority="888" stopIfTrue="1" operator="equal">
      <formula>"Fail"</formula>
    </cfRule>
  </conditionalFormatting>
  <conditionalFormatting sqref="I1491:L1491">
    <cfRule type="cellIs" dxfId="890" priority="885" stopIfTrue="1" operator="equal">
      <formula>"Pass"</formula>
    </cfRule>
    <cfRule type="cellIs" dxfId="889" priority="886" stopIfTrue="1" operator="equal">
      <formula>"Fail"</formula>
    </cfRule>
  </conditionalFormatting>
  <conditionalFormatting sqref="I1491:L1491">
    <cfRule type="cellIs" dxfId="888" priority="883" stopIfTrue="1" operator="equal">
      <formula>"Pass"</formula>
    </cfRule>
    <cfRule type="cellIs" dxfId="887" priority="884" stopIfTrue="1" operator="equal">
      <formula>"Fail"</formula>
    </cfRule>
  </conditionalFormatting>
  <conditionalFormatting sqref="I1491:L1491">
    <cfRule type="cellIs" dxfId="886" priority="881" stopIfTrue="1" operator="equal">
      <formula>"Pass"</formula>
    </cfRule>
    <cfRule type="cellIs" dxfId="885" priority="882" stopIfTrue="1" operator="equal">
      <formula>"Fail"</formula>
    </cfRule>
  </conditionalFormatting>
  <conditionalFormatting sqref="I1491:L1491">
    <cfRule type="cellIs" dxfId="884" priority="879" stopIfTrue="1" operator="equal">
      <formula>"Pass"</formula>
    </cfRule>
    <cfRule type="cellIs" dxfId="883" priority="880" stopIfTrue="1" operator="equal">
      <formula>"Fail"</formula>
    </cfRule>
  </conditionalFormatting>
  <conditionalFormatting sqref="I1491:L1491">
    <cfRule type="cellIs" dxfId="882" priority="877" stopIfTrue="1" operator="equal">
      <formula>"Pass"</formula>
    </cfRule>
    <cfRule type="cellIs" dxfId="881" priority="878" stopIfTrue="1" operator="equal">
      <formula>"Fail"</formula>
    </cfRule>
  </conditionalFormatting>
  <conditionalFormatting sqref="I1491:L1491">
    <cfRule type="cellIs" dxfId="880" priority="875" stopIfTrue="1" operator="equal">
      <formula>"Pass"</formula>
    </cfRule>
    <cfRule type="cellIs" dxfId="879" priority="876" stopIfTrue="1" operator="equal">
      <formula>"Fail"</formula>
    </cfRule>
  </conditionalFormatting>
  <conditionalFormatting sqref="I1491:L1491">
    <cfRule type="cellIs" dxfId="878" priority="873" stopIfTrue="1" operator="equal">
      <formula>"Pass"</formula>
    </cfRule>
    <cfRule type="cellIs" dxfId="877" priority="874" stopIfTrue="1" operator="equal">
      <formula>"Fail"</formula>
    </cfRule>
  </conditionalFormatting>
  <conditionalFormatting sqref="I1491:L1491">
    <cfRule type="cellIs" dxfId="876" priority="871" stopIfTrue="1" operator="equal">
      <formula>"Pass"</formula>
    </cfRule>
    <cfRule type="cellIs" dxfId="875" priority="872" stopIfTrue="1" operator="equal">
      <formula>"Fail"</formula>
    </cfRule>
  </conditionalFormatting>
  <conditionalFormatting sqref="I1491:L1491">
    <cfRule type="cellIs" dxfId="874" priority="869" stopIfTrue="1" operator="equal">
      <formula>"Pass"</formula>
    </cfRule>
    <cfRule type="cellIs" dxfId="873" priority="870" stopIfTrue="1" operator="equal">
      <formula>"Fail"</formula>
    </cfRule>
  </conditionalFormatting>
  <conditionalFormatting sqref="I1491:L1491">
    <cfRule type="cellIs" dxfId="872" priority="867" stopIfTrue="1" operator="equal">
      <formula>"Pass"</formula>
    </cfRule>
    <cfRule type="cellIs" dxfId="871" priority="868" stopIfTrue="1" operator="equal">
      <formula>"Fail"</formula>
    </cfRule>
  </conditionalFormatting>
  <conditionalFormatting sqref="I1491:L1491">
    <cfRule type="cellIs" dxfId="870" priority="865" stopIfTrue="1" operator="equal">
      <formula>"Pass"</formula>
    </cfRule>
    <cfRule type="cellIs" dxfId="869" priority="866" stopIfTrue="1" operator="equal">
      <formula>"Fail"</formula>
    </cfRule>
  </conditionalFormatting>
  <conditionalFormatting sqref="I1491:L1491">
    <cfRule type="cellIs" dxfId="868" priority="863" stopIfTrue="1" operator="equal">
      <formula>"Pass"</formula>
    </cfRule>
    <cfRule type="cellIs" dxfId="867" priority="864" stopIfTrue="1" operator="equal">
      <formula>"Fail"</formula>
    </cfRule>
  </conditionalFormatting>
  <conditionalFormatting sqref="I1491:L1491">
    <cfRule type="cellIs" dxfId="866" priority="861" stopIfTrue="1" operator="equal">
      <formula>"Pass"</formula>
    </cfRule>
    <cfRule type="cellIs" dxfId="865" priority="862" stopIfTrue="1" operator="equal">
      <formula>"Fail"</formula>
    </cfRule>
  </conditionalFormatting>
  <conditionalFormatting sqref="I1491:L1491">
    <cfRule type="cellIs" dxfId="864" priority="859" stopIfTrue="1" operator="equal">
      <formula>"Pass"</formula>
    </cfRule>
    <cfRule type="cellIs" dxfId="863" priority="860" stopIfTrue="1" operator="equal">
      <formula>"Fail"</formula>
    </cfRule>
  </conditionalFormatting>
  <conditionalFormatting sqref="I1491:L1491">
    <cfRule type="cellIs" dxfId="862" priority="857" stopIfTrue="1" operator="equal">
      <formula>"Pass"</formula>
    </cfRule>
    <cfRule type="cellIs" dxfId="861" priority="858" stopIfTrue="1" operator="equal">
      <formula>"Fail"</formula>
    </cfRule>
  </conditionalFormatting>
  <conditionalFormatting sqref="I1491:L1491">
    <cfRule type="cellIs" dxfId="860" priority="855" stopIfTrue="1" operator="equal">
      <formula>"Pass"</formula>
    </cfRule>
    <cfRule type="cellIs" dxfId="859" priority="856" stopIfTrue="1" operator="equal">
      <formula>"Fail"</formula>
    </cfRule>
  </conditionalFormatting>
  <conditionalFormatting sqref="I1491:L1491">
    <cfRule type="cellIs" dxfId="858" priority="853" stopIfTrue="1" operator="equal">
      <formula>"Pass"</formula>
    </cfRule>
    <cfRule type="cellIs" dxfId="857" priority="854" stopIfTrue="1" operator="equal">
      <formula>"Fail"</formula>
    </cfRule>
  </conditionalFormatting>
  <conditionalFormatting sqref="I1491:L1491">
    <cfRule type="cellIs" dxfId="856" priority="851" stopIfTrue="1" operator="equal">
      <formula>"Pass"</formula>
    </cfRule>
    <cfRule type="cellIs" dxfId="855" priority="852" stopIfTrue="1" operator="equal">
      <formula>"Fail"</formula>
    </cfRule>
  </conditionalFormatting>
  <conditionalFormatting sqref="I1491:L1491">
    <cfRule type="cellIs" dxfId="854" priority="849" stopIfTrue="1" operator="equal">
      <formula>"Pass"</formula>
    </cfRule>
    <cfRule type="cellIs" dxfId="853" priority="850" stopIfTrue="1" operator="equal">
      <formula>"Fail"</formula>
    </cfRule>
  </conditionalFormatting>
  <conditionalFormatting sqref="I1491:L1491">
    <cfRule type="cellIs" dxfId="852" priority="847" stopIfTrue="1" operator="equal">
      <formula>"Pass"</formula>
    </cfRule>
    <cfRule type="cellIs" dxfId="851" priority="848" stopIfTrue="1" operator="equal">
      <formula>"Fail"</formula>
    </cfRule>
  </conditionalFormatting>
  <conditionalFormatting sqref="H1491:L1491">
    <cfRule type="cellIs" dxfId="850" priority="845" stopIfTrue="1" operator="equal">
      <formula>"Pass"</formula>
    </cfRule>
    <cfRule type="cellIs" dxfId="849" priority="846" stopIfTrue="1" operator="equal">
      <formula>"Fail"</formula>
    </cfRule>
  </conditionalFormatting>
  <conditionalFormatting sqref="H1491:L1491">
    <cfRule type="cellIs" dxfId="848" priority="843" stopIfTrue="1" operator="equal">
      <formula>"Pass"</formula>
    </cfRule>
    <cfRule type="cellIs" dxfId="847" priority="844" stopIfTrue="1" operator="equal">
      <formula>"Fail"</formula>
    </cfRule>
  </conditionalFormatting>
  <conditionalFormatting sqref="H1491:L1491">
    <cfRule type="cellIs" dxfId="846" priority="841" stopIfTrue="1" operator="equal">
      <formula>"Pass"</formula>
    </cfRule>
    <cfRule type="cellIs" dxfId="845" priority="842" stopIfTrue="1" operator="equal">
      <formula>"Fail"</formula>
    </cfRule>
  </conditionalFormatting>
  <conditionalFormatting sqref="H1491:L1491">
    <cfRule type="cellIs" dxfId="844" priority="839" stopIfTrue="1" operator="equal">
      <formula>"Pass"</formula>
    </cfRule>
    <cfRule type="cellIs" dxfId="843" priority="840" stopIfTrue="1" operator="equal">
      <formula>"Fail"</formula>
    </cfRule>
  </conditionalFormatting>
  <conditionalFormatting sqref="H1491:L1491">
    <cfRule type="cellIs" dxfId="842" priority="837" stopIfTrue="1" operator="equal">
      <formula>"Pass"</formula>
    </cfRule>
    <cfRule type="cellIs" dxfId="841" priority="838" stopIfTrue="1" operator="equal">
      <formula>"Fail"</formula>
    </cfRule>
  </conditionalFormatting>
  <conditionalFormatting sqref="H1491:L1491">
    <cfRule type="cellIs" dxfId="840" priority="835" stopIfTrue="1" operator="equal">
      <formula>"Pass"</formula>
    </cfRule>
    <cfRule type="cellIs" dxfId="839" priority="836" stopIfTrue="1" operator="equal">
      <formula>"Fail"</formula>
    </cfRule>
  </conditionalFormatting>
  <conditionalFormatting sqref="H1491:L1491">
    <cfRule type="cellIs" dxfId="838" priority="833" stopIfTrue="1" operator="equal">
      <formula>"Pass"</formula>
    </cfRule>
    <cfRule type="cellIs" dxfId="837" priority="834" stopIfTrue="1" operator="equal">
      <formula>"Fail"</formula>
    </cfRule>
  </conditionalFormatting>
  <conditionalFormatting sqref="H1491:L1491">
    <cfRule type="cellIs" dxfId="836" priority="831" stopIfTrue="1" operator="equal">
      <formula>"Pass"</formula>
    </cfRule>
    <cfRule type="cellIs" dxfId="835" priority="832" stopIfTrue="1" operator="equal">
      <formula>"Fail"</formula>
    </cfRule>
  </conditionalFormatting>
  <conditionalFormatting sqref="H1491:L1491">
    <cfRule type="cellIs" dxfId="834" priority="829" stopIfTrue="1" operator="equal">
      <formula>"Pass"</formula>
    </cfRule>
    <cfRule type="cellIs" dxfId="833" priority="830" stopIfTrue="1" operator="equal">
      <formula>"Fail"</formula>
    </cfRule>
  </conditionalFormatting>
  <conditionalFormatting sqref="I1491">
    <cfRule type="cellIs" dxfId="832" priority="827" stopIfTrue="1" operator="equal">
      <formula>"Pass"</formula>
    </cfRule>
    <cfRule type="cellIs" dxfId="831" priority="828" stopIfTrue="1" operator="equal">
      <formula>"Fail"</formula>
    </cfRule>
  </conditionalFormatting>
  <conditionalFormatting sqref="H1491:L1491">
    <cfRule type="cellIs" dxfId="830" priority="825" stopIfTrue="1" operator="equal">
      <formula>"Pass"</formula>
    </cfRule>
    <cfRule type="cellIs" dxfId="829" priority="826" stopIfTrue="1" operator="equal">
      <formula>"Fail"</formula>
    </cfRule>
  </conditionalFormatting>
  <conditionalFormatting sqref="H1491:L1491">
    <cfRule type="cellIs" dxfId="828" priority="823" stopIfTrue="1" operator="equal">
      <formula>"Pass"</formula>
    </cfRule>
    <cfRule type="cellIs" dxfId="827" priority="824" stopIfTrue="1" operator="equal">
      <formula>"Fail"</formula>
    </cfRule>
  </conditionalFormatting>
  <conditionalFormatting sqref="H1491:L1491">
    <cfRule type="cellIs" dxfId="826" priority="821" stopIfTrue="1" operator="equal">
      <formula>"Pass"</formula>
    </cfRule>
    <cfRule type="cellIs" dxfId="825" priority="822" stopIfTrue="1" operator="equal">
      <formula>"Fail"</formula>
    </cfRule>
  </conditionalFormatting>
  <conditionalFormatting sqref="H1491:L1491">
    <cfRule type="cellIs" dxfId="824" priority="819" stopIfTrue="1" operator="equal">
      <formula>"Pass"</formula>
    </cfRule>
    <cfRule type="cellIs" dxfId="823" priority="820" stopIfTrue="1" operator="equal">
      <formula>"Fail"</formula>
    </cfRule>
  </conditionalFormatting>
  <conditionalFormatting sqref="H1491:L1491">
    <cfRule type="cellIs" dxfId="822" priority="817" stopIfTrue="1" operator="equal">
      <formula>"Pass"</formula>
    </cfRule>
    <cfRule type="cellIs" dxfId="821" priority="818" stopIfTrue="1" operator="equal">
      <formula>"Fail"</formula>
    </cfRule>
  </conditionalFormatting>
  <conditionalFormatting sqref="H1491:L1491">
    <cfRule type="cellIs" dxfId="820" priority="815" stopIfTrue="1" operator="equal">
      <formula>"Pass"</formula>
    </cfRule>
    <cfRule type="cellIs" dxfId="819" priority="816" stopIfTrue="1" operator="equal">
      <formula>"Fail"</formula>
    </cfRule>
  </conditionalFormatting>
  <conditionalFormatting sqref="H1491:L1491">
    <cfRule type="cellIs" dxfId="818" priority="813" stopIfTrue="1" operator="equal">
      <formula>"Pass"</formula>
    </cfRule>
    <cfRule type="cellIs" dxfId="817" priority="814" stopIfTrue="1" operator="equal">
      <formula>"Fail"</formula>
    </cfRule>
  </conditionalFormatting>
  <conditionalFormatting sqref="H1491:L1491">
    <cfRule type="cellIs" dxfId="816" priority="811" stopIfTrue="1" operator="equal">
      <formula>"Pass"</formula>
    </cfRule>
    <cfRule type="cellIs" dxfId="815" priority="812" stopIfTrue="1" operator="equal">
      <formula>"Fail"</formula>
    </cfRule>
  </conditionalFormatting>
  <conditionalFormatting sqref="H1491:L1491">
    <cfRule type="cellIs" dxfId="814" priority="809" stopIfTrue="1" operator="equal">
      <formula>"Pass"</formula>
    </cfRule>
    <cfRule type="cellIs" dxfId="813" priority="810" stopIfTrue="1" operator="equal">
      <formula>"Fail"</formula>
    </cfRule>
  </conditionalFormatting>
  <conditionalFormatting sqref="H1491:L1491">
    <cfRule type="cellIs" dxfId="812" priority="807" stopIfTrue="1" operator="equal">
      <formula>"Pass"</formula>
    </cfRule>
    <cfRule type="cellIs" dxfId="811" priority="808" stopIfTrue="1" operator="equal">
      <formula>"Fail"</formula>
    </cfRule>
  </conditionalFormatting>
  <conditionalFormatting sqref="I1491:L1491">
    <cfRule type="cellIs" dxfId="810" priority="805" stopIfTrue="1" operator="equal">
      <formula>"Pass"</formula>
    </cfRule>
    <cfRule type="cellIs" dxfId="809" priority="806" stopIfTrue="1" operator="equal">
      <formula>"Fail"</formula>
    </cfRule>
  </conditionalFormatting>
  <conditionalFormatting sqref="I1491:L1491">
    <cfRule type="cellIs" dxfId="808" priority="803" stopIfTrue="1" operator="equal">
      <formula>"Pass"</formula>
    </cfRule>
    <cfRule type="cellIs" dxfId="807" priority="804" stopIfTrue="1" operator="equal">
      <formula>"Fail"</formula>
    </cfRule>
  </conditionalFormatting>
  <conditionalFormatting sqref="I1491:L1491">
    <cfRule type="cellIs" dxfId="806" priority="801" stopIfTrue="1" operator="equal">
      <formula>"Pass"</formula>
    </cfRule>
    <cfRule type="cellIs" dxfId="805" priority="802" stopIfTrue="1" operator="equal">
      <formula>"Fail"</formula>
    </cfRule>
  </conditionalFormatting>
  <conditionalFormatting sqref="I1491:L1491">
    <cfRule type="cellIs" dxfId="804" priority="799" stopIfTrue="1" operator="equal">
      <formula>"Pass"</formula>
    </cfRule>
    <cfRule type="cellIs" dxfId="803" priority="800" stopIfTrue="1" operator="equal">
      <formula>"Fail"</formula>
    </cfRule>
  </conditionalFormatting>
  <conditionalFormatting sqref="I1491:L1491">
    <cfRule type="cellIs" dxfId="802" priority="797" stopIfTrue="1" operator="equal">
      <formula>"Pass"</formula>
    </cfRule>
    <cfRule type="cellIs" dxfId="801" priority="798" stopIfTrue="1" operator="equal">
      <formula>"Fail"</formula>
    </cfRule>
  </conditionalFormatting>
  <conditionalFormatting sqref="I1491:L1491">
    <cfRule type="cellIs" dxfId="800" priority="795" stopIfTrue="1" operator="equal">
      <formula>"Pass"</formula>
    </cfRule>
    <cfRule type="cellIs" dxfId="799" priority="796" stopIfTrue="1" operator="equal">
      <formula>"Fail"</formula>
    </cfRule>
  </conditionalFormatting>
  <conditionalFormatting sqref="I1491:L1491">
    <cfRule type="cellIs" dxfId="798" priority="793" stopIfTrue="1" operator="equal">
      <formula>"Pass"</formula>
    </cfRule>
    <cfRule type="cellIs" dxfId="797" priority="794" stopIfTrue="1" operator="equal">
      <formula>"Fail"</formula>
    </cfRule>
  </conditionalFormatting>
  <conditionalFormatting sqref="I1491:L1491">
    <cfRule type="cellIs" dxfId="796" priority="791" stopIfTrue="1" operator="equal">
      <formula>"Pass"</formula>
    </cfRule>
    <cfRule type="cellIs" dxfId="795" priority="792" stopIfTrue="1" operator="equal">
      <formula>"Fail"</formula>
    </cfRule>
  </conditionalFormatting>
  <conditionalFormatting sqref="I1491:L1491">
    <cfRule type="cellIs" dxfId="794" priority="789" stopIfTrue="1" operator="equal">
      <formula>"Pass"</formula>
    </cfRule>
    <cfRule type="cellIs" dxfId="793" priority="790" stopIfTrue="1" operator="equal">
      <formula>"Fail"</formula>
    </cfRule>
  </conditionalFormatting>
  <conditionalFormatting sqref="I1491:L1491">
    <cfRule type="cellIs" dxfId="792" priority="787" stopIfTrue="1" operator="equal">
      <formula>"Pass"</formula>
    </cfRule>
    <cfRule type="cellIs" dxfId="791" priority="788" stopIfTrue="1" operator="equal">
      <formula>"Fail"</formula>
    </cfRule>
  </conditionalFormatting>
  <conditionalFormatting sqref="I1491:L1491">
    <cfRule type="cellIs" dxfId="790" priority="785" stopIfTrue="1" operator="equal">
      <formula>"Pass"</formula>
    </cfRule>
    <cfRule type="cellIs" dxfId="789" priority="786" stopIfTrue="1" operator="equal">
      <formula>"Fail"</formula>
    </cfRule>
  </conditionalFormatting>
  <conditionalFormatting sqref="I1491:L1491">
    <cfRule type="cellIs" dxfId="788" priority="783" stopIfTrue="1" operator="equal">
      <formula>"Pass"</formula>
    </cfRule>
    <cfRule type="cellIs" dxfId="787" priority="784" stopIfTrue="1" operator="equal">
      <formula>"Fail"</formula>
    </cfRule>
  </conditionalFormatting>
  <conditionalFormatting sqref="I1491:L1491">
    <cfRule type="cellIs" dxfId="786" priority="781" stopIfTrue="1" operator="equal">
      <formula>"Pass"</formula>
    </cfRule>
    <cfRule type="cellIs" dxfId="785" priority="782" stopIfTrue="1" operator="equal">
      <formula>"Fail"</formula>
    </cfRule>
  </conditionalFormatting>
  <conditionalFormatting sqref="I1491:L1491">
    <cfRule type="cellIs" dxfId="784" priority="779" stopIfTrue="1" operator="equal">
      <formula>"Pass"</formula>
    </cfRule>
    <cfRule type="cellIs" dxfId="783" priority="780" stopIfTrue="1" operator="equal">
      <formula>"Fail"</formula>
    </cfRule>
  </conditionalFormatting>
  <conditionalFormatting sqref="I1491:L1491">
    <cfRule type="cellIs" dxfId="782" priority="777" stopIfTrue="1" operator="equal">
      <formula>"Pass"</formula>
    </cfRule>
    <cfRule type="cellIs" dxfId="781" priority="778" stopIfTrue="1" operator="equal">
      <formula>"Fail"</formula>
    </cfRule>
  </conditionalFormatting>
  <conditionalFormatting sqref="I1491:L1491">
    <cfRule type="cellIs" dxfId="780" priority="775" stopIfTrue="1" operator="equal">
      <formula>"Pass"</formula>
    </cfRule>
    <cfRule type="cellIs" dxfId="779" priority="776" stopIfTrue="1" operator="equal">
      <formula>"Fail"</formula>
    </cfRule>
  </conditionalFormatting>
  <conditionalFormatting sqref="I1491:L1491">
    <cfRule type="cellIs" dxfId="778" priority="773" stopIfTrue="1" operator="equal">
      <formula>"Pass"</formula>
    </cfRule>
    <cfRule type="cellIs" dxfId="777" priority="774" stopIfTrue="1" operator="equal">
      <formula>"Fail"</formula>
    </cfRule>
  </conditionalFormatting>
  <conditionalFormatting sqref="I1491:L1491">
    <cfRule type="cellIs" dxfId="776" priority="771" stopIfTrue="1" operator="equal">
      <formula>"Pass"</formula>
    </cfRule>
    <cfRule type="cellIs" dxfId="775" priority="772" stopIfTrue="1" operator="equal">
      <formula>"Fail"</formula>
    </cfRule>
  </conditionalFormatting>
  <conditionalFormatting sqref="I1491:L1491">
    <cfRule type="cellIs" dxfId="774" priority="769" stopIfTrue="1" operator="equal">
      <formula>"Pass"</formula>
    </cfRule>
    <cfRule type="cellIs" dxfId="773" priority="770" stopIfTrue="1" operator="equal">
      <formula>"Fail"</formula>
    </cfRule>
  </conditionalFormatting>
  <conditionalFormatting sqref="I1491:L1491">
    <cfRule type="cellIs" dxfId="772" priority="767" stopIfTrue="1" operator="equal">
      <formula>"Pass"</formula>
    </cfRule>
    <cfRule type="cellIs" dxfId="771" priority="768" stopIfTrue="1" operator="equal">
      <formula>"Fail"</formula>
    </cfRule>
  </conditionalFormatting>
  <conditionalFormatting sqref="I1491:L1491">
    <cfRule type="cellIs" dxfId="770" priority="765" stopIfTrue="1" operator="equal">
      <formula>"Pass"</formula>
    </cfRule>
    <cfRule type="cellIs" dxfId="769" priority="766" stopIfTrue="1" operator="equal">
      <formula>"Fail"</formula>
    </cfRule>
  </conditionalFormatting>
  <conditionalFormatting sqref="I1491:L1491">
    <cfRule type="cellIs" dxfId="768" priority="763" stopIfTrue="1" operator="equal">
      <formula>"Pass"</formula>
    </cfRule>
    <cfRule type="cellIs" dxfId="767" priority="764" stopIfTrue="1" operator="equal">
      <formula>"Fail"</formula>
    </cfRule>
  </conditionalFormatting>
  <conditionalFormatting sqref="J1491:L1491">
    <cfRule type="cellIs" dxfId="766" priority="761" stopIfTrue="1" operator="equal">
      <formula>"Pass"</formula>
    </cfRule>
    <cfRule type="cellIs" dxfId="765" priority="762" stopIfTrue="1" operator="equal">
      <formula>"Fail"</formula>
    </cfRule>
  </conditionalFormatting>
  <conditionalFormatting sqref="I1491">
    <cfRule type="cellIs" dxfId="764" priority="759" stopIfTrue="1" operator="equal">
      <formula>"Pass"</formula>
    </cfRule>
    <cfRule type="cellIs" dxfId="763" priority="760" stopIfTrue="1" operator="equal">
      <formula>"Fail"</formula>
    </cfRule>
  </conditionalFormatting>
  <conditionalFormatting sqref="I1491:L1491">
    <cfRule type="cellIs" dxfId="762" priority="757" stopIfTrue="1" operator="equal">
      <formula>"Pass"</formula>
    </cfRule>
    <cfRule type="cellIs" dxfId="761" priority="758" stopIfTrue="1" operator="equal">
      <formula>"Fail"</formula>
    </cfRule>
  </conditionalFormatting>
  <conditionalFormatting sqref="J1491:L1491">
    <cfRule type="cellIs" dxfId="760" priority="755" stopIfTrue="1" operator="equal">
      <formula>"Pass"</formula>
    </cfRule>
    <cfRule type="cellIs" dxfId="759" priority="756" stopIfTrue="1" operator="equal">
      <formula>"Fail"</formula>
    </cfRule>
  </conditionalFormatting>
  <conditionalFormatting sqref="I1491">
    <cfRule type="cellIs" dxfId="758" priority="753" stopIfTrue="1" operator="equal">
      <formula>"Pass"</formula>
    </cfRule>
    <cfRule type="cellIs" dxfId="757" priority="754" stopIfTrue="1" operator="equal">
      <formula>"Fail"</formula>
    </cfRule>
  </conditionalFormatting>
  <conditionalFormatting sqref="I1491:L1491">
    <cfRule type="cellIs" dxfId="756" priority="751" stopIfTrue="1" operator="equal">
      <formula>"Pass"</formula>
    </cfRule>
    <cfRule type="cellIs" dxfId="755" priority="752" stopIfTrue="1" operator="equal">
      <formula>"Fail"</formula>
    </cfRule>
  </conditionalFormatting>
  <conditionalFormatting sqref="I1491:L1491">
    <cfRule type="cellIs" dxfId="754" priority="749" stopIfTrue="1" operator="equal">
      <formula>"Pass"</formula>
    </cfRule>
    <cfRule type="cellIs" dxfId="753" priority="750" stopIfTrue="1" operator="equal">
      <formula>"Fail"</formula>
    </cfRule>
  </conditionalFormatting>
  <conditionalFormatting sqref="I1491:L1491">
    <cfRule type="cellIs" dxfId="752" priority="747" stopIfTrue="1" operator="equal">
      <formula>"Pass"</formula>
    </cfRule>
    <cfRule type="cellIs" dxfId="751" priority="748" stopIfTrue="1" operator="equal">
      <formula>"Fail"</formula>
    </cfRule>
  </conditionalFormatting>
  <conditionalFormatting sqref="I1491:L1491">
    <cfRule type="cellIs" dxfId="750" priority="745" stopIfTrue="1" operator="equal">
      <formula>"Pass"</formula>
    </cfRule>
    <cfRule type="cellIs" dxfId="749" priority="746" stopIfTrue="1" operator="equal">
      <formula>"Fail"</formula>
    </cfRule>
  </conditionalFormatting>
  <conditionalFormatting sqref="I1491:L1491">
    <cfRule type="cellIs" dxfId="748" priority="743" stopIfTrue="1" operator="equal">
      <formula>"Pass"</formula>
    </cfRule>
    <cfRule type="cellIs" dxfId="747" priority="744" stopIfTrue="1" operator="equal">
      <formula>"Fail"</formula>
    </cfRule>
  </conditionalFormatting>
  <conditionalFormatting sqref="I1491:L1491">
    <cfRule type="cellIs" dxfId="746" priority="741" stopIfTrue="1" operator="equal">
      <formula>"Pass"</formula>
    </cfRule>
    <cfRule type="cellIs" dxfId="745" priority="742" stopIfTrue="1" operator="equal">
      <formula>"Fail"</formula>
    </cfRule>
  </conditionalFormatting>
  <conditionalFormatting sqref="I1491:L1491">
    <cfRule type="cellIs" dxfId="744" priority="739" stopIfTrue="1" operator="equal">
      <formula>"Pass"</formula>
    </cfRule>
    <cfRule type="cellIs" dxfId="743" priority="740" stopIfTrue="1" operator="equal">
      <formula>"Fail"</formula>
    </cfRule>
  </conditionalFormatting>
  <conditionalFormatting sqref="I1491:L1491">
    <cfRule type="cellIs" dxfId="742" priority="737" stopIfTrue="1" operator="equal">
      <formula>"Pass"</formula>
    </cfRule>
    <cfRule type="cellIs" dxfId="741" priority="738" stopIfTrue="1" operator="equal">
      <formula>"Fail"</formula>
    </cfRule>
  </conditionalFormatting>
  <conditionalFormatting sqref="I1491:L1491">
    <cfRule type="cellIs" dxfId="740" priority="735" stopIfTrue="1" operator="equal">
      <formula>"Pass"</formula>
    </cfRule>
    <cfRule type="cellIs" dxfId="739" priority="736" stopIfTrue="1" operator="equal">
      <formula>"Fail"</formula>
    </cfRule>
  </conditionalFormatting>
  <conditionalFormatting sqref="J1491:L1491">
    <cfRule type="cellIs" dxfId="738" priority="733" stopIfTrue="1" operator="equal">
      <formula>"Pass"</formula>
    </cfRule>
    <cfRule type="cellIs" dxfId="737" priority="734" stopIfTrue="1" operator="equal">
      <formula>"Fail"</formula>
    </cfRule>
  </conditionalFormatting>
  <conditionalFormatting sqref="I1491">
    <cfRule type="cellIs" dxfId="736" priority="731" stopIfTrue="1" operator="equal">
      <formula>"Pass"</formula>
    </cfRule>
    <cfRule type="cellIs" dxfId="735" priority="732" stopIfTrue="1" operator="equal">
      <formula>"Fail"</formula>
    </cfRule>
  </conditionalFormatting>
  <conditionalFormatting sqref="I1491:L1491">
    <cfRule type="cellIs" dxfId="734" priority="729" stopIfTrue="1" operator="equal">
      <formula>"Pass"</formula>
    </cfRule>
    <cfRule type="cellIs" dxfId="733" priority="730" stopIfTrue="1" operator="equal">
      <formula>"Fail"</formula>
    </cfRule>
  </conditionalFormatting>
  <conditionalFormatting sqref="J1491:L1491">
    <cfRule type="cellIs" dxfId="732" priority="727" stopIfTrue="1" operator="equal">
      <formula>"Pass"</formula>
    </cfRule>
    <cfRule type="cellIs" dxfId="731" priority="728" stopIfTrue="1" operator="equal">
      <formula>"Fail"</formula>
    </cfRule>
  </conditionalFormatting>
  <conditionalFormatting sqref="I1491">
    <cfRule type="cellIs" dxfId="730" priority="725" stopIfTrue="1" operator="equal">
      <formula>"Pass"</formula>
    </cfRule>
    <cfRule type="cellIs" dxfId="729" priority="726" stopIfTrue="1" operator="equal">
      <formula>"Fail"</formula>
    </cfRule>
  </conditionalFormatting>
  <conditionalFormatting sqref="I1491:L1491">
    <cfRule type="cellIs" dxfId="728" priority="723" stopIfTrue="1" operator="equal">
      <formula>"Pass"</formula>
    </cfRule>
    <cfRule type="cellIs" dxfId="727" priority="724" stopIfTrue="1" operator="equal">
      <formula>"Fail"</formula>
    </cfRule>
  </conditionalFormatting>
  <conditionalFormatting sqref="I1491:L1491">
    <cfRule type="cellIs" dxfId="726" priority="721" stopIfTrue="1" operator="equal">
      <formula>"Pass"</formula>
    </cfRule>
    <cfRule type="cellIs" dxfId="725" priority="722" stopIfTrue="1" operator="equal">
      <formula>"Fail"</formula>
    </cfRule>
  </conditionalFormatting>
  <conditionalFormatting sqref="I1491:L1491">
    <cfRule type="cellIs" dxfId="724" priority="719" stopIfTrue="1" operator="equal">
      <formula>"Pass"</formula>
    </cfRule>
    <cfRule type="cellIs" dxfId="723" priority="720" stopIfTrue="1" operator="equal">
      <formula>"Fail"</formula>
    </cfRule>
  </conditionalFormatting>
  <conditionalFormatting sqref="I1491:L1491">
    <cfRule type="cellIs" dxfId="722" priority="717" stopIfTrue="1" operator="equal">
      <formula>"Pass"</formula>
    </cfRule>
    <cfRule type="cellIs" dxfId="721" priority="718" stopIfTrue="1" operator="equal">
      <formula>"Fail"</formula>
    </cfRule>
  </conditionalFormatting>
  <conditionalFormatting sqref="I1491:L1491">
    <cfRule type="cellIs" dxfId="720" priority="715" stopIfTrue="1" operator="equal">
      <formula>"Pass"</formula>
    </cfRule>
    <cfRule type="cellIs" dxfId="719" priority="716" stopIfTrue="1" operator="equal">
      <formula>"Fail"</formula>
    </cfRule>
  </conditionalFormatting>
  <conditionalFormatting sqref="I1491:L1491">
    <cfRule type="cellIs" dxfId="718" priority="713" stopIfTrue="1" operator="equal">
      <formula>"Pass"</formula>
    </cfRule>
    <cfRule type="cellIs" dxfId="717" priority="714" stopIfTrue="1" operator="equal">
      <formula>"Fail"</formula>
    </cfRule>
  </conditionalFormatting>
  <conditionalFormatting sqref="I1491:L1491">
    <cfRule type="cellIs" dxfId="716" priority="711" stopIfTrue="1" operator="equal">
      <formula>"Pass"</formula>
    </cfRule>
    <cfRule type="cellIs" dxfId="715" priority="712" stopIfTrue="1" operator="equal">
      <formula>"Fail"</formula>
    </cfRule>
  </conditionalFormatting>
  <conditionalFormatting sqref="I1491:L1491">
    <cfRule type="cellIs" dxfId="714" priority="709" stopIfTrue="1" operator="equal">
      <formula>"Pass"</formula>
    </cfRule>
    <cfRule type="cellIs" dxfId="713" priority="710" stopIfTrue="1" operator="equal">
      <formula>"Fail"</formula>
    </cfRule>
  </conditionalFormatting>
  <conditionalFormatting sqref="I1491:L1491">
    <cfRule type="cellIs" dxfId="712" priority="707" stopIfTrue="1" operator="equal">
      <formula>"Pass"</formula>
    </cfRule>
    <cfRule type="cellIs" dxfId="711" priority="708" stopIfTrue="1" operator="equal">
      <formula>"Fail"</formula>
    </cfRule>
  </conditionalFormatting>
  <conditionalFormatting sqref="I1491:L1491">
    <cfRule type="cellIs" dxfId="710" priority="705" stopIfTrue="1" operator="equal">
      <formula>"Pass"</formula>
    </cfRule>
    <cfRule type="cellIs" dxfId="709" priority="706" stopIfTrue="1" operator="equal">
      <formula>"Fail"</formula>
    </cfRule>
  </conditionalFormatting>
  <conditionalFormatting sqref="I1491:L1491">
    <cfRule type="cellIs" dxfId="708" priority="703" stopIfTrue="1" operator="equal">
      <formula>"Pass"</formula>
    </cfRule>
    <cfRule type="cellIs" dxfId="707" priority="704" stopIfTrue="1" operator="equal">
      <formula>"Fail"</formula>
    </cfRule>
  </conditionalFormatting>
  <conditionalFormatting sqref="I1491:L1491">
    <cfRule type="cellIs" dxfId="706" priority="701" stopIfTrue="1" operator="equal">
      <formula>"Pass"</formula>
    </cfRule>
    <cfRule type="cellIs" dxfId="705" priority="702" stopIfTrue="1" operator="equal">
      <formula>"Fail"</formula>
    </cfRule>
  </conditionalFormatting>
  <conditionalFormatting sqref="I1491:L1491">
    <cfRule type="cellIs" dxfId="704" priority="699" stopIfTrue="1" operator="equal">
      <formula>"Pass"</formula>
    </cfRule>
    <cfRule type="cellIs" dxfId="703" priority="700" stopIfTrue="1" operator="equal">
      <formula>"Fail"</formula>
    </cfRule>
  </conditionalFormatting>
  <conditionalFormatting sqref="I1491:L1491">
    <cfRule type="cellIs" dxfId="702" priority="697" stopIfTrue="1" operator="equal">
      <formula>"Pass"</formula>
    </cfRule>
    <cfRule type="cellIs" dxfId="701" priority="698" stopIfTrue="1" operator="equal">
      <formula>"Fail"</formula>
    </cfRule>
  </conditionalFormatting>
  <conditionalFormatting sqref="I1491:L1491">
    <cfRule type="cellIs" dxfId="700" priority="695" stopIfTrue="1" operator="equal">
      <formula>"Pass"</formula>
    </cfRule>
    <cfRule type="cellIs" dxfId="699" priority="696" stopIfTrue="1" operator="equal">
      <formula>"Fail"</formula>
    </cfRule>
  </conditionalFormatting>
  <conditionalFormatting sqref="I1491:L1491">
    <cfRule type="cellIs" dxfId="698" priority="693" stopIfTrue="1" operator="equal">
      <formula>"Pass"</formula>
    </cfRule>
    <cfRule type="cellIs" dxfId="697" priority="694" stopIfTrue="1" operator="equal">
      <formula>"Fail"</formula>
    </cfRule>
  </conditionalFormatting>
  <conditionalFormatting sqref="I1491:L1491">
    <cfRule type="cellIs" dxfId="696" priority="691" stopIfTrue="1" operator="equal">
      <formula>"Pass"</formula>
    </cfRule>
    <cfRule type="cellIs" dxfId="695" priority="692" stopIfTrue="1" operator="equal">
      <formula>"Fail"</formula>
    </cfRule>
  </conditionalFormatting>
  <conditionalFormatting sqref="I1491:L1491">
    <cfRule type="cellIs" dxfId="694" priority="689" stopIfTrue="1" operator="equal">
      <formula>"Pass"</formula>
    </cfRule>
    <cfRule type="cellIs" dxfId="693" priority="690" stopIfTrue="1" operator="equal">
      <formula>"Fail"</formula>
    </cfRule>
  </conditionalFormatting>
  <conditionalFormatting sqref="I1491:L1491">
    <cfRule type="cellIs" dxfId="692" priority="687" stopIfTrue="1" operator="equal">
      <formula>"Pass"</formula>
    </cfRule>
    <cfRule type="cellIs" dxfId="691" priority="688" stopIfTrue="1" operator="equal">
      <formula>"Fail"</formula>
    </cfRule>
  </conditionalFormatting>
  <conditionalFormatting sqref="J1491:L1491">
    <cfRule type="cellIs" dxfId="690" priority="685" stopIfTrue="1" operator="equal">
      <formula>"Pass"</formula>
    </cfRule>
    <cfRule type="cellIs" dxfId="689" priority="686" stopIfTrue="1" operator="equal">
      <formula>"Fail"</formula>
    </cfRule>
  </conditionalFormatting>
  <conditionalFormatting sqref="I1491">
    <cfRule type="cellIs" dxfId="688" priority="683" stopIfTrue="1" operator="equal">
      <formula>"Pass"</formula>
    </cfRule>
    <cfRule type="cellIs" dxfId="687" priority="684" stopIfTrue="1" operator="equal">
      <formula>"Fail"</formula>
    </cfRule>
  </conditionalFormatting>
  <conditionalFormatting sqref="I1491:L1491">
    <cfRule type="cellIs" dxfId="686" priority="681" stopIfTrue="1" operator="equal">
      <formula>"Pass"</formula>
    </cfRule>
    <cfRule type="cellIs" dxfId="685" priority="682" stopIfTrue="1" operator="equal">
      <formula>"Fail"</formula>
    </cfRule>
  </conditionalFormatting>
  <conditionalFormatting sqref="J1491:L1491">
    <cfRule type="cellIs" dxfId="684" priority="679" stopIfTrue="1" operator="equal">
      <formula>"Pass"</formula>
    </cfRule>
    <cfRule type="cellIs" dxfId="683" priority="680" stopIfTrue="1" operator="equal">
      <formula>"Fail"</formula>
    </cfRule>
  </conditionalFormatting>
  <conditionalFormatting sqref="I1491">
    <cfRule type="cellIs" dxfId="682" priority="677" stopIfTrue="1" operator="equal">
      <formula>"Pass"</formula>
    </cfRule>
    <cfRule type="cellIs" dxfId="681" priority="678" stopIfTrue="1" operator="equal">
      <formula>"Fail"</formula>
    </cfRule>
  </conditionalFormatting>
  <conditionalFormatting sqref="I1491:L1491">
    <cfRule type="cellIs" dxfId="680" priority="675" stopIfTrue="1" operator="equal">
      <formula>"Pass"</formula>
    </cfRule>
    <cfRule type="cellIs" dxfId="679" priority="676" stopIfTrue="1" operator="equal">
      <formula>"Fail"</formula>
    </cfRule>
  </conditionalFormatting>
  <conditionalFormatting sqref="I1491:L1491">
    <cfRule type="cellIs" dxfId="678" priority="673" stopIfTrue="1" operator="equal">
      <formula>"Pass"</formula>
    </cfRule>
    <cfRule type="cellIs" dxfId="677" priority="674" stopIfTrue="1" operator="equal">
      <formula>"Fail"</formula>
    </cfRule>
  </conditionalFormatting>
  <conditionalFormatting sqref="I1491:L1491">
    <cfRule type="cellIs" dxfId="676" priority="671" stopIfTrue="1" operator="equal">
      <formula>"Pass"</formula>
    </cfRule>
    <cfRule type="cellIs" dxfId="675" priority="672" stopIfTrue="1" operator="equal">
      <formula>"Fail"</formula>
    </cfRule>
  </conditionalFormatting>
  <conditionalFormatting sqref="I1491:L1491">
    <cfRule type="cellIs" dxfId="674" priority="669" stopIfTrue="1" operator="equal">
      <formula>"Pass"</formula>
    </cfRule>
    <cfRule type="cellIs" dxfId="673" priority="670" stopIfTrue="1" operator="equal">
      <formula>"Fail"</formula>
    </cfRule>
  </conditionalFormatting>
  <conditionalFormatting sqref="I1491:L1491">
    <cfRule type="cellIs" dxfId="672" priority="667" stopIfTrue="1" operator="equal">
      <formula>"Pass"</formula>
    </cfRule>
    <cfRule type="cellIs" dxfId="671" priority="668" stopIfTrue="1" operator="equal">
      <formula>"Fail"</formula>
    </cfRule>
  </conditionalFormatting>
  <conditionalFormatting sqref="I1491:L1491">
    <cfRule type="cellIs" dxfId="670" priority="665" stopIfTrue="1" operator="equal">
      <formula>"Pass"</formula>
    </cfRule>
    <cfRule type="cellIs" dxfId="669" priority="666" stopIfTrue="1" operator="equal">
      <formula>"Fail"</formula>
    </cfRule>
  </conditionalFormatting>
  <conditionalFormatting sqref="I1491:L1491">
    <cfRule type="cellIs" dxfId="668" priority="663" stopIfTrue="1" operator="equal">
      <formula>"Pass"</formula>
    </cfRule>
    <cfRule type="cellIs" dxfId="667" priority="664" stopIfTrue="1" operator="equal">
      <formula>"Fail"</formula>
    </cfRule>
  </conditionalFormatting>
  <conditionalFormatting sqref="I1491:L1491">
    <cfRule type="cellIs" dxfId="666" priority="661" stopIfTrue="1" operator="equal">
      <formula>"Pass"</formula>
    </cfRule>
    <cfRule type="cellIs" dxfId="665" priority="662" stopIfTrue="1" operator="equal">
      <formula>"Fail"</formula>
    </cfRule>
  </conditionalFormatting>
  <conditionalFormatting sqref="I1491:L1491">
    <cfRule type="cellIs" dxfId="664" priority="659" stopIfTrue="1" operator="equal">
      <formula>"Pass"</formula>
    </cfRule>
    <cfRule type="cellIs" dxfId="663" priority="660" stopIfTrue="1" operator="equal">
      <formula>"Fail"</formula>
    </cfRule>
  </conditionalFormatting>
  <conditionalFormatting sqref="I1491:L1491">
    <cfRule type="cellIs" dxfId="662" priority="657" stopIfTrue="1" operator="equal">
      <formula>"Pass"</formula>
    </cfRule>
    <cfRule type="cellIs" dxfId="661" priority="658" stopIfTrue="1" operator="equal">
      <formula>"Fail"</formula>
    </cfRule>
  </conditionalFormatting>
  <conditionalFormatting sqref="I1491:L1491">
    <cfRule type="cellIs" dxfId="660" priority="655" stopIfTrue="1" operator="equal">
      <formula>"Pass"</formula>
    </cfRule>
    <cfRule type="cellIs" dxfId="659" priority="656" stopIfTrue="1" operator="equal">
      <formula>"Fail"</formula>
    </cfRule>
  </conditionalFormatting>
  <conditionalFormatting sqref="I1491:L1491">
    <cfRule type="cellIs" dxfId="658" priority="653" stopIfTrue="1" operator="equal">
      <formula>"Pass"</formula>
    </cfRule>
    <cfRule type="cellIs" dxfId="657" priority="654" stopIfTrue="1" operator="equal">
      <formula>"Fail"</formula>
    </cfRule>
  </conditionalFormatting>
  <conditionalFormatting sqref="I1491:L1491">
    <cfRule type="cellIs" dxfId="656" priority="651" stopIfTrue="1" operator="equal">
      <formula>"Pass"</formula>
    </cfRule>
    <cfRule type="cellIs" dxfId="655" priority="652" stopIfTrue="1" operator="equal">
      <formula>"Fail"</formula>
    </cfRule>
  </conditionalFormatting>
  <conditionalFormatting sqref="I1491:L1491">
    <cfRule type="cellIs" dxfId="654" priority="649" stopIfTrue="1" operator="equal">
      <formula>"Pass"</formula>
    </cfRule>
    <cfRule type="cellIs" dxfId="653" priority="650" stopIfTrue="1" operator="equal">
      <formula>"Fail"</formula>
    </cfRule>
  </conditionalFormatting>
  <conditionalFormatting sqref="I1491:L1491">
    <cfRule type="cellIs" dxfId="652" priority="647" stopIfTrue="1" operator="equal">
      <formula>"Pass"</formula>
    </cfRule>
    <cfRule type="cellIs" dxfId="651" priority="648" stopIfTrue="1" operator="equal">
      <formula>"Fail"</formula>
    </cfRule>
  </conditionalFormatting>
  <conditionalFormatting sqref="I1491:L1491">
    <cfRule type="cellIs" dxfId="650" priority="645" stopIfTrue="1" operator="equal">
      <formula>"Pass"</formula>
    </cfRule>
    <cfRule type="cellIs" dxfId="649" priority="646" stopIfTrue="1" operator="equal">
      <formula>"Fail"</formula>
    </cfRule>
  </conditionalFormatting>
  <conditionalFormatting sqref="I1491:L1491">
    <cfRule type="cellIs" dxfId="648" priority="643" stopIfTrue="1" operator="equal">
      <formula>"Pass"</formula>
    </cfRule>
    <cfRule type="cellIs" dxfId="647" priority="644" stopIfTrue="1" operator="equal">
      <formula>"Fail"</formula>
    </cfRule>
  </conditionalFormatting>
  <conditionalFormatting sqref="I1491:L1491">
    <cfRule type="cellIs" dxfId="646" priority="641" stopIfTrue="1" operator="equal">
      <formula>"Pass"</formula>
    </cfRule>
    <cfRule type="cellIs" dxfId="645" priority="642" stopIfTrue="1" operator="equal">
      <formula>"Fail"</formula>
    </cfRule>
  </conditionalFormatting>
  <conditionalFormatting sqref="I1491:L1491">
    <cfRule type="cellIs" dxfId="644" priority="639" stopIfTrue="1" operator="equal">
      <formula>"Pass"</formula>
    </cfRule>
    <cfRule type="cellIs" dxfId="643" priority="640" stopIfTrue="1" operator="equal">
      <formula>"Fail"</formula>
    </cfRule>
  </conditionalFormatting>
  <conditionalFormatting sqref="J1491:L1491">
    <cfRule type="cellIs" dxfId="642" priority="637" stopIfTrue="1" operator="equal">
      <formula>"Pass"</formula>
    </cfRule>
    <cfRule type="cellIs" dxfId="641" priority="638" stopIfTrue="1" operator="equal">
      <formula>"Fail"</formula>
    </cfRule>
  </conditionalFormatting>
  <conditionalFormatting sqref="I1491">
    <cfRule type="cellIs" dxfId="640" priority="635" stopIfTrue="1" operator="equal">
      <formula>"Pass"</formula>
    </cfRule>
    <cfRule type="cellIs" dxfId="639" priority="636" stopIfTrue="1" operator="equal">
      <formula>"Fail"</formula>
    </cfRule>
  </conditionalFormatting>
  <conditionalFormatting sqref="I1491:L1491">
    <cfRule type="cellIs" dxfId="638" priority="633" stopIfTrue="1" operator="equal">
      <formula>"Pass"</formula>
    </cfRule>
    <cfRule type="cellIs" dxfId="637" priority="634" stopIfTrue="1" operator="equal">
      <formula>"Fail"</formula>
    </cfRule>
  </conditionalFormatting>
  <conditionalFormatting sqref="J1491:L1491">
    <cfRule type="cellIs" dxfId="636" priority="631" stopIfTrue="1" operator="equal">
      <formula>"Pass"</formula>
    </cfRule>
    <cfRule type="cellIs" dxfId="635" priority="632" stopIfTrue="1" operator="equal">
      <formula>"Fail"</formula>
    </cfRule>
  </conditionalFormatting>
  <conditionalFormatting sqref="I1491">
    <cfRule type="cellIs" dxfId="634" priority="629" stopIfTrue="1" operator="equal">
      <formula>"Pass"</formula>
    </cfRule>
    <cfRule type="cellIs" dxfId="633" priority="630" stopIfTrue="1" operator="equal">
      <formula>"Fail"</formula>
    </cfRule>
  </conditionalFormatting>
  <conditionalFormatting sqref="I1491:L1491">
    <cfRule type="cellIs" dxfId="632" priority="627" stopIfTrue="1" operator="equal">
      <formula>"Pass"</formula>
    </cfRule>
    <cfRule type="cellIs" dxfId="631" priority="628" stopIfTrue="1" operator="equal">
      <formula>"Fail"</formula>
    </cfRule>
  </conditionalFormatting>
  <conditionalFormatting sqref="I1491:L1491">
    <cfRule type="cellIs" dxfId="630" priority="625" stopIfTrue="1" operator="equal">
      <formula>"Pass"</formula>
    </cfRule>
    <cfRule type="cellIs" dxfId="629" priority="626" stopIfTrue="1" operator="equal">
      <formula>"Fail"</formula>
    </cfRule>
  </conditionalFormatting>
  <conditionalFormatting sqref="I1491:L1491">
    <cfRule type="cellIs" dxfId="628" priority="623" stopIfTrue="1" operator="equal">
      <formula>"Pass"</formula>
    </cfRule>
    <cfRule type="cellIs" dxfId="627" priority="624" stopIfTrue="1" operator="equal">
      <formula>"Fail"</formula>
    </cfRule>
  </conditionalFormatting>
  <conditionalFormatting sqref="I1491:L1491">
    <cfRule type="cellIs" dxfId="626" priority="621" stopIfTrue="1" operator="equal">
      <formula>"Pass"</formula>
    </cfRule>
    <cfRule type="cellIs" dxfId="625" priority="622" stopIfTrue="1" operator="equal">
      <formula>"Fail"</formula>
    </cfRule>
  </conditionalFormatting>
  <conditionalFormatting sqref="I1491:L1491">
    <cfRule type="cellIs" dxfId="624" priority="619" stopIfTrue="1" operator="equal">
      <formula>"Pass"</formula>
    </cfRule>
    <cfRule type="cellIs" dxfId="623" priority="620" stopIfTrue="1" operator="equal">
      <formula>"Fail"</formula>
    </cfRule>
  </conditionalFormatting>
  <conditionalFormatting sqref="I1491:L1491">
    <cfRule type="cellIs" dxfId="622" priority="617" stopIfTrue="1" operator="equal">
      <formula>"Pass"</formula>
    </cfRule>
    <cfRule type="cellIs" dxfId="621" priority="618" stopIfTrue="1" operator="equal">
      <formula>"Fail"</formula>
    </cfRule>
  </conditionalFormatting>
  <conditionalFormatting sqref="I1491:L1491">
    <cfRule type="cellIs" dxfId="620" priority="615" stopIfTrue="1" operator="equal">
      <formula>"Pass"</formula>
    </cfRule>
    <cfRule type="cellIs" dxfId="619" priority="616" stopIfTrue="1" operator="equal">
      <formula>"Fail"</formula>
    </cfRule>
  </conditionalFormatting>
  <conditionalFormatting sqref="I1491:L1491">
    <cfRule type="cellIs" dxfId="618" priority="613" stopIfTrue="1" operator="equal">
      <formula>"Pass"</formula>
    </cfRule>
    <cfRule type="cellIs" dxfId="617" priority="614" stopIfTrue="1" operator="equal">
      <formula>"Fail"</formula>
    </cfRule>
  </conditionalFormatting>
  <conditionalFormatting sqref="I1491:L1491">
    <cfRule type="cellIs" dxfId="616" priority="611" stopIfTrue="1" operator="equal">
      <formula>"Pass"</formula>
    </cfRule>
    <cfRule type="cellIs" dxfId="615" priority="612" stopIfTrue="1" operator="equal">
      <formula>"Fail"</formula>
    </cfRule>
  </conditionalFormatting>
  <conditionalFormatting sqref="I1491:L1491">
    <cfRule type="cellIs" dxfId="614" priority="609" stopIfTrue="1" operator="equal">
      <formula>"Pass"</formula>
    </cfRule>
    <cfRule type="cellIs" dxfId="613" priority="610" stopIfTrue="1" operator="equal">
      <formula>"Fail"</formula>
    </cfRule>
  </conditionalFormatting>
  <conditionalFormatting sqref="I1491:L1491">
    <cfRule type="cellIs" dxfId="612" priority="607" stopIfTrue="1" operator="equal">
      <formula>"Pass"</formula>
    </cfRule>
    <cfRule type="cellIs" dxfId="611" priority="608" stopIfTrue="1" operator="equal">
      <formula>"Fail"</formula>
    </cfRule>
  </conditionalFormatting>
  <conditionalFormatting sqref="I1491:L1491">
    <cfRule type="cellIs" dxfId="610" priority="605" stopIfTrue="1" operator="equal">
      <formula>"Pass"</formula>
    </cfRule>
    <cfRule type="cellIs" dxfId="609" priority="606" stopIfTrue="1" operator="equal">
      <formula>"Fail"</formula>
    </cfRule>
  </conditionalFormatting>
  <conditionalFormatting sqref="I1491:L1491">
    <cfRule type="cellIs" dxfId="608" priority="603" stopIfTrue="1" operator="equal">
      <formula>"Pass"</formula>
    </cfRule>
    <cfRule type="cellIs" dxfId="607" priority="604" stopIfTrue="1" operator="equal">
      <formula>"Fail"</formula>
    </cfRule>
  </conditionalFormatting>
  <conditionalFormatting sqref="I1491:L1491">
    <cfRule type="cellIs" dxfId="606" priority="601" stopIfTrue="1" operator="equal">
      <formula>"Pass"</formula>
    </cfRule>
    <cfRule type="cellIs" dxfId="605" priority="602" stopIfTrue="1" operator="equal">
      <formula>"Fail"</formula>
    </cfRule>
  </conditionalFormatting>
  <conditionalFormatting sqref="I1491:L1491">
    <cfRule type="cellIs" dxfId="604" priority="599" stopIfTrue="1" operator="equal">
      <formula>"Pass"</formula>
    </cfRule>
    <cfRule type="cellIs" dxfId="603" priority="600" stopIfTrue="1" operator="equal">
      <formula>"Fail"</formula>
    </cfRule>
  </conditionalFormatting>
  <conditionalFormatting sqref="I1491:L1491">
    <cfRule type="cellIs" dxfId="602" priority="597" stopIfTrue="1" operator="equal">
      <formula>"Pass"</formula>
    </cfRule>
    <cfRule type="cellIs" dxfId="601" priority="598" stopIfTrue="1" operator="equal">
      <formula>"Fail"</formula>
    </cfRule>
  </conditionalFormatting>
  <conditionalFormatting sqref="I1491:L1491">
    <cfRule type="cellIs" dxfId="600" priority="595" stopIfTrue="1" operator="equal">
      <formula>"Pass"</formula>
    </cfRule>
    <cfRule type="cellIs" dxfId="599" priority="596" stopIfTrue="1" operator="equal">
      <formula>"Fail"</formula>
    </cfRule>
  </conditionalFormatting>
  <conditionalFormatting sqref="I1491:L1491">
    <cfRule type="cellIs" dxfId="598" priority="593" stopIfTrue="1" operator="equal">
      <formula>"Pass"</formula>
    </cfRule>
    <cfRule type="cellIs" dxfId="597" priority="594" stopIfTrue="1" operator="equal">
      <formula>"Fail"</formula>
    </cfRule>
  </conditionalFormatting>
  <conditionalFormatting sqref="I1491:L1491">
    <cfRule type="cellIs" dxfId="596" priority="591" stopIfTrue="1" operator="equal">
      <formula>"Pass"</formula>
    </cfRule>
    <cfRule type="cellIs" dxfId="595" priority="592" stopIfTrue="1" operator="equal">
      <formula>"Fail"</formula>
    </cfRule>
  </conditionalFormatting>
  <conditionalFormatting sqref="I1491:L1491">
    <cfRule type="cellIs" dxfId="594" priority="589" stopIfTrue="1" operator="equal">
      <formula>"Pass"</formula>
    </cfRule>
    <cfRule type="cellIs" dxfId="593" priority="590" stopIfTrue="1" operator="equal">
      <formula>"Fail"</formula>
    </cfRule>
  </conditionalFormatting>
  <conditionalFormatting sqref="I1491:L1491">
    <cfRule type="cellIs" dxfId="592" priority="587" stopIfTrue="1" operator="equal">
      <formula>"Pass"</formula>
    </cfRule>
    <cfRule type="cellIs" dxfId="591" priority="588" stopIfTrue="1" operator="equal">
      <formula>"Fail"</formula>
    </cfRule>
  </conditionalFormatting>
  <conditionalFormatting sqref="I1491:L1491">
    <cfRule type="cellIs" dxfId="590" priority="585" stopIfTrue="1" operator="equal">
      <formula>"Pass"</formula>
    </cfRule>
    <cfRule type="cellIs" dxfId="589" priority="586" stopIfTrue="1" operator="equal">
      <formula>"Fail"</formula>
    </cfRule>
  </conditionalFormatting>
  <conditionalFormatting sqref="I1491:L1491">
    <cfRule type="cellIs" dxfId="588" priority="583" stopIfTrue="1" operator="equal">
      <formula>"Pass"</formula>
    </cfRule>
    <cfRule type="cellIs" dxfId="587" priority="584" stopIfTrue="1" operator="equal">
      <formula>"Fail"</formula>
    </cfRule>
  </conditionalFormatting>
  <conditionalFormatting sqref="I1491:L1491">
    <cfRule type="cellIs" dxfId="586" priority="581" stopIfTrue="1" operator="equal">
      <formula>"Pass"</formula>
    </cfRule>
    <cfRule type="cellIs" dxfId="585" priority="582" stopIfTrue="1" operator="equal">
      <formula>"Fail"</formula>
    </cfRule>
  </conditionalFormatting>
  <conditionalFormatting sqref="I1491:L1491">
    <cfRule type="cellIs" dxfId="584" priority="579" stopIfTrue="1" operator="equal">
      <formula>"Pass"</formula>
    </cfRule>
    <cfRule type="cellIs" dxfId="583" priority="580" stopIfTrue="1" operator="equal">
      <formula>"Fail"</formula>
    </cfRule>
  </conditionalFormatting>
  <conditionalFormatting sqref="I1491:L1491">
    <cfRule type="cellIs" dxfId="582" priority="577" stopIfTrue="1" operator="equal">
      <formula>"Pass"</formula>
    </cfRule>
    <cfRule type="cellIs" dxfId="581" priority="578" stopIfTrue="1" operator="equal">
      <formula>"Fail"</formula>
    </cfRule>
  </conditionalFormatting>
  <conditionalFormatting sqref="I1491:L1491">
    <cfRule type="cellIs" dxfId="580" priority="575" stopIfTrue="1" operator="equal">
      <formula>"Pass"</formula>
    </cfRule>
    <cfRule type="cellIs" dxfId="579" priority="576" stopIfTrue="1" operator="equal">
      <formula>"Fail"</formula>
    </cfRule>
  </conditionalFormatting>
  <conditionalFormatting sqref="I1491:L1491">
    <cfRule type="cellIs" dxfId="578" priority="573" stopIfTrue="1" operator="equal">
      <formula>"Pass"</formula>
    </cfRule>
    <cfRule type="cellIs" dxfId="577" priority="574" stopIfTrue="1" operator="equal">
      <formula>"Fail"</formula>
    </cfRule>
  </conditionalFormatting>
  <conditionalFormatting sqref="I1491:L1491">
    <cfRule type="cellIs" dxfId="576" priority="571" stopIfTrue="1" operator="equal">
      <formula>"Pass"</formula>
    </cfRule>
    <cfRule type="cellIs" dxfId="575" priority="572" stopIfTrue="1" operator="equal">
      <formula>"Fail"</formula>
    </cfRule>
  </conditionalFormatting>
  <conditionalFormatting sqref="I1491:L1491">
    <cfRule type="cellIs" dxfId="574" priority="569" stopIfTrue="1" operator="equal">
      <formula>"Pass"</formula>
    </cfRule>
    <cfRule type="cellIs" dxfId="573" priority="570" stopIfTrue="1" operator="equal">
      <formula>"Fail"</formula>
    </cfRule>
  </conditionalFormatting>
  <conditionalFormatting sqref="I1491:L1491">
    <cfRule type="cellIs" dxfId="572" priority="567" stopIfTrue="1" operator="equal">
      <formula>"Pass"</formula>
    </cfRule>
    <cfRule type="cellIs" dxfId="571" priority="568" stopIfTrue="1" operator="equal">
      <formula>"Fail"</formula>
    </cfRule>
  </conditionalFormatting>
  <conditionalFormatting sqref="I1491:L1491">
    <cfRule type="cellIs" dxfId="570" priority="565" stopIfTrue="1" operator="equal">
      <formula>"Pass"</formula>
    </cfRule>
    <cfRule type="cellIs" dxfId="569" priority="566" stopIfTrue="1" operator="equal">
      <formula>"Fail"</formula>
    </cfRule>
  </conditionalFormatting>
  <conditionalFormatting sqref="I1491:L1491">
    <cfRule type="cellIs" dxfId="568" priority="563" stopIfTrue="1" operator="equal">
      <formula>"Pass"</formula>
    </cfRule>
    <cfRule type="cellIs" dxfId="567" priority="564" stopIfTrue="1" operator="equal">
      <formula>"Fail"</formula>
    </cfRule>
  </conditionalFormatting>
  <conditionalFormatting sqref="I1491:L1491">
    <cfRule type="cellIs" dxfId="566" priority="561" stopIfTrue="1" operator="equal">
      <formula>"Pass"</formula>
    </cfRule>
    <cfRule type="cellIs" dxfId="565" priority="562" stopIfTrue="1" operator="equal">
      <formula>"Fail"</formula>
    </cfRule>
  </conditionalFormatting>
  <conditionalFormatting sqref="I1491:L1491">
    <cfRule type="cellIs" dxfId="564" priority="559" stopIfTrue="1" operator="equal">
      <formula>"Pass"</formula>
    </cfRule>
    <cfRule type="cellIs" dxfId="563" priority="560" stopIfTrue="1" operator="equal">
      <formula>"Fail"</formula>
    </cfRule>
  </conditionalFormatting>
  <conditionalFormatting sqref="I1491:L1491">
    <cfRule type="cellIs" dxfId="562" priority="557" stopIfTrue="1" operator="equal">
      <formula>"Pass"</formula>
    </cfRule>
    <cfRule type="cellIs" dxfId="561" priority="558" stopIfTrue="1" operator="equal">
      <formula>"Fail"</formula>
    </cfRule>
  </conditionalFormatting>
  <conditionalFormatting sqref="I1491:L1491">
    <cfRule type="cellIs" dxfId="560" priority="555" stopIfTrue="1" operator="equal">
      <formula>"Pass"</formula>
    </cfRule>
    <cfRule type="cellIs" dxfId="559" priority="556" stopIfTrue="1" operator="equal">
      <formula>"Fail"</formula>
    </cfRule>
  </conditionalFormatting>
  <conditionalFormatting sqref="I1491:L1491">
    <cfRule type="cellIs" dxfId="558" priority="553" stopIfTrue="1" operator="equal">
      <formula>"Pass"</formula>
    </cfRule>
    <cfRule type="cellIs" dxfId="557" priority="554" stopIfTrue="1" operator="equal">
      <formula>"Fail"</formula>
    </cfRule>
  </conditionalFormatting>
  <conditionalFormatting sqref="I1491:L1491">
    <cfRule type="cellIs" dxfId="556" priority="551" stopIfTrue="1" operator="equal">
      <formula>"Pass"</formula>
    </cfRule>
    <cfRule type="cellIs" dxfId="555" priority="552" stopIfTrue="1" operator="equal">
      <formula>"Fail"</formula>
    </cfRule>
  </conditionalFormatting>
  <conditionalFormatting sqref="H1491:L1491">
    <cfRule type="cellIs" dxfId="554" priority="549" stopIfTrue="1" operator="equal">
      <formula>"Pass"</formula>
    </cfRule>
    <cfRule type="cellIs" dxfId="553" priority="550" stopIfTrue="1" operator="equal">
      <formula>"Fail"</formula>
    </cfRule>
  </conditionalFormatting>
  <conditionalFormatting sqref="H1491:L1491">
    <cfRule type="cellIs" dxfId="552" priority="547" stopIfTrue="1" operator="equal">
      <formula>"Pass"</formula>
    </cfRule>
    <cfRule type="cellIs" dxfId="551" priority="548" stopIfTrue="1" operator="equal">
      <formula>"Fail"</formula>
    </cfRule>
  </conditionalFormatting>
  <conditionalFormatting sqref="H1491:L1491">
    <cfRule type="cellIs" dxfId="550" priority="545" stopIfTrue="1" operator="equal">
      <formula>"Pass"</formula>
    </cfRule>
    <cfRule type="cellIs" dxfId="549" priority="546" stopIfTrue="1" operator="equal">
      <formula>"Fail"</formula>
    </cfRule>
  </conditionalFormatting>
  <conditionalFormatting sqref="H1491:L1491">
    <cfRule type="cellIs" dxfId="548" priority="543" stopIfTrue="1" operator="equal">
      <formula>"Pass"</formula>
    </cfRule>
    <cfRule type="cellIs" dxfId="547" priority="544" stopIfTrue="1" operator="equal">
      <formula>"Fail"</formula>
    </cfRule>
  </conditionalFormatting>
  <conditionalFormatting sqref="H1491:L1491">
    <cfRule type="cellIs" dxfId="546" priority="541" stopIfTrue="1" operator="equal">
      <formula>"Pass"</formula>
    </cfRule>
    <cfRule type="cellIs" dxfId="545" priority="542" stopIfTrue="1" operator="equal">
      <formula>"Fail"</formula>
    </cfRule>
  </conditionalFormatting>
  <conditionalFormatting sqref="H1491:L1491">
    <cfRule type="cellIs" dxfId="544" priority="539" stopIfTrue="1" operator="equal">
      <formula>"Pass"</formula>
    </cfRule>
    <cfRule type="cellIs" dxfId="543" priority="540" stopIfTrue="1" operator="equal">
      <formula>"Fail"</formula>
    </cfRule>
  </conditionalFormatting>
  <conditionalFormatting sqref="H1491:L1491">
    <cfRule type="cellIs" dxfId="542" priority="537" stopIfTrue="1" operator="equal">
      <formula>"Pass"</formula>
    </cfRule>
    <cfRule type="cellIs" dxfId="541" priority="538" stopIfTrue="1" operator="equal">
      <formula>"Fail"</formula>
    </cfRule>
  </conditionalFormatting>
  <conditionalFormatting sqref="H1491:L1491">
    <cfRule type="cellIs" dxfId="540" priority="535" stopIfTrue="1" operator="equal">
      <formula>"Pass"</formula>
    </cfRule>
    <cfRule type="cellIs" dxfId="539" priority="536" stopIfTrue="1" operator="equal">
      <formula>"Fail"</formula>
    </cfRule>
  </conditionalFormatting>
  <conditionalFormatting sqref="H1491:L1491">
    <cfRule type="cellIs" dxfId="538" priority="533" stopIfTrue="1" operator="equal">
      <formula>"Pass"</formula>
    </cfRule>
    <cfRule type="cellIs" dxfId="537" priority="534" stopIfTrue="1" operator="equal">
      <formula>"Fail"</formula>
    </cfRule>
  </conditionalFormatting>
  <conditionalFormatting sqref="I1491">
    <cfRule type="cellIs" dxfId="536" priority="531" stopIfTrue="1" operator="equal">
      <formula>"Pass"</formula>
    </cfRule>
    <cfRule type="cellIs" dxfId="535" priority="532" stopIfTrue="1" operator="equal">
      <formula>"Fail"</formula>
    </cfRule>
  </conditionalFormatting>
  <conditionalFormatting sqref="H1491:L1491">
    <cfRule type="cellIs" dxfId="534" priority="529" stopIfTrue="1" operator="equal">
      <formula>"Pass"</formula>
    </cfRule>
    <cfRule type="cellIs" dxfId="533" priority="530" stopIfTrue="1" operator="equal">
      <formula>"Fail"</formula>
    </cfRule>
  </conditionalFormatting>
  <conditionalFormatting sqref="H1491:L1491">
    <cfRule type="cellIs" dxfId="532" priority="527" stopIfTrue="1" operator="equal">
      <formula>"Pass"</formula>
    </cfRule>
    <cfRule type="cellIs" dxfId="531" priority="528" stopIfTrue="1" operator="equal">
      <formula>"Fail"</formula>
    </cfRule>
  </conditionalFormatting>
  <conditionalFormatting sqref="H1491:L1491">
    <cfRule type="cellIs" dxfId="530" priority="525" stopIfTrue="1" operator="equal">
      <formula>"Pass"</formula>
    </cfRule>
    <cfRule type="cellIs" dxfId="529" priority="526" stopIfTrue="1" operator="equal">
      <formula>"Fail"</formula>
    </cfRule>
  </conditionalFormatting>
  <conditionalFormatting sqref="H1491:L1491">
    <cfRule type="cellIs" dxfId="528" priority="523" stopIfTrue="1" operator="equal">
      <formula>"Pass"</formula>
    </cfRule>
    <cfRule type="cellIs" dxfId="527" priority="524" stopIfTrue="1" operator="equal">
      <formula>"Fail"</formula>
    </cfRule>
  </conditionalFormatting>
  <conditionalFormatting sqref="H1491:L1491">
    <cfRule type="cellIs" dxfId="526" priority="521" stopIfTrue="1" operator="equal">
      <formula>"Pass"</formula>
    </cfRule>
    <cfRule type="cellIs" dxfId="525" priority="522" stopIfTrue="1" operator="equal">
      <formula>"Fail"</formula>
    </cfRule>
  </conditionalFormatting>
  <conditionalFormatting sqref="H1491:L1491">
    <cfRule type="cellIs" dxfId="524" priority="519" stopIfTrue="1" operator="equal">
      <formula>"Pass"</formula>
    </cfRule>
    <cfRule type="cellIs" dxfId="523" priority="520" stopIfTrue="1" operator="equal">
      <formula>"Fail"</formula>
    </cfRule>
  </conditionalFormatting>
  <conditionalFormatting sqref="H1491:L1491">
    <cfRule type="cellIs" dxfId="522" priority="517" stopIfTrue="1" operator="equal">
      <formula>"Pass"</formula>
    </cfRule>
    <cfRule type="cellIs" dxfId="521" priority="518" stopIfTrue="1" operator="equal">
      <formula>"Fail"</formula>
    </cfRule>
  </conditionalFormatting>
  <conditionalFormatting sqref="H1491:L1491">
    <cfRule type="cellIs" dxfId="520" priority="515" stopIfTrue="1" operator="equal">
      <formula>"Pass"</formula>
    </cfRule>
    <cfRule type="cellIs" dxfId="519" priority="516" stopIfTrue="1" operator="equal">
      <formula>"Fail"</formula>
    </cfRule>
  </conditionalFormatting>
  <conditionalFormatting sqref="I1491:L1491">
    <cfRule type="cellIs" dxfId="518" priority="513" stopIfTrue="1" operator="equal">
      <formula>"Pass"</formula>
    </cfRule>
    <cfRule type="cellIs" dxfId="517" priority="514" stopIfTrue="1" operator="equal">
      <formula>"Fail"</formula>
    </cfRule>
  </conditionalFormatting>
  <conditionalFormatting sqref="I1491:L1491">
    <cfRule type="cellIs" dxfId="516" priority="511" stopIfTrue="1" operator="equal">
      <formula>"Pass"</formula>
    </cfRule>
    <cfRule type="cellIs" dxfId="515" priority="512" stopIfTrue="1" operator="equal">
      <formula>"Fail"</formula>
    </cfRule>
  </conditionalFormatting>
  <conditionalFormatting sqref="I1491:L1491">
    <cfRule type="cellIs" dxfId="514" priority="509" stopIfTrue="1" operator="equal">
      <formula>"Pass"</formula>
    </cfRule>
    <cfRule type="cellIs" dxfId="513" priority="510" stopIfTrue="1" operator="equal">
      <formula>"Fail"</formula>
    </cfRule>
  </conditionalFormatting>
  <conditionalFormatting sqref="I1491:L1491">
    <cfRule type="cellIs" dxfId="512" priority="507" stopIfTrue="1" operator="equal">
      <formula>"Pass"</formula>
    </cfRule>
    <cfRule type="cellIs" dxfId="511" priority="508" stopIfTrue="1" operator="equal">
      <formula>"Fail"</formula>
    </cfRule>
  </conditionalFormatting>
  <conditionalFormatting sqref="I1491:L1491">
    <cfRule type="cellIs" dxfId="510" priority="505" stopIfTrue="1" operator="equal">
      <formula>"Pass"</formula>
    </cfRule>
    <cfRule type="cellIs" dxfId="509" priority="506" stopIfTrue="1" operator="equal">
      <formula>"Fail"</formula>
    </cfRule>
  </conditionalFormatting>
  <conditionalFormatting sqref="I1491:L1491">
    <cfRule type="cellIs" dxfId="508" priority="503" stopIfTrue="1" operator="equal">
      <formula>"Pass"</formula>
    </cfRule>
    <cfRule type="cellIs" dxfId="507" priority="504" stopIfTrue="1" operator="equal">
      <formula>"Fail"</formula>
    </cfRule>
  </conditionalFormatting>
  <conditionalFormatting sqref="I1491:L1491">
    <cfRule type="cellIs" dxfId="506" priority="501" stopIfTrue="1" operator="equal">
      <formula>"Pass"</formula>
    </cfRule>
    <cfRule type="cellIs" dxfId="505" priority="502" stopIfTrue="1" operator="equal">
      <formula>"Fail"</formula>
    </cfRule>
  </conditionalFormatting>
  <conditionalFormatting sqref="I1491:L1491">
    <cfRule type="cellIs" dxfId="504" priority="499" stopIfTrue="1" operator="equal">
      <formula>"Pass"</formula>
    </cfRule>
    <cfRule type="cellIs" dxfId="503" priority="500" stopIfTrue="1" operator="equal">
      <formula>"Fail"</formula>
    </cfRule>
  </conditionalFormatting>
  <conditionalFormatting sqref="I1491:L1491">
    <cfRule type="cellIs" dxfId="502" priority="497" stopIfTrue="1" operator="equal">
      <formula>"Pass"</formula>
    </cfRule>
    <cfRule type="cellIs" dxfId="501" priority="498" stopIfTrue="1" operator="equal">
      <formula>"Fail"</formula>
    </cfRule>
  </conditionalFormatting>
  <conditionalFormatting sqref="I1491:L1491">
    <cfRule type="cellIs" dxfId="500" priority="495" stopIfTrue="1" operator="equal">
      <formula>"Pass"</formula>
    </cfRule>
    <cfRule type="cellIs" dxfId="499" priority="496" stopIfTrue="1" operator="equal">
      <formula>"Fail"</formula>
    </cfRule>
  </conditionalFormatting>
  <conditionalFormatting sqref="I1491:L1491">
    <cfRule type="cellIs" dxfId="498" priority="493" stopIfTrue="1" operator="equal">
      <formula>"Pass"</formula>
    </cfRule>
    <cfRule type="cellIs" dxfId="497" priority="494" stopIfTrue="1" operator="equal">
      <formula>"Fail"</formula>
    </cfRule>
  </conditionalFormatting>
  <conditionalFormatting sqref="J1491:L1491">
    <cfRule type="cellIs" dxfId="496" priority="491" stopIfTrue="1" operator="equal">
      <formula>"Pass"</formula>
    </cfRule>
    <cfRule type="cellIs" dxfId="495" priority="492" stopIfTrue="1" operator="equal">
      <formula>"Fail"</formula>
    </cfRule>
  </conditionalFormatting>
  <conditionalFormatting sqref="I1491">
    <cfRule type="cellIs" dxfId="494" priority="489" stopIfTrue="1" operator="equal">
      <formula>"Pass"</formula>
    </cfRule>
    <cfRule type="cellIs" dxfId="493" priority="490" stopIfTrue="1" operator="equal">
      <formula>"Fail"</formula>
    </cfRule>
  </conditionalFormatting>
  <conditionalFormatting sqref="I1491:L1491">
    <cfRule type="cellIs" dxfId="492" priority="487" stopIfTrue="1" operator="equal">
      <formula>"Pass"</formula>
    </cfRule>
    <cfRule type="cellIs" dxfId="491" priority="488" stopIfTrue="1" operator="equal">
      <formula>"Fail"</formula>
    </cfRule>
  </conditionalFormatting>
  <conditionalFormatting sqref="J1491:L1491">
    <cfRule type="cellIs" dxfId="490" priority="485" stopIfTrue="1" operator="equal">
      <formula>"Pass"</formula>
    </cfRule>
    <cfRule type="cellIs" dxfId="489" priority="486" stopIfTrue="1" operator="equal">
      <formula>"Fail"</formula>
    </cfRule>
  </conditionalFormatting>
  <conditionalFormatting sqref="I1491">
    <cfRule type="cellIs" dxfId="488" priority="483" stopIfTrue="1" operator="equal">
      <formula>"Pass"</formula>
    </cfRule>
    <cfRule type="cellIs" dxfId="487" priority="484" stopIfTrue="1" operator="equal">
      <formula>"Fail"</formula>
    </cfRule>
  </conditionalFormatting>
  <conditionalFormatting sqref="I1491:L1491">
    <cfRule type="cellIs" dxfId="486" priority="481" stopIfTrue="1" operator="equal">
      <formula>"Pass"</formula>
    </cfRule>
    <cfRule type="cellIs" dxfId="485" priority="482" stopIfTrue="1" operator="equal">
      <formula>"Fail"</formula>
    </cfRule>
  </conditionalFormatting>
  <conditionalFormatting sqref="I1491:L1491">
    <cfRule type="cellIs" dxfId="484" priority="479" stopIfTrue="1" operator="equal">
      <formula>"Pass"</formula>
    </cfRule>
    <cfRule type="cellIs" dxfId="483" priority="480" stopIfTrue="1" operator="equal">
      <formula>"Fail"</formula>
    </cfRule>
  </conditionalFormatting>
  <conditionalFormatting sqref="I1491:L1491">
    <cfRule type="cellIs" dxfId="482" priority="477" stopIfTrue="1" operator="equal">
      <formula>"Pass"</formula>
    </cfRule>
    <cfRule type="cellIs" dxfId="481" priority="478" stopIfTrue="1" operator="equal">
      <formula>"Fail"</formula>
    </cfRule>
  </conditionalFormatting>
  <conditionalFormatting sqref="I1491:L1491">
    <cfRule type="cellIs" dxfId="480" priority="475" stopIfTrue="1" operator="equal">
      <formula>"Pass"</formula>
    </cfRule>
    <cfRule type="cellIs" dxfId="479" priority="476" stopIfTrue="1" operator="equal">
      <formula>"Fail"</formula>
    </cfRule>
  </conditionalFormatting>
  <conditionalFormatting sqref="I1491:L1491">
    <cfRule type="cellIs" dxfId="478" priority="473" stopIfTrue="1" operator="equal">
      <formula>"Pass"</formula>
    </cfRule>
    <cfRule type="cellIs" dxfId="477" priority="474" stopIfTrue="1" operator="equal">
      <formula>"Fail"</formula>
    </cfRule>
  </conditionalFormatting>
  <conditionalFormatting sqref="J1491:L1491">
    <cfRule type="cellIs" dxfId="476" priority="471" stopIfTrue="1" operator="equal">
      <formula>"Pass"</formula>
    </cfRule>
    <cfRule type="cellIs" dxfId="475" priority="472" stopIfTrue="1" operator="equal">
      <formula>"Fail"</formula>
    </cfRule>
  </conditionalFormatting>
  <conditionalFormatting sqref="I1491">
    <cfRule type="cellIs" dxfId="474" priority="469" stopIfTrue="1" operator="equal">
      <formula>"Pass"</formula>
    </cfRule>
    <cfRule type="cellIs" dxfId="473" priority="470" stopIfTrue="1" operator="equal">
      <formula>"Fail"</formula>
    </cfRule>
  </conditionalFormatting>
  <conditionalFormatting sqref="I1491:L1491">
    <cfRule type="cellIs" dxfId="472" priority="467" stopIfTrue="1" operator="equal">
      <formula>"Pass"</formula>
    </cfRule>
    <cfRule type="cellIs" dxfId="471" priority="468" stopIfTrue="1" operator="equal">
      <formula>"Fail"</formula>
    </cfRule>
  </conditionalFormatting>
  <conditionalFormatting sqref="J1491:L1491">
    <cfRule type="cellIs" dxfId="470" priority="465" stopIfTrue="1" operator="equal">
      <formula>"Pass"</formula>
    </cfRule>
    <cfRule type="cellIs" dxfId="469" priority="466" stopIfTrue="1" operator="equal">
      <formula>"Fail"</formula>
    </cfRule>
  </conditionalFormatting>
  <conditionalFormatting sqref="I1491">
    <cfRule type="cellIs" dxfId="468" priority="463" stopIfTrue="1" operator="equal">
      <formula>"Pass"</formula>
    </cfRule>
    <cfRule type="cellIs" dxfId="467" priority="464" stopIfTrue="1" operator="equal">
      <formula>"Fail"</formula>
    </cfRule>
  </conditionalFormatting>
  <conditionalFormatting sqref="I1491:L1491">
    <cfRule type="cellIs" dxfId="466" priority="461" stopIfTrue="1" operator="equal">
      <formula>"Pass"</formula>
    </cfRule>
    <cfRule type="cellIs" dxfId="465" priority="462" stopIfTrue="1" operator="equal">
      <formula>"Fail"</formula>
    </cfRule>
  </conditionalFormatting>
  <conditionalFormatting sqref="I1491:L1491">
    <cfRule type="cellIs" dxfId="464" priority="459" stopIfTrue="1" operator="equal">
      <formula>"Pass"</formula>
    </cfRule>
    <cfRule type="cellIs" dxfId="463" priority="460" stopIfTrue="1" operator="equal">
      <formula>"Fail"</formula>
    </cfRule>
  </conditionalFormatting>
  <conditionalFormatting sqref="I1491:L1491">
    <cfRule type="cellIs" dxfId="462" priority="457" stopIfTrue="1" operator="equal">
      <formula>"Pass"</formula>
    </cfRule>
    <cfRule type="cellIs" dxfId="461" priority="458" stopIfTrue="1" operator="equal">
      <formula>"Fail"</formula>
    </cfRule>
  </conditionalFormatting>
  <conditionalFormatting sqref="I1491:L1491">
    <cfRule type="cellIs" dxfId="460" priority="455" stopIfTrue="1" operator="equal">
      <formula>"Pass"</formula>
    </cfRule>
    <cfRule type="cellIs" dxfId="459" priority="456" stopIfTrue="1" operator="equal">
      <formula>"Fail"</formula>
    </cfRule>
  </conditionalFormatting>
  <conditionalFormatting sqref="I1491:L1491">
    <cfRule type="cellIs" dxfId="458" priority="453" stopIfTrue="1" operator="equal">
      <formula>"Pass"</formula>
    </cfRule>
    <cfRule type="cellIs" dxfId="457" priority="454" stopIfTrue="1" operator="equal">
      <formula>"Fail"</formula>
    </cfRule>
  </conditionalFormatting>
  <conditionalFormatting sqref="I1491:L1491">
    <cfRule type="cellIs" dxfId="456" priority="451" stopIfTrue="1" operator="equal">
      <formula>"Pass"</formula>
    </cfRule>
    <cfRule type="cellIs" dxfId="455" priority="452" stopIfTrue="1" operator="equal">
      <formula>"Fail"</formula>
    </cfRule>
  </conditionalFormatting>
  <conditionalFormatting sqref="I1491:L1491">
    <cfRule type="cellIs" dxfId="454" priority="449" stopIfTrue="1" operator="equal">
      <formula>"Pass"</formula>
    </cfRule>
    <cfRule type="cellIs" dxfId="453" priority="450" stopIfTrue="1" operator="equal">
      <formula>"Fail"</formula>
    </cfRule>
  </conditionalFormatting>
  <conditionalFormatting sqref="I1491:L1491">
    <cfRule type="cellIs" dxfId="452" priority="447" stopIfTrue="1" operator="equal">
      <formula>"Pass"</formula>
    </cfRule>
    <cfRule type="cellIs" dxfId="451" priority="448" stopIfTrue="1" operator="equal">
      <formula>"Fail"</formula>
    </cfRule>
  </conditionalFormatting>
  <conditionalFormatting sqref="I1491:L1491">
    <cfRule type="cellIs" dxfId="450" priority="445" stopIfTrue="1" operator="equal">
      <formula>"Pass"</formula>
    </cfRule>
    <cfRule type="cellIs" dxfId="449" priority="446" stopIfTrue="1" operator="equal">
      <formula>"Fail"</formula>
    </cfRule>
  </conditionalFormatting>
  <conditionalFormatting sqref="I1491:L1491">
    <cfRule type="cellIs" dxfId="448" priority="443" stopIfTrue="1" operator="equal">
      <formula>"Pass"</formula>
    </cfRule>
    <cfRule type="cellIs" dxfId="447" priority="444" stopIfTrue="1" operator="equal">
      <formula>"Fail"</formula>
    </cfRule>
  </conditionalFormatting>
  <conditionalFormatting sqref="J1491:L1491">
    <cfRule type="cellIs" dxfId="446" priority="441" stopIfTrue="1" operator="equal">
      <formula>"Pass"</formula>
    </cfRule>
    <cfRule type="cellIs" dxfId="445" priority="442" stopIfTrue="1" operator="equal">
      <formula>"Fail"</formula>
    </cfRule>
  </conditionalFormatting>
  <conditionalFormatting sqref="I1491">
    <cfRule type="cellIs" dxfId="444" priority="439" stopIfTrue="1" operator="equal">
      <formula>"Pass"</formula>
    </cfRule>
    <cfRule type="cellIs" dxfId="443" priority="440" stopIfTrue="1" operator="equal">
      <formula>"Fail"</formula>
    </cfRule>
  </conditionalFormatting>
  <conditionalFormatting sqref="I1491:L1491">
    <cfRule type="cellIs" dxfId="442" priority="437" stopIfTrue="1" operator="equal">
      <formula>"Pass"</formula>
    </cfRule>
    <cfRule type="cellIs" dxfId="441" priority="438" stopIfTrue="1" operator="equal">
      <formula>"Fail"</formula>
    </cfRule>
  </conditionalFormatting>
  <conditionalFormatting sqref="J1491:L1491">
    <cfRule type="cellIs" dxfId="440" priority="435" stopIfTrue="1" operator="equal">
      <formula>"Pass"</formula>
    </cfRule>
    <cfRule type="cellIs" dxfId="439" priority="436" stopIfTrue="1" operator="equal">
      <formula>"Fail"</formula>
    </cfRule>
  </conditionalFormatting>
  <conditionalFormatting sqref="I1491">
    <cfRule type="cellIs" dxfId="438" priority="433" stopIfTrue="1" operator="equal">
      <formula>"Pass"</formula>
    </cfRule>
    <cfRule type="cellIs" dxfId="437" priority="434" stopIfTrue="1" operator="equal">
      <formula>"Fail"</formula>
    </cfRule>
  </conditionalFormatting>
  <conditionalFormatting sqref="I1491:L1491">
    <cfRule type="cellIs" dxfId="436" priority="431" stopIfTrue="1" operator="equal">
      <formula>"Pass"</formula>
    </cfRule>
    <cfRule type="cellIs" dxfId="435" priority="432" stopIfTrue="1" operator="equal">
      <formula>"Fail"</formula>
    </cfRule>
  </conditionalFormatting>
  <conditionalFormatting sqref="I1491:L1491">
    <cfRule type="cellIs" dxfId="434" priority="429" stopIfTrue="1" operator="equal">
      <formula>"Pass"</formula>
    </cfRule>
    <cfRule type="cellIs" dxfId="433" priority="430" stopIfTrue="1" operator="equal">
      <formula>"Fail"</formula>
    </cfRule>
  </conditionalFormatting>
  <conditionalFormatting sqref="I1491:L1491">
    <cfRule type="cellIs" dxfId="432" priority="427" stopIfTrue="1" operator="equal">
      <formula>"Pass"</formula>
    </cfRule>
    <cfRule type="cellIs" dxfId="431" priority="428" stopIfTrue="1" operator="equal">
      <formula>"Fail"</formula>
    </cfRule>
  </conditionalFormatting>
  <conditionalFormatting sqref="I1491:L1491">
    <cfRule type="cellIs" dxfId="430" priority="425" stopIfTrue="1" operator="equal">
      <formula>"Pass"</formula>
    </cfRule>
    <cfRule type="cellIs" dxfId="429" priority="426" stopIfTrue="1" operator="equal">
      <formula>"Fail"</formula>
    </cfRule>
  </conditionalFormatting>
  <conditionalFormatting sqref="I1491:L1491">
    <cfRule type="cellIs" dxfId="428" priority="423" stopIfTrue="1" operator="equal">
      <formula>"Pass"</formula>
    </cfRule>
    <cfRule type="cellIs" dxfId="427" priority="424" stopIfTrue="1" operator="equal">
      <formula>"Fail"</formula>
    </cfRule>
  </conditionalFormatting>
  <conditionalFormatting sqref="I1491:L1491">
    <cfRule type="cellIs" dxfId="426" priority="421" stopIfTrue="1" operator="equal">
      <formula>"Pass"</formula>
    </cfRule>
    <cfRule type="cellIs" dxfId="425" priority="422" stopIfTrue="1" operator="equal">
      <formula>"Fail"</formula>
    </cfRule>
  </conditionalFormatting>
  <conditionalFormatting sqref="I1491:L1491">
    <cfRule type="cellIs" dxfId="424" priority="419" stopIfTrue="1" operator="equal">
      <formula>"Pass"</formula>
    </cfRule>
    <cfRule type="cellIs" dxfId="423" priority="420" stopIfTrue="1" operator="equal">
      <formula>"Fail"</formula>
    </cfRule>
  </conditionalFormatting>
  <conditionalFormatting sqref="I1491:L1491">
    <cfRule type="cellIs" dxfId="422" priority="417" stopIfTrue="1" operator="equal">
      <formula>"Pass"</formula>
    </cfRule>
    <cfRule type="cellIs" dxfId="421" priority="418" stopIfTrue="1" operator="equal">
      <formula>"Fail"</formula>
    </cfRule>
  </conditionalFormatting>
  <conditionalFormatting sqref="I1491:L1491">
    <cfRule type="cellIs" dxfId="420" priority="415" stopIfTrue="1" operator="equal">
      <formula>"Pass"</formula>
    </cfRule>
    <cfRule type="cellIs" dxfId="419" priority="416" stopIfTrue="1" operator="equal">
      <formula>"Fail"</formula>
    </cfRule>
  </conditionalFormatting>
  <conditionalFormatting sqref="I1491:L1491">
    <cfRule type="cellIs" dxfId="418" priority="413" stopIfTrue="1" operator="equal">
      <formula>"Pass"</formula>
    </cfRule>
    <cfRule type="cellIs" dxfId="417" priority="414" stopIfTrue="1" operator="equal">
      <formula>"Fail"</formula>
    </cfRule>
  </conditionalFormatting>
  <conditionalFormatting sqref="J1491:L1491">
    <cfRule type="cellIs" dxfId="416" priority="411" stopIfTrue="1" operator="equal">
      <formula>"Pass"</formula>
    </cfRule>
    <cfRule type="cellIs" dxfId="415" priority="412" stopIfTrue="1" operator="equal">
      <formula>"Fail"</formula>
    </cfRule>
  </conditionalFormatting>
  <conditionalFormatting sqref="I1491">
    <cfRule type="cellIs" dxfId="414" priority="409" stopIfTrue="1" operator="equal">
      <formula>"Pass"</formula>
    </cfRule>
    <cfRule type="cellIs" dxfId="413" priority="410" stopIfTrue="1" operator="equal">
      <formula>"Fail"</formula>
    </cfRule>
  </conditionalFormatting>
  <conditionalFormatting sqref="I1491:L1491">
    <cfRule type="cellIs" dxfId="412" priority="407" stopIfTrue="1" operator="equal">
      <formula>"Pass"</formula>
    </cfRule>
    <cfRule type="cellIs" dxfId="411" priority="408" stopIfTrue="1" operator="equal">
      <formula>"Fail"</formula>
    </cfRule>
  </conditionalFormatting>
  <conditionalFormatting sqref="J1491:L1491">
    <cfRule type="cellIs" dxfId="410" priority="405" stopIfTrue="1" operator="equal">
      <formula>"Pass"</formula>
    </cfRule>
    <cfRule type="cellIs" dxfId="409" priority="406" stopIfTrue="1" operator="equal">
      <formula>"Fail"</formula>
    </cfRule>
  </conditionalFormatting>
  <conditionalFormatting sqref="I1491">
    <cfRule type="cellIs" dxfId="408" priority="403" stopIfTrue="1" operator="equal">
      <formula>"Pass"</formula>
    </cfRule>
    <cfRule type="cellIs" dxfId="407" priority="404" stopIfTrue="1" operator="equal">
      <formula>"Fail"</formula>
    </cfRule>
  </conditionalFormatting>
  <conditionalFormatting sqref="I1491:L1491">
    <cfRule type="cellIs" dxfId="406" priority="401" stopIfTrue="1" operator="equal">
      <formula>"Pass"</formula>
    </cfRule>
    <cfRule type="cellIs" dxfId="405" priority="402" stopIfTrue="1" operator="equal">
      <formula>"Fail"</formula>
    </cfRule>
  </conditionalFormatting>
  <conditionalFormatting sqref="I1491:L1491">
    <cfRule type="cellIs" dxfId="404" priority="399" stopIfTrue="1" operator="equal">
      <formula>"Pass"</formula>
    </cfRule>
    <cfRule type="cellIs" dxfId="403" priority="400" stopIfTrue="1" operator="equal">
      <formula>"Fail"</formula>
    </cfRule>
  </conditionalFormatting>
  <conditionalFormatting sqref="I1491:L1491">
    <cfRule type="cellIs" dxfId="402" priority="397" stopIfTrue="1" operator="equal">
      <formula>"Pass"</formula>
    </cfRule>
    <cfRule type="cellIs" dxfId="401" priority="398" stopIfTrue="1" operator="equal">
      <formula>"Fail"</formula>
    </cfRule>
  </conditionalFormatting>
  <conditionalFormatting sqref="I1491:L1491">
    <cfRule type="cellIs" dxfId="400" priority="395" stopIfTrue="1" operator="equal">
      <formula>"Pass"</formula>
    </cfRule>
    <cfRule type="cellIs" dxfId="399" priority="396" stopIfTrue="1" operator="equal">
      <formula>"Fail"</formula>
    </cfRule>
  </conditionalFormatting>
  <conditionalFormatting sqref="I1491:L1491">
    <cfRule type="cellIs" dxfId="398" priority="393" stopIfTrue="1" operator="equal">
      <formula>"Pass"</formula>
    </cfRule>
    <cfRule type="cellIs" dxfId="397" priority="394" stopIfTrue="1" operator="equal">
      <formula>"Fail"</formula>
    </cfRule>
  </conditionalFormatting>
  <conditionalFormatting sqref="I1491:L1491">
    <cfRule type="cellIs" dxfId="396" priority="391" stopIfTrue="1" operator="equal">
      <formula>"Pass"</formula>
    </cfRule>
    <cfRule type="cellIs" dxfId="395" priority="392" stopIfTrue="1" operator="equal">
      <formula>"Fail"</formula>
    </cfRule>
  </conditionalFormatting>
  <conditionalFormatting sqref="I1491:L1491">
    <cfRule type="cellIs" dxfId="394" priority="389" stopIfTrue="1" operator="equal">
      <formula>"Pass"</formula>
    </cfRule>
    <cfRule type="cellIs" dxfId="393" priority="390" stopIfTrue="1" operator="equal">
      <formula>"Fail"</formula>
    </cfRule>
  </conditionalFormatting>
  <conditionalFormatting sqref="I1491:L1491">
    <cfRule type="cellIs" dxfId="392" priority="387" stopIfTrue="1" operator="equal">
      <formula>"Pass"</formula>
    </cfRule>
    <cfRule type="cellIs" dxfId="391" priority="388" stopIfTrue="1" operator="equal">
      <formula>"Fail"</formula>
    </cfRule>
  </conditionalFormatting>
  <conditionalFormatting sqref="I1491:L1491">
    <cfRule type="cellIs" dxfId="390" priority="385" stopIfTrue="1" operator="equal">
      <formula>"Pass"</formula>
    </cfRule>
    <cfRule type="cellIs" dxfId="389" priority="386" stopIfTrue="1" operator="equal">
      <formula>"Fail"</formula>
    </cfRule>
  </conditionalFormatting>
  <conditionalFormatting sqref="I1491:L1491">
    <cfRule type="cellIs" dxfId="388" priority="383" stopIfTrue="1" operator="equal">
      <formula>"Pass"</formula>
    </cfRule>
    <cfRule type="cellIs" dxfId="387" priority="384" stopIfTrue="1" operator="equal">
      <formula>"Fail"</formula>
    </cfRule>
  </conditionalFormatting>
  <conditionalFormatting sqref="I1491:L1491">
    <cfRule type="cellIs" dxfId="386" priority="381" stopIfTrue="1" operator="equal">
      <formula>"Pass"</formula>
    </cfRule>
    <cfRule type="cellIs" dxfId="385" priority="382" stopIfTrue="1" operator="equal">
      <formula>"Fail"</formula>
    </cfRule>
  </conditionalFormatting>
  <conditionalFormatting sqref="I1491:L1491">
    <cfRule type="cellIs" dxfId="384" priority="379" stopIfTrue="1" operator="equal">
      <formula>"Pass"</formula>
    </cfRule>
    <cfRule type="cellIs" dxfId="383" priority="380" stopIfTrue="1" operator="equal">
      <formula>"Fail"</formula>
    </cfRule>
  </conditionalFormatting>
  <conditionalFormatting sqref="I1491:L1491">
    <cfRule type="cellIs" dxfId="382" priority="377" stopIfTrue="1" operator="equal">
      <formula>"Pass"</formula>
    </cfRule>
    <cfRule type="cellIs" dxfId="381" priority="378" stopIfTrue="1" operator="equal">
      <formula>"Fail"</formula>
    </cfRule>
  </conditionalFormatting>
  <conditionalFormatting sqref="I1491:L1491">
    <cfRule type="cellIs" dxfId="380" priority="375" stopIfTrue="1" operator="equal">
      <formula>"Pass"</formula>
    </cfRule>
    <cfRule type="cellIs" dxfId="379" priority="376" stopIfTrue="1" operator="equal">
      <formula>"Fail"</formula>
    </cfRule>
  </conditionalFormatting>
  <conditionalFormatting sqref="I1491:L1491">
    <cfRule type="cellIs" dxfId="378" priority="373" stopIfTrue="1" operator="equal">
      <formula>"Pass"</formula>
    </cfRule>
    <cfRule type="cellIs" dxfId="377" priority="374" stopIfTrue="1" operator="equal">
      <formula>"Fail"</formula>
    </cfRule>
  </conditionalFormatting>
  <conditionalFormatting sqref="H1491:L1491">
    <cfRule type="cellIs" dxfId="376" priority="371" stopIfTrue="1" operator="equal">
      <formula>"Pass"</formula>
    </cfRule>
    <cfRule type="cellIs" dxfId="375" priority="372" stopIfTrue="1" operator="equal">
      <formula>"Fail"</formula>
    </cfRule>
  </conditionalFormatting>
  <conditionalFormatting sqref="H1491">
    <cfRule type="cellIs" dxfId="374" priority="369" stopIfTrue="1" operator="equal">
      <formula>"Pass"</formula>
    </cfRule>
    <cfRule type="cellIs" dxfId="373" priority="370" stopIfTrue="1" operator="equal">
      <formula>"Fail"</formula>
    </cfRule>
  </conditionalFormatting>
  <conditionalFormatting sqref="H1491">
    <cfRule type="cellIs" dxfId="372" priority="367" stopIfTrue="1" operator="equal">
      <formula>"Pass"</formula>
    </cfRule>
    <cfRule type="cellIs" dxfId="371" priority="368" stopIfTrue="1" operator="equal">
      <formula>"Fail"</formula>
    </cfRule>
  </conditionalFormatting>
  <conditionalFormatting sqref="H1491:L1491">
    <cfRule type="cellIs" dxfId="370" priority="365" stopIfTrue="1" operator="equal">
      <formula>"Pass"</formula>
    </cfRule>
    <cfRule type="cellIs" dxfId="369" priority="366" stopIfTrue="1" operator="equal">
      <formula>"Fail"</formula>
    </cfRule>
  </conditionalFormatting>
  <conditionalFormatting sqref="H1491">
    <cfRule type="cellIs" dxfId="368" priority="363" stopIfTrue="1" operator="equal">
      <formula>"Pass"</formula>
    </cfRule>
    <cfRule type="cellIs" dxfId="367" priority="364" stopIfTrue="1" operator="equal">
      <formula>"Fail"</formula>
    </cfRule>
  </conditionalFormatting>
  <conditionalFormatting sqref="H1491">
    <cfRule type="cellIs" dxfId="366" priority="361" stopIfTrue="1" operator="equal">
      <formula>"Pass"</formula>
    </cfRule>
    <cfRule type="cellIs" dxfId="365" priority="362" stopIfTrue="1" operator="equal">
      <formula>"Fail"</formula>
    </cfRule>
  </conditionalFormatting>
  <conditionalFormatting sqref="H1491:L1491">
    <cfRule type="cellIs" dxfId="364" priority="359" stopIfTrue="1" operator="equal">
      <formula>"Pass"</formula>
    </cfRule>
    <cfRule type="cellIs" dxfId="363" priority="360" stopIfTrue="1" operator="equal">
      <formula>"Fail"</formula>
    </cfRule>
  </conditionalFormatting>
  <conditionalFormatting sqref="H1491">
    <cfRule type="cellIs" dxfId="362" priority="357" stopIfTrue="1" operator="equal">
      <formula>"Pass"</formula>
    </cfRule>
    <cfRule type="cellIs" dxfId="361" priority="358" stopIfTrue="1" operator="equal">
      <formula>"Fail"</formula>
    </cfRule>
  </conditionalFormatting>
  <conditionalFormatting sqref="H1491">
    <cfRule type="cellIs" dxfId="360" priority="355" stopIfTrue="1" operator="equal">
      <formula>"Pass"</formula>
    </cfRule>
    <cfRule type="cellIs" dxfId="359" priority="356" stopIfTrue="1" operator="equal">
      <formula>"Fail"</formula>
    </cfRule>
  </conditionalFormatting>
  <conditionalFormatting sqref="H1491:L1491">
    <cfRule type="cellIs" dxfId="358" priority="353" stopIfTrue="1" operator="equal">
      <formula>"Pass"</formula>
    </cfRule>
    <cfRule type="cellIs" dxfId="357" priority="354" stopIfTrue="1" operator="equal">
      <formula>"Fail"</formula>
    </cfRule>
  </conditionalFormatting>
  <conditionalFormatting sqref="H1491:L1491">
    <cfRule type="cellIs" dxfId="356" priority="351" stopIfTrue="1" operator="equal">
      <formula>"Pass"</formula>
    </cfRule>
    <cfRule type="cellIs" dxfId="355" priority="352" stopIfTrue="1" operator="equal">
      <formula>"Fail"</formula>
    </cfRule>
  </conditionalFormatting>
  <conditionalFormatting sqref="H1491:L1491">
    <cfRule type="cellIs" dxfId="354" priority="349" stopIfTrue="1" operator="equal">
      <formula>"Pass"</formula>
    </cfRule>
    <cfRule type="cellIs" dxfId="353" priority="350" stopIfTrue="1" operator="equal">
      <formula>"Fail"</formula>
    </cfRule>
  </conditionalFormatting>
  <conditionalFormatting sqref="H1491:L1491">
    <cfRule type="cellIs" dxfId="352" priority="347" stopIfTrue="1" operator="equal">
      <formula>"Pass"</formula>
    </cfRule>
    <cfRule type="cellIs" dxfId="351" priority="348" stopIfTrue="1" operator="equal">
      <formula>"Fail"</formula>
    </cfRule>
  </conditionalFormatting>
  <conditionalFormatting sqref="H1491:L1491">
    <cfRule type="cellIs" dxfId="350" priority="345" stopIfTrue="1" operator="equal">
      <formula>"Pass"</formula>
    </cfRule>
    <cfRule type="cellIs" dxfId="349" priority="346" stopIfTrue="1" operator="equal">
      <formula>"Fail"</formula>
    </cfRule>
  </conditionalFormatting>
  <conditionalFormatting sqref="I1492:L1492">
    <cfRule type="cellIs" dxfId="348" priority="343" stopIfTrue="1" operator="equal">
      <formula>"Pass"</formula>
    </cfRule>
    <cfRule type="cellIs" dxfId="347" priority="344" stopIfTrue="1" operator="equal">
      <formula>"Fail"</formula>
    </cfRule>
  </conditionalFormatting>
  <conditionalFormatting sqref="I1492:L1492">
    <cfRule type="cellIs" dxfId="346" priority="341" stopIfTrue="1" operator="equal">
      <formula>"Pass"</formula>
    </cfRule>
    <cfRule type="cellIs" dxfId="345" priority="342" stopIfTrue="1" operator="equal">
      <formula>"Fail"</formula>
    </cfRule>
  </conditionalFormatting>
  <conditionalFormatting sqref="I1492:L1492">
    <cfRule type="cellIs" dxfId="344" priority="339" stopIfTrue="1" operator="equal">
      <formula>"Pass"</formula>
    </cfRule>
    <cfRule type="cellIs" dxfId="343" priority="340" stopIfTrue="1" operator="equal">
      <formula>"Fail"</formula>
    </cfRule>
  </conditionalFormatting>
  <conditionalFormatting sqref="I1492:L1492">
    <cfRule type="cellIs" dxfId="342" priority="337" stopIfTrue="1" operator="equal">
      <formula>"Pass"</formula>
    </cfRule>
    <cfRule type="cellIs" dxfId="341" priority="338" stopIfTrue="1" operator="equal">
      <formula>"Fail"</formula>
    </cfRule>
  </conditionalFormatting>
  <conditionalFormatting sqref="I1492:L1492">
    <cfRule type="cellIs" dxfId="340" priority="335" stopIfTrue="1" operator="equal">
      <formula>"Pass"</formula>
    </cfRule>
    <cfRule type="cellIs" dxfId="339" priority="336" stopIfTrue="1" operator="equal">
      <formula>"Fail"</formula>
    </cfRule>
  </conditionalFormatting>
  <conditionalFormatting sqref="I1492:L1492">
    <cfRule type="cellIs" dxfId="338" priority="333" stopIfTrue="1" operator="equal">
      <formula>"Pass"</formula>
    </cfRule>
    <cfRule type="cellIs" dxfId="337" priority="334" stopIfTrue="1" operator="equal">
      <formula>"Fail"</formula>
    </cfRule>
  </conditionalFormatting>
  <conditionalFormatting sqref="I1492:L1492">
    <cfRule type="cellIs" dxfId="336" priority="331" stopIfTrue="1" operator="equal">
      <formula>"Pass"</formula>
    </cfRule>
    <cfRule type="cellIs" dxfId="335" priority="332" stopIfTrue="1" operator="equal">
      <formula>"Fail"</formula>
    </cfRule>
  </conditionalFormatting>
  <conditionalFormatting sqref="I1492:L1492">
    <cfRule type="cellIs" dxfId="334" priority="329" stopIfTrue="1" operator="equal">
      <formula>"Pass"</formula>
    </cfRule>
    <cfRule type="cellIs" dxfId="333" priority="330" stopIfTrue="1" operator="equal">
      <formula>"Fail"</formula>
    </cfRule>
  </conditionalFormatting>
  <conditionalFormatting sqref="I1492:L1492">
    <cfRule type="cellIs" dxfId="332" priority="327" stopIfTrue="1" operator="equal">
      <formula>"Pass"</formula>
    </cfRule>
    <cfRule type="cellIs" dxfId="331" priority="328" stopIfTrue="1" operator="equal">
      <formula>"Fail"</formula>
    </cfRule>
  </conditionalFormatting>
  <conditionalFormatting sqref="I1492:L1492">
    <cfRule type="cellIs" dxfId="330" priority="325" stopIfTrue="1" operator="equal">
      <formula>"Pass"</formula>
    </cfRule>
    <cfRule type="cellIs" dxfId="329" priority="326" stopIfTrue="1" operator="equal">
      <formula>"Fail"</formula>
    </cfRule>
  </conditionalFormatting>
  <conditionalFormatting sqref="I1492:L1492">
    <cfRule type="cellIs" dxfId="328" priority="323" stopIfTrue="1" operator="equal">
      <formula>"Pass"</formula>
    </cfRule>
    <cfRule type="cellIs" dxfId="327" priority="324" stopIfTrue="1" operator="equal">
      <formula>"Fail"</formula>
    </cfRule>
  </conditionalFormatting>
  <conditionalFormatting sqref="J1492:L1492">
    <cfRule type="cellIs" dxfId="326" priority="321" stopIfTrue="1" operator="equal">
      <formula>"Pass"</formula>
    </cfRule>
    <cfRule type="cellIs" dxfId="325" priority="322" stopIfTrue="1" operator="equal">
      <formula>"Fail"</formula>
    </cfRule>
  </conditionalFormatting>
  <conditionalFormatting sqref="I1492">
    <cfRule type="cellIs" dxfId="324" priority="319" stopIfTrue="1" operator="equal">
      <formula>"Pass"</formula>
    </cfRule>
    <cfRule type="cellIs" dxfId="323" priority="320" stopIfTrue="1" operator="equal">
      <formula>"Fail"</formula>
    </cfRule>
  </conditionalFormatting>
  <conditionalFormatting sqref="I1492:L1492">
    <cfRule type="cellIs" dxfId="322" priority="317" stopIfTrue="1" operator="equal">
      <formula>"Pass"</formula>
    </cfRule>
    <cfRule type="cellIs" dxfId="321" priority="318" stopIfTrue="1" operator="equal">
      <formula>"Fail"</formula>
    </cfRule>
  </conditionalFormatting>
  <conditionalFormatting sqref="J1492:L1492">
    <cfRule type="cellIs" dxfId="320" priority="315" stopIfTrue="1" operator="equal">
      <formula>"Pass"</formula>
    </cfRule>
    <cfRule type="cellIs" dxfId="319" priority="316" stopIfTrue="1" operator="equal">
      <formula>"Fail"</formula>
    </cfRule>
  </conditionalFormatting>
  <conditionalFormatting sqref="I1492">
    <cfRule type="cellIs" dxfId="318" priority="313" stopIfTrue="1" operator="equal">
      <formula>"Pass"</formula>
    </cfRule>
    <cfRule type="cellIs" dxfId="317" priority="314" stopIfTrue="1" operator="equal">
      <formula>"Fail"</formula>
    </cfRule>
  </conditionalFormatting>
  <conditionalFormatting sqref="I1492:L1492">
    <cfRule type="cellIs" dxfId="316" priority="311" stopIfTrue="1" operator="equal">
      <formula>"Pass"</formula>
    </cfRule>
    <cfRule type="cellIs" dxfId="315" priority="312" stopIfTrue="1" operator="equal">
      <formula>"Fail"</formula>
    </cfRule>
  </conditionalFormatting>
  <conditionalFormatting sqref="I1492:L1492">
    <cfRule type="cellIs" dxfId="314" priority="309" stopIfTrue="1" operator="equal">
      <formula>"Pass"</formula>
    </cfRule>
    <cfRule type="cellIs" dxfId="313" priority="310" stopIfTrue="1" operator="equal">
      <formula>"Fail"</formula>
    </cfRule>
  </conditionalFormatting>
  <conditionalFormatting sqref="I1492:L1492">
    <cfRule type="cellIs" dxfId="312" priority="307" stopIfTrue="1" operator="equal">
      <formula>"Pass"</formula>
    </cfRule>
    <cfRule type="cellIs" dxfId="311" priority="308" stopIfTrue="1" operator="equal">
      <formula>"Fail"</formula>
    </cfRule>
  </conditionalFormatting>
  <conditionalFormatting sqref="I1492:L1492">
    <cfRule type="cellIs" dxfId="310" priority="305" stopIfTrue="1" operator="equal">
      <formula>"Pass"</formula>
    </cfRule>
    <cfRule type="cellIs" dxfId="309" priority="306" stopIfTrue="1" operator="equal">
      <formula>"Fail"</formula>
    </cfRule>
  </conditionalFormatting>
  <conditionalFormatting sqref="I1492:L1492">
    <cfRule type="cellIs" dxfId="308" priority="303" stopIfTrue="1" operator="equal">
      <formula>"Pass"</formula>
    </cfRule>
    <cfRule type="cellIs" dxfId="307" priority="304" stopIfTrue="1" operator="equal">
      <formula>"Fail"</formula>
    </cfRule>
  </conditionalFormatting>
  <conditionalFormatting sqref="J1492:L1492">
    <cfRule type="cellIs" dxfId="306" priority="301" stopIfTrue="1" operator="equal">
      <formula>"Pass"</formula>
    </cfRule>
    <cfRule type="cellIs" dxfId="305" priority="302" stopIfTrue="1" operator="equal">
      <formula>"Fail"</formula>
    </cfRule>
  </conditionalFormatting>
  <conditionalFormatting sqref="I1492">
    <cfRule type="cellIs" dxfId="304" priority="299" stopIfTrue="1" operator="equal">
      <formula>"Pass"</formula>
    </cfRule>
    <cfRule type="cellIs" dxfId="303" priority="300" stopIfTrue="1" operator="equal">
      <formula>"Fail"</formula>
    </cfRule>
  </conditionalFormatting>
  <conditionalFormatting sqref="I1492:L1492">
    <cfRule type="cellIs" dxfId="302" priority="297" stopIfTrue="1" operator="equal">
      <formula>"Pass"</formula>
    </cfRule>
    <cfRule type="cellIs" dxfId="301" priority="298" stopIfTrue="1" operator="equal">
      <formula>"Fail"</formula>
    </cfRule>
  </conditionalFormatting>
  <conditionalFormatting sqref="J1492:L1492">
    <cfRule type="cellIs" dxfId="300" priority="295" stopIfTrue="1" operator="equal">
      <formula>"Pass"</formula>
    </cfRule>
    <cfRule type="cellIs" dxfId="299" priority="296" stopIfTrue="1" operator="equal">
      <formula>"Fail"</formula>
    </cfRule>
  </conditionalFormatting>
  <conditionalFormatting sqref="I1492">
    <cfRule type="cellIs" dxfId="298" priority="293" stopIfTrue="1" operator="equal">
      <formula>"Pass"</formula>
    </cfRule>
    <cfRule type="cellIs" dxfId="297" priority="294" stopIfTrue="1" operator="equal">
      <formula>"Fail"</formula>
    </cfRule>
  </conditionalFormatting>
  <conditionalFormatting sqref="I1492:L1492">
    <cfRule type="cellIs" dxfId="296" priority="291" stopIfTrue="1" operator="equal">
      <formula>"Pass"</formula>
    </cfRule>
    <cfRule type="cellIs" dxfId="295" priority="292" stopIfTrue="1" operator="equal">
      <formula>"Fail"</formula>
    </cfRule>
  </conditionalFormatting>
  <conditionalFormatting sqref="I1492:L1492">
    <cfRule type="cellIs" dxfId="294" priority="289" stopIfTrue="1" operator="equal">
      <formula>"Pass"</formula>
    </cfRule>
    <cfRule type="cellIs" dxfId="293" priority="290" stopIfTrue="1" operator="equal">
      <formula>"Fail"</formula>
    </cfRule>
  </conditionalFormatting>
  <conditionalFormatting sqref="I1492:L1492">
    <cfRule type="cellIs" dxfId="292" priority="287" stopIfTrue="1" operator="equal">
      <formula>"Pass"</formula>
    </cfRule>
    <cfRule type="cellIs" dxfId="291" priority="288" stopIfTrue="1" operator="equal">
      <formula>"Fail"</formula>
    </cfRule>
  </conditionalFormatting>
  <conditionalFormatting sqref="I1492:L1492">
    <cfRule type="cellIs" dxfId="290" priority="285" stopIfTrue="1" operator="equal">
      <formula>"Pass"</formula>
    </cfRule>
    <cfRule type="cellIs" dxfId="289" priority="286" stopIfTrue="1" operator="equal">
      <formula>"Fail"</formula>
    </cfRule>
  </conditionalFormatting>
  <conditionalFormatting sqref="I1492:L1492">
    <cfRule type="cellIs" dxfId="288" priority="283" stopIfTrue="1" operator="equal">
      <formula>"Pass"</formula>
    </cfRule>
    <cfRule type="cellIs" dxfId="287" priority="284" stopIfTrue="1" operator="equal">
      <formula>"Fail"</formula>
    </cfRule>
  </conditionalFormatting>
  <conditionalFormatting sqref="I1492:L1492">
    <cfRule type="cellIs" dxfId="286" priority="281" stopIfTrue="1" operator="equal">
      <formula>"Pass"</formula>
    </cfRule>
    <cfRule type="cellIs" dxfId="285" priority="282" stopIfTrue="1" operator="equal">
      <formula>"Fail"</formula>
    </cfRule>
  </conditionalFormatting>
  <conditionalFormatting sqref="I1492:L1492">
    <cfRule type="cellIs" dxfId="284" priority="279" stopIfTrue="1" operator="equal">
      <formula>"Pass"</formula>
    </cfRule>
    <cfRule type="cellIs" dxfId="283" priority="280" stopIfTrue="1" operator="equal">
      <formula>"Fail"</formula>
    </cfRule>
  </conditionalFormatting>
  <conditionalFormatting sqref="I1492:L1492">
    <cfRule type="cellIs" dxfId="282" priority="277" stopIfTrue="1" operator="equal">
      <formula>"Pass"</formula>
    </cfRule>
    <cfRule type="cellIs" dxfId="281" priority="278" stopIfTrue="1" operator="equal">
      <formula>"Fail"</formula>
    </cfRule>
  </conditionalFormatting>
  <conditionalFormatting sqref="I1492:L1492">
    <cfRule type="cellIs" dxfId="280" priority="275" stopIfTrue="1" operator="equal">
      <formula>"Pass"</formula>
    </cfRule>
    <cfRule type="cellIs" dxfId="279" priority="276" stopIfTrue="1" operator="equal">
      <formula>"Fail"</formula>
    </cfRule>
  </conditionalFormatting>
  <conditionalFormatting sqref="I1492:L1492">
    <cfRule type="cellIs" dxfId="278" priority="273" stopIfTrue="1" operator="equal">
      <formula>"Pass"</formula>
    </cfRule>
    <cfRule type="cellIs" dxfId="277" priority="274" stopIfTrue="1" operator="equal">
      <formula>"Fail"</formula>
    </cfRule>
  </conditionalFormatting>
  <conditionalFormatting sqref="J1492:L1492">
    <cfRule type="cellIs" dxfId="276" priority="271" stopIfTrue="1" operator="equal">
      <formula>"Pass"</formula>
    </cfRule>
    <cfRule type="cellIs" dxfId="275" priority="272" stopIfTrue="1" operator="equal">
      <formula>"Fail"</formula>
    </cfRule>
  </conditionalFormatting>
  <conditionalFormatting sqref="I1492">
    <cfRule type="cellIs" dxfId="274" priority="269" stopIfTrue="1" operator="equal">
      <formula>"Pass"</formula>
    </cfRule>
    <cfRule type="cellIs" dxfId="273" priority="270" stopIfTrue="1" operator="equal">
      <formula>"Fail"</formula>
    </cfRule>
  </conditionalFormatting>
  <conditionalFormatting sqref="I1492:L1492">
    <cfRule type="cellIs" dxfId="272" priority="267" stopIfTrue="1" operator="equal">
      <formula>"Pass"</formula>
    </cfRule>
    <cfRule type="cellIs" dxfId="271" priority="268" stopIfTrue="1" operator="equal">
      <formula>"Fail"</formula>
    </cfRule>
  </conditionalFormatting>
  <conditionalFormatting sqref="J1492:L1492">
    <cfRule type="cellIs" dxfId="270" priority="265" stopIfTrue="1" operator="equal">
      <formula>"Pass"</formula>
    </cfRule>
    <cfRule type="cellIs" dxfId="269" priority="266" stopIfTrue="1" operator="equal">
      <formula>"Fail"</formula>
    </cfRule>
  </conditionalFormatting>
  <conditionalFormatting sqref="I1492">
    <cfRule type="cellIs" dxfId="268" priority="263" stopIfTrue="1" operator="equal">
      <formula>"Pass"</formula>
    </cfRule>
    <cfRule type="cellIs" dxfId="267" priority="264" stopIfTrue="1" operator="equal">
      <formula>"Fail"</formula>
    </cfRule>
  </conditionalFormatting>
  <conditionalFormatting sqref="I1492:L1492">
    <cfRule type="cellIs" dxfId="266" priority="261" stopIfTrue="1" operator="equal">
      <formula>"Pass"</formula>
    </cfRule>
    <cfRule type="cellIs" dxfId="265" priority="262" stopIfTrue="1" operator="equal">
      <formula>"Fail"</formula>
    </cfRule>
  </conditionalFormatting>
  <conditionalFormatting sqref="I1492:L1492">
    <cfRule type="cellIs" dxfId="264" priority="259" stopIfTrue="1" operator="equal">
      <formula>"Pass"</formula>
    </cfRule>
    <cfRule type="cellIs" dxfId="263" priority="260" stopIfTrue="1" operator="equal">
      <formula>"Fail"</formula>
    </cfRule>
  </conditionalFormatting>
  <conditionalFormatting sqref="I1492:L1492">
    <cfRule type="cellIs" dxfId="262" priority="257" stopIfTrue="1" operator="equal">
      <formula>"Pass"</formula>
    </cfRule>
    <cfRule type="cellIs" dxfId="261" priority="258" stopIfTrue="1" operator="equal">
      <formula>"Fail"</formula>
    </cfRule>
  </conditionalFormatting>
  <conditionalFormatting sqref="I1492:L1492">
    <cfRule type="cellIs" dxfId="260" priority="255" stopIfTrue="1" operator="equal">
      <formula>"Pass"</formula>
    </cfRule>
    <cfRule type="cellIs" dxfId="259" priority="256" stopIfTrue="1" operator="equal">
      <formula>"Fail"</formula>
    </cfRule>
  </conditionalFormatting>
  <conditionalFormatting sqref="I1492:L1492">
    <cfRule type="cellIs" dxfId="258" priority="253" stopIfTrue="1" operator="equal">
      <formula>"Pass"</formula>
    </cfRule>
    <cfRule type="cellIs" dxfId="257" priority="254" stopIfTrue="1" operator="equal">
      <formula>"Fail"</formula>
    </cfRule>
  </conditionalFormatting>
  <conditionalFormatting sqref="I1492:L1492">
    <cfRule type="cellIs" dxfId="256" priority="251" stopIfTrue="1" operator="equal">
      <formula>"Pass"</formula>
    </cfRule>
    <cfRule type="cellIs" dxfId="255" priority="252" stopIfTrue="1" operator="equal">
      <formula>"Fail"</formula>
    </cfRule>
  </conditionalFormatting>
  <conditionalFormatting sqref="I1492:L1492">
    <cfRule type="cellIs" dxfId="254" priority="249" stopIfTrue="1" operator="equal">
      <formula>"Pass"</formula>
    </cfRule>
    <cfRule type="cellIs" dxfId="253" priority="250" stopIfTrue="1" operator="equal">
      <formula>"Fail"</formula>
    </cfRule>
  </conditionalFormatting>
  <conditionalFormatting sqref="I1492:L1492">
    <cfRule type="cellIs" dxfId="252" priority="247" stopIfTrue="1" operator="equal">
      <formula>"Pass"</formula>
    </cfRule>
    <cfRule type="cellIs" dxfId="251" priority="248" stopIfTrue="1" operator="equal">
      <formula>"Fail"</formula>
    </cfRule>
  </conditionalFormatting>
  <conditionalFormatting sqref="I1492:L1492">
    <cfRule type="cellIs" dxfId="250" priority="245" stopIfTrue="1" operator="equal">
      <formula>"Pass"</formula>
    </cfRule>
    <cfRule type="cellIs" dxfId="249" priority="246" stopIfTrue="1" operator="equal">
      <formula>"Fail"</formula>
    </cfRule>
  </conditionalFormatting>
  <conditionalFormatting sqref="I1492:L1492">
    <cfRule type="cellIs" dxfId="248" priority="243" stopIfTrue="1" operator="equal">
      <formula>"Pass"</formula>
    </cfRule>
    <cfRule type="cellIs" dxfId="247" priority="244" stopIfTrue="1" operator="equal">
      <formula>"Fail"</formula>
    </cfRule>
  </conditionalFormatting>
  <conditionalFormatting sqref="J1492:L1492">
    <cfRule type="cellIs" dxfId="246" priority="241" stopIfTrue="1" operator="equal">
      <formula>"Pass"</formula>
    </cfRule>
    <cfRule type="cellIs" dxfId="245" priority="242" stopIfTrue="1" operator="equal">
      <formula>"Fail"</formula>
    </cfRule>
  </conditionalFormatting>
  <conditionalFormatting sqref="I1492">
    <cfRule type="cellIs" dxfId="244" priority="239" stopIfTrue="1" operator="equal">
      <formula>"Pass"</formula>
    </cfRule>
    <cfRule type="cellIs" dxfId="243" priority="240" stopIfTrue="1" operator="equal">
      <formula>"Fail"</formula>
    </cfRule>
  </conditionalFormatting>
  <conditionalFormatting sqref="I1492:L1492">
    <cfRule type="cellIs" dxfId="242" priority="237" stopIfTrue="1" operator="equal">
      <formula>"Pass"</formula>
    </cfRule>
    <cfRule type="cellIs" dxfId="241" priority="238" stopIfTrue="1" operator="equal">
      <formula>"Fail"</formula>
    </cfRule>
  </conditionalFormatting>
  <conditionalFormatting sqref="J1492:L1492">
    <cfRule type="cellIs" dxfId="240" priority="235" stopIfTrue="1" operator="equal">
      <formula>"Pass"</formula>
    </cfRule>
    <cfRule type="cellIs" dxfId="239" priority="236" stopIfTrue="1" operator="equal">
      <formula>"Fail"</formula>
    </cfRule>
  </conditionalFormatting>
  <conditionalFormatting sqref="I1492">
    <cfRule type="cellIs" dxfId="238" priority="233" stopIfTrue="1" operator="equal">
      <formula>"Pass"</formula>
    </cfRule>
    <cfRule type="cellIs" dxfId="237" priority="234" stopIfTrue="1" operator="equal">
      <formula>"Fail"</formula>
    </cfRule>
  </conditionalFormatting>
  <conditionalFormatting sqref="I1492:L1492">
    <cfRule type="cellIs" dxfId="236" priority="231" stopIfTrue="1" operator="equal">
      <formula>"Pass"</formula>
    </cfRule>
    <cfRule type="cellIs" dxfId="235" priority="232" stopIfTrue="1" operator="equal">
      <formula>"Fail"</formula>
    </cfRule>
  </conditionalFormatting>
  <conditionalFormatting sqref="I1492:L1492">
    <cfRule type="cellIs" dxfId="234" priority="229" stopIfTrue="1" operator="equal">
      <formula>"Pass"</formula>
    </cfRule>
    <cfRule type="cellIs" dxfId="233" priority="230" stopIfTrue="1" operator="equal">
      <formula>"Fail"</formula>
    </cfRule>
  </conditionalFormatting>
  <conditionalFormatting sqref="I1492:L1492">
    <cfRule type="cellIs" dxfId="232" priority="227" stopIfTrue="1" operator="equal">
      <formula>"Pass"</formula>
    </cfRule>
    <cfRule type="cellIs" dxfId="231" priority="228" stopIfTrue="1" operator="equal">
      <formula>"Fail"</formula>
    </cfRule>
  </conditionalFormatting>
  <conditionalFormatting sqref="I1492:L1492">
    <cfRule type="cellIs" dxfId="230" priority="225" stopIfTrue="1" operator="equal">
      <formula>"Pass"</formula>
    </cfRule>
    <cfRule type="cellIs" dxfId="229" priority="226" stopIfTrue="1" operator="equal">
      <formula>"Fail"</formula>
    </cfRule>
  </conditionalFormatting>
  <conditionalFormatting sqref="I1492:L1492">
    <cfRule type="cellIs" dxfId="228" priority="223" stopIfTrue="1" operator="equal">
      <formula>"Pass"</formula>
    </cfRule>
    <cfRule type="cellIs" dxfId="227" priority="224" stopIfTrue="1" operator="equal">
      <formula>"Fail"</formula>
    </cfRule>
  </conditionalFormatting>
  <conditionalFormatting sqref="I1492:L1492">
    <cfRule type="cellIs" dxfId="226" priority="221" stopIfTrue="1" operator="equal">
      <formula>"Pass"</formula>
    </cfRule>
    <cfRule type="cellIs" dxfId="225" priority="222" stopIfTrue="1" operator="equal">
      <formula>"Fail"</formula>
    </cfRule>
  </conditionalFormatting>
  <conditionalFormatting sqref="I1492:L1492">
    <cfRule type="cellIs" dxfId="224" priority="219" stopIfTrue="1" operator="equal">
      <formula>"Pass"</formula>
    </cfRule>
    <cfRule type="cellIs" dxfId="223" priority="220" stopIfTrue="1" operator="equal">
      <formula>"Fail"</formula>
    </cfRule>
  </conditionalFormatting>
  <conditionalFormatting sqref="I1492:L1492">
    <cfRule type="cellIs" dxfId="222" priority="217" stopIfTrue="1" operator="equal">
      <formula>"Pass"</formula>
    </cfRule>
    <cfRule type="cellIs" dxfId="221" priority="218" stopIfTrue="1" operator="equal">
      <formula>"Fail"</formula>
    </cfRule>
  </conditionalFormatting>
  <conditionalFormatting sqref="I1492:L1492">
    <cfRule type="cellIs" dxfId="220" priority="215" stopIfTrue="1" operator="equal">
      <formula>"Pass"</formula>
    </cfRule>
    <cfRule type="cellIs" dxfId="219" priority="216" stopIfTrue="1" operator="equal">
      <formula>"Fail"</formula>
    </cfRule>
  </conditionalFormatting>
  <conditionalFormatting sqref="I1492:L1492">
    <cfRule type="cellIs" dxfId="218" priority="213" stopIfTrue="1" operator="equal">
      <formula>"Pass"</formula>
    </cfRule>
    <cfRule type="cellIs" dxfId="217" priority="214" stopIfTrue="1" operator="equal">
      <formula>"Fail"</formula>
    </cfRule>
  </conditionalFormatting>
  <conditionalFormatting sqref="I1492:L1492">
    <cfRule type="cellIs" dxfId="216" priority="211" stopIfTrue="1" operator="equal">
      <formula>"Pass"</formula>
    </cfRule>
    <cfRule type="cellIs" dxfId="215" priority="212" stopIfTrue="1" operator="equal">
      <formula>"Fail"</formula>
    </cfRule>
  </conditionalFormatting>
  <conditionalFormatting sqref="I1492:L1492">
    <cfRule type="cellIs" dxfId="214" priority="209" stopIfTrue="1" operator="equal">
      <formula>"Pass"</formula>
    </cfRule>
    <cfRule type="cellIs" dxfId="213" priority="210" stopIfTrue="1" operator="equal">
      <formula>"Fail"</formula>
    </cfRule>
  </conditionalFormatting>
  <conditionalFormatting sqref="I1492:L1492">
    <cfRule type="cellIs" dxfId="212" priority="207" stopIfTrue="1" operator="equal">
      <formula>"Pass"</formula>
    </cfRule>
    <cfRule type="cellIs" dxfId="211" priority="208" stopIfTrue="1" operator="equal">
      <formula>"Fail"</formula>
    </cfRule>
  </conditionalFormatting>
  <conditionalFormatting sqref="I1492:L1492">
    <cfRule type="cellIs" dxfId="210" priority="205" stopIfTrue="1" operator="equal">
      <formula>"Pass"</formula>
    </cfRule>
    <cfRule type="cellIs" dxfId="209" priority="206" stopIfTrue="1" operator="equal">
      <formula>"Fail"</formula>
    </cfRule>
  </conditionalFormatting>
  <conditionalFormatting sqref="I1492:L1492">
    <cfRule type="cellIs" dxfId="208" priority="203" stopIfTrue="1" operator="equal">
      <formula>"Pass"</formula>
    </cfRule>
    <cfRule type="cellIs" dxfId="207" priority="204" stopIfTrue="1" operator="equal">
      <formula>"Fail"</formula>
    </cfRule>
  </conditionalFormatting>
  <conditionalFormatting sqref="H1492:L1492">
    <cfRule type="cellIs" dxfId="206" priority="201" stopIfTrue="1" operator="equal">
      <formula>"Pass"</formula>
    </cfRule>
    <cfRule type="cellIs" dxfId="205" priority="202" stopIfTrue="1" operator="equal">
      <formula>"Fail"</formula>
    </cfRule>
  </conditionalFormatting>
  <conditionalFormatting sqref="H1492">
    <cfRule type="cellIs" dxfId="204" priority="199" stopIfTrue="1" operator="equal">
      <formula>"Pass"</formula>
    </cfRule>
    <cfRule type="cellIs" dxfId="203" priority="200" stopIfTrue="1" operator="equal">
      <formula>"Fail"</formula>
    </cfRule>
  </conditionalFormatting>
  <conditionalFormatting sqref="H1492">
    <cfRule type="cellIs" dxfId="202" priority="197" stopIfTrue="1" operator="equal">
      <formula>"Pass"</formula>
    </cfRule>
    <cfRule type="cellIs" dxfId="201" priority="198" stopIfTrue="1" operator="equal">
      <formula>"Fail"</formula>
    </cfRule>
  </conditionalFormatting>
  <conditionalFormatting sqref="H1492:L1492">
    <cfRule type="cellIs" dxfId="200" priority="195" stopIfTrue="1" operator="equal">
      <formula>"Pass"</formula>
    </cfRule>
    <cfRule type="cellIs" dxfId="199" priority="196" stopIfTrue="1" operator="equal">
      <formula>"Fail"</formula>
    </cfRule>
  </conditionalFormatting>
  <conditionalFormatting sqref="H1492">
    <cfRule type="cellIs" dxfId="198" priority="193" stopIfTrue="1" operator="equal">
      <formula>"Pass"</formula>
    </cfRule>
    <cfRule type="cellIs" dxfId="197" priority="194" stopIfTrue="1" operator="equal">
      <formula>"Fail"</formula>
    </cfRule>
  </conditionalFormatting>
  <conditionalFormatting sqref="H1492">
    <cfRule type="cellIs" dxfId="196" priority="191" stopIfTrue="1" operator="equal">
      <formula>"Pass"</formula>
    </cfRule>
    <cfRule type="cellIs" dxfId="195" priority="192" stopIfTrue="1" operator="equal">
      <formula>"Fail"</formula>
    </cfRule>
  </conditionalFormatting>
  <conditionalFormatting sqref="H1492:L1492">
    <cfRule type="cellIs" dxfId="194" priority="189" stopIfTrue="1" operator="equal">
      <formula>"Pass"</formula>
    </cfRule>
    <cfRule type="cellIs" dxfId="193" priority="190" stopIfTrue="1" operator="equal">
      <formula>"Fail"</formula>
    </cfRule>
  </conditionalFormatting>
  <conditionalFormatting sqref="H1492">
    <cfRule type="cellIs" dxfId="192" priority="187" stopIfTrue="1" operator="equal">
      <formula>"Pass"</formula>
    </cfRule>
    <cfRule type="cellIs" dxfId="191" priority="188" stopIfTrue="1" operator="equal">
      <formula>"Fail"</formula>
    </cfRule>
  </conditionalFormatting>
  <conditionalFormatting sqref="H1492">
    <cfRule type="cellIs" dxfId="190" priority="185" stopIfTrue="1" operator="equal">
      <formula>"Pass"</formula>
    </cfRule>
    <cfRule type="cellIs" dxfId="189" priority="186" stopIfTrue="1" operator="equal">
      <formula>"Fail"</formula>
    </cfRule>
  </conditionalFormatting>
  <conditionalFormatting sqref="H1492:L1492">
    <cfRule type="cellIs" dxfId="188" priority="183" stopIfTrue="1" operator="equal">
      <formula>"Pass"</formula>
    </cfRule>
    <cfRule type="cellIs" dxfId="187" priority="184" stopIfTrue="1" operator="equal">
      <formula>"Fail"</formula>
    </cfRule>
  </conditionalFormatting>
  <conditionalFormatting sqref="H1492:L1492">
    <cfRule type="cellIs" dxfId="186" priority="181" stopIfTrue="1" operator="equal">
      <formula>"Pass"</formula>
    </cfRule>
    <cfRule type="cellIs" dxfId="185" priority="182" stopIfTrue="1" operator="equal">
      <formula>"Fail"</formula>
    </cfRule>
  </conditionalFormatting>
  <conditionalFormatting sqref="H1492:L1492">
    <cfRule type="cellIs" dxfId="184" priority="179" stopIfTrue="1" operator="equal">
      <formula>"Pass"</formula>
    </cfRule>
    <cfRule type="cellIs" dxfId="183" priority="180" stopIfTrue="1" operator="equal">
      <formula>"Fail"</formula>
    </cfRule>
  </conditionalFormatting>
  <conditionalFormatting sqref="H1492:L1492">
    <cfRule type="cellIs" dxfId="182" priority="177" stopIfTrue="1" operator="equal">
      <formula>"Pass"</formula>
    </cfRule>
    <cfRule type="cellIs" dxfId="181" priority="178" stopIfTrue="1" operator="equal">
      <formula>"Fail"</formula>
    </cfRule>
  </conditionalFormatting>
  <conditionalFormatting sqref="H1492:L1492">
    <cfRule type="cellIs" dxfId="180" priority="175" stopIfTrue="1" operator="equal">
      <formula>"Pass"</formula>
    </cfRule>
    <cfRule type="cellIs" dxfId="179" priority="176" stopIfTrue="1" operator="equal">
      <formula>"Fail"</formula>
    </cfRule>
  </conditionalFormatting>
  <conditionalFormatting sqref="H1492:L1492">
    <cfRule type="cellIs" dxfId="178" priority="173" stopIfTrue="1" operator="equal">
      <formula>"Pass"</formula>
    </cfRule>
    <cfRule type="cellIs" dxfId="177" priority="174" stopIfTrue="1" operator="equal">
      <formula>"Fail"</formula>
    </cfRule>
  </conditionalFormatting>
  <conditionalFormatting sqref="I1492:L1492">
    <cfRule type="cellIs" dxfId="176" priority="171" stopIfTrue="1" operator="equal">
      <formula>"Pass"</formula>
    </cfRule>
    <cfRule type="cellIs" dxfId="175" priority="172" stopIfTrue="1" operator="equal">
      <formula>"Fail"</formula>
    </cfRule>
  </conditionalFormatting>
  <conditionalFormatting sqref="I1492:L1492">
    <cfRule type="cellIs" dxfId="174" priority="169" stopIfTrue="1" operator="equal">
      <formula>"Pass"</formula>
    </cfRule>
    <cfRule type="cellIs" dxfId="173" priority="170" stopIfTrue="1" operator="equal">
      <formula>"Fail"</formula>
    </cfRule>
  </conditionalFormatting>
  <conditionalFormatting sqref="I1492:L1492">
    <cfRule type="cellIs" dxfId="172" priority="167" stopIfTrue="1" operator="equal">
      <formula>"Pass"</formula>
    </cfRule>
    <cfRule type="cellIs" dxfId="171" priority="168" stopIfTrue="1" operator="equal">
      <formula>"Fail"</formula>
    </cfRule>
  </conditionalFormatting>
  <conditionalFormatting sqref="I1492:L1492">
    <cfRule type="cellIs" dxfId="170" priority="165" stopIfTrue="1" operator="equal">
      <formula>"Pass"</formula>
    </cfRule>
    <cfRule type="cellIs" dxfId="169" priority="166" stopIfTrue="1" operator="equal">
      <formula>"Fail"</formula>
    </cfRule>
  </conditionalFormatting>
  <conditionalFormatting sqref="I1492:L1492">
    <cfRule type="cellIs" dxfId="168" priority="163" stopIfTrue="1" operator="equal">
      <formula>"Pass"</formula>
    </cfRule>
    <cfRule type="cellIs" dxfId="167" priority="164" stopIfTrue="1" operator="equal">
      <formula>"Fail"</formula>
    </cfRule>
  </conditionalFormatting>
  <conditionalFormatting sqref="I1492:L1492">
    <cfRule type="cellIs" dxfId="166" priority="161" stopIfTrue="1" operator="equal">
      <formula>"Pass"</formula>
    </cfRule>
    <cfRule type="cellIs" dxfId="165" priority="162" stopIfTrue="1" operator="equal">
      <formula>"Fail"</formula>
    </cfRule>
  </conditionalFormatting>
  <conditionalFormatting sqref="I1492:L1492">
    <cfRule type="cellIs" dxfId="164" priority="159" stopIfTrue="1" operator="equal">
      <formula>"Pass"</formula>
    </cfRule>
    <cfRule type="cellIs" dxfId="163" priority="160" stopIfTrue="1" operator="equal">
      <formula>"Fail"</formula>
    </cfRule>
  </conditionalFormatting>
  <conditionalFormatting sqref="I1492:L1492">
    <cfRule type="cellIs" dxfId="162" priority="157" stopIfTrue="1" operator="equal">
      <formula>"Pass"</formula>
    </cfRule>
    <cfRule type="cellIs" dxfId="161" priority="158" stopIfTrue="1" operator="equal">
      <formula>"Fail"</formula>
    </cfRule>
  </conditionalFormatting>
  <conditionalFormatting sqref="I1492:L1492">
    <cfRule type="cellIs" dxfId="160" priority="155" stopIfTrue="1" operator="equal">
      <formula>"Pass"</formula>
    </cfRule>
    <cfRule type="cellIs" dxfId="159" priority="156" stopIfTrue="1" operator="equal">
      <formula>"Fail"</formula>
    </cfRule>
  </conditionalFormatting>
  <conditionalFormatting sqref="I1492:L1492">
    <cfRule type="cellIs" dxfId="158" priority="153" stopIfTrue="1" operator="equal">
      <formula>"Pass"</formula>
    </cfRule>
    <cfRule type="cellIs" dxfId="157" priority="154" stopIfTrue="1" operator="equal">
      <formula>"Fail"</formula>
    </cfRule>
  </conditionalFormatting>
  <conditionalFormatting sqref="I1492:L1492">
    <cfRule type="cellIs" dxfId="156" priority="151" stopIfTrue="1" operator="equal">
      <formula>"Pass"</formula>
    </cfRule>
    <cfRule type="cellIs" dxfId="155" priority="152" stopIfTrue="1" operator="equal">
      <formula>"Fail"</formula>
    </cfRule>
  </conditionalFormatting>
  <conditionalFormatting sqref="J1492:L1492">
    <cfRule type="cellIs" dxfId="154" priority="149" stopIfTrue="1" operator="equal">
      <formula>"Pass"</formula>
    </cfRule>
    <cfRule type="cellIs" dxfId="153" priority="150" stopIfTrue="1" operator="equal">
      <formula>"Fail"</formula>
    </cfRule>
  </conditionalFormatting>
  <conditionalFormatting sqref="I1492">
    <cfRule type="cellIs" dxfId="152" priority="147" stopIfTrue="1" operator="equal">
      <formula>"Pass"</formula>
    </cfRule>
    <cfRule type="cellIs" dxfId="151" priority="148" stopIfTrue="1" operator="equal">
      <formula>"Fail"</formula>
    </cfRule>
  </conditionalFormatting>
  <conditionalFormatting sqref="I1492:L1492">
    <cfRule type="cellIs" dxfId="150" priority="145" stopIfTrue="1" operator="equal">
      <formula>"Pass"</formula>
    </cfRule>
    <cfRule type="cellIs" dxfId="149" priority="146" stopIfTrue="1" operator="equal">
      <formula>"Fail"</formula>
    </cfRule>
  </conditionalFormatting>
  <conditionalFormatting sqref="J1492:L1492">
    <cfRule type="cellIs" dxfId="148" priority="143" stopIfTrue="1" operator="equal">
      <formula>"Pass"</formula>
    </cfRule>
    <cfRule type="cellIs" dxfId="147" priority="144" stopIfTrue="1" operator="equal">
      <formula>"Fail"</formula>
    </cfRule>
  </conditionalFormatting>
  <conditionalFormatting sqref="I1492">
    <cfRule type="cellIs" dxfId="146" priority="141" stopIfTrue="1" operator="equal">
      <formula>"Pass"</formula>
    </cfRule>
    <cfRule type="cellIs" dxfId="145" priority="142" stopIfTrue="1" operator="equal">
      <formula>"Fail"</formula>
    </cfRule>
  </conditionalFormatting>
  <conditionalFormatting sqref="I1492:L1492">
    <cfRule type="cellIs" dxfId="144" priority="139" stopIfTrue="1" operator="equal">
      <formula>"Pass"</formula>
    </cfRule>
    <cfRule type="cellIs" dxfId="143" priority="140" stopIfTrue="1" operator="equal">
      <formula>"Fail"</formula>
    </cfRule>
  </conditionalFormatting>
  <conditionalFormatting sqref="I1492:L1492">
    <cfRule type="cellIs" dxfId="142" priority="137" stopIfTrue="1" operator="equal">
      <formula>"Pass"</formula>
    </cfRule>
    <cfRule type="cellIs" dxfId="141" priority="138" stopIfTrue="1" operator="equal">
      <formula>"Fail"</formula>
    </cfRule>
  </conditionalFormatting>
  <conditionalFormatting sqref="I1492:L1492">
    <cfRule type="cellIs" dxfId="140" priority="135" stopIfTrue="1" operator="equal">
      <formula>"Pass"</formula>
    </cfRule>
    <cfRule type="cellIs" dxfId="139" priority="136" stopIfTrue="1" operator="equal">
      <formula>"Fail"</formula>
    </cfRule>
  </conditionalFormatting>
  <conditionalFormatting sqref="I1492:L1492">
    <cfRule type="cellIs" dxfId="138" priority="133" stopIfTrue="1" operator="equal">
      <formula>"Pass"</formula>
    </cfRule>
    <cfRule type="cellIs" dxfId="137" priority="134" stopIfTrue="1" operator="equal">
      <formula>"Fail"</formula>
    </cfRule>
  </conditionalFormatting>
  <conditionalFormatting sqref="I1492:L1492">
    <cfRule type="cellIs" dxfId="136" priority="131" stopIfTrue="1" operator="equal">
      <formula>"Pass"</formula>
    </cfRule>
    <cfRule type="cellIs" dxfId="135" priority="132" stopIfTrue="1" operator="equal">
      <formula>"Fail"</formula>
    </cfRule>
  </conditionalFormatting>
  <conditionalFormatting sqref="J1492:L1492">
    <cfRule type="cellIs" dxfId="134" priority="129" stopIfTrue="1" operator="equal">
      <formula>"Pass"</formula>
    </cfRule>
    <cfRule type="cellIs" dxfId="133" priority="130" stopIfTrue="1" operator="equal">
      <formula>"Fail"</formula>
    </cfRule>
  </conditionalFormatting>
  <conditionalFormatting sqref="I1492">
    <cfRule type="cellIs" dxfId="132" priority="127" stopIfTrue="1" operator="equal">
      <formula>"Pass"</formula>
    </cfRule>
    <cfRule type="cellIs" dxfId="131" priority="128" stopIfTrue="1" operator="equal">
      <formula>"Fail"</formula>
    </cfRule>
  </conditionalFormatting>
  <conditionalFormatting sqref="I1492:L1492">
    <cfRule type="cellIs" dxfId="130" priority="125" stopIfTrue="1" operator="equal">
      <formula>"Pass"</formula>
    </cfRule>
    <cfRule type="cellIs" dxfId="129" priority="126" stopIfTrue="1" operator="equal">
      <formula>"Fail"</formula>
    </cfRule>
  </conditionalFormatting>
  <conditionalFormatting sqref="J1492:L1492">
    <cfRule type="cellIs" dxfId="128" priority="123" stopIfTrue="1" operator="equal">
      <formula>"Pass"</formula>
    </cfRule>
    <cfRule type="cellIs" dxfId="127" priority="124" stopIfTrue="1" operator="equal">
      <formula>"Fail"</formula>
    </cfRule>
  </conditionalFormatting>
  <conditionalFormatting sqref="I1492">
    <cfRule type="cellIs" dxfId="126" priority="121" stopIfTrue="1" operator="equal">
      <formula>"Pass"</formula>
    </cfRule>
    <cfRule type="cellIs" dxfId="125" priority="122" stopIfTrue="1" operator="equal">
      <formula>"Fail"</formula>
    </cfRule>
  </conditionalFormatting>
  <conditionalFormatting sqref="I1492:L1492">
    <cfRule type="cellIs" dxfId="124" priority="119" stopIfTrue="1" operator="equal">
      <formula>"Pass"</formula>
    </cfRule>
    <cfRule type="cellIs" dxfId="123" priority="120" stopIfTrue="1" operator="equal">
      <formula>"Fail"</formula>
    </cfRule>
  </conditionalFormatting>
  <conditionalFormatting sqref="I1492:L1492">
    <cfRule type="cellIs" dxfId="122" priority="117" stopIfTrue="1" operator="equal">
      <formula>"Pass"</formula>
    </cfRule>
    <cfRule type="cellIs" dxfId="121" priority="118" stopIfTrue="1" operator="equal">
      <formula>"Fail"</formula>
    </cfRule>
  </conditionalFormatting>
  <conditionalFormatting sqref="I1492:L1492">
    <cfRule type="cellIs" dxfId="120" priority="115" stopIfTrue="1" operator="equal">
      <formula>"Pass"</formula>
    </cfRule>
    <cfRule type="cellIs" dxfId="119" priority="116" stopIfTrue="1" operator="equal">
      <formula>"Fail"</formula>
    </cfRule>
  </conditionalFormatting>
  <conditionalFormatting sqref="I1492:L1492">
    <cfRule type="cellIs" dxfId="118" priority="113" stopIfTrue="1" operator="equal">
      <formula>"Pass"</formula>
    </cfRule>
    <cfRule type="cellIs" dxfId="117" priority="114" stopIfTrue="1" operator="equal">
      <formula>"Fail"</formula>
    </cfRule>
  </conditionalFormatting>
  <conditionalFormatting sqref="I1492:L1492">
    <cfRule type="cellIs" dxfId="116" priority="111" stopIfTrue="1" operator="equal">
      <formula>"Pass"</formula>
    </cfRule>
    <cfRule type="cellIs" dxfId="115" priority="112" stopIfTrue="1" operator="equal">
      <formula>"Fail"</formula>
    </cfRule>
  </conditionalFormatting>
  <conditionalFormatting sqref="I1492:L1492">
    <cfRule type="cellIs" dxfId="114" priority="109" stopIfTrue="1" operator="equal">
      <formula>"Pass"</formula>
    </cfRule>
    <cfRule type="cellIs" dxfId="113" priority="110" stopIfTrue="1" operator="equal">
      <formula>"Fail"</formula>
    </cfRule>
  </conditionalFormatting>
  <conditionalFormatting sqref="I1492:L1492">
    <cfRule type="cellIs" dxfId="112" priority="107" stopIfTrue="1" operator="equal">
      <formula>"Pass"</formula>
    </cfRule>
    <cfRule type="cellIs" dxfId="111" priority="108" stopIfTrue="1" operator="equal">
      <formula>"Fail"</formula>
    </cfRule>
  </conditionalFormatting>
  <conditionalFormatting sqref="I1492:L1492">
    <cfRule type="cellIs" dxfId="110" priority="105" stopIfTrue="1" operator="equal">
      <formula>"Pass"</formula>
    </cfRule>
    <cfRule type="cellIs" dxfId="109" priority="106" stopIfTrue="1" operator="equal">
      <formula>"Fail"</formula>
    </cfRule>
  </conditionalFormatting>
  <conditionalFormatting sqref="I1492:L1492">
    <cfRule type="cellIs" dxfId="108" priority="103" stopIfTrue="1" operator="equal">
      <formula>"Pass"</formula>
    </cfRule>
    <cfRule type="cellIs" dxfId="107" priority="104" stopIfTrue="1" operator="equal">
      <formula>"Fail"</formula>
    </cfRule>
  </conditionalFormatting>
  <conditionalFormatting sqref="I1492:L1492">
    <cfRule type="cellIs" dxfId="106" priority="101" stopIfTrue="1" operator="equal">
      <formula>"Pass"</formula>
    </cfRule>
    <cfRule type="cellIs" dxfId="105" priority="102" stopIfTrue="1" operator="equal">
      <formula>"Fail"</formula>
    </cfRule>
  </conditionalFormatting>
  <conditionalFormatting sqref="J1492:L1492">
    <cfRule type="cellIs" dxfId="104" priority="99" stopIfTrue="1" operator="equal">
      <formula>"Pass"</formula>
    </cfRule>
    <cfRule type="cellIs" dxfId="103" priority="100" stopIfTrue="1" operator="equal">
      <formula>"Fail"</formula>
    </cfRule>
  </conditionalFormatting>
  <conditionalFormatting sqref="I1492">
    <cfRule type="cellIs" dxfId="102" priority="97" stopIfTrue="1" operator="equal">
      <formula>"Pass"</formula>
    </cfRule>
    <cfRule type="cellIs" dxfId="101" priority="98" stopIfTrue="1" operator="equal">
      <formula>"Fail"</formula>
    </cfRule>
  </conditionalFormatting>
  <conditionalFormatting sqref="I1492:L1492">
    <cfRule type="cellIs" dxfId="100" priority="95" stopIfTrue="1" operator="equal">
      <formula>"Pass"</formula>
    </cfRule>
    <cfRule type="cellIs" dxfId="99" priority="96" stopIfTrue="1" operator="equal">
      <formula>"Fail"</formula>
    </cfRule>
  </conditionalFormatting>
  <conditionalFormatting sqref="J1492:L1492">
    <cfRule type="cellIs" dxfId="98" priority="93" stopIfTrue="1" operator="equal">
      <formula>"Pass"</formula>
    </cfRule>
    <cfRule type="cellIs" dxfId="97" priority="94" stopIfTrue="1" operator="equal">
      <formula>"Fail"</formula>
    </cfRule>
  </conditionalFormatting>
  <conditionalFormatting sqref="I1492">
    <cfRule type="cellIs" dxfId="96" priority="91" stopIfTrue="1" operator="equal">
      <formula>"Pass"</formula>
    </cfRule>
    <cfRule type="cellIs" dxfId="95" priority="92" stopIfTrue="1" operator="equal">
      <formula>"Fail"</formula>
    </cfRule>
  </conditionalFormatting>
  <conditionalFormatting sqref="I1492:L1492">
    <cfRule type="cellIs" dxfId="94" priority="89" stopIfTrue="1" operator="equal">
      <formula>"Pass"</formula>
    </cfRule>
    <cfRule type="cellIs" dxfId="93" priority="90" stopIfTrue="1" operator="equal">
      <formula>"Fail"</formula>
    </cfRule>
  </conditionalFormatting>
  <conditionalFormatting sqref="I1492:L1492">
    <cfRule type="cellIs" dxfId="92" priority="87" stopIfTrue="1" operator="equal">
      <formula>"Pass"</formula>
    </cfRule>
    <cfRule type="cellIs" dxfId="91" priority="88" stopIfTrue="1" operator="equal">
      <formula>"Fail"</formula>
    </cfRule>
  </conditionalFormatting>
  <conditionalFormatting sqref="I1492:L1492">
    <cfRule type="cellIs" dxfId="90" priority="85" stopIfTrue="1" operator="equal">
      <formula>"Pass"</formula>
    </cfRule>
    <cfRule type="cellIs" dxfId="89" priority="86" stopIfTrue="1" operator="equal">
      <formula>"Fail"</formula>
    </cfRule>
  </conditionalFormatting>
  <conditionalFormatting sqref="I1492:L1492">
    <cfRule type="cellIs" dxfId="88" priority="83" stopIfTrue="1" operator="equal">
      <formula>"Pass"</formula>
    </cfRule>
    <cfRule type="cellIs" dxfId="87" priority="84" stopIfTrue="1" operator="equal">
      <formula>"Fail"</formula>
    </cfRule>
  </conditionalFormatting>
  <conditionalFormatting sqref="I1492:L1492">
    <cfRule type="cellIs" dxfId="86" priority="81" stopIfTrue="1" operator="equal">
      <formula>"Pass"</formula>
    </cfRule>
    <cfRule type="cellIs" dxfId="85" priority="82" stopIfTrue="1" operator="equal">
      <formula>"Fail"</formula>
    </cfRule>
  </conditionalFormatting>
  <conditionalFormatting sqref="I1492:L1492">
    <cfRule type="cellIs" dxfId="84" priority="79" stopIfTrue="1" operator="equal">
      <formula>"Pass"</formula>
    </cfRule>
    <cfRule type="cellIs" dxfId="83" priority="80" stopIfTrue="1" operator="equal">
      <formula>"Fail"</formula>
    </cfRule>
  </conditionalFormatting>
  <conditionalFormatting sqref="I1492:L1492">
    <cfRule type="cellIs" dxfId="82" priority="77" stopIfTrue="1" operator="equal">
      <formula>"Pass"</formula>
    </cfRule>
    <cfRule type="cellIs" dxfId="81" priority="78" stopIfTrue="1" operator="equal">
      <formula>"Fail"</formula>
    </cfRule>
  </conditionalFormatting>
  <conditionalFormatting sqref="I1492:L1492">
    <cfRule type="cellIs" dxfId="80" priority="75" stopIfTrue="1" operator="equal">
      <formula>"Pass"</formula>
    </cfRule>
    <cfRule type="cellIs" dxfId="79" priority="76" stopIfTrue="1" operator="equal">
      <formula>"Fail"</formula>
    </cfRule>
  </conditionalFormatting>
  <conditionalFormatting sqref="I1492:L1492">
    <cfRule type="cellIs" dxfId="78" priority="73" stopIfTrue="1" operator="equal">
      <formula>"Pass"</formula>
    </cfRule>
    <cfRule type="cellIs" dxfId="77" priority="74" stopIfTrue="1" operator="equal">
      <formula>"Fail"</formula>
    </cfRule>
  </conditionalFormatting>
  <conditionalFormatting sqref="I1492:L1492">
    <cfRule type="cellIs" dxfId="76" priority="71" stopIfTrue="1" operator="equal">
      <formula>"Pass"</formula>
    </cfRule>
    <cfRule type="cellIs" dxfId="75" priority="72" stopIfTrue="1" operator="equal">
      <formula>"Fail"</formula>
    </cfRule>
  </conditionalFormatting>
  <conditionalFormatting sqref="J1492:L1492">
    <cfRule type="cellIs" dxfId="74" priority="69" stopIfTrue="1" operator="equal">
      <formula>"Pass"</formula>
    </cfRule>
    <cfRule type="cellIs" dxfId="73" priority="70" stopIfTrue="1" operator="equal">
      <formula>"Fail"</formula>
    </cfRule>
  </conditionalFormatting>
  <conditionalFormatting sqref="I1492">
    <cfRule type="cellIs" dxfId="72" priority="67" stopIfTrue="1" operator="equal">
      <formula>"Pass"</formula>
    </cfRule>
    <cfRule type="cellIs" dxfId="71" priority="68" stopIfTrue="1" operator="equal">
      <formula>"Fail"</formula>
    </cfRule>
  </conditionalFormatting>
  <conditionalFormatting sqref="I1492:L1492">
    <cfRule type="cellIs" dxfId="70" priority="65" stopIfTrue="1" operator="equal">
      <formula>"Pass"</formula>
    </cfRule>
    <cfRule type="cellIs" dxfId="69" priority="66" stopIfTrue="1" operator="equal">
      <formula>"Fail"</formula>
    </cfRule>
  </conditionalFormatting>
  <conditionalFormatting sqref="J1492:L1492">
    <cfRule type="cellIs" dxfId="68" priority="63" stopIfTrue="1" operator="equal">
      <formula>"Pass"</formula>
    </cfRule>
    <cfRule type="cellIs" dxfId="67" priority="64" stopIfTrue="1" operator="equal">
      <formula>"Fail"</formula>
    </cfRule>
  </conditionalFormatting>
  <conditionalFormatting sqref="I1492">
    <cfRule type="cellIs" dxfId="66" priority="61" stopIfTrue="1" operator="equal">
      <formula>"Pass"</formula>
    </cfRule>
    <cfRule type="cellIs" dxfId="65" priority="62" stopIfTrue="1" operator="equal">
      <formula>"Fail"</formula>
    </cfRule>
  </conditionalFormatting>
  <conditionalFormatting sqref="I1492:L1492">
    <cfRule type="cellIs" dxfId="64" priority="59" stopIfTrue="1" operator="equal">
      <formula>"Pass"</formula>
    </cfRule>
    <cfRule type="cellIs" dxfId="63" priority="60" stopIfTrue="1" operator="equal">
      <formula>"Fail"</formula>
    </cfRule>
  </conditionalFormatting>
  <conditionalFormatting sqref="I1492:L1492">
    <cfRule type="cellIs" dxfId="62" priority="57" stopIfTrue="1" operator="equal">
      <formula>"Pass"</formula>
    </cfRule>
    <cfRule type="cellIs" dxfId="61" priority="58" stopIfTrue="1" operator="equal">
      <formula>"Fail"</formula>
    </cfRule>
  </conditionalFormatting>
  <conditionalFormatting sqref="I1492:L1492">
    <cfRule type="cellIs" dxfId="60" priority="55" stopIfTrue="1" operator="equal">
      <formula>"Pass"</formula>
    </cfRule>
    <cfRule type="cellIs" dxfId="59" priority="56" stopIfTrue="1" operator="equal">
      <formula>"Fail"</formula>
    </cfRule>
  </conditionalFormatting>
  <conditionalFormatting sqref="I1492:L1492">
    <cfRule type="cellIs" dxfId="58" priority="53" stopIfTrue="1" operator="equal">
      <formula>"Pass"</formula>
    </cfRule>
    <cfRule type="cellIs" dxfId="57" priority="54" stopIfTrue="1" operator="equal">
      <formula>"Fail"</formula>
    </cfRule>
  </conditionalFormatting>
  <conditionalFormatting sqref="I1492:L1492">
    <cfRule type="cellIs" dxfId="56" priority="51" stopIfTrue="1" operator="equal">
      <formula>"Pass"</formula>
    </cfRule>
    <cfRule type="cellIs" dxfId="55" priority="52" stopIfTrue="1" operator="equal">
      <formula>"Fail"</formula>
    </cfRule>
  </conditionalFormatting>
  <conditionalFormatting sqref="I1492:L1492">
    <cfRule type="cellIs" dxfId="54" priority="49" stopIfTrue="1" operator="equal">
      <formula>"Pass"</formula>
    </cfRule>
    <cfRule type="cellIs" dxfId="53" priority="50" stopIfTrue="1" operator="equal">
      <formula>"Fail"</formula>
    </cfRule>
  </conditionalFormatting>
  <conditionalFormatting sqref="I1492:L1492">
    <cfRule type="cellIs" dxfId="52" priority="47" stopIfTrue="1" operator="equal">
      <formula>"Pass"</formula>
    </cfRule>
    <cfRule type="cellIs" dxfId="51" priority="48" stopIfTrue="1" operator="equal">
      <formula>"Fail"</formula>
    </cfRule>
  </conditionalFormatting>
  <conditionalFormatting sqref="I1492:L1492">
    <cfRule type="cellIs" dxfId="50" priority="45" stopIfTrue="1" operator="equal">
      <formula>"Pass"</formula>
    </cfRule>
    <cfRule type="cellIs" dxfId="49" priority="46" stopIfTrue="1" operator="equal">
      <formula>"Fail"</formula>
    </cfRule>
  </conditionalFormatting>
  <conditionalFormatting sqref="I1492:L1492">
    <cfRule type="cellIs" dxfId="48" priority="43" stopIfTrue="1" operator="equal">
      <formula>"Pass"</formula>
    </cfRule>
    <cfRule type="cellIs" dxfId="47" priority="44" stopIfTrue="1" operator="equal">
      <formula>"Fail"</formula>
    </cfRule>
  </conditionalFormatting>
  <conditionalFormatting sqref="I1492:L1492">
    <cfRule type="cellIs" dxfId="46" priority="41" stopIfTrue="1" operator="equal">
      <formula>"Pass"</formula>
    </cfRule>
    <cfRule type="cellIs" dxfId="45" priority="42" stopIfTrue="1" operator="equal">
      <formula>"Fail"</formula>
    </cfRule>
  </conditionalFormatting>
  <conditionalFormatting sqref="I1492:L1492">
    <cfRule type="cellIs" dxfId="44" priority="39" stopIfTrue="1" operator="equal">
      <formula>"Pass"</formula>
    </cfRule>
    <cfRule type="cellIs" dxfId="43" priority="40" stopIfTrue="1" operator="equal">
      <formula>"Fail"</formula>
    </cfRule>
  </conditionalFormatting>
  <conditionalFormatting sqref="I1492:L1492">
    <cfRule type="cellIs" dxfId="42" priority="37" stopIfTrue="1" operator="equal">
      <formula>"Pass"</formula>
    </cfRule>
    <cfRule type="cellIs" dxfId="41" priority="38" stopIfTrue="1" operator="equal">
      <formula>"Fail"</formula>
    </cfRule>
  </conditionalFormatting>
  <conditionalFormatting sqref="I1492:L1492">
    <cfRule type="cellIs" dxfId="40" priority="35" stopIfTrue="1" operator="equal">
      <formula>"Pass"</formula>
    </cfRule>
    <cfRule type="cellIs" dxfId="39" priority="36" stopIfTrue="1" operator="equal">
      <formula>"Fail"</formula>
    </cfRule>
  </conditionalFormatting>
  <conditionalFormatting sqref="I1492:L1492">
    <cfRule type="cellIs" dxfId="38" priority="33" stopIfTrue="1" operator="equal">
      <formula>"Pass"</formula>
    </cfRule>
    <cfRule type="cellIs" dxfId="37" priority="34" stopIfTrue="1" operator="equal">
      <formula>"Fail"</formula>
    </cfRule>
  </conditionalFormatting>
  <conditionalFormatting sqref="I1492:L1492">
    <cfRule type="cellIs" dxfId="36" priority="31" stopIfTrue="1" operator="equal">
      <formula>"Pass"</formula>
    </cfRule>
    <cfRule type="cellIs" dxfId="35" priority="32" stopIfTrue="1" operator="equal">
      <formula>"Fail"</formula>
    </cfRule>
  </conditionalFormatting>
  <conditionalFormatting sqref="H1492:L1492">
    <cfRule type="cellIs" dxfId="34" priority="29" stopIfTrue="1" operator="equal">
      <formula>"Pass"</formula>
    </cfRule>
    <cfRule type="cellIs" dxfId="33" priority="30" stopIfTrue="1" operator="equal">
      <formula>"Fail"</formula>
    </cfRule>
  </conditionalFormatting>
  <conditionalFormatting sqref="H1492">
    <cfRule type="cellIs" dxfId="32" priority="27" stopIfTrue="1" operator="equal">
      <formula>"Pass"</formula>
    </cfRule>
    <cfRule type="cellIs" dxfId="31" priority="28" stopIfTrue="1" operator="equal">
      <formula>"Fail"</formula>
    </cfRule>
  </conditionalFormatting>
  <conditionalFormatting sqref="H1492">
    <cfRule type="cellIs" dxfId="30" priority="25" stopIfTrue="1" operator="equal">
      <formula>"Pass"</formula>
    </cfRule>
    <cfRule type="cellIs" dxfId="29" priority="26" stopIfTrue="1" operator="equal">
      <formula>"Fail"</formula>
    </cfRule>
  </conditionalFormatting>
  <conditionalFormatting sqref="H1492:L1492">
    <cfRule type="cellIs" dxfId="28" priority="23" stopIfTrue="1" operator="equal">
      <formula>"Pass"</formula>
    </cfRule>
    <cfRule type="cellIs" dxfId="27" priority="24" stopIfTrue="1" operator="equal">
      <formula>"Fail"</formula>
    </cfRule>
  </conditionalFormatting>
  <conditionalFormatting sqref="H1492">
    <cfRule type="cellIs" dxfId="26" priority="21" stopIfTrue="1" operator="equal">
      <formula>"Pass"</formula>
    </cfRule>
    <cfRule type="cellIs" dxfId="25" priority="22" stopIfTrue="1" operator="equal">
      <formula>"Fail"</formula>
    </cfRule>
  </conditionalFormatting>
  <conditionalFormatting sqref="H1492">
    <cfRule type="cellIs" dxfId="24" priority="19" stopIfTrue="1" operator="equal">
      <formula>"Pass"</formula>
    </cfRule>
    <cfRule type="cellIs" dxfId="23" priority="20" stopIfTrue="1" operator="equal">
      <formula>"Fail"</formula>
    </cfRule>
  </conditionalFormatting>
  <conditionalFormatting sqref="H1492:L1492">
    <cfRule type="cellIs" dxfId="22" priority="17" stopIfTrue="1" operator="equal">
      <formula>"Pass"</formula>
    </cfRule>
    <cfRule type="cellIs" dxfId="21" priority="18" stopIfTrue="1" operator="equal">
      <formula>"Fail"</formula>
    </cfRule>
  </conditionalFormatting>
  <conditionalFormatting sqref="H1492">
    <cfRule type="cellIs" dxfId="20" priority="15" stopIfTrue="1" operator="equal">
      <formula>"Pass"</formula>
    </cfRule>
    <cfRule type="cellIs" dxfId="19" priority="16" stopIfTrue="1" operator="equal">
      <formula>"Fail"</formula>
    </cfRule>
  </conditionalFormatting>
  <conditionalFormatting sqref="H1492">
    <cfRule type="cellIs" dxfId="18" priority="13" stopIfTrue="1" operator="equal">
      <formula>"Pass"</formula>
    </cfRule>
    <cfRule type="cellIs" dxfId="17" priority="14" stopIfTrue="1" operator="equal">
      <formula>"Fail"</formula>
    </cfRule>
  </conditionalFormatting>
  <conditionalFormatting sqref="H1492:L1492">
    <cfRule type="cellIs" dxfId="16" priority="11" stopIfTrue="1" operator="equal">
      <formula>"Pass"</formula>
    </cfRule>
    <cfRule type="cellIs" dxfId="15" priority="12" stopIfTrue="1" operator="equal">
      <formula>"Fail"</formula>
    </cfRule>
  </conditionalFormatting>
  <conditionalFormatting sqref="H1492:L1492">
    <cfRule type="cellIs" dxfId="14" priority="9" stopIfTrue="1" operator="equal">
      <formula>"Pass"</formula>
    </cfRule>
    <cfRule type="cellIs" dxfId="13" priority="10" stopIfTrue="1" operator="equal">
      <formula>"Fail"</formula>
    </cfRule>
  </conditionalFormatting>
  <conditionalFormatting sqref="H1492:L1492">
    <cfRule type="cellIs" dxfId="12" priority="7" stopIfTrue="1" operator="equal">
      <formula>"Pass"</formula>
    </cfRule>
    <cfRule type="cellIs" dxfId="11" priority="8" stopIfTrue="1" operator="equal">
      <formula>"Fail"</formula>
    </cfRule>
  </conditionalFormatting>
  <conditionalFormatting sqref="H1492:L1492">
    <cfRule type="cellIs" dxfId="10" priority="5" stopIfTrue="1" operator="equal">
      <formula>"Pass"</formula>
    </cfRule>
    <cfRule type="cellIs" dxfId="9" priority="6" stopIfTrue="1" operator="equal">
      <formula>"Fail"</formula>
    </cfRule>
  </conditionalFormatting>
  <conditionalFormatting sqref="H1492:L1492">
    <cfRule type="cellIs" dxfId="8" priority="3" stopIfTrue="1" operator="equal">
      <formula>"Pass"</formula>
    </cfRule>
    <cfRule type="cellIs" dxfId="7" priority="4" stopIfTrue="1" operator="equal">
      <formula>"Fail"</formula>
    </cfRule>
  </conditionalFormatting>
  <conditionalFormatting sqref="A1635">
    <cfRule type="cellIs" dxfId="3" priority="2" stopIfTrue="1" operator="equal">
      <formula>TODAY()</formula>
    </cfRule>
  </conditionalFormatting>
  <conditionalFormatting sqref="A1632">
    <cfRule type="cellIs" dxfId="1" priority="1" stopIfTrue="1" operator="equal">
      <formula>TODAY()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H8" sqref="H8"/>
    </sheetView>
  </sheetViews>
  <sheetFormatPr defaultColWidth="11" defaultRowHeight="15.75"/>
  <sheetData/>
  <pageMargins left="0.75" right="0.75" top="1" bottom="1" header="0.5" footer="0.5"/>
  <pageSetup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2:H102"/>
  <sheetViews>
    <sheetView topLeftCell="A81" workbookViewId="0">
      <selection activeCell="L71" sqref="L71"/>
    </sheetView>
  </sheetViews>
  <sheetFormatPr defaultRowHeight="12.75"/>
  <cols>
    <col min="1" max="3" width="8.25" style="124" customWidth="1"/>
    <col min="4" max="4" width="10.875" style="124" bestFit="1" customWidth="1"/>
    <col min="5" max="7" width="8.25" style="124" customWidth="1"/>
    <col min="8" max="8" width="10.875" style="124" bestFit="1" customWidth="1"/>
    <col min="9" max="256" width="8.75" style="8"/>
    <col min="257" max="259" width="8.25" style="8" customWidth="1"/>
    <col min="260" max="260" width="10.875" style="8" bestFit="1" customWidth="1"/>
    <col min="261" max="263" width="8.25" style="8" customWidth="1"/>
    <col min="264" max="264" width="10.875" style="8" bestFit="1" customWidth="1"/>
    <col min="265" max="512" width="8.75" style="8"/>
    <col min="513" max="515" width="8.25" style="8" customWidth="1"/>
    <col min="516" max="516" width="10.875" style="8" bestFit="1" customWidth="1"/>
    <col min="517" max="519" width="8.25" style="8" customWidth="1"/>
    <col min="520" max="520" width="10.875" style="8" bestFit="1" customWidth="1"/>
    <col min="521" max="768" width="8.75" style="8"/>
    <col min="769" max="771" width="8.25" style="8" customWidth="1"/>
    <col min="772" max="772" width="10.875" style="8" bestFit="1" customWidth="1"/>
    <col min="773" max="775" width="8.25" style="8" customWidth="1"/>
    <col min="776" max="776" width="10.875" style="8" bestFit="1" customWidth="1"/>
    <col min="777" max="1024" width="8.75" style="8"/>
    <col min="1025" max="1027" width="8.25" style="8" customWidth="1"/>
    <col min="1028" max="1028" width="10.875" style="8" bestFit="1" customWidth="1"/>
    <col min="1029" max="1031" width="8.25" style="8" customWidth="1"/>
    <col min="1032" max="1032" width="10.875" style="8" bestFit="1" customWidth="1"/>
    <col min="1033" max="1280" width="8.75" style="8"/>
    <col min="1281" max="1283" width="8.25" style="8" customWidth="1"/>
    <col min="1284" max="1284" width="10.875" style="8" bestFit="1" customWidth="1"/>
    <col min="1285" max="1287" width="8.25" style="8" customWidth="1"/>
    <col min="1288" max="1288" width="10.875" style="8" bestFit="1" customWidth="1"/>
    <col min="1289" max="1536" width="8.75" style="8"/>
    <col min="1537" max="1539" width="8.25" style="8" customWidth="1"/>
    <col min="1540" max="1540" width="10.875" style="8" bestFit="1" customWidth="1"/>
    <col min="1541" max="1543" width="8.25" style="8" customWidth="1"/>
    <col min="1544" max="1544" width="10.875" style="8" bestFit="1" customWidth="1"/>
    <col min="1545" max="1792" width="8.75" style="8"/>
    <col min="1793" max="1795" width="8.25" style="8" customWidth="1"/>
    <col min="1796" max="1796" width="10.875" style="8" bestFit="1" customWidth="1"/>
    <col min="1797" max="1799" width="8.25" style="8" customWidth="1"/>
    <col min="1800" max="1800" width="10.875" style="8" bestFit="1" customWidth="1"/>
    <col min="1801" max="2048" width="8.75" style="8"/>
    <col min="2049" max="2051" width="8.25" style="8" customWidth="1"/>
    <col min="2052" max="2052" width="10.875" style="8" bestFit="1" customWidth="1"/>
    <col min="2053" max="2055" width="8.25" style="8" customWidth="1"/>
    <col min="2056" max="2056" width="10.875" style="8" bestFit="1" customWidth="1"/>
    <col min="2057" max="2304" width="8.75" style="8"/>
    <col min="2305" max="2307" width="8.25" style="8" customWidth="1"/>
    <col min="2308" max="2308" width="10.875" style="8" bestFit="1" customWidth="1"/>
    <col min="2309" max="2311" width="8.25" style="8" customWidth="1"/>
    <col min="2312" max="2312" width="10.875" style="8" bestFit="1" customWidth="1"/>
    <col min="2313" max="2560" width="8.75" style="8"/>
    <col min="2561" max="2563" width="8.25" style="8" customWidth="1"/>
    <col min="2564" max="2564" width="10.875" style="8" bestFit="1" customWidth="1"/>
    <col min="2565" max="2567" width="8.25" style="8" customWidth="1"/>
    <col min="2568" max="2568" width="10.875" style="8" bestFit="1" customWidth="1"/>
    <col min="2569" max="2816" width="8.75" style="8"/>
    <col min="2817" max="2819" width="8.25" style="8" customWidth="1"/>
    <col min="2820" max="2820" width="10.875" style="8" bestFit="1" customWidth="1"/>
    <col min="2821" max="2823" width="8.25" style="8" customWidth="1"/>
    <col min="2824" max="2824" width="10.875" style="8" bestFit="1" customWidth="1"/>
    <col min="2825" max="3072" width="8.75" style="8"/>
    <col min="3073" max="3075" width="8.25" style="8" customWidth="1"/>
    <col min="3076" max="3076" width="10.875" style="8" bestFit="1" customWidth="1"/>
    <col min="3077" max="3079" width="8.25" style="8" customWidth="1"/>
    <col min="3080" max="3080" width="10.875" style="8" bestFit="1" customWidth="1"/>
    <col min="3081" max="3328" width="8.75" style="8"/>
    <col min="3329" max="3331" width="8.25" style="8" customWidth="1"/>
    <col min="3332" max="3332" width="10.875" style="8" bestFit="1" customWidth="1"/>
    <col min="3333" max="3335" width="8.25" style="8" customWidth="1"/>
    <col min="3336" max="3336" width="10.875" style="8" bestFit="1" customWidth="1"/>
    <col min="3337" max="3584" width="8.75" style="8"/>
    <col min="3585" max="3587" width="8.25" style="8" customWidth="1"/>
    <col min="3588" max="3588" width="10.875" style="8" bestFit="1" customWidth="1"/>
    <col min="3589" max="3591" width="8.25" style="8" customWidth="1"/>
    <col min="3592" max="3592" width="10.875" style="8" bestFit="1" customWidth="1"/>
    <col min="3593" max="3840" width="8.75" style="8"/>
    <col min="3841" max="3843" width="8.25" style="8" customWidth="1"/>
    <col min="3844" max="3844" width="10.875" style="8" bestFit="1" customWidth="1"/>
    <col min="3845" max="3847" width="8.25" style="8" customWidth="1"/>
    <col min="3848" max="3848" width="10.875" style="8" bestFit="1" customWidth="1"/>
    <col min="3849" max="4096" width="8.75" style="8"/>
    <col min="4097" max="4099" width="8.25" style="8" customWidth="1"/>
    <col min="4100" max="4100" width="10.875" style="8" bestFit="1" customWidth="1"/>
    <col min="4101" max="4103" width="8.25" style="8" customWidth="1"/>
    <col min="4104" max="4104" width="10.875" style="8" bestFit="1" customWidth="1"/>
    <col min="4105" max="4352" width="8.75" style="8"/>
    <col min="4353" max="4355" width="8.25" style="8" customWidth="1"/>
    <col min="4356" max="4356" width="10.875" style="8" bestFit="1" customWidth="1"/>
    <col min="4357" max="4359" width="8.25" style="8" customWidth="1"/>
    <col min="4360" max="4360" width="10.875" style="8" bestFit="1" customWidth="1"/>
    <col min="4361" max="4608" width="8.75" style="8"/>
    <col min="4609" max="4611" width="8.25" style="8" customWidth="1"/>
    <col min="4612" max="4612" width="10.875" style="8" bestFit="1" customWidth="1"/>
    <col min="4613" max="4615" width="8.25" style="8" customWidth="1"/>
    <col min="4616" max="4616" width="10.875" style="8" bestFit="1" customWidth="1"/>
    <col min="4617" max="4864" width="8.75" style="8"/>
    <col min="4865" max="4867" width="8.25" style="8" customWidth="1"/>
    <col min="4868" max="4868" width="10.875" style="8" bestFit="1" customWidth="1"/>
    <col min="4869" max="4871" width="8.25" style="8" customWidth="1"/>
    <col min="4872" max="4872" width="10.875" style="8" bestFit="1" customWidth="1"/>
    <col min="4873" max="5120" width="8.75" style="8"/>
    <col min="5121" max="5123" width="8.25" style="8" customWidth="1"/>
    <col min="5124" max="5124" width="10.875" style="8" bestFit="1" customWidth="1"/>
    <col min="5125" max="5127" width="8.25" style="8" customWidth="1"/>
    <col min="5128" max="5128" width="10.875" style="8" bestFit="1" customWidth="1"/>
    <col min="5129" max="5376" width="8.75" style="8"/>
    <col min="5377" max="5379" width="8.25" style="8" customWidth="1"/>
    <col min="5380" max="5380" width="10.875" style="8" bestFit="1" customWidth="1"/>
    <col min="5381" max="5383" width="8.25" style="8" customWidth="1"/>
    <col min="5384" max="5384" width="10.875" style="8" bestFit="1" customWidth="1"/>
    <col min="5385" max="5632" width="8.75" style="8"/>
    <col min="5633" max="5635" width="8.25" style="8" customWidth="1"/>
    <col min="5636" max="5636" width="10.875" style="8" bestFit="1" customWidth="1"/>
    <col min="5637" max="5639" width="8.25" style="8" customWidth="1"/>
    <col min="5640" max="5640" width="10.875" style="8" bestFit="1" customWidth="1"/>
    <col min="5641" max="5888" width="8.75" style="8"/>
    <col min="5889" max="5891" width="8.25" style="8" customWidth="1"/>
    <col min="5892" max="5892" width="10.875" style="8" bestFit="1" customWidth="1"/>
    <col min="5893" max="5895" width="8.25" style="8" customWidth="1"/>
    <col min="5896" max="5896" width="10.875" style="8" bestFit="1" customWidth="1"/>
    <col min="5897" max="6144" width="8.75" style="8"/>
    <col min="6145" max="6147" width="8.25" style="8" customWidth="1"/>
    <col min="6148" max="6148" width="10.875" style="8" bestFit="1" customWidth="1"/>
    <col min="6149" max="6151" width="8.25" style="8" customWidth="1"/>
    <col min="6152" max="6152" width="10.875" style="8" bestFit="1" customWidth="1"/>
    <col min="6153" max="6400" width="8.75" style="8"/>
    <col min="6401" max="6403" width="8.25" style="8" customWidth="1"/>
    <col min="6404" max="6404" width="10.875" style="8" bestFit="1" customWidth="1"/>
    <col min="6405" max="6407" width="8.25" style="8" customWidth="1"/>
    <col min="6408" max="6408" width="10.875" style="8" bestFit="1" customWidth="1"/>
    <col min="6409" max="6656" width="8.75" style="8"/>
    <col min="6657" max="6659" width="8.25" style="8" customWidth="1"/>
    <col min="6660" max="6660" width="10.875" style="8" bestFit="1" customWidth="1"/>
    <col min="6661" max="6663" width="8.25" style="8" customWidth="1"/>
    <col min="6664" max="6664" width="10.875" style="8" bestFit="1" customWidth="1"/>
    <col min="6665" max="6912" width="8.75" style="8"/>
    <col min="6913" max="6915" width="8.25" style="8" customWidth="1"/>
    <col min="6916" max="6916" width="10.875" style="8" bestFit="1" customWidth="1"/>
    <col min="6917" max="6919" width="8.25" style="8" customWidth="1"/>
    <col min="6920" max="6920" width="10.875" style="8" bestFit="1" customWidth="1"/>
    <col min="6921" max="7168" width="8.75" style="8"/>
    <col min="7169" max="7171" width="8.25" style="8" customWidth="1"/>
    <col min="7172" max="7172" width="10.875" style="8" bestFit="1" customWidth="1"/>
    <col min="7173" max="7175" width="8.25" style="8" customWidth="1"/>
    <col min="7176" max="7176" width="10.875" style="8" bestFit="1" customWidth="1"/>
    <col min="7177" max="7424" width="8.75" style="8"/>
    <col min="7425" max="7427" width="8.25" style="8" customWidth="1"/>
    <col min="7428" max="7428" width="10.875" style="8" bestFit="1" customWidth="1"/>
    <col min="7429" max="7431" width="8.25" style="8" customWidth="1"/>
    <col min="7432" max="7432" width="10.875" style="8" bestFit="1" customWidth="1"/>
    <col min="7433" max="7680" width="8.75" style="8"/>
    <col min="7681" max="7683" width="8.25" style="8" customWidth="1"/>
    <col min="7684" max="7684" width="10.875" style="8" bestFit="1" customWidth="1"/>
    <col min="7685" max="7687" width="8.25" style="8" customWidth="1"/>
    <col min="7688" max="7688" width="10.875" style="8" bestFit="1" customWidth="1"/>
    <col min="7689" max="7936" width="8.75" style="8"/>
    <col min="7937" max="7939" width="8.25" style="8" customWidth="1"/>
    <col min="7940" max="7940" width="10.875" style="8" bestFit="1" customWidth="1"/>
    <col min="7941" max="7943" width="8.25" style="8" customWidth="1"/>
    <col min="7944" max="7944" width="10.875" style="8" bestFit="1" customWidth="1"/>
    <col min="7945" max="8192" width="8.75" style="8"/>
    <col min="8193" max="8195" width="8.25" style="8" customWidth="1"/>
    <col min="8196" max="8196" width="10.875" style="8" bestFit="1" customWidth="1"/>
    <col min="8197" max="8199" width="8.25" style="8" customWidth="1"/>
    <col min="8200" max="8200" width="10.875" style="8" bestFit="1" customWidth="1"/>
    <col min="8201" max="8448" width="8.75" style="8"/>
    <col min="8449" max="8451" width="8.25" style="8" customWidth="1"/>
    <col min="8452" max="8452" width="10.875" style="8" bestFit="1" customWidth="1"/>
    <col min="8453" max="8455" width="8.25" style="8" customWidth="1"/>
    <col min="8456" max="8456" width="10.875" style="8" bestFit="1" customWidth="1"/>
    <col min="8457" max="8704" width="8.75" style="8"/>
    <col min="8705" max="8707" width="8.25" style="8" customWidth="1"/>
    <col min="8708" max="8708" width="10.875" style="8" bestFit="1" customWidth="1"/>
    <col min="8709" max="8711" width="8.25" style="8" customWidth="1"/>
    <col min="8712" max="8712" width="10.875" style="8" bestFit="1" customWidth="1"/>
    <col min="8713" max="8960" width="8.75" style="8"/>
    <col min="8961" max="8963" width="8.25" style="8" customWidth="1"/>
    <col min="8964" max="8964" width="10.875" style="8" bestFit="1" customWidth="1"/>
    <col min="8965" max="8967" width="8.25" style="8" customWidth="1"/>
    <col min="8968" max="8968" width="10.875" style="8" bestFit="1" customWidth="1"/>
    <col min="8969" max="9216" width="8.75" style="8"/>
    <col min="9217" max="9219" width="8.25" style="8" customWidth="1"/>
    <col min="9220" max="9220" width="10.875" style="8" bestFit="1" customWidth="1"/>
    <col min="9221" max="9223" width="8.25" style="8" customWidth="1"/>
    <col min="9224" max="9224" width="10.875" style="8" bestFit="1" customWidth="1"/>
    <col min="9225" max="9472" width="8.75" style="8"/>
    <col min="9473" max="9475" width="8.25" style="8" customWidth="1"/>
    <col min="9476" max="9476" width="10.875" style="8" bestFit="1" customWidth="1"/>
    <col min="9477" max="9479" width="8.25" style="8" customWidth="1"/>
    <col min="9480" max="9480" width="10.875" style="8" bestFit="1" customWidth="1"/>
    <col min="9481" max="9728" width="8.75" style="8"/>
    <col min="9729" max="9731" width="8.25" style="8" customWidth="1"/>
    <col min="9732" max="9732" width="10.875" style="8" bestFit="1" customWidth="1"/>
    <col min="9733" max="9735" width="8.25" style="8" customWidth="1"/>
    <col min="9736" max="9736" width="10.875" style="8" bestFit="1" customWidth="1"/>
    <col min="9737" max="9984" width="8.75" style="8"/>
    <col min="9985" max="9987" width="8.25" style="8" customWidth="1"/>
    <col min="9988" max="9988" width="10.875" style="8" bestFit="1" customWidth="1"/>
    <col min="9989" max="9991" width="8.25" style="8" customWidth="1"/>
    <col min="9992" max="9992" width="10.875" style="8" bestFit="1" customWidth="1"/>
    <col min="9993" max="10240" width="8.75" style="8"/>
    <col min="10241" max="10243" width="8.25" style="8" customWidth="1"/>
    <col min="10244" max="10244" width="10.875" style="8" bestFit="1" customWidth="1"/>
    <col min="10245" max="10247" width="8.25" style="8" customWidth="1"/>
    <col min="10248" max="10248" width="10.875" style="8" bestFit="1" customWidth="1"/>
    <col min="10249" max="10496" width="8.75" style="8"/>
    <col min="10497" max="10499" width="8.25" style="8" customWidth="1"/>
    <col min="10500" max="10500" width="10.875" style="8" bestFit="1" customWidth="1"/>
    <col min="10501" max="10503" width="8.25" style="8" customWidth="1"/>
    <col min="10504" max="10504" width="10.875" style="8" bestFit="1" customWidth="1"/>
    <col min="10505" max="10752" width="8.75" style="8"/>
    <col min="10753" max="10755" width="8.25" style="8" customWidth="1"/>
    <col min="10756" max="10756" width="10.875" style="8" bestFit="1" customWidth="1"/>
    <col min="10757" max="10759" width="8.25" style="8" customWidth="1"/>
    <col min="10760" max="10760" width="10.875" style="8" bestFit="1" customWidth="1"/>
    <col min="10761" max="11008" width="8.75" style="8"/>
    <col min="11009" max="11011" width="8.25" style="8" customWidth="1"/>
    <col min="11012" max="11012" width="10.875" style="8" bestFit="1" customWidth="1"/>
    <col min="11013" max="11015" width="8.25" style="8" customWidth="1"/>
    <col min="11016" max="11016" width="10.875" style="8" bestFit="1" customWidth="1"/>
    <col min="11017" max="11264" width="8.75" style="8"/>
    <col min="11265" max="11267" width="8.25" style="8" customWidth="1"/>
    <col min="11268" max="11268" width="10.875" style="8" bestFit="1" customWidth="1"/>
    <col min="11269" max="11271" width="8.25" style="8" customWidth="1"/>
    <col min="11272" max="11272" width="10.875" style="8" bestFit="1" customWidth="1"/>
    <col min="11273" max="11520" width="8.75" style="8"/>
    <col min="11521" max="11523" width="8.25" style="8" customWidth="1"/>
    <col min="11524" max="11524" width="10.875" style="8" bestFit="1" customWidth="1"/>
    <col min="11525" max="11527" width="8.25" style="8" customWidth="1"/>
    <col min="11528" max="11528" width="10.875" style="8" bestFit="1" customWidth="1"/>
    <col min="11529" max="11776" width="8.75" style="8"/>
    <col min="11777" max="11779" width="8.25" style="8" customWidth="1"/>
    <col min="11780" max="11780" width="10.875" style="8" bestFit="1" customWidth="1"/>
    <col min="11781" max="11783" width="8.25" style="8" customWidth="1"/>
    <col min="11784" max="11784" width="10.875" style="8" bestFit="1" customWidth="1"/>
    <col min="11785" max="12032" width="8.75" style="8"/>
    <col min="12033" max="12035" width="8.25" style="8" customWidth="1"/>
    <col min="12036" max="12036" width="10.875" style="8" bestFit="1" customWidth="1"/>
    <col min="12037" max="12039" width="8.25" style="8" customWidth="1"/>
    <col min="12040" max="12040" width="10.875" style="8" bestFit="1" customWidth="1"/>
    <col min="12041" max="12288" width="8.75" style="8"/>
    <col min="12289" max="12291" width="8.25" style="8" customWidth="1"/>
    <col min="12292" max="12292" width="10.875" style="8" bestFit="1" customWidth="1"/>
    <col min="12293" max="12295" width="8.25" style="8" customWidth="1"/>
    <col min="12296" max="12296" width="10.875" style="8" bestFit="1" customWidth="1"/>
    <col min="12297" max="12544" width="8.75" style="8"/>
    <col min="12545" max="12547" width="8.25" style="8" customWidth="1"/>
    <col min="12548" max="12548" width="10.875" style="8" bestFit="1" customWidth="1"/>
    <col min="12549" max="12551" width="8.25" style="8" customWidth="1"/>
    <col min="12552" max="12552" width="10.875" style="8" bestFit="1" customWidth="1"/>
    <col min="12553" max="12800" width="8.75" style="8"/>
    <col min="12801" max="12803" width="8.25" style="8" customWidth="1"/>
    <col min="12804" max="12804" width="10.875" style="8" bestFit="1" customWidth="1"/>
    <col min="12805" max="12807" width="8.25" style="8" customWidth="1"/>
    <col min="12808" max="12808" width="10.875" style="8" bestFit="1" customWidth="1"/>
    <col min="12809" max="13056" width="8.75" style="8"/>
    <col min="13057" max="13059" width="8.25" style="8" customWidth="1"/>
    <col min="13060" max="13060" width="10.875" style="8" bestFit="1" customWidth="1"/>
    <col min="13061" max="13063" width="8.25" style="8" customWidth="1"/>
    <col min="13064" max="13064" width="10.875" style="8" bestFit="1" customWidth="1"/>
    <col min="13065" max="13312" width="8.75" style="8"/>
    <col min="13313" max="13315" width="8.25" style="8" customWidth="1"/>
    <col min="13316" max="13316" width="10.875" style="8" bestFit="1" customWidth="1"/>
    <col min="13317" max="13319" width="8.25" style="8" customWidth="1"/>
    <col min="13320" max="13320" width="10.875" style="8" bestFit="1" customWidth="1"/>
    <col min="13321" max="13568" width="8.75" style="8"/>
    <col min="13569" max="13571" width="8.25" style="8" customWidth="1"/>
    <col min="13572" max="13572" width="10.875" style="8" bestFit="1" customWidth="1"/>
    <col min="13573" max="13575" width="8.25" style="8" customWidth="1"/>
    <col min="13576" max="13576" width="10.875" style="8" bestFit="1" customWidth="1"/>
    <col min="13577" max="13824" width="8.75" style="8"/>
    <col min="13825" max="13827" width="8.25" style="8" customWidth="1"/>
    <col min="13828" max="13828" width="10.875" style="8" bestFit="1" customWidth="1"/>
    <col min="13829" max="13831" width="8.25" style="8" customWidth="1"/>
    <col min="13832" max="13832" width="10.875" style="8" bestFit="1" customWidth="1"/>
    <col min="13833" max="14080" width="8.75" style="8"/>
    <col min="14081" max="14083" width="8.25" style="8" customWidth="1"/>
    <col min="14084" max="14084" width="10.875" style="8" bestFit="1" customWidth="1"/>
    <col min="14085" max="14087" width="8.25" style="8" customWidth="1"/>
    <col min="14088" max="14088" width="10.875" style="8" bestFit="1" customWidth="1"/>
    <col min="14089" max="14336" width="8.75" style="8"/>
    <col min="14337" max="14339" width="8.25" style="8" customWidth="1"/>
    <col min="14340" max="14340" width="10.875" style="8" bestFit="1" customWidth="1"/>
    <col min="14341" max="14343" width="8.25" style="8" customWidth="1"/>
    <col min="14344" max="14344" width="10.875" style="8" bestFit="1" customWidth="1"/>
    <col min="14345" max="14592" width="8.75" style="8"/>
    <col min="14593" max="14595" width="8.25" style="8" customWidth="1"/>
    <col min="14596" max="14596" width="10.875" style="8" bestFit="1" customWidth="1"/>
    <col min="14597" max="14599" width="8.25" style="8" customWidth="1"/>
    <col min="14600" max="14600" width="10.875" style="8" bestFit="1" customWidth="1"/>
    <col min="14601" max="14848" width="8.75" style="8"/>
    <col min="14849" max="14851" width="8.25" style="8" customWidth="1"/>
    <col min="14852" max="14852" width="10.875" style="8" bestFit="1" customWidth="1"/>
    <col min="14853" max="14855" width="8.25" style="8" customWidth="1"/>
    <col min="14856" max="14856" width="10.875" style="8" bestFit="1" customWidth="1"/>
    <col min="14857" max="15104" width="8.75" style="8"/>
    <col min="15105" max="15107" width="8.25" style="8" customWidth="1"/>
    <col min="15108" max="15108" width="10.875" style="8" bestFit="1" customWidth="1"/>
    <col min="15109" max="15111" width="8.25" style="8" customWidth="1"/>
    <col min="15112" max="15112" width="10.875" style="8" bestFit="1" customWidth="1"/>
    <col min="15113" max="15360" width="8.75" style="8"/>
    <col min="15361" max="15363" width="8.25" style="8" customWidth="1"/>
    <col min="15364" max="15364" width="10.875" style="8" bestFit="1" customWidth="1"/>
    <col min="15365" max="15367" width="8.25" style="8" customWidth="1"/>
    <col min="15368" max="15368" width="10.875" style="8" bestFit="1" customWidth="1"/>
    <col min="15369" max="15616" width="8.75" style="8"/>
    <col min="15617" max="15619" width="8.25" style="8" customWidth="1"/>
    <col min="15620" max="15620" width="10.875" style="8" bestFit="1" customWidth="1"/>
    <col min="15621" max="15623" width="8.25" style="8" customWidth="1"/>
    <col min="15624" max="15624" width="10.875" style="8" bestFit="1" customWidth="1"/>
    <col min="15625" max="15872" width="8.75" style="8"/>
    <col min="15873" max="15875" width="8.25" style="8" customWidth="1"/>
    <col min="15876" max="15876" width="10.875" style="8" bestFit="1" customWidth="1"/>
    <col min="15877" max="15879" width="8.25" style="8" customWidth="1"/>
    <col min="15880" max="15880" width="10.875" style="8" bestFit="1" customWidth="1"/>
    <col min="15881" max="16128" width="8.75" style="8"/>
    <col min="16129" max="16131" width="8.25" style="8" customWidth="1"/>
    <col min="16132" max="16132" width="10.875" style="8" bestFit="1" customWidth="1"/>
    <col min="16133" max="16135" width="8.25" style="8" customWidth="1"/>
    <col min="16136" max="16136" width="10.875" style="8" bestFit="1" customWidth="1"/>
    <col min="16137" max="16384" width="8.75" style="8"/>
  </cols>
  <sheetData>
    <row r="2" spans="1:8" s="75" customFormat="1" ht="13.5" thickBot="1">
      <c r="A2" s="122"/>
      <c r="B2" s="123" t="s">
        <v>235</v>
      </c>
      <c r="C2" s="123" t="s">
        <v>236</v>
      </c>
      <c r="D2" s="123" t="s">
        <v>237</v>
      </c>
      <c r="E2" s="122"/>
      <c r="F2" s="123" t="s">
        <v>238</v>
      </c>
      <c r="G2" s="123" t="s">
        <v>239</v>
      </c>
      <c r="H2" s="123" t="s">
        <v>237</v>
      </c>
    </row>
    <row r="3" spans="1:8" ht="13.5" hidden="1" thickBot="1">
      <c r="B3" s="125">
        <v>2670.6666666666665</v>
      </c>
      <c r="C3" s="125">
        <v>2.9425011259570666</v>
      </c>
      <c r="D3" s="126">
        <v>50.390872189336889</v>
      </c>
      <c r="F3" s="127">
        <v>2854.5111111111109</v>
      </c>
      <c r="G3" s="125">
        <v>6.7488574768838321</v>
      </c>
      <c r="H3" s="128">
        <v>107.58578489332898</v>
      </c>
    </row>
    <row r="4" spans="1:8" ht="13.5" hidden="1" thickBot="1">
      <c r="B4" s="125">
        <v>2724.6666666666665</v>
      </c>
      <c r="C4" s="125">
        <v>4.2763636363636328</v>
      </c>
      <c r="D4" s="126">
        <v>79.645213289936038</v>
      </c>
      <c r="F4" s="125">
        <v>3482.0444444444443</v>
      </c>
      <c r="G4" s="125">
        <v>2.2450214703593789</v>
      </c>
      <c r="H4" s="128">
        <v>53.782411416553281</v>
      </c>
    </row>
    <row r="5" spans="1:8" ht="13.5" hidden="1" thickBot="1">
      <c r="B5" s="125">
        <v>2804.057777777778</v>
      </c>
      <c r="C5" s="125">
        <v>3.9125382609681467</v>
      </c>
      <c r="D5" s="126">
        <v>70.389130158315012</v>
      </c>
      <c r="F5" s="125">
        <v>3226.2644444444445</v>
      </c>
      <c r="G5" s="125">
        <v>1.6861976537967882</v>
      </c>
      <c r="H5" s="128">
        <v>38.44065657320165</v>
      </c>
    </row>
    <row r="6" spans="1:8" ht="13.5" hidden="1" thickBot="1">
      <c r="B6" s="125">
        <v>2793.5022222222219</v>
      </c>
      <c r="C6" s="125">
        <v>3.2276492430734272</v>
      </c>
      <c r="D6" s="126">
        <v>58.84797060602726</v>
      </c>
      <c r="F6" s="129">
        <v>3249.3111111111107</v>
      </c>
      <c r="G6" s="129">
        <v>2.1149137081857639</v>
      </c>
      <c r="H6" s="128">
        <v>36.587379123349308</v>
      </c>
    </row>
    <row r="7" spans="1:8" ht="13.5" hidden="1" thickBot="1">
      <c r="B7" s="127">
        <v>2716.8888888888887</v>
      </c>
      <c r="C7" s="125">
        <v>3.6431357855993598</v>
      </c>
      <c r="D7" s="126">
        <v>63.171676494387107</v>
      </c>
      <c r="F7" s="125">
        <v>3339.6866666666665</v>
      </c>
      <c r="G7" s="125">
        <v>4.3128599257969897</v>
      </c>
      <c r="H7" s="128">
        <v>89.409566602254614</v>
      </c>
    </row>
    <row r="8" spans="1:8" ht="13.5" hidden="1" thickBot="1">
      <c r="B8" s="125">
        <v>2803.1555555555556</v>
      </c>
      <c r="C8" s="125">
        <v>5.0320375907731778</v>
      </c>
      <c r="D8" s="126">
        <v>92.599867050538293</v>
      </c>
      <c r="F8" s="127">
        <v>3418.9755555555553</v>
      </c>
      <c r="G8" s="125">
        <v>2.4689695550351201</v>
      </c>
      <c r="H8" s="128">
        <v>46.660236580844611</v>
      </c>
    </row>
    <row r="9" spans="1:8" ht="13.5" hidden="1" thickBot="1">
      <c r="B9" s="125">
        <v>2767.0000000000005</v>
      </c>
      <c r="C9" s="125">
        <v>3.6295118141827567</v>
      </c>
      <c r="D9" s="126">
        <v>64.907001163174812</v>
      </c>
      <c r="F9" s="127">
        <v>3074.5622222222223</v>
      </c>
      <c r="G9" s="125">
        <v>9.9706984890896955</v>
      </c>
      <c r="H9" s="128">
        <v>172.01073991016324</v>
      </c>
    </row>
    <row r="10" spans="1:8" ht="13.5" hidden="1" thickBot="1">
      <c r="B10" s="125">
        <v>2857.2977777777774</v>
      </c>
      <c r="C10" s="125">
        <v>4.6242976302655912</v>
      </c>
      <c r="D10" s="126">
        <v>86.509303802807949</v>
      </c>
      <c r="F10" s="125">
        <v>3214.7222222222222</v>
      </c>
      <c r="G10" s="125">
        <v>1.2872616037706619</v>
      </c>
      <c r="H10" s="128">
        <v>28.420628853729742</v>
      </c>
    </row>
    <row r="11" spans="1:8" ht="13.5" hidden="1" thickBot="1">
      <c r="B11" s="125">
        <v>2811.8666666666668</v>
      </c>
      <c r="C11" s="125">
        <v>3.6536798990915527</v>
      </c>
      <c r="D11" s="126">
        <v>66.838922792055442</v>
      </c>
      <c r="F11" s="125">
        <v>3211.4333333333329</v>
      </c>
      <c r="G11" s="125">
        <v>2.0300775485855969</v>
      </c>
      <c r="H11" s="128">
        <v>40.444904499831111</v>
      </c>
    </row>
    <row r="12" spans="1:8" ht="13.5" hidden="1" thickBot="1">
      <c r="B12" s="125">
        <v>2795.2355555555559</v>
      </c>
      <c r="C12" s="125">
        <v>2.6923816784103756</v>
      </c>
      <c r="D12" s="126">
        <v>57.471135170413739</v>
      </c>
      <c r="F12" s="125">
        <v>3212.1822222222222</v>
      </c>
      <c r="G12" s="125">
        <v>1.3255108511947524</v>
      </c>
      <c r="H12" s="128">
        <v>28.55822551288616</v>
      </c>
    </row>
    <row r="13" spans="1:8" ht="13.5" hidden="1" thickBot="1">
      <c r="B13" s="125">
        <v>2439.5066666666662</v>
      </c>
      <c r="C13" s="125">
        <v>7.8449882206151509</v>
      </c>
      <c r="D13" s="126">
        <v>125.82546642074709</v>
      </c>
      <c r="F13" s="125">
        <v>3158.9666666666667</v>
      </c>
      <c r="G13" s="125">
        <v>1.697309900024073</v>
      </c>
      <c r="H13" s="128">
        <v>35.414857051822928</v>
      </c>
    </row>
    <row r="14" spans="1:8" ht="13.5" hidden="1" thickBot="1">
      <c r="B14" s="125">
        <v>2444.1600000000003</v>
      </c>
      <c r="C14" s="125">
        <v>7.7060111790278789</v>
      </c>
      <c r="D14" s="126">
        <v>115.44794497953724</v>
      </c>
      <c r="F14" s="125">
        <v>3247.1133333333337</v>
      </c>
      <c r="G14" s="125">
        <v>1.0693602360989443</v>
      </c>
      <c r="H14" s="128">
        <v>25.394613602086189</v>
      </c>
    </row>
    <row r="15" spans="1:8" ht="13.5" hidden="1" thickBot="1">
      <c r="B15" s="125">
        <v>3071.2355555555555</v>
      </c>
      <c r="C15" s="125">
        <v>4.1172991557424261</v>
      </c>
      <c r="D15" s="126">
        <v>88.589239627492788</v>
      </c>
      <c r="F15" s="130">
        <v>3142.2133333333336</v>
      </c>
      <c r="G15" s="125">
        <v>1.8121384512128802</v>
      </c>
      <c r="H15" s="128">
        <v>37.11023847945642</v>
      </c>
    </row>
    <row r="16" spans="1:8" ht="13.5" hidden="1" thickBot="1">
      <c r="B16" s="125">
        <v>2741.5333333333333</v>
      </c>
      <c r="C16" s="125">
        <v>3.3959364738799311</v>
      </c>
      <c r="D16" s="126">
        <v>63.649113112436304</v>
      </c>
      <c r="F16" s="130">
        <v>3158.5822222222218</v>
      </c>
      <c r="G16" s="125">
        <v>1.7741745975796137</v>
      </c>
      <c r="H16" s="128">
        <v>35.084625471087392</v>
      </c>
    </row>
    <row r="17" spans="2:8" ht="13.5" hidden="1" thickBot="1">
      <c r="B17" s="125">
        <v>2702.2800000000007</v>
      </c>
      <c r="C17" s="125">
        <v>3.0040186798303661</v>
      </c>
      <c r="D17" s="126">
        <v>54.761493770681575</v>
      </c>
      <c r="F17" s="130">
        <v>3168.9599999999996</v>
      </c>
      <c r="G17" s="125">
        <v>1.8707293906866922</v>
      </c>
      <c r="H17" s="128">
        <v>37.342881517107479</v>
      </c>
    </row>
    <row r="18" spans="2:8" ht="13.5" hidden="1" thickBot="1">
      <c r="B18" s="125">
        <v>2719.4577777777781</v>
      </c>
      <c r="C18" s="125">
        <v>3.5325450714118625</v>
      </c>
      <c r="D18" s="126">
        <v>63.360155022244996</v>
      </c>
      <c r="F18" s="130">
        <v>3210.7577777777778</v>
      </c>
      <c r="G18" s="125">
        <v>1.7995644604738605</v>
      </c>
      <c r="H18" s="128">
        <v>37.440908702192061</v>
      </c>
    </row>
    <row r="19" spans="2:8" ht="13.5" hidden="1" thickBot="1">
      <c r="B19" s="125">
        <v>2785.6888888888893</v>
      </c>
      <c r="C19" s="125">
        <v>2.7639981753905789</v>
      </c>
      <c r="D19" s="126">
        <v>53.924728196890058</v>
      </c>
      <c r="F19" s="130">
        <v>3169.8733333333325</v>
      </c>
      <c r="G19" s="125">
        <v>1.7437865531796228</v>
      </c>
      <c r="H19" s="128">
        <v>39.713685298688603</v>
      </c>
    </row>
    <row r="20" spans="2:8" ht="13.5" hidden="1" thickBot="1">
      <c r="B20" s="125">
        <v>2411.9377777777781</v>
      </c>
      <c r="C20" s="125">
        <v>3.8798394320406042</v>
      </c>
      <c r="D20" s="126">
        <v>69.029327422799525</v>
      </c>
      <c r="F20" s="130">
        <v>3170.0333333333338</v>
      </c>
      <c r="G20" s="125">
        <v>1.2877436656420165</v>
      </c>
      <c r="H20" s="128">
        <v>33.26962278116563</v>
      </c>
    </row>
    <row r="21" spans="2:8" ht="13.5" hidden="1" thickBot="1">
      <c r="B21" s="125">
        <v>2498.6666666666665</v>
      </c>
      <c r="C21" s="125">
        <v>4.7152597714395528</v>
      </c>
      <c r="D21" s="126">
        <v>70.130837724927048</v>
      </c>
      <c r="F21" s="130">
        <v>3233.7577777777778</v>
      </c>
      <c r="G21" s="125">
        <v>1.6230768513366067</v>
      </c>
      <c r="H21" s="128">
        <v>34.157165345617166</v>
      </c>
    </row>
    <row r="22" spans="2:8" ht="13.5" hidden="1" thickBot="1">
      <c r="B22" s="125">
        <v>2972.6133333333328</v>
      </c>
      <c r="C22" s="125">
        <v>3.3902267944821132</v>
      </c>
      <c r="D22" s="126">
        <v>67.505739015305764</v>
      </c>
      <c r="F22" s="130">
        <v>3222.3622222222225</v>
      </c>
      <c r="G22" s="125">
        <v>1.9628192824565394</v>
      </c>
      <c r="H22" s="128">
        <v>40.150555966813364</v>
      </c>
    </row>
    <row r="23" spans="2:8" ht="13.5" hidden="1" thickBot="1">
      <c r="B23" s="125">
        <v>2742.6044444444442</v>
      </c>
      <c r="C23" s="125">
        <v>2.9941073419334217</v>
      </c>
      <c r="D23" s="126">
        <v>57.920488411099633</v>
      </c>
      <c r="F23" s="130">
        <v>3227.5755555555556</v>
      </c>
      <c r="G23" s="125">
        <v>1.7826183042870469</v>
      </c>
      <c r="H23" s="128">
        <v>41.837351467064728</v>
      </c>
    </row>
    <row r="24" spans="2:8" ht="13.5" hidden="1" thickBot="1">
      <c r="B24" s="125">
        <v>2685.4488888888891</v>
      </c>
      <c r="C24" s="125">
        <v>3.0127393280190753</v>
      </c>
      <c r="D24" s="126">
        <v>58.869203418342117</v>
      </c>
      <c r="F24" s="130">
        <v>3201.7511111111112</v>
      </c>
      <c r="G24" s="125">
        <v>2.0370620348017821</v>
      </c>
      <c r="H24" s="128">
        <v>39.741552701338946</v>
      </c>
    </row>
    <row r="25" spans="2:8" ht="13.5" hidden="1" thickBot="1">
      <c r="B25" s="125">
        <v>2686.3999999999996</v>
      </c>
      <c r="C25" s="125">
        <v>2.7722108400074528</v>
      </c>
      <c r="D25" s="126">
        <v>51.8808635240378</v>
      </c>
      <c r="F25" s="130">
        <v>3209.7066666666665</v>
      </c>
      <c r="G25" s="125">
        <v>2.162630300672109</v>
      </c>
      <c r="H25" s="128">
        <v>44.384238193324187</v>
      </c>
    </row>
    <row r="26" spans="2:8" ht="13.5" hidden="1" thickBot="1">
      <c r="B26" s="125">
        <v>2694.3911111111115</v>
      </c>
      <c r="C26" s="125">
        <v>2.8631759251055771</v>
      </c>
      <c r="D26" s="126">
        <v>56.572724091286929</v>
      </c>
      <c r="F26" s="130">
        <v>3237.2933333333331</v>
      </c>
      <c r="G26" s="125">
        <v>1.7887973119995908</v>
      </c>
      <c r="H26" s="128">
        <v>34.749223012876122</v>
      </c>
    </row>
    <row r="27" spans="2:8" ht="13.5" hidden="1" thickBot="1">
      <c r="B27" s="125">
        <v>2928.9733333333334</v>
      </c>
      <c r="C27" s="125">
        <v>3.2756346627143191</v>
      </c>
      <c r="D27" s="126">
        <v>67.25217319909288</v>
      </c>
      <c r="F27" s="130">
        <v>3263.3999999999996</v>
      </c>
      <c r="G27" s="125">
        <v>1.51620837769376</v>
      </c>
      <c r="H27" s="128">
        <v>28.511257425785363</v>
      </c>
    </row>
    <row r="28" spans="2:8" ht="13.5" hidden="1" thickBot="1">
      <c r="B28" s="125">
        <v>2675.6088888888885</v>
      </c>
      <c r="C28" s="125">
        <v>3.125770607444156</v>
      </c>
      <c r="D28" s="126">
        <v>59.205775994515378</v>
      </c>
      <c r="F28" s="130">
        <v>3211.508888888889</v>
      </c>
      <c r="G28" s="125">
        <v>3.0773101843114952</v>
      </c>
      <c r="H28" s="128">
        <v>59.169517583909183</v>
      </c>
    </row>
    <row r="29" spans="2:8" ht="13.5" hidden="1" thickBot="1">
      <c r="B29" s="125">
        <v>2394.4177777777782</v>
      </c>
      <c r="C29" s="125">
        <v>10.504824615894309</v>
      </c>
      <c r="D29" s="126">
        <v>154.73368102789348</v>
      </c>
      <c r="F29" s="130">
        <v>3193.4644444444443</v>
      </c>
      <c r="G29" s="125">
        <v>1.9155478792932168</v>
      </c>
      <c r="H29" s="128">
        <v>34.757580148448028</v>
      </c>
    </row>
    <row r="30" spans="2:8" ht="13.5" hidden="1" thickBot="1">
      <c r="B30" s="125">
        <v>2639.5466666666671</v>
      </c>
      <c r="C30" s="125">
        <v>3.3654687535667285</v>
      </c>
      <c r="D30" s="126">
        <v>56.149756900602803</v>
      </c>
      <c r="F30" s="130">
        <v>3206.6199999999994</v>
      </c>
      <c r="G30" s="125">
        <v>2.3807959349059198</v>
      </c>
      <c r="H30" s="128">
        <v>50.787085956996016</v>
      </c>
    </row>
    <row r="31" spans="2:8" ht="13.5" hidden="1" thickBot="1">
      <c r="B31" s="125">
        <v>2668.5288888888881</v>
      </c>
      <c r="C31" s="125">
        <v>2.9979724219457222</v>
      </c>
      <c r="D31" s="126">
        <v>58.639201146633731</v>
      </c>
      <c r="F31" s="125">
        <v>3203.7088888888889</v>
      </c>
      <c r="G31" s="125">
        <v>2.3704911503323243</v>
      </c>
      <c r="H31" s="128">
        <v>53.835011944926649</v>
      </c>
    </row>
    <row r="32" spans="2:8" ht="13.5" hidden="1" thickBot="1">
      <c r="B32" s="125">
        <v>2614.1733333333336</v>
      </c>
      <c r="C32" s="125">
        <v>12.049870362664421</v>
      </c>
      <c r="D32" s="126">
        <v>180.08650143750117</v>
      </c>
      <c r="F32" s="125">
        <v>3452.442222222222</v>
      </c>
      <c r="G32" s="125">
        <v>2.2812137549640301</v>
      </c>
      <c r="H32" s="128">
        <v>42.142549097657835</v>
      </c>
    </row>
    <row r="33" spans="2:8" ht="13.5" hidden="1" thickBot="1">
      <c r="B33" s="125">
        <v>2692.1911111111112</v>
      </c>
      <c r="C33" s="125">
        <v>3.1246063677655078</v>
      </c>
      <c r="D33" s="126">
        <v>59.978702145940822</v>
      </c>
      <c r="F33" s="130">
        <v>3389.1600000000012</v>
      </c>
      <c r="G33" s="125">
        <v>2.8393754259063138</v>
      </c>
      <c r="H33" s="128">
        <v>51.736692008598318</v>
      </c>
    </row>
    <row r="34" spans="2:8" ht="13.5" hidden="1" thickBot="1">
      <c r="B34" s="125">
        <v>2696.1155555555556</v>
      </c>
      <c r="C34" s="125">
        <v>3.3922204094288264</v>
      </c>
      <c r="D34" s="126">
        <v>59.979357930683761</v>
      </c>
      <c r="F34" s="130">
        <v>3186.7784615384617</v>
      </c>
      <c r="G34" s="125">
        <v>2.378134419037683</v>
      </c>
      <c r="H34" s="128">
        <v>40.754557586833073</v>
      </c>
    </row>
    <row r="35" spans="2:8" ht="13.5" hidden="1" thickBot="1">
      <c r="B35" s="125">
        <v>2711.0177777777781</v>
      </c>
      <c r="C35" s="125">
        <v>3.5425465496345656</v>
      </c>
      <c r="D35" s="126">
        <v>63.257594361795697</v>
      </c>
      <c r="F35" s="130">
        <v>3147.5355555555561</v>
      </c>
      <c r="G35" s="125">
        <v>5.7470054131724639</v>
      </c>
      <c r="H35" s="128">
        <v>132.02502557385426</v>
      </c>
    </row>
    <row r="36" spans="2:8" ht="13.5" hidden="1" thickBot="1">
      <c r="B36" s="125">
        <v>2714.3866666666668</v>
      </c>
      <c r="C36" s="125">
        <v>3.2473881941227987</v>
      </c>
      <c r="D36" s="126">
        <v>59.22351559980337</v>
      </c>
      <c r="F36" s="130">
        <v>3101.1244444444446</v>
      </c>
      <c r="G36" s="125">
        <v>3.2235124529510433</v>
      </c>
      <c r="H36" s="128">
        <v>86.062172746092401</v>
      </c>
    </row>
    <row r="37" spans="2:8" ht="13.5" hidden="1" thickBot="1">
      <c r="B37" s="125">
        <v>2719.9111111111106</v>
      </c>
      <c r="C37" s="125">
        <v>3.1349593019422382</v>
      </c>
      <c r="D37" s="126">
        <v>56.924833869867705</v>
      </c>
      <c r="F37" s="130">
        <v>3151.577777777778</v>
      </c>
      <c r="G37" s="125">
        <v>3.2663735668900324</v>
      </c>
      <c r="H37" s="128">
        <v>80.068116903339202</v>
      </c>
    </row>
    <row r="38" spans="2:8" ht="13.5" hidden="1" thickBot="1">
      <c r="B38" s="125">
        <v>2704.8355555555554</v>
      </c>
      <c r="C38" s="125">
        <v>3.2576272187601609</v>
      </c>
      <c r="D38" s="126">
        <v>63.45381452504985</v>
      </c>
      <c r="F38" s="130">
        <v>3151.0044444444447</v>
      </c>
      <c r="G38" s="125">
        <v>3.3602497372346591</v>
      </c>
      <c r="H38" s="128">
        <v>75.325742464154374</v>
      </c>
    </row>
    <row r="39" spans="2:8" ht="13.5" hidden="1" thickBot="1">
      <c r="B39" s="125">
        <v>2718.7777777777778</v>
      </c>
      <c r="C39" s="125">
        <v>3.2328028371288648</v>
      </c>
      <c r="D39" s="126">
        <v>62.182242195367614</v>
      </c>
      <c r="F39" s="130">
        <v>3150.8822222222225</v>
      </c>
      <c r="G39" s="125">
        <v>2.9529387236784608</v>
      </c>
      <c r="H39" s="128">
        <v>73.854002223592019</v>
      </c>
    </row>
    <row r="40" spans="2:8" ht="13.5" hidden="1" thickBot="1">
      <c r="B40" s="125">
        <v>2678.5200000000004</v>
      </c>
      <c r="C40" s="125">
        <v>3.0969735145025319</v>
      </c>
      <c r="D40" s="126">
        <v>61.103456530687964</v>
      </c>
      <c r="F40" s="130">
        <v>3155.6644444444441</v>
      </c>
      <c r="G40" s="125">
        <v>3.6957443800367633</v>
      </c>
      <c r="H40" s="128">
        <v>88.983621963704863</v>
      </c>
    </row>
    <row r="41" spans="2:8" ht="13.5" hidden="1" thickBot="1">
      <c r="B41" s="125">
        <v>2978.8311111111107</v>
      </c>
      <c r="C41" s="125">
        <v>3.9475697794337599</v>
      </c>
      <c r="D41" s="126">
        <v>82.194176868635282</v>
      </c>
      <c r="F41" s="130">
        <v>3141.3577777777778</v>
      </c>
      <c r="G41" s="125">
        <v>3.8105389590584675</v>
      </c>
      <c r="H41" s="128">
        <v>84.0065119168938</v>
      </c>
    </row>
    <row r="42" spans="2:8" ht="13.5" hidden="1" thickBot="1">
      <c r="B42" s="125">
        <v>2407.9822222222224</v>
      </c>
      <c r="C42" s="125">
        <v>10.415556964700913</v>
      </c>
      <c r="D42" s="126">
        <v>143.50508577902139</v>
      </c>
      <c r="F42" s="130">
        <v>3146.8955555555563</v>
      </c>
      <c r="G42" s="125">
        <v>3.6380955985793362</v>
      </c>
      <c r="H42" s="128">
        <v>84.720512733185743</v>
      </c>
    </row>
    <row r="43" spans="2:8" ht="13.5" hidden="1" thickBot="1">
      <c r="B43" s="125">
        <v>2693.5066666666667</v>
      </c>
      <c r="C43" s="125">
        <v>3.0729337426604273</v>
      </c>
      <c r="D43" s="126">
        <v>58.692169835507499</v>
      </c>
      <c r="F43" s="130">
        <v>3150.8288888888883</v>
      </c>
      <c r="G43" s="125">
        <v>4.1685354142033137</v>
      </c>
      <c r="H43" s="128">
        <v>94.06887429491286</v>
      </c>
    </row>
    <row r="44" spans="2:8" ht="13.5" hidden="1" thickBot="1">
      <c r="B44" s="125">
        <v>2698.8577777777778</v>
      </c>
      <c r="C44" s="125">
        <v>3.1996548954273631</v>
      </c>
      <c r="D44" s="126">
        <v>60.657174715309502</v>
      </c>
      <c r="F44" s="130">
        <v>3142.0088888888881</v>
      </c>
      <c r="G44" s="125">
        <v>3.0339448873933095</v>
      </c>
      <c r="H44" s="128">
        <v>70.967341158559066</v>
      </c>
    </row>
    <row r="45" spans="2:8" ht="13.5" hidden="1" thickBot="1">
      <c r="B45" s="125">
        <v>2700.7511111111107</v>
      </c>
      <c r="C45" s="125">
        <v>2.9758040719976333</v>
      </c>
      <c r="D45" s="126">
        <v>57.374453471143909</v>
      </c>
      <c r="F45" s="130">
        <v>3139.764444444445</v>
      </c>
      <c r="G45" s="125">
        <v>4.3832532775320328</v>
      </c>
      <c r="H45" s="128">
        <v>86.650238763512121</v>
      </c>
    </row>
    <row r="46" spans="2:8" ht="13.5" hidden="1" thickBot="1">
      <c r="B46" s="125">
        <v>2729.5022222222219</v>
      </c>
      <c r="C46" s="125">
        <v>3.6419201928032585</v>
      </c>
      <c r="D46" s="126">
        <v>66.743020941862525</v>
      </c>
      <c r="F46" s="130">
        <v>3113.26</v>
      </c>
      <c r="G46" s="125">
        <v>5.0231938286475577</v>
      </c>
      <c r="H46" s="128">
        <v>91.386236381643698</v>
      </c>
    </row>
    <row r="47" spans="2:8" ht="13.5" hidden="1" thickBot="1">
      <c r="B47" s="125">
        <v>2821.382222222222</v>
      </c>
      <c r="C47" s="125">
        <v>2.9502919228787023</v>
      </c>
      <c r="D47" s="126">
        <v>56.663258328872537</v>
      </c>
      <c r="F47" s="130">
        <v>3131.0577777777776</v>
      </c>
      <c r="G47" s="125">
        <v>4.6430313094642388</v>
      </c>
      <c r="H47" s="128">
        <v>84.598215373891762</v>
      </c>
    </row>
    <row r="48" spans="2:8" ht="13.5" hidden="1" thickBot="1">
      <c r="B48" s="125">
        <v>2814.0311111111109</v>
      </c>
      <c r="C48" s="125">
        <v>4.5754047145697276</v>
      </c>
      <c r="D48" s="126">
        <v>86.221047958793136</v>
      </c>
      <c r="F48" s="130">
        <v>3109.7577777777778</v>
      </c>
      <c r="G48" s="125">
        <v>4.4918918573682181</v>
      </c>
      <c r="H48" s="128">
        <v>84.289227926510222</v>
      </c>
    </row>
    <row r="49" spans="1:8" ht="13.5" hidden="1" thickBot="1">
      <c r="B49" s="125">
        <v>2786.4977777777772</v>
      </c>
      <c r="C49" s="125">
        <v>4.294146160645548</v>
      </c>
      <c r="D49" s="126">
        <v>81.958892406170392</v>
      </c>
      <c r="F49" s="130">
        <v>3149.264444444445</v>
      </c>
      <c r="G49" s="125">
        <v>5.1331532226939469</v>
      </c>
      <c r="H49" s="128">
        <v>96.173356381979545</v>
      </c>
    </row>
    <row r="50" spans="1:8" ht="13.5" hidden="1" thickBot="1">
      <c r="B50" s="125">
        <v>2774.5644444444447</v>
      </c>
      <c r="C50" s="125">
        <v>3.439421389748802</v>
      </c>
      <c r="D50" s="126">
        <v>66.461909224582342</v>
      </c>
      <c r="F50" s="130">
        <v>3148.4555555555553</v>
      </c>
      <c r="G50" s="125">
        <v>4.6316203377791441</v>
      </c>
      <c r="H50" s="128">
        <v>85.492292505127196</v>
      </c>
    </row>
    <row r="51" spans="1:8" ht="13.5" hidden="1" thickBot="1">
      <c r="B51" s="125">
        <v>2722.5244444444447</v>
      </c>
      <c r="C51" s="125">
        <v>2.8197823069617876</v>
      </c>
      <c r="D51" s="126">
        <v>55.532575825170071</v>
      </c>
      <c r="F51" s="130">
        <v>3141.2066666666669</v>
      </c>
      <c r="G51" s="125">
        <v>4.4969216174401421</v>
      </c>
      <c r="H51" s="128">
        <v>86.102663141151325</v>
      </c>
    </row>
    <row r="52" spans="1:8" ht="13.5" hidden="1" thickBot="1">
      <c r="B52" s="125">
        <v>2758.6133333333332</v>
      </c>
      <c r="C52" s="125">
        <v>3.7319445243713023</v>
      </c>
      <c r="D52" s="126">
        <v>67.199404759266855</v>
      </c>
      <c r="F52" s="130">
        <v>3132.6599999999994</v>
      </c>
      <c r="G52" s="125">
        <v>4.5842590765274114</v>
      </c>
      <c r="H52" s="128">
        <v>88.618259969389626</v>
      </c>
    </row>
    <row r="53" spans="1:8" ht="13.5" hidden="1" thickBot="1">
      <c r="B53" s="125">
        <v>2687.7644444444441</v>
      </c>
      <c r="C53" s="125">
        <v>2.901345324865805</v>
      </c>
      <c r="D53" s="126">
        <v>54.696059984048475</v>
      </c>
      <c r="F53" s="130">
        <v>3125.0266666666666</v>
      </c>
      <c r="G53" s="125">
        <v>4.2205451750160989</v>
      </c>
      <c r="H53" s="128">
        <v>83.748116396736776</v>
      </c>
    </row>
    <row r="54" spans="1:8" ht="13.5" hidden="1" thickBot="1">
      <c r="B54" s="125">
        <v>2695.1422222222222</v>
      </c>
      <c r="C54" s="125">
        <v>3.1082577260601685</v>
      </c>
      <c r="D54" s="126">
        <v>59.64043296662684</v>
      </c>
      <c r="F54" s="130">
        <v>3119.286666666666</v>
      </c>
      <c r="G54" s="125">
        <v>3.2344469400113374</v>
      </c>
      <c r="H54" s="128">
        <v>69.1997341035338</v>
      </c>
    </row>
    <row r="55" spans="1:8" ht="13.5" hidden="1" thickBot="1">
      <c r="B55" s="125">
        <v>2452.8133333333335</v>
      </c>
      <c r="C55" s="125">
        <v>6.6787661743139202</v>
      </c>
      <c r="D55" s="126">
        <v>116.70163666375441</v>
      </c>
      <c r="F55" s="130">
        <v>3122.1711111111108</v>
      </c>
      <c r="G55" s="125">
        <v>3.7557136496567805</v>
      </c>
      <c r="H55" s="128">
        <v>75.269155775201043</v>
      </c>
    </row>
    <row r="56" spans="1:8" ht="13.5" hidden="1" thickBot="1">
      <c r="B56" s="125">
        <v>2770.3777777777782</v>
      </c>
      <c r="C56" s="125">
        <v>3.5311742045940933</v>
      </c>
      <c r="D56" s="126">
        <v>69.296580322852947</v>
      </c>
      <c r="F56" s="130">
        <v>3070.3622222222225</v>
      </c>
      <c r="G56" s="125">
        <v>3.8376792087152225</v>
      </c>
      <c r="H56" s="128">
        <v>75.116722801534635</v>
      </c>
    </row>
    <row r="57" spans="1:8" s="132" customFormat="1" ht="13.5" thickBot="1">
      <c r="A57" s="131"/>
      <c r="B57" s="63">
        <v>2568.0177777777776</v>
      </c>
      <c r="C57" s="63">
        <v>3.0929271350949734</v>
      </c>
      <c r="D57" s="51">
        <v>11.905559042370756</v>
      </c>
      <c r="E57" s="131"/>
      <c r="F57" s="58">
        <v>3253.5555555555557</v>
      </c>
      <c r="G57" s="57">
        <v>3.9523212045169385</v>
      </c>
      <c r="H57" s="56">
        <v>48.337643485963632</v>
      </c>
    </row>
    <row r="58" spans="1:8" ht="13.5" thickBot="1">
      <c r="B58" s="63"/>
      <c r="C58" s="63"/>
      <c r="D58" s="51"/>
      <c r="F58" s="58">
        <v>3066.9822222222228</v>
      </c>
      <c r="G58" s="57">
        <v>0.83942310524368258</v>
      </c>
      <c r="H58" s="56">
        <v>16.599977241898713</v>
      </c>
    </row>
    <row r="59" spans="1:8" ht="13.5" thickBot="1">
      <c r="B59" s="63">
        <v>2488.6622222222222</v>
      </c>
      <c r="C59" s="63">
        <v>2.7224163553841905</v>
      </c>
      <c r="D59" s="51">
        <v>5.307136704455564</v>
      </c>
      <c r="F59" s="58">
        <v>3337.8711111111106</v>
      </c>
      <c r="G59" s="57">
        <v>0.8418264938675597</v>
      </c>
      <c r="H59" s="56">
        <v>35.835759065157625</v>
      </c>
    </row>
    <row r="60" spans="1:8" ht="13.5" thickBot="1">
      <c r="B60" s="63">
        <v>2261.4888888888891</v>
      </c>
      <c r="C60" s="63">
        <v>11.148285759566123</v>
      </c>
      <c r="D60" s="51">
        <v>31.751939310820376</v>
      </c>
      <c r="F60" s="58">
        <v>3321.9888888888886</v>
      </c>
      <c r="G60" s="57">
        <v>1.0222054949190758</v>
      </c>
      <c r="H60" s="56">
        <v>24.414084960469406</v>
      </c>
    </row>
    <row r="61" spans="1:8" ht="13.5" thickBot="1">
      <c r="B61" s="63">
        <v>2597.96</v>
      </c>
      <c r="C61" s="63">
        <v>2.9661049333180611</v>
      </c>
      <c r="D61" s="51">
        <v>6.2963342509869973</v>
      </c>
      <c r="F61" s="58">
        <v>3344.44</v>
      </c>
      <c r="G61" s="57">
        <v>0.64659605483991889</v>
      </c>
      <c r="H61" s="56">
        <v>16.847328258464227</v>
      </c>
    </row>
    <row r="62" spans="1:8" ht="13.5" thickBot="1">
      <c r="B62" s="63">
        <v>2597.96</v>
      </c>
      <c r="C62" s="63">
        <v>2.9661049333180611</v>
      </c>
      <c r="D62" s="51">
        <v>6.2963342509869973</v>
      </c>
      <c r="F62" s="58">
        <v>3508.086666666667</v>
      </c>
      <c r="G62" s="57">
        <v>1.0915163812954483</v>
      </c>
      <c r="H62" s="56">
        <v>18.543485903273599</v>
      </c>
    </row>
    <row r="63" spans="1:8" ht="13.5" thickBot="1">
      <c r="B63" s="63">
        <v>2551.96</v>
      </c>
      <c r="C63" s="63">
        <v>2.9815923154354591</v>
      </c>
      <c r="D63" s="51">
        <v>10.208994944595988</v>
      </c>
      <c r="F63" s="58">
        <v>3491.3333333333335</v>
      </c>
      <c r="G63" s="57">
        <v>1.2282205084261639</v>
      </c>
      <c r="H63" s="56">
        <v>31.470003354177432</v>
      </c>
    </row>
    <row r="64" spans="1:8" ht="13.5" thickBot="1">
      <c r="B64" s="63">
        <v>2613.6355555555551</v>
      </c>
      <c r="C64" s="63">
        <v>3.3325206473044227</v>
      </c>
      <c r="D64" s="51">
        <v>4.3074831528783548</v>
      </c>
      <c r="F64" s="58">
        <v>3399.1000000000004</v>
      </c>
      <c r="G64" s="57">
        <v>1.7422221695920643</v>
      </c>
      <c r="H64" s="56">
        <v>35.789050001316262</v>
      </c>
    </row>
    <row r="65" spans="2:8" ht="13.5" thickBot="1">
      <c r="B65" s="63">
        <v>2545.0844444444447</v>
      </c>
      <c r="C65" s="63">
        <v>2.8744042634779379</v>
      </c>
      <c r="D65" s="51">
        <v>12.789322803742337</v>
      </c>
      <c r="F65" s="58">
        <v>3429.4666666666672</v>
      </c>
      <c r="G65" s="57">
        <v>1.4823978115165655</v>
      </c>
      <c r="H65" s="56">
        <v>52.786159197035865</v>
      </c>
    </row>
    <row r="66" spans="2:8" ht="13.5" thickBot="1">
      <c r="B66" s="63">
        <v>2695.4044444444444</v>
      </c>
      <c r="C66" s="63">
        <v>3.5098640816991939</v>
      </c>
      <c r="D66" s="51">
        <v>13.273750202700919</v>
      </c>
      <c r="F66" s="58">
        <v>3408.0666666666675</v>
      </c>
      <c r="G66" s="57">
        <v>1.418876509121759</v>
      </c>
      <c r="H66" s="56">
        <v>16.475405996810963</v>
      </c>
    </row>
    <row r="67" spans="2:8" ht="13.5" thickBot="1">
      <c r="B67" s="63">
        <v>2528.1288888888889</v>
      </c>
      <c r="C67" s="63">
        <v>3.0889883504157183</v>
      </c>
      <c r="D67" s="51">
        <v>4.4976839718578079</v>
      </c>
      <c r="F67" s="58">
        <v>3365.4044444444439</v>
      </c>
      <c r="G67" s="57">
        <v>1.419926835031849</v>
      </c>
      <c r="H67" s="56">
        <v>22.899515157204185</v>
      </c>
    </row>
    <row r="68" spans="2:8" ht="13.5" thickBot="1">
      <c r="B68" s="63">
        <v>2725.5422222222223</v>
      </c>
      <c r="C68" s="63">
        <v>4.3319168167008089</v>
      </c>
      <c r="D68" s="51">
        <v>11.388979809959419</v>
      </c>
      <c r="F68" s="58">
        <v>3408.557777777778</v>
      </c>
      <c r="G68" s="57">
        <v>2.3620185758147989</v>
      </c>
      <c r="H68" s="56">
        <v>34.166208980680253</v>
      </c>
    </row>
    <row r="69" spans="2:8" ht="13.5" thickBot="1">
      <c r="B69" s="63">
        <v>2825.3244444444445</v>
      </c>
      <c r="C69" s="63">
        <v>4.9414018480955662</v>
      </c>
      <c r="D69" s="51">
        <v>10.617371379087704</v>
      </c>
      <c r="F69" s="58">
        <v>3408.557777777778</v>
      </c>
      <c r="G69" s="57">
        <v>2.3620185758147989</v>
      </c>
      <c r="H69" s="56">
        <v>34.166208980680253</v>
      </c>
    </row>
    <row r="70" spans="2:8" ht="13.5" thickBot="1">
      <c r="B70" s="63">
        <v>2536.715555555556</v>
      </c>
      <c r="C70" s="63">
        <v>2.9207474328750278</v>
      </c>
      <c r="D70" s="51">
        <v>4.6762603765849953</v>
      </c>
      <c r="F70" s="58">
        <v>3414.6311111111113</v>
      </c>
      <c r="G70" s="57">
        <v>1.8540599249167626</v>
      </c>
      <c r="H70" s="56">
        <v>29.160402708423739</v>
      </c>
    </row>
    <row r="71" spans="2:8" ht="13.5" thickBot="1">
      <c r="B71" s="63">
        <v>2532.4088888888891</v>
      </c>
      <c r="C71" s="63">
        <v>3.0583389441166</v>
      </c>
      <c r="D71" s="51">
        <v>10.669733803842258</v>
      </c>
      <c r="F71" s="58">
        <v>3449.971111111111</v>
      </c>
      <c r="G71" s="57">
        <v>0.88992001108069407</v>
      </c>
      <c r="H71" s="56">
        <v>72.490924968433703</v>
      </c>
    </row>
    <row r="72" spans="2:8" ht="13.5" thickBot="1">
      <c r="B72" s="63">
        <v>2951.7022222222222</v>
      </c>
      <c r="C72" s="63">
        <v>7.575879558811681</v>
      </c>
      <c r="D72" s="51">
        <v>4.5760381336039408</v>
      </c>
      <c r="F72" s="58">
        <v>3518.8288888888892</v>
      </c>
      <c r="G72" s="57">
        <v>1.289988800009106</v>
      </c>
      <c r="H72" s="56">
        <v>76.490579666881956</v>
      </c>
    </row>
    <row r="73" spans="2:8" ht="13.5" thickBot="1">
      <c r="B73" s="63"/>
      <c r="C73" s="63"/>
      <c r="D73" s="51"/>
      <c r="F73" s="58">
        <v>3496.4577777777781</v>
      </c>
      <c r="G73" s="57">
        <v>0.99161995162271344</v>
      </c>
      <c r="H73" s="56">
        <v>26.553039845192803</v>
      </c>
    </row>
    <row r="74" spans="2:8" ht="13.5" thickBot="1">
      <c r="B74" s="63">
        <v>2986.1733333333332</v>
      </c>
      <c r="C74" s="63">
        <v>6.5623262095813066</v>
      </c>
      <c r="D74" s="51">
        <v>4.8115849779404174</v>
      </c>
      <c r="F74" s="58">
        <v>3434.1933333333327</v>
      </c>
      <c r="G74" s="57">
        <v>0.84490831567658553</v>
      </c>
      <c r="H74" s="56">
        <v>25.891660229464627</v>
      </c>
    </row>
    <row r="75" spans="2:8" ht="13.5" thickBot="1">
      <c r="B75" s="63">
        <v>2934.0888888888894</v>
      </c>
      <c r="C75" s="63">
        <v>6.7814519297199825</v>
      </c>
      <c r="D75" s="51">
        <v>33.707067796600249</v>
      </c>
      <c r="F75" s="58">
        <v>3411.4777777777772</v>
      </c>
      <c r="G75" s="57">
        <v>0.87065077555613601</v>
      </c>
      <c r="H75" s="56">
        <v>25.465457704781922</v>
      </c>
    </row>
    <row r="76" spans="2:8" ht="13.5" thickBot="1">
      <c r="B76" s="63">
        <v>2892.5244444444443</v>
      </c>
      <c r="C76" s="63">
        <v>6.8262671646784918</v>
      </c>
      <c r="D76" s="51">
        <v>14.097973357115926</v>
      </c>
      <c r="F76" s="58">
        <v>3445.6155555555542</v>
      </c>
      <c r="G76" s="57">
        <v>1.0938429614151324</v>
      </c>
      <c r="H76" s="56">
        <v>19.056335560549329</v>
      </c>
    </row>
    <row r="77" spans="2:8" ht="13.5" thickBot="1">
      <c r="B77" s="63">
        <v>2889.266666666666</v>
      </c>
      <c r="C77" s="63">
        <v>5.4944140470593217</v>
      </c>
      <c r="D77" s="51">
        <v>11.481543643834039</v>
      </c>
      <c r="F77" s="58">
        <v>3494.7799999999997</v>
      </c>
      <c r="G77" s="57">
        <v>0.96073780988532098</v>
      </c>
      <c r="H77" s="56">
        <v>24.966899309095162</v>
      </c>
    </row>
    <row r="78" spans="2:8" ht="13.5" thickBot="1">
      <c r="B78" s="63">
        <v>2878.8088888888888</v>
      </c>
      <c r="C78" s="63">
        <v>4.6234322548757225</v>
      </c>
      <c r="D78" s="51">
        <v>6.0894781749090692</v>
      </c>
      <c r="F78" s="58">
        <v>3363.2622222222217</v>
      </c>
      <c r="G78" s="57">
        <v>1.433000571047597</v>
      </c>
      <c r="H78" s="56">
        <v>18.333429924324832</v>
      </c>
    </row>
    <row r="79" spans="2:8" ht="13.5" thickBot="1">
      <c r="B79" s="63">
        <v>3051.7911111111116</v>
      </c>
      <c r="C79" s="63">
        <v>6.9784430747154405</v>
      </c>
      <c r="D79" s="51">
        <v>6.2627325860649288</v>
      </c>
      <c r="F79" s="58">
        <v>3402.0888888888894</v>
      </c>
      <c r="G79" s="57">
        <v>1.2730579371265232</v>
      </c>
      <c r="H79" s="56">
        <v>24.53545648658055</v>
      </c>
    </row>
    <row r="80" spans="2:8" ht="13.5" thickBot="1">
      <c r="B80" s="57">
        <v>3157.6533333333336</v>
      </c>
      <c r="C80" s="57">
        <v>8.2751066963779785</v>
      </c>
      <c r="D80" s="51">
        <v>11.318377141181555</v>
      </c>
      <c r="F80" s="58">
        <v>3513.3555555555554</v>
      </c>
      <c r="G80" s="57">
        <v>1.2123987179231979</v>
      </c>
      <c r="H80" s="56">
        <v>32.780343746010239</v>
      </c>
    </row>
    <row r="81" spans="2:8" ht="13.5" thickBot="1">
      <c r="B81" s="57">
        <v>2600.7822222222221</v>
      </c>
      <c r="C81" s="57">
        <v>14.574901930321973</v>
      </c>
      <c r="D81" s="51">
        <v>56.422279287530941</v>
      </c>
      <c r="F81" s="58">
        <v>3491.5355555555557</v>
      </c>
      <c r="G81" s="57">
        <v>0.920657908347987</v>
      </c>
      <c r="H81" s="56">
        <v>16.407271846329344</v>
      </c>
    </row>
    <row r="82" spans="2:8" ht="13.5" thickBot="1">
      <c r="B82" s="57">
        <v>3137.2177777777779</v>
      </c>
      <c r="C82" s="57">
        <v>8.1151699644850339</v>
      </c>
      <c r="D82" s="51">
        <v>11.073958315637896</v>
      </c>
      <c r="F82" s="58">
        <v>3448.4599999999996</v>
      </c>
      <c r="G82" s="57">
        <v>1.2463191497417931</v>
      </c>
      <c r="H82" s="56">
        <v>19.34630584894763</v>
      </c>
    </row>
    <row r="83" spans="2:8" ht="13.5" thickBot="1">
      <c r="B83" s="48">
        <v>2932.3999999999996</v>
      </c>
      <c r="C83" s="48">
        <v>7.2793835076151376</v>
      </c>
      <c r="D83" s="51">
        <v>3.9889068399514094</v>
      </c>
      <c r="F83" s="58">
        <v>3691.1799999999994</v>
      </c>
      <c r="G83" s="57">
        <v>1.1453749262489015</v>
      </c>
      <c r="H83" s="56">
        <v>28.846273348706898</v>
      </c>
    </row>
    <row r="84" spans="2:8" ht="13.5" thickBot="1">
      <c r="B84" s="63"/>
      <c r="C84" s="63"/>
      <c r="D84" s="51"/>
      <c r="F84" s="58">
        <v>3612.1711111111103</v>
      </c>
      <c r="G84" s="57">
        <v>0.9333373941308567</v>
      </c>
      <c r="H84" s="56">
        <v>15.124059290734742</v>
      </c>
    </row>
    <row r="85" spans="2:8" ht="13.5" thickBot="1">
      <c r="B85" s="63">
        <v>2896.902222222222</v>
      </c>
      <c r="C85" s="63">
        <v>6.6436712657468382</v>
      </c>
      <c r="D85" s="51">
        <v>4.7727379749703385</v>
      </c>
      <c r="F85" s="58">
        <v>3430.4533333333329</v>
      </c>
      <c r="G85" s="57">
        <v>1.4616824729944677</v>
      </c>
      <c r="H85" s="56">
        <v>14.204817844792982</v>
      </c>
    </row>
    <row r="86" spans="2:8" ht="13.5" thickBot="1">
      <c r="B86" s="63">
        <v>3176.4755555555553</v>
      </c>
      <c r="C86" s="63">
        <v>7.004130415678028</v>
      </c>
      <c r="D86" s="51">
        <v>17.983897504269624</v>
      </c>
      <c r="F86" s="58">
        <v>3437.4555555555553</v>
      </c>
      <c r="G86" s="57">
        <v>1.3843631549569053</v>
      </c>
      <c r="H86" s="56">
        <v>16.862967150230279</v>
      </c>
    </row>
    <row r="87" spans="2:8" ht="13.5" thickBot="1">
      <c r="B87" s="57">
        <v>2966.6133333333328</v>
      </c>
      <c r="C87" s="57">
        <v>7.6999443248210664</v>
      </c>
      <c r="D87" s="51">
        <v>5.6941395312168401</v>
      </c>
      <c r="F87" s="58">
        <v>3499.4222222222229</v>
      </c>
      <c r="G87" s="57">
        <v>1.1411339031829379</v>
      </c>
      <c r="H87" s="56">
        <v>23.264737802252274</v>
      </c>
    </row>
    <row r="88" spans="2:8" ht="13.5" thickBot="1">
      <c r="B88" s="57">
        <v>2998.942222222222</v>
      </c>
      <c r="C88" s="57">
        <v>7.4759554961700854</v>
      </c>
      <c r="D88" s="51">
        <v>11.669064991618042</v>
      </c>
      <c r="F88" s="58">
        <v>3680.0755555555556</v>
      </c>
      <c r="G88" s="57">
        <v>1.2146121439568345</v>
      </c>
      <c r="H88" s="56">
        <v>31.017906029386833</v>
      </c>
    </row>
    <row r="89" spans="2:8" ht="13.5" thickBot="1">
      <c r="B89" s="57"/>
      <c r="C89" s="57"/>
      <c r="D89" s="51"/>
      <c r="F89" s="58">
        <v>3463.4466666666672</v>
      </c>
      <c r="G89" s="57">
        <v>1.0387879841256216</v>
      </c>
      <c r="H89" s="56">
        <v>16.397087395071964</v>
      </c>
    </row>
    <row r="90" spans="2:8" ht="13.5" thickBot="1">
      <c r="B90" s="63">
        <v>2934.5377777777776</v>
      </c>
      <c r="C90" s="63">
        <v>7.0157308531404228</v>
      </c>
      <c r="D90" s="51">
        <v>5.3560879172556808</v>
      </c>
      <c r="F90" s="58">
        <v>3457.3555555555558</v>
      </c>
      <c r="G90" s="57">
        <v>1.3230570866027385</v>
      </c>
      <c r="H90" s="56">
        <v>17.801618606267521</v>
      </c>
    </row>
    <row r="91" spans="2:8" ht="13.5" thickBot="1">
      <c r="B91" s="63">
        <v>2925.5511111111114</v>
      </c>
      <c r="C91" s="63">
        <v>7.5765191756442807</v>
      </c>
      <c r="D91" s="51">
        <v>1.9310669189251721</v>
      </c>
      <c r="F91" s="58">
        <v>3440.557777777778</v>
      </c>
      <c r="G91" s="57">
        <v>1.6760984963636834</v>
      </c>
      <c r="H91" s="56">
        <v>27.822110861237018</v>
      </c>
    </row>
    <row r="92" spans="2:8" ht="13.5" thickBot="1">
      <c r="B92" s="63">
        <v>2947.2977777777783</v>
      </c>
      <c r="C92" s="63">
        <v>6.6717791411042837</v>
      </c>
      <c r="D92" s="51">
        <v>4.9965274052544872</v>
      </c>
      <c r="F92" s="58">
        <v>3400.7955555555559</v>
      </c>
      <c r="G92" s="57">
        <v>0.81883014145039146</v>
      </c>
      <c r="H92" s="56">
        <v>68.294375642902736</v>
      </c>
    </row>
    <row r="93" spans="2:8" ht="13.5" thickBot="1">
      <c r="B93" s="63">
        <v>2910.5733333333337</v>
      </c>
      <c r="C93" s="63">
        <v>7.155816724436745</v>
      </c>
      <c r="D93" s="51">
        <v>4.4747256276794545</v>
      </c>
      <c r="F93" s="58">
        <v>3587.9733333333334</v>
      </c>
      <c r="G93" s="57">
        <v>4.2682735192185</v>
      </c>
      <c r="H93" s="56">
        <v>63.68858396745501</v>
      </c>
    </row>
    <row r="94" spans="2:8" ht="13.5" thickBot="1">
      <c r="B94" s="63"/>
      <c r="C94" s="63"/>
      <c r="D94" s="51"/>
      <c r="F94" s="58">
        <v>3465.06</v>
      </c>
      <c r="G94" s="57">
        <v>1.0911508389576849</v>
      </c>
      <c r="H94" s="56">
        <v>91.77967954718892</v>
      </c>
    </row>
    <row r="95" spans="2:8" ht="13.5" thickBot="1">
      <c r="B95" s="63">
        <v>2878.8799999999997</v>
      </c>
      <c r="C95" s="63">
        <v>6.1966885821486493</v>
      </c>
      <c r="D95" s="51">
        <v>4.7754007976614758</v>
      </c>
      <c r="F95" s="58">
        <v>3544.2666666666669</v>
      </c>
      <c r="G95" s="57">
        <v>0.66525731091534857</v>
      </c>
      <c r="H95" s="56">
        <v>78.196647271056932</v>
      </c>
    </row>
    <row r="96" spans="2:8">
      <c r="B96" s="63">
        <v>2969.08</v>
      </c>
      <c r="C96" s="63">
        <v>6.6442399744708194</v>
      </c>
      <c r="D96" s="51">
        <v>6.6497443560837803</v>
      </c>
      <c r="F96" s="58">
        <v>3348.8777777777773</v>
      </c>
      <c r="G96" s="57">
        <v>1.4017642533652199</v>
      </c>
      <c r="H96" s="56">
        <v>82.57494859888547</v>
      </c>
    </row>
    <row r="98" spans="1:8">
      <c r="A98" s="124" t="s">
        <v>240</v>
      </c>
      <c r="B98" s="124">
        <f>AVERAGE(B3:B90)</f>
        <v>2736.2450264550271</v>
      </c>
      <c r="C98" s="124">
        <f>AVERAGE(C3:C90)</f>
        <v>4.6800108985447624</v>
      </c>
      <c r="E98" s="124" t="s">
        <v>240</v>
      </c>
      <c r="F98" s="124">
        <f>AVERAGE(F57:F96)</f>
        <v>3442.1790000000001</v>
      </c>
      <c r="G98" s="124">
        <f>AVERAGE(G57:G96)</f>
        <v>1.3713614045205067</v>
      </c>
    </row>
    <row r="99" spans="1:8">
      <c r="A99" s="124" t="s">
        <v>241</v>
      </c>
      <c r="B99" s="124">
        <f>STDEV(B3:B90)</f>
        <v>180.08178301583587</v>
      </c>
      <c r="C99" s="124">
        <f>STDEV(C3:C90)</f>
        <v>2.4361406581909004</v>
      </c>
      <c r="D99" s="124">
        <f>AVERAGE(D57:D90)</f>
        <v>11.776425072619045</v>
      </c>
      <c r="E99" s="124" t="s">
        <v>241</v>
      </c>
      <c r="F99" s="124">
        <f>STDEV(F57:F96)</f>
        <v>107.69895617820072</v>
      </c>
      <c r="G99" s="124">
        <f>STDEV(G3:G96)</f>
        <v>1.5650987738949953</v>
      </c>
      <c r="H99" s="124">
        <f>AVERAGE(H57:H96)</f>
        <v>34.392118794607931</v>
      </c>
    </row>
    <row r="100" spans="1:8">
      <c r="A100" s="124" t="s">
        <v>242</v>
      </c>
      <c r="B100" s="124">
        <f>3*B99</f>
        <v>540.2453490475076</v>
      </c>
      <c r="C100" s="124">
        <f>3*C99</f>
        <v>7.3084219745727008</v>
      </c>
      <c r="D100" s="124">
        <f>3*D99</f>
        <v>35.329275217857131</v>
      </c>
      <c r="E100" s="124" t="s">
        <v>242</v>
      </c>
      <c r="F100" s="124">
        <f>3*F99</f>
        <v>323.09686853460215</v>
      </c>
      <c r="G100" s="124">
        <f>3*G99</f>
        <v>4.6952963216849861</v>
      </c>
      <c r="H100" s="124">
        <f>3*H99</f>
        <v>103.17635638382379</v>
      </c>
    </row>
    <row r="101" spans="1:8">
      <c r="A101" s="124" t="s">
        <v>218</v>
      </c>
      <c r="C101" s="124">
        <f>C98-C100</f>
        <v>-2.6284110760279384</v>
      </c>
      <c r="D101" s="124">
        <f>B98-B100</f>
        <v>2195.9996774075194</v>
      </c>
      <c r="E101" s="124" t="s">
        <v>218</v>
      </c>
      <c r="G101" s="124">
        <f>G98-G100</f>
        <v>-3.3239349171644794</v>
      </c>
      <c r="H101" s="133">
        <f>F98-F100</f>
        <v>3119.0821314653981</v>
      </c>
    </row>
    <row r="102" spans="1:8">
      <c r="A102" s="124" t="s">
        <v>217</v>
      </c>
      <c r="C102" s="124">
        <f>C98+C100</f>
        <v>11.988432873117464</v>
      </c>
      <c r="D102" s="124">
        <f>B98+B100</f>
        <v>3276.4903755025348</v>
      </c>
      <c r="E102" s="124" t="s">
        <v>217</v>
      </c>
      <c r="G102" s="133">
        <f>G98+G100</f>
        <v>6.0666577262054933</v>
      </c>
      <c r="H102" s="133">
        <f>F98+F100</f>
        <v>3765.2758685346021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filterMode="1"/>
  <dimension ref="B1:B70"/>
  <sheetViews>
    <sheetView topLeftCell="A38" workbookViewId="0">
      <selection activeCell="B71" sqref="B71"/>
    </sheetView>
  </sheetViews>
  <sheetFormatPr defaultRowHeight="15.75"/>
  <sheetData>
    <row r="1" spans="2:2">
      <c r="B1" t="s">
        <v>381</v>
      </c>
    </row>
    <row r="2" spans="2:2">
      <c r="B2" s="261">
        <v>-2</v>
      </c>
    </row>
    <row r="3" spans="2:2" hidden="1">
      <c r="B3" s="261">
        <v>-20</v>
      </c>
    </row>
    <row r="4" spans="2:2">
      <c r="B4" s="261">
        <v>28</v>
      </c>
    </row>
    <row r="5" spans="2:2">
      <c r="B5" s="261">
        <v>-7</v>
      </c>
    </row>
    <row r="6" spans="2:2">
      <c r="B6" s="261">
        <v>3</v>
      </c>
    </row>
    <row r="7" spans="2:2">
      <c r="B7" s="261">
        <v>3</v>
      </c>
    </row>
    <row r="8" spans="2:2" hidden="1">
      <c r="B8" s="261">
        <v>-10</v>
      </c>
    </row>
    <row r="9" spans="2:2">
      <c r="B9" s="261">
        <v>21</v>
      </c>
    </row>
    <row r="10" spans="2:2">
      <c r="B10" s="261">
        <v>-3</v>
      </c>
    </row>
    <row r="11" spans="2:2">
      <c r="B11" s="261">
        <v>-6</v>
      </c>
    </row>
    <row r="12" spans="2:2">
      <c r="B12" s="261">
        <v>-5</v>
      </c>
    </row>
    <row r="13" spans="2:2" hidden="1">
      <c r="B13" s="261">
        <v>-14</v>
      </c>
    </row>
    <row r="14" spans="2:2">
      <c r="B14" s="261">
        <v>-4</v>
      </c>
    </row>
    <row r="15" spans="2:2">
      <c r="B15" s="261">
        <v>1</v>
      </c>
    </row>
    <row r="16" spans="2:2">
      <c r="B16" s="261">
        <v>12</v>
      </c>
    </row>
    <row r="17" spans="2:2">
      <c r="B17" s="261">
        <v>9</v>
      </c>
    </row>
    <row r="18" spans="2:2">
      <c r="B18" s="261">
        <v>6</v>
      </c>
    </row>
    <row r="19" spans="2:2" hidden="1">
      <c r="B19" s="261">
        <v>-10</v>
      </c>
    </row>
    <row r="20" spans="2:2">
      <c r="B20" s="261">
        <v>6</v>
      </c>
    </row>
    <row r="21" spans="2:2">
      <c r="B21" s="261">
        <v>-3</v>
      </c>
    </row>
    <row r="22" spans="2:2">
      <c r="B22" s="261">
        <v>20</v>
      </c>
    </row>
    <row r="23" spans="2:2">
      <c r="B23" s="261">
        <v>7</v>
      </c>
    </row>
    <row r="24" spans="2:2">
      <c r="B24" s="261">
        <v>7</v>
      </c>
    </row>
    <row r="25" spans="2:2">
      <c r="B25" s="261">
        <v>8</v>
      </c>
    </row>
    <row r="26" spans="2:2">
      <c r="B26" s="261">
        <v>27</v>
      </c>
    </row>
    <row r="27" spans="2:2">
      <c r="B27" s="261">
        <v>-3</v>
      </c>
    </row>
    <row r="28" spans="2:2" hidden="1">
      <c r="B28" s="261">
        <v>-10</v>
      </c>
    </row>
    <row r="29" spans="2:2">
      <c r="B29" s="261">
        <v>12</v>
      </c>
    </row>
    <row r="30" spans="2:2">
      <c r="B30" s="261">
        <v>10</v>
      </c>
    </row>
    <row r="31" spans="2:2">
      <c r="B31" s="261">
        <v>6</v>
      </c>
    </row>
    <row r="32" spans="2:2">
      <c r="B32" s="261">
        <v>12</v>
      </c>
    </row>
    <row r="33" spans="2:2">
      <c r="B33" s="261">
        <v>14</v>
      </c>
    </row>
    <row r="34" spans="2:2">
      <c r="B34" s="261">
        <v>2</v>
      </c>
    </row>
    <row r="35" spans="2:2">
      <c r="B35" s="17">
        <v>8</v>
      </c>
    </row>
    <row r="36" spans="2:2">
      <c r="B36" s="17">
        <v>2</v>
      </c>
    </row>
    <row r="37" spans="2:2">
      <c r="B37" s="17">
        <v>1</v>
      </c>
    </row>
    <row r="38" spans="2:2">
      <c r="B38" s="17">
        <v>4</v>
      </c>
    </row>
    <row r="39" spans="2:2">
      <c r="B39" s="17">
        <v>-7</v>
      </c>
    </row>
    <row r="40" spans="2:2">
      <c r="B40" s="17">
        <v>7</v>
      </c>
    </row>
    <row r="41" spans="2:2">
      <c r="B41" s="17">
        <v>10</v>
      </c>
    </row>
    <row r="42" spans="2:2">
      <c r="B42" s="17">
        <v>4</v>
      </c>
    </row>
    <row r="43" spans="2:2">
      <c r="B43" s="17">
        <v>4</v>
      </c>
    </row>
    <row r="44" spans="2:2">
      <c r="B44" s="17">
        <v>6</v>
      </c>
    </row>
    <row r="45" spans="2:2">
      <c r="B45" s="17">
        <v>14</v>
      </c>
    </row>
    <row r="46" spans="2:2">
      <c r="B46" s="17">
        <v>12</v>
      </c>
    </row>
    <row r="47" spans="2:2">
      <c r="B47" s="17">
        <v>3</v>
      </c>
    </row>
    <row r="48" spans="2:2">
      <c r="B48" s="17">
        <v>0</v>
      </c>
    </row>
    <row r="49" spans="2:2">
      <c r="B49" s="17">
        <v>15</v>
      </c>
    </row>
    <row r="50" spans="2:2">
      <c r="B50" s="17">
        <v>11</v>
      </c>
    </row>
    <row r="51" spans="2:2">
      <c r="B51" s="17">
        <v>3</v>
      </c>
    </row>
    <row r="52" spans="2:2">
      <c r="B52" s="17">
        <v>-8</v>
      </c>
    </row>
    <row r="53" spans="2:2">
      <c r="B53" s="17">
        <v>3</v>
      </c>
    </row>
    <row r="54" spans="2:2">
      <c r="B54" s="17">
        <v>-1</v>
      </c>
    </row>
    <row r="55" spans="2:2">
      <c r="B55" s="17">
        <v>13</v>
      </c>
    </row>
    <row r="56" spans="2:2" hidden="1">
      <c r="B56" s="17">
        <v>-11</v>
      </c>
    </row>
    <row r="57" spans="2:2">
      <c r="B57" s="17">
        <v>0</v>
      </c>
    </row>
    <row r="58" spans="2:2">
      <c r="B58" s="17">
        <v>-1</v>
      </c>
    </row>
    <row r="59" spans="2:2">
      <c r="B59" s="17">
        <v>15</v>
      </c>
    </row>
    <row r="60" spans="2:2">
      <c r="B60" s="17">
        <v>-1</v>
      </c>
    </row>
    <row r="61" spans="2:2">
      <c r="B61" s="17">
        <v>0</v>
      </c>
    </row>
    <row r="62" spans="2:2">
      <c r="B62" s="17">
        <v>2</v>
      </c>
    </row>
    <row r="63" spans="2:2" hidden="1">
      <c r="B63" s="17">
        <v>-28</v>
      </c>
    </row>
    <row r="64" spans="2:2">
      <c r="B64" s="17">
        <v>16</v>
      </c>
    </row>
    <row r="65" spans="2:2">
      <c r="B65" s="17">
        <v>3</v>
      </c>
    </row>
    <row r="66" spans="2:2">
      <c r="B66" s="17">
        <v>5</v>
      </c>
    </row>
    <row r="67" spans="2:2">
      <c r="B67" s="17">
        <v>14</v>
      </c>
    </row>
    <row r="68" spans="2:2">
      <c r="B68" s="17">
        <v>10</v>
      </c>
    </row>
    <row r="69" spans="2:2">
      <c r="B69" s="17">
        <v>14</v>
      </c>
    </row>
    <row r="70" spans="2:2">
      <c r="B70">
        <f>PERCENTILE(B2:B69,0.95)</f>
        <v>18.600000000000023</v>
      </c>
    </row>
  </sheetData>
  <autoFilter ref="B1:B69">
    <filterColumn colId="0">
      <filters>
        <filter val="0"/>
        <filter val="1"/>
        <filter val="-1"/>
        <filter val="10"/>
        <filter val="11"/>
        <filter val="12"/>
        <filter val="13"/>
        <filter val="14"/>
        <filter val="15"/>
        <filter val="16"/>
        <filter val="2"/>
        <filter val="-2"/>
        <filter val="20"/>
        <filter val="21"/>
        <filter val="27"/>
        <filter val="28"/>
        <filter val="3"/>
        <filter val="-3"/>
        <filter val="4"/>
        <filter val="-4"/>
        <filter val="5"/>
        <filter val="-5"/>
        <filter val="6"/>
        <filter val="-6"/>
        <filter val="7"/>
        <filter val="-7"/>
        <filter val="8"/>
        <filter val="-8"/>
        <filter val="9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REOX1C-WSA</vt:lpstr>
      <vt:lpstr>REOX1C-CP</vt:lpstr>
      <vt:lpstr>REOX1C-ER</vt:lpstr>
      <vt:lpstr>RUN_code</vt:lpstr>
      <vt:lpstr>CL calculation sheet</vt:lpstr>
      <vt:lpstr>_xlwings.conf</vt:lpstr>
      <vt:lpstr>Sheet1</vt:lpstr>
      <vt:lpstr>'REOX1C-WSA'!Print_Area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dry</cp:lastModifiedBy>
  <dcterms:created xsi:type="dcterms:W3CDTF">2015-01-25T11:31:25Z</dcterms:created>
  <dcterms:modified xsi:type="dcterms:W3CDTF">2021-03-01T04:07:27Z</dcterms:modified>
</cp:coreProperties>
</file>