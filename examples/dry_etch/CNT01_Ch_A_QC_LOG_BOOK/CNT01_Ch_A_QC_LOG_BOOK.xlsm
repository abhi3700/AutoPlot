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A_QC_LOG_BOOK\"/>
    </mc:Choice>
  </mc:AlternateContent>
  <xr:revisionPtr revIDLastSave="0" documentId="13_ncr:1_{7CB09853-4321-438A-A0F2-FB3252801287}" xr6:coauthVersionLast="45" xr6:coauthVersionMax="45" xr10:uidLastSave="{00000000-0000-0000-0000-000000000000}"/>
  <bookViews>
    <workbookView xWindow="-108" yWindow="-108" windowWidth="23256" windowHeight="12576" tabRatio="564" firstSheet="5" activeTab="8" xr2:uid="{00000000-000D-0000-FFFF-FFFF00000000}"/>
  </bookViews>
  <sheets>
    <sheet name="REPL1A-WSA" sheetId="1" r:id="rId1"/>
    <sheet name="_xlwings.conf" sheetId="2" state="hidden" r:id="rId2"/>
    <sheet name="CP Plot" sheetId="7" state="hidden" r:id="rId3"/>
    <sheet name="SiN Plot" sheetId="8" state="hidden" r:id="rId4"/>
    <sheet name="Poly Plot" sheetId="9" state="hidden" r:id="rId5"/>
    <sheet name="REPL1A-CP" sheetId="19"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'REPL1A-CP'!$A$9:$I$136</definedName>
    <definedName name="_xlnm._FilterDatabase" localSheetId="6" hidden="1">'REPL1A-ERNit'!$A$11:$AE$662</definedName>
    <definedName name="_xlnm._FilterDatabase" localSheetId="7" hidden="1">'REPL1A-ERPoly'!$A$11:$AI$510</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238" i="19" l="1"/>
  <c r="E238" i="19" s="1"/>
  <c r="D237" i="19"/>
  <c r="E237" i="19" s="1"/>
  <c r="D236" i="19"/>
  <c r="E236" i="19" s="1"/>
  <c r="D235" i="19"/>
  <c r="E235" i="19" s="1"/>
  <c r="D234" i="19"/>
  <c r="E234" i="19" s="1"/>
  <c r="E233" i="19"/>
  <c r="D233" i="19"/>
  <c r="D232" i="19"/>
  <c r="E232" i="19" s="1"/>
  <c r="D231" i="19"/>
  <c r="E231" i="19" s="1"/>
  <c r="D230" i="19"/>
  <c r="E230" i="19" s="1"/>
  <c r="D229" i="19"/>
  <c r="E229" i="19" s="1"/>
  <c r="D228" i="19"/>
  <c r="E228" i="19" s="1"/>
  <c r="D227" i="19"/>
  <c r="E227" i="19" s="1"/>
  <c r="D226" i="19"/>
  <c r="E226" i="19" s="1"/>
  <c r="E225" i="19"/>
  <c r="D225" i="19"/>
  <c r="D224" i="19"/>
  <c r="E224" i="19" s="1"/>
  <c r="D223" i="19"/>
  <c r="E223" i="19" s="1"/>
  <c r="D222" i="19"/>
  <c r="E222" i="19" s="1"/>
  <c r="D221" i="19"/>
  <c r="E221" i="19" s="1"/>
  <c r="D220" i="19"/>
  <c r="E220" i="19" s="1"/>
  <c r="D219" i="19"/>
  <c r="E219" i="19" s="1"/>
  <c r="D218" i="19"/>
  <c r="E218" i="19" s="1"/>
  <c r="E217" i="19"/>
  <c r="D217" i="19"/>
  <c r="D216" i="19"/>
  <c r="E216" i="19" s="1"/>
  <c r="D215" i="19"/>
  <c r="E215" i="19" s="1"/>
  <c r="D214" i="19"/>
  <c r="E214" i="19" s="1"/>
  <c r="D213" i="19"/>
  <c r="E213" i="19" s="1"/>
  <c r="D212" i="19"/>
  <c r="E212" i="19" s="1"/>
  <c r="D211" i="19"/>
  <c r="E211" i="19" s="1"/>
  <c r="D210" i="19"/>
  <c r="E210" i="19" s="1"/>
  <c r="E209" i="19"/>
  <c r="D209" i="19"/>
  <c r="D208" i="19"/>
  <c r="E208" i="19" s="1"/>
  <c r="D207" i="19"/>
  <c r="E207" i="19" s="1"/>
  <c r="D206" i="19"/>
  <c r="E206" i="19" s="1"/>
  <c r="D205" i="19"/>
  <c r="E205" i="19" s="1"/>
  <c r="D204" i="19"/>
  <c r="E204" i="19" s="1"/>
  <c r="D203" i="19"/>
  <c r="E203" i="19" s="1"/>
  <c r="D202" i="19"/>
  <c r="E202" i="19" s="1"/>
  <c r="E201" i="19"/>
  <c r="D201" i="19"/>
  <c r="D200" i="19"/>
  <c r="E200" i="19" s="1"/>
  <c r="D199" i="19"/>
  <c r="E199" i="19" s="1"/>
  <c r="D198" i="19"/>
  <c r="E198" i="19" s="1"/>
  <c r="D197" i="19"/>
  <c r="E197" i="19" s="1"/>
  <c r="D196" i="19"/>
  <c r="E196" i="19" s="1"/>
  <c r="D195" i="19"/>
  <c r="E195" i="19" s="1"/>
  <c r="D194" i="19"/>
  <c r="E194" i="19" s="1"/>
  <c r="E193" i="19"/>
  <c r="D193" i="19"/>
  <c r="D192" i="19"/>
  <c r="E192" i="19" s="1"/>
  <c r="D191" i="19"/>
  <c r="E191" i="19" s="1"/>
  <c r="D190" i="19"/>
  <c r="E190" i="19" s="1"/>
  <c r="D189" i="19"/>
  <c r="E189" i="19" s="1"/>
  <c r="D188" i="19"/>
  <c r="E188" i="19" s="1"/>
  <c r="D187" i="19"/>
  <c r="E187" i="19" s="1"/>
  <c r="D186" i="19"/>
  <c r="E186" i="19" s="1"/>
  <c r="E185" i="19"/>
  <c r="D185" i="19"/>
  <c r="D184" i="19"/>
  <c r="E184" i="19" s="1"/>
  <c r="D183" i="19"/>
  <c r="E183" i="19" s="1"/>
  <c r="D182" i="19"/>
  <c r="E182" i="19" s="1"/>
  <c r="D181" i="19"/>
  <c r="E181" i="19" s="1"/>
  <c r="D180" i="19"/>
  <c r="E180" i="19" s="1"/>
  <c r="D179" i="19"/>
  <c r="E179" i="19" s="1"/>
  <c r="D178" i="19"/>
  <c r="E178" i="19" s="1"/>
  <c r="E177" i="19"/>
  <c r="D177" i="19"/>
  <c r="D176" i="19"/>
  <c r="E176" i="19" s="1"/>
  <c r="D175" i="19"/>
  <c r="E175" i="19" s="1"/>
  <c r="D174" i="19"/>
  <c r="E174" i="19" s="1"/>
  <c r="D173" i="19"/>
  <c r="E173" i="19" s="1"/>
  <c r="D172" i="19"/>
  <c r="E172" i="19" s="1"/>
  <c r="D171" i="19"/>
  <c r="E171" i="19" s="1"/>
  <c r="D170" i="19"/>
  <c r="E170" i="19" s="1"/>
  <c r="E169" i="19"/>
  <c r="D169" i="19"/>
  <c r="D168" i="19"/>
  <c r="E168" i="19" s="1"/>
  <c r="D167" i="19"/>
  <c r="E167" i="19" s="1"/>
  <c r="D166" i="19"/>
  <c r="E166" i="19" s="1"/>
  <c r="D165" i="19"/>
  <c r="E165" i="19" s="1"/>
  <c r="D164" i="19"/>
  <c r="E164" i="19" s="1"/>
  <c r="D163" i="19"/>
  <c r="E163" i="19" s="1"/>
  <c r="D162" i="19"/>
  <c r="E162" i="19" s="1"/>
  <c r="E161" i="19"/>
  <c r="D161" i="19"/>
  <c r="D160" i="19"/>
  <c r="E160" i="19" s="1"/>
  <c r="D159" i="19"/>
  <c r="E159" i="19" s="1"/>
  <c r="D158" i="19"/>
  <c r="E158" i="19" s="1"/>
  <c r="D157" i="19"/>
  <c r="E157" i="19" s="1"/>
  <c r="D156" i="19"/>
  <c r="E156" i="19" s="1"/>
  <c r="D155" i="19"/>
  <c r="E155" i="19" s="1"/>
  <c r="D154" i="19"/>
  <c r="E154" i="19" s="1"/>
  <c r="E153" i="19"/>
  <c r="D153" i="19"/>
  <c r="D152" i="19"/>
  <c r="E152" i="19" s="1"/>
  <c r="D151" i="19"/>
  <c r="E151" i="19" s="1"/>
  <c r="D150" i="19"/>
  <c r="E150" i="19" s="1"/>
  <c r="D149" i="19"/>
  <c r="E149" i="19" s="1"/>
  <c r="D148" i="19"/>
  <c r="E148" i="19" s="1"/>
  <c r="D147" i="19"/>
  <c r="E147" i="19" s="1"/>
  <c r="D146" i="19"/>
  <c r="E146" i="19" s="1"/>
  <c r="E145" i="19"/>
  <c r="D145" i="19"/>
  <c r="D144" i="19"/>
  <c r="E144" i="19" s="1"/>
  <c r="D143" i="19"/>
  <c r="E143" i="19" s="1"/>
  <c r="D142" i="19"/>
  <c r="E142" i="19" s="1"/>
  <c r="D141" i="19"/>
  <c r="E141" i="19" s="1"/>
  <c r="D140" i="19"/>
  <c r="E140" i="19" s="1"/>
  <c r="D139" i="19"/>
  <c r="E139" i="19" s="1"/>
  <c r="D138" i="19"/>
  <c r="E138" i="19" s="1"/>
  <c r="E137" i="19"/>
  <c r="D137" i="19"/>
  <c r="D136" i="19"/>
  <c r="E136" i="19" s="1"/>
  <c r="D135" i="19"/>
  <c r="E135" i="19" s="1"/>
  <c r="D134" i="19"/>
  <c r="E134" i="19" s="1"/>
  <c r="D133" i="19"/>
  <c r="E133" i="19" s="1"/>
  <c r="D132" i="19"/>
  <c r="E132" i="19" s="1"/>
  <c r="D131" i="19"/>
  <c r="E131" i="19" s="1"/>
  <c r="D130" i="19"/>
  <c r="E130" i="19" s="1"/>
  <c r="E129" i="19"/>
  <c r="D129" i="19"/>
  <c r="D128" i="19"/>
  <c r="E128" i="19" s="1"/>
  <c r="D127" i="19"/>
  <c r="E127" i="19" s="1"/>
  <c r="D126" i="19"/>
  <c r="E126" i="19" s="1"/>
  <c r="D125" i="19"/>
  <c r="E125" i="19" s="1"/>
  <c r="D124" i="19"/>
  <c r="E124" i="19" s="1"/>
  <c r="D123" i="19"/>
  <c r="E123" i="19" s="1"/>
  <c r="D122" i="19"/>
  <c r="E122" i="19" s="1"/>
  <c r="E121" i="19"/>
  <c r="D121" i="19"/>
  <c r="D120" i="19"/>
  <c r="E120" i="19" s="1"/>
  <c r="D119" i="19"/>
  <c r="E119" i="19" s="1"/>
  <c r="D118" i="19"/>
  <c r="E118" i="19" s="1"/>
  <c r="D117" i="19"/>
  <c r="E117" i="19" s="1"/>
  <c r="D116" i="19"/>
  <c r="E116" i="19" s="1"/>
  <c r="D115" i="19"/>
  <c r="E115" i="19" s="1"/>
  <c r="D114" i="19"/>
  <c r="E114" i="19" s="1"/>
  <c r="E113" i="19"/>
  <c r="D113" i="19"/>
  <c r="D112" i="19"/>
  <c r="E112" i="19" s="1"/>
  <c r="D111" i="19"/>
  <c r="E111" i="19" s="1"/>
  <c r="D110" i="19"/>
  <c r="E110" i="19" s="1"/>
  <c r="D109" i="19"/>
  <c r="E109" i="19" s="1"/>
  <c r="D108" i="19"/>
  <c r="E108" i="19" s="1"/>
  <c r="D107" i="19"/>
  <c r="E107" i="19" s="1"/>
  <c r="D106" i="19"/>
  <c r="E106" i="19" s="1"/>
  <c r="E105" i="19"/>
  <c r="D105" i="19"/>
  <c r="D104" i="19"/>
  <c r="E104" i="19" s="1"/>
  <c r="D103" i="19"/>
  <c r="E103" i="19" s="1"/>
  <c r="D102" i="19"/>
  <c r="E102" i="19" s="1"/>
  <c r="D101" i="19"/>
  <c r="E101" i="19" s="1"/>
  <c r="D100" i="19"/>
  <c r="E100" i="19" s="1"/>
  <c r="D99" i="19"/>
  <c r="E99" i="19" s="1"/>
  <c r="D98" i="19"/>
  <c r="E98" i="19" s="1"/>
  <c r="E97" i="19"/>
  <c r="D97" i="19"/>
  <c r="D96" i="19"/>
  <c r="E96" i="19" s="1"/>
  <c r="D95" i="19"/>
  <c r="E95" i="19" s="1"/>
  <c r="D94" i="19"/>
  <c r="E94" i="19" s="1"/>
  <c r="D93" i="19"/>
  <c r="E93" i="19" s="1"/>
  <c r="D92" i="19"/>
  <c r="E92" i="19" s="1"/>
  <c r="D91" i="19"/>
  <c r="E91" i="19" s="1"/>
  <c r="D90" i="19"/>
  <c r="E90" i="19" s="1"/>
  <c r="E89" i="19"/>
  <c r="D89" i="19"/>
  <c r="D88" i="19"/>
  <c r="E88" i="19" s="1"/>
  <c r="D87" i="19"/>
  <c r="E87" i="19" s="1"/>
  <c r="D86" i="19"/>
  <c r="E86" i="19" s="1"/>
  <c r="D85" i="19"/>
  <c r="E85" i="19" s="1"/>
  <c r="D84" i="19"/>
  <c r="E84" i="19" s="1"/>
  <c r="D83" i="19"/>
  <c r="E83" i="19" s="1"/>
  <c r="D82" i="19"/>
  <c r="E82" i="19" s="1"/>
  <c r="E81" i="19"/>
  <c r="D81" i="19"/>
  <c r="D80" i="19"/>
  <c r="E80" i="19" s="1"/>
  <c r="D79" i="19"/>
  <c r="E79" i="19" s="1"/>
  <c r="D78" i="19"/>
  <c r="E78" i="19" s="1"/>
  <c r="D77" i="19"/>
  <c r="E77" i="19" s="1"/>
  <c r="D76" i="19"/>
  <c r="E76" i="19" s="1"/>
  <c r="D75" i="19"/>
  <c r="E75" i="19" s="1"/>
  <c r="D74" i="19"/>
  <c r="E74" i="19" s="1"/>
  <c r="E73" i="19"/>
  <c r="D73" i="19"/>
  <c r="D72" i="19"/>
  <c r="E72" i="19" s="1"/>
  <c r="D71" i="19"/>
  <c r="E71" i="19" s="1"/>
  <c r="D70" i="19"/>
  <c r="E70" i="19" s="1"/>
  <c r="D69" i="19"/>
  <c r="E69" i="19" s="1"/>
  <c r="D68" i="19"/>
  <c r="E68" i="19" s="1"/>
  <c r="D67" i="19"/>
  <c r="E67" i="19" s="1"/>
  <c r="D66" i="19"/>
  <c r="E66" i="19" s="1"/>
  <c r="E65" i="19"/>
  <c r="D65" i="19"/>
  <c r="D64" i="19"/>
  <c r="E64" i="19" s="1"/>
  <c r="D63" i="19"/>
  <c r="E63" i="19" s="1"/>
  <c r="D62" i="19"/>
  <c r="E62" i="19" s="1"/>
  <c r="D61" i="19"/>
  <c r="E61" i="19" s="1"/>
  <c r="D60" i="19"/>
  <c r="E60" i="19" s="1"/>
  <c r="D59" i="19"/>
  <c r="E59" i="19" s="1"/>
  <c r="D58" i="19"/>
  <c r="E58" i="19" s="1"/>
  <c r="E57" i="19"/>
  <c r="D57" i="19"/>
  <c r="D56" i="19"/>
  <c r="E56" i="19" s="1"/>
  <c r="D55" i="19"/>
  <c r="E55" i="19" s="1"/>
  <c r="D54" i="19"/>
  <c r="E54" i="19" s="1"/>
  <c r="D53" i="19"/>
  <c r="E53" i="19" s="1"/>
  <c r="D52" i="19"/>
  <c r="E52" i="19" s="1"/>
  <c r="D51" i="19"/>
  <c r="E51" i="19" s="1"/>
  <c r="D50" i="19"/>
  <c r="E50" i="19" s="1"/>
  <c r="E49" i="19"/>
  <c r="D49" i="19"/>
  <c r="D48" i="19"/>
  <c r="E48" i="19" s="1"/>
  <c r="D47" i="19"/>
  <c r="E47" i="19" s="1"/>
  <c r="D46" i="19"/>
  <c r="E46" i="19" s="1"/>
  <c r="D45" i="19"/>
  <c r="E45" i="19" s="1"/>
  <c r="D44" i="19"/>
  <c r="E44" i="19" s="1"/>
  <c r="D43" i="19"/>
  <c r="E43" i="19" s="1"/>
  <c r="D42" i="19"/>
  <c r="E42" i="19" s="1"/>
  <c r="E41" i="19"/>
  <c r="D41" i="19"/>
  <c r="D40" i="19"/>
  <c r="E40" i="19" s="1"/>
  <c r="D39" i="19"/>
  <c r="E39" i="19" s="1"/>
  <c r="D38" i="19"/>
  <c r="E38" i="19" s="1"/>
  <c r="D37" i="19"/>
  <c r="E37" i="19" s="1"/>
  <c r="D36" i="19"/>
  <c r="E36" i="19" s="1"/>
  <c r="D35" i="19"/>
  <c r="E35" i="19" s="1"/>
  <c r="D34" i="19"/>
  <c r="E34" i="19" s="1"/>
  <c r="E33" i="19"/>
  <c r="D33" i="19"/>
  <c r="D32" i="19"/>
  <c r="E32" i="19" s="1"/>
  <c r="D31" i="19"/>
  <c r="E31" i="19" s="1"/>
  <c r="D30" i="19"/>
  <c r="E30" i="19" s="1"/>
  <c r="D29" i="19"/>
  <c r="E29" i="19" s="1"/>
  <c r="D28" i="19"/>
  <c r="E28" i="19" s="1"/>
  <c r="D27" i="19"/>
  <c r="E27" i="19" s="1"/>
  <c r="D26" i="19"/>
  <c r="E26" i="19" s="1"/>
  <c r="E25" i="19"/>
  <c r="D25" i="19"/>
  <c r="D24" i="19"/>
  <c r="E24" i="19" s="1"/>
  <c r="D23" i="19"/>
  <c r="E23" i="19" s="1"/>
  <c r="D22" i="19"/>
  <c r="E22" i="19" s="1"/>
  <c r="D21" i="19"/>
  <c r="E21" i="19" s="1"/>
  <c r="D20" i="19"/>
  <c r="E20" i="19" s="1"/>
  <c r="D19" i="19"/>
  <c r="E19" i="19" s="1"/>
  <c r="D18" i="19"/>
  <c r="E18" i="19" s="1"/>
  <c r="E17" i="19"/>
  <c r="D17" i="19"/>
  <c r="D16" i="19"/>
  <c r="E16" i="19" s="1"/>
  <c r="D15" i="19"/>
  <c r="E15" i="19" s="1"/>
  <c r="D14" i="19"/>
  <c r="E14" i="19" s="1"/>
  <c r="D13" i="19"/>
  <c r="E13" i="19" s="1"/>
  <c r="D12" i="19"/>
  <c r="E12" i="19" s="1"/>
  <c r="D11" i="19"/>
  <c r="E11" i="19" s="1"/>
  <c r="T509" i="18"/>
  <c r="W507" i="18" s="1"/>
  <c r="S509" i="18"/>
  <c r="R509" i="18"/>
  <c r="Q509" i="18"/>
  <c r="P509" i="18"/>
  <c r="O509" i="18"/>
  <c r="N509" i="18"/>
  <c r="M509" i="18"/>
  <c r="L509" i="18"/>
  <c r="K509" i="18"/>
  <c r="J509" i="18"/>
  <c r="I509" i="18"/>
  <c r="H509" i="18"/>
  <c r="G509" i="18"/>
  <c r="F509" i="18"/>
  <c r="E509" i="18"/>
  <c r="D509" i="18"/>
  <c r="Z507" i="18"/>
  <c r="Y507" i="18"/>
  <c r="V507" i="18"/>
  <c r="U507" i="18"/>
  <c r="T506" i="18"/>
  <c r="S506" i="18"/>
  <c r="R506" i="18"/>
  <c r="Q506" i="18"/>
  <c r="P506" i="18"/>
  <c r="O506" i="18"/>
  <c r="N506" i="18"/>
  <c r="M506" i="18"/>
  <c r="L506" i="18"/>
  <c r="K506" i="18"/>
  <c r="J506" i="18"/>
  <c r="I506" i="18"/>
  <c r="H506" i="18"/>
  <c r="G506" i="18"/>
  <c r="F506" i="18"/>
  <c r="E506" i="18"/>
  <c r="D506" i="18"/>
  <c r="Z504" i="18"/>
  <c r="Y504" i="18"/>
  <c r="W504" i="18"/>
  <c r="V504" i="18"/>
  <c r="U504" i="18"/>
  <c r="T503" i="18"/>
  <c r="S503" i="18"/>
  <c r="R503" i="18"/>
  <c r="Q503" i="18"/>
  <c r="P503" i="18"/>
  <c r="O503" i="18"/>
  <c r="N503" i="18"/>
  <c r="M503" i="18"/>
  <c r="L503" i="18"/>
  <c r="K503" i="18"/>
  <c r="J503" i="18"/>
  <c r="I503" i="18"/>
  <c r="H503" i="18"/>
  <c r="G503" i="18"/>
  <c r="F503" i="18"/>
  <c r="E503" i="18"/>
  <c r="D503" i="18"/>
  <c r="X501" i="18" s="1"/>
  <c r="Z501" i="18"/>
  <c r="Y501" i="18"/>
  <c r="W501" i="18"/>
  <c r="V501" i="18"/>
  <c r="U501" i="18"/>
  <c r="T500" i="18"/>
  <c r="W498" i="18" s="1"/>
  <c r="S500" i="18"/>
  <c r="R500" i="18"/>
  <c r="Q500" i="18"/>
  <c r="P500" i="18"/>
  <c r="O500" i="18"/>
  <c r="N500" i="18"/>
  <c r="M500" i="18"/>
  <c r="L500" i="18"/>
  <c r="K500" i="18"/>
  <c r="J500" i="18"/>
  <c r="I500" i="18"/>
  <c r="H500" i="18"/>
  <c r="G500" i="18"/>
  <c r="F500" i="18"/>
  <c r="E500" i="18"/>
  <c r="D500" i="18"/>
  <c r="Z498" i="18"/>
  <c r="Y498" i="18"/>
  <c r="V498" i="18"/>
  <c r="U498" i="18"/>
  <c r="T497" i="18"/>
  <c r="W495" i="18" s="1"/>
  <c r="S497" i="18"/>
  <c r="R497" i="18"/>
  <c r="Q497" i="18"/>
  <c r="P497" i="18"/>
  <c r="O497" i="18"/>
  <c r="N497" i="18"/>
  <c r="M497" i="18"/>
  <c r="L497" i="18"/>
  <c r="K497" i="18"/>
  <c r="J497" i="18"/>
  <c r="I497" i="18"/>
  <c r="H497" i="18"/>
  <c r="G497" i="18"/>
  <c r="F497" i="18"/>
  <c r="E497" i="18"/>
  <c r="D497" i="18"/>
  <c r="Z495" i="18"/>
  <c r="Y495" i="18"/>
  <c r="V495" i="18"/>
  <c r="U495" i="18"/>
  <c r="T494" i="18"/>
  <c r="W492" i="18" s="1"/>
  <c r="S494" i="18"/>
  <c r="R494" i="18"/>
  <c r="Q494" i="18"/>
  <c r="P494" i="18"/>
  <c r="O494" i="18"/>
  <c r="N494" i="18"/>
  <c r="M494" i="18"/>
  <c r="L494" i="18"/>
  <c r="K494" i="18"/>
  <c r="J494" i="18"/>
  <c r="I494" i="18"/>
  <c r="H494" i="18"/>
  <c r="G494" i="18"/>
  <c r="F494" i="18"/>
  <c r="X492" i="18" s="1"/>
  <c r="E494" i="18"/>
  <c r="D494" i="18"/>
  <c r="Z492" i="18"/>
  <c r="Y492" i="18"/>
  <c r="V492" i="18"/>
  <c r="U492" i="18"/>
  <c r="T491" i="18"/>
  <c r="S491" i="18"/>
  <c r="R491" i="18"/>
  <c r="Q491" i="18"/>
  <c r="P491" i="18"/>
  <c r="O491" i="18"/>
  <c r="N491" i="18"/>
  <c r="M491" i="18"/>
  <c r="L491" i="18"/>
  <c r="K491" i="18"/>
  <c r="J491" i="18"/>
  <c r="I491" i="18"/>
  <c r="H491" i="18"/>
  <c r="G491" i="18"/>
  <c r="F491" i="18"/>
  <c r="E491" i="18"/>
  <c r="D491" i="18"/>
  <c r="X489" i="18" s="1"/>
  <c r="Z489" i="18"/>
  <c r="Y489" i="18"/>
  <c r="W489" i="18"/>
  <c r="V489" i="18"/>
  <c r="U489" i="18"/>
  <c r="T488" i="18"/>
  <c r="W486" i="18" s="1"/>
  <c r="S488" i="18"/>
  <c r="R488" i="18"/>
  <c r="Q488" i="18"/>
  <c r="P488" i="18"/>
  <c r="O488" i="18"/>
  <c r="N488" i="18"/>
  <c r="M488" i="18"/>
  <c r="L488" i="18"/>
  <c r="K488" i="18"/>
  <c r="J488" i="18"/>
  <c r="I488" i="18"/>
  <c r="H488" i="18"/>
  <c r="G488" i="18"/>
  <c r="F488" i="18"/>
  <c r="E488" i="18"/>
  <c r="D488" i="18"/>
  <c r="Z486" i="18"/>
  <c r="Y486" i="18"/>
  <c r="V486" i="18"/>
  <c r="U486" i="18"/>
  <c r="T485" i="18"/>
  <c r="S485" i="18"/>
  <c r="R485" i="18"/>
  <c r="Q485" i="18"/>
  <c r="P485" i="18"/>
  <c r="O485" i="18"/>
  <c r="N485" i="18"/>
  <c r="M485" i="18"/>
  <c r="L485" i="18"/>
  <c r="K485" i="18"/>
  <c r="J485" i="18"/>
  <c r="I485" i="18"/>
  <c r="H485" i="18"/>
  <c r="G485" i="18"/>
  <c r="F485" i="18"/>
  <c r="E485" i="18"/>
  <c r="D485" i="18"/>
  <c r="Z483" i="18"/>
  <c r="Y483" i="18"/>
  <c r="W483" i="18"/>
  <c r="V483" i="18"/>
  <c r="U483" i="18"/>
  <c r="T482" i="18"/>
  <c r="W480" i="18" s="1"/>
  <c r="S482" i="18"/>
  <c r="R482" i="18"/>
  <c r="Q482" i="18"/>
  <c r="P482" i="18"/>
  <c r="O482" i="18"/>
  <c r="N482" i="18"/>
  <c r="M482" i="18"/>
  <c r="L482" i="18"/>
  <c r="K482" i="18"/>
  <c r="J482" i="18"/>
  <c r="I482" i="18"/>
  <c r="H482" i="18"/>
  <c r="G482" i="18"/>
  <c r="F482" i="18"/>
  <c r="E482" i="18"/>
  <c r="D482" i="18"/>
  <c r="Z480" i="18"/>
  <c r="Y480" i="18"/>
  <c r="V480" i="18"/>
  <c r="U480" i="18"/>
  <c r="T479" i="18"/>
  <c r="S479" i="18"/>
  <c r="R479" i="18"/>
  <c r="Q479" i="18"/>
  <c r="P479" i="18"/>
  <c r="O479" i="18"/>
  <c r="N479" i="18"/>
  <c r="M479" i="18"/>
  <c r="L479" i="18"/>
  <c r="K479" i="18"/>
  <c r="J479" i="18"/>
  <c r="I479" i="18"/>
  <c r="H479" i="18"/>
  <c r="G479" i="18"/>
  <c r="F479" i="18"/>
  <c r="E479" i="18"/>
  <c r="D479" i="18"/>
  <c r="Z477" i="18"/>
  <c r="Y477" i="18"/>
  <c r="X477" i="18"/>
  <c r="W477" i="18"/>
  <c r="V477" i="18"/>
  <c r="U477" i="18"/>
  <c r="T476" i="18"/>
  <c r="W474" i="18" s="1"/>
  <c r="S476" i="18"/>
  <c r="R476" i="18"/>
  <c r="Q476" i="18"/>
  <c r="P476" i="18"/>
  <c r="O476" i="18"/>
  <c r="N476" i="18"/>
  <c r="M476" i="18"/>
  <c r="L476" i="18"/>
  <c r="K476" i="18"/>
  <c r="J476" i="18"/>
  <c r="I476" i="18"/>
  <c r="H476" i="18"/>
  <c r="G476" i="18"/>
  <c r="F476" i="18"/>
  <c r="E476" i="18"/>
  <c r="D476" i="18"/>
  <c r="X474" i="18" s="1"/>
  <c r="Z474" i="18"/>
  <c r="Y474" i="18"/>
  <c r="V474" i="18"/>
  <c r="U474" i="18"/>
  <c r="T473" i="18"/>
  <c r="W471" i="18" s="1"/>
  <c r="S473" i="18"/>
  <c r="R473" i="18"/>
  <c r="Q473" i="18"/>
  <c r="P473" i="18"/>
  <c r="O473" i="18"/>
  <c r="N473" i="18"/>
  <c r="M473" i="18"/>
  <c r="L473" i="18"/>
  <c r="K473" i="18"/>
  <c r="J473" i="18"/>
  <c r="I473" i="18"/>
  <c r="H473" i="18"/>
  <c r="G473" i="18"/>
  <c r="F473" i="18"/>
  <c r="X471" i="18" s="1"/>
  <c r="E473" i="18"/>
  <c r="D473" i="18"/>
  <c r="Z471" i="18"/>
  <c r="Y471" i="18"/>
  <c r="V471" i="18"/>
  <c r="U471" i="18"/>
  <c r="T470" i="18"/>
  <c r="W468" i="18" s="1"/>
  <c r="S470" i="18"/>
  <c r="R470" i="18"/>
  <c r="Q470" i="18"/>
  <c r="P470" i="18"/>
  <c r="O470" i="18"/>
  <c r="N470" i="18"/>
  <c r="M470" i="18"/>
  <c r="L470" i="18"/>
  <c r="K470" i="18"/>
  <c r="J470" i="18"/>
  <c r="I470" i="18"/>
  <c r="H470" i="18"/>
  <c r="G470" i="18"/>
  <c r="F470" i="18"/>
  <c r="E470" i="18"/>
  <c r="D470" i="18"/>
  <c r="Z468" i="18"/>
  <c r="Y468" i="18"/>
  <c r="V468" i="18"/>
  <c r="U468" i="18"/>
  <c r="T467" i="18"/>
  <c r="S467" i="18"/>
  <c r="R467" i="18"/>
  <c r="Q467" i="18"/>
  <c r="P467" i="18"/>
  <c r="O467" i="18"/>
  <c r="N467" i="18"/>
  <c r="M467" i="18"/>
  <c r="L467" i="18"/>
  <c r="K467" i="18"/>
  <c r="J467" i="18"/>
  <c r="I467" i="18"/>
  <c r="H467" i="18"/>
  <c r="G467" i="18"/>
  <c r="F467" i="18"/>
  <c r="E467" i="18"/>
  <c r="D467" i="18"/>
  <c r="Z465" i="18"/>
  <c r="Y465" i="18"/>
  <c r="W465" i="18"/>
  <c r="V465" i="18"/>
  <c r="U465" i="18"/>
  <c r="T464" i="18"/>
  <c r="S464" i="18"/>
  <c r="R464" i="18"/>
  <c r="Q464" i="18"/>
  <c r="P464" i="18"/>
  <c r="O464" i="18"/>
  <c r="N464" i="18"/>
  <c r="M464" i="18"/>
  <c r="L464" i="18"/>
  <c r="K464" i="18"/>
  <c r="J464" i="18"/>
  <c r="I464" i="18"/>
  <c r="H464" i="18"/>
  <c r="G464" i="18"/>
  <c r="F464" i="18"/>
  <c r="E464" i="18"/>
  <c r="D464" i="18"/>
  <c r="Z462" i="18"/>
  <c r="Y462" i="18"/>
  <c r="W462" i="18"/>
  <c r="V462" i="18"/>
  <c r="U462" i="18"/>
  <c r="T461" i="18"/>
  <c r="W459" i="18" s="1"/>
  <c r="S461" i="18"/>
  <c r="R461" i="18"/>
  <c r="Q461" i="18"/>
  <c r="P461" i="18"/>
  <c r="O461" i="18"/>
  <c r="N461" i="18"/>
  <c r="M461" i="18"/>
  <c r="L461" i="18"/>
  <c r="K461" i="18"/>
  <c r="J461" i="18"/>
  <c r="I461" i="18"/>
  <c r="H461" i="18"/>
  <c r="G461" i="18"/>
  <c r="F461" i="18"/>
  <c r="E461" i="18"/>
  <c r="D461" i="18"/>
  <c r="Z459" i="18"/>
  <c r="Y459" i="18"/>
  <c r="V459" i="18"/>
  <c r="U459" i="18"/>
  <c r="T458" i="18"/>
  <c r="S458" i="18"/>
  <c r="R458" i="18"/>
  <c r="Q458" i="18"/>
  <c r="P458" i="18"/>
  <c r="O458" i="18"/>
  <c r="N458" i="18"/>
  <c r="M458" i="18"/>
  <c r="L458" i="18"/>
  <c r="K458" i="18"/>
  <c r="J458" i="18"/>
  <c r="I458" i="18"/>
  <c r="H458" i="18"/>
  <c r="G458" i="18"/>
  <c r="F458" i="18"/>
  <c r="X456" i="18" s="1"/>
  <c r="E458" i="18"/>
  <c r="D458" i="18"/>
  <c r="Z456" i="18"/>
  <c r="Y456" i="18"/>
  <c r="W456" i="18"/>
  <c r="V456" i="18"/>
  <c r="U456" i="18"/>
  <c r="T455" i="18"/>
  <c r="W453" i="18" s="1"/>
  <c r="S455" i="18"/>
  <c r="R455" i="18"/>
  <c r="Q455" i="18"/>
  <c r="P455" i="18"/>
  <c r="O455" i="18"/>
  <c r="N455" i="18"/>
  <c r="M455" i="18"/>
  <c r="L455" i="18"/>
  <c r="K455" i="18"/>
  <c r="J455" i="18"/>
  <c r="I455" i="18"/>
  <c r="H455" i="18"/>
  <c r="G455" i="18"/>
  <c r="F455" i="18"/>
  <c r="E455" i="18"/>
  <c r="D455" i="18"/>
  <c r="X453" i="18" s="1"/>
  <c r="Z453" i="18"/>
  <c r="Y453" i="18"/>
  <c r="V453" i="18"/>
  <c r="U453" i="18"/>
  <c r="T452" i="18"/>
  <c r="W450" i="18" s="1"/>
  <c r="S452" i="18"/>
  <c r="R452" i="18"/>
  <c r="Q452" i="18"/>
  <c r="P452" i="18"/>
  <c r="O452" i="18"/>
  <c r="N452" i="18"/>
  <c r="M452" i="18"/>
  <c r="L452" i="18"/>
  <c r="K452" i="18"/>
  <c r="J452" i="18"/>
  <c r="I452" i="18"/>
  <c r="H452" i="18"/>
  <c r="G452" i="18"/>
  <c r="F452" i="18"/>
  <c r="E452" i="18"/>
  <c r="D452" i="18"/>
  <c r="Z450" i="18"/>
  <c r="Y450" i="18"/>
  <c r="V450" i="18"/>
  <c r="U450" i="18"/>
  <c r="T449" i="18"/>
  <c r="S449" i="18"/>
  <c r="R449" i="18"/>
  <c r="Q449" i="18"/>
  <c r="P449" i="18"/>
  <c r="O449" i="18"/>
  <c r="N449" i="18"/>
  <c r="M449" i="18"/>
  <c r="L449" i="18"/>
  <c r="K449" i="18"/>
  <c r="J449" i="18"/>
  <c r="I449" i="18"/>
  <c r="H449" i="18"/>
  <c r="G449" i="18"/>
  <c r="F449" i="18"/>
  <c r="E449" i="18"/>
  <c r="D449" i="18"/>
  <c r="V447" i="18" s="1"/>
  <c r="T446" i="18"/>
  <c r="S446" i="18"/>
  <c r="R446" i="18"/>
  <c r="Q446" i="18"/>
  <c r="P446" i="18"/>
  <c r="O446" i="18"/>
  <c r="N446" i="18"/>
  <c r="M446" i="18"/>
  <c r="L446" i="18"/>
  <c r="K446" i="18"/>
  <c r="J446" i="18"/>
  <c r="I446" i="18"/>
  <c r="H446" i="18"/>
  <c r="G446" i="18"/>
  <c r="F446" i="18"/>
  <c r="E446" i="18"/>
  <c r="D446" i="18"/>
  <c r="T443" i="18"/>
  <c r="S443" i="18"/>
  <c r="R443" i="18"/>
  <c r="Q443" i="18"/>
  <c r="P443" i="18"/>
  <c r="O443" i="18"/>
  <c r="N443" i="18"/>
  <c r="M443" i="18"/>
  <c r="L443" i="18"/>
  <c r="K443" i="18"/>
  <c r="J443" i="18"/>
  <c r="I443" i="18"/>
  <c r="H443" i="18"/>
  <c r="G443" i="18"/>
  <c r="F443" i="18"/>
  <c r="E443" i="18"/>
  <c r="D443" i="18"/>
  <c r="T440" i="18"/>
  <c r="S440" i="18"/>
  <c r="R440" i="18"/>
  <c r="Q440" i="18"/>
  <c r="P440" i="18"/>
  <c r="O440" i="18"/>
  <c r="N440" i="18"/>
  <c r="M440" i="18"/>
  <c r="L440" i="18"/>
  <c r="K440" i="18"/>
  <c r="J440" i="18"/>
  <c r="I440" i="18"/>
  <c r="H440" i="18"/>
  <c r="G440" i="18"/>
  <c r="F440" i="18"/>
  <c r="E440" i="18"/>
  <c r="D440" i="18"/>
  <c r="W438" i="18"/>
  <c r="T437" i="18"/>
  <c r="S437" i="18"/>
  <c r="R437" i="18"/>
  <c r="Q437" i="18"/>
  <c r="P437" i="18"/>
  <c r="O437" i="18"/>
  <c r="N437" i="18"/>
  <c r="M437" i="18"/>
  <c r="L437" i="18"/>
  <c r="K437" i="18"/>
  <c r="J437" i="18"/>
  <c r="I437" i="18"/>
  <c r="H437" i="18"/>
  <c r="G437" i="18"/>
  <c r="F437" i="18"/>
  <c r="E437" i="18"/>
  <c r="W435" i="18" s="1"/>
  <c r="D437" i="18"/>
  <c r="T434" i="18"/>
  <c r="S434" i="18"/>
  <c r="R434" i="18"/>
  <c r="Q434" i="18"/>
  <c r="P434" i="18"/>
  <c r="O434" i="18"/>
  <c r="N434" i="18"/>
  <c r="M434" i="18"/>
  <c r="L434" i="18"/>
  <c r="K434" i="18"/>
  <c r="J434" i="18"/>
  <c r="I434" i="18"/>
  <c r="H434" i="18"/>
  <c r="G434" i="18"/>
  <c r="F434" i="18"/>
  <c r="E434" i="18"/>
  <c r="D434" i="18"/>
  <c r="T431" i="18"/>
  <c r="S431" i="18"/>
  <c r="R431" i="18"/>
  <c r="Q431" i="18"/>
  <c r="P431" i="18"/>
  <c r="O431" i="18"/>
  <c r="N431" i="18"/>
  <c r="M431" i="18"/>
  <c r="L431" i="18"/>
  <c r="K431" i="18"/>
  <c r="J431" i="18"/>
  <c r="I431" i="18"/>
  <c r="H431" i="18"/>
  <c r="G431" i="18"/>
  <c r="F431" i="18"/>
  <c r="E431" i="18"/>
  <c r="D431" i="18"/>
  <c r="T428" i="18"/>
  <c r="W426" i="18" s="1"/>
  <c r="S428" i="18"/>
  <c r="R428" i="18"/>
  <c r="Q428" i="18"/>
  <c r="P428" i="18"/>
  <c r="O428" i="18"/>
  <c r="N428" i="18"/>
  <c r="M428" i="18"/>
  <c r="L428" i="18"/>
  <c r="K428" i="18"/>
  <c r="J428" i="18"/>
  <c r="I428" i="18"/>
  <c r="H428" i="18"/>
  <c r="G428" i="18"/>
  <c r="F428" i="18"/>
  <c r="E428" i="18"/>
  <c r="D428" i="18"/>
  <c r="T425" i="18"/>
  <c r="S425" i="18"/>
  <c r="R425" i="18"/>
  <c r="Q425" i="18"/>
  <c r="P425" i="18"/>
  <c r="O425" i="18"/>
  <c r="N425" i="18"/>
  <c r="M425" i="18"/>
  <c r="L425" i="18"/>
  <c r="K425" i="18"/>
  <c r="J425" i="18"/>
  <c r="I425" i="18"/>
  <c r="H425" i="18"/>
  <c r="G425" i="18"/>
  <c r="F425" i="18"/>
  <c r="E425" i="18"/>
  <c r="D425" i="18"/>
  <c r="V423" i="18" s="1"/>
  <c r="T422" i="18"/>
  <c r="S422" i="18"/>
  <c r="R422" i="18"/>
  <c r="Q422" i="18"/>
  <c r="P422" i="18"/>
  <c r="O422" i="18"/>
  <c r="N422" i="18"/>
  <c r="M422" i="18"/>
  <c r="L422" i="18"/>
  <c r="K422" i="18"/>
  <c r="J422" i="18"/>
  <c r="I422" i="18"/>
  <c r="H422" i="18"/>
  <c r="G422" i="18"/>
  <c r="F422" i="18"/>
  <c r="E422" i="18"/>
  <c r="D422" i="18"/>
  <c r="T419" i="18"/>
  <c r="S419" i="18"/>
  <c r="R419" i="18"/>
  <c r="Q419" i="18"/>
  <c r="P419" i="18"/>
  <c r="O419" i="18"/>
  <c r="N419" i="18"/>
  <c r="M419" i="18"/>
  <c r="L419" i="18"/>
  <c r="K419" i="18"/>
  <c r="J419" i="18"/>
  <c r="I419" i="18"/>
  <c r="H419" i="18"/>
  <c r="G419" i="18"/>
  <c r="F419" i="18"/>
  <c r="E419" i="18"/>
  <c r="D419" i="18"/>
  <c r="T416" i="18"/>
  <c r="S416" i="18"/>
  <c r="R416" i="18"/>
  <c r="Q416" i="18"/>
  <c r="P416" i="18"/>
  <c r="O416" i="18"/>
  <c r="N416" i="18"/>
  <c r="M416" i="18"/>
  <c r="L416" i="18"/>
  <c r="K416" i="18"/>
  <c r="J416" i="18"/>
  <c r="I416" i="18"/>
  <c r="H416" i="18"/>
  <c r="G416" i="18"/>
  <c r="F416" i="18"/>
  <c r="E416" i="18"/>
  <c r="D416" i="18"/>
  <c r="W414" i="18"/>
  <c r="T413" i="18"/>
  <c r="S413" i="18"/>
  <c r="R413" i="18"/>
  <c r="Q413" i="18"/>
  <c r="P413" i="18"/>
  <c r="O413" i="18"/>
  <c r="N413" i="18"/>
  <c r="M413" i="18"/>
  <c r="L413" i="18"/>
  <c r="K413" i="18"/>
  <c r="J413" i="18"/>
  <c r="I413" i="18"/>
  <c r="H413" i="18"/>
  <c r="G413" i="18"/>
  <c r="F413" i="18"/>
  <c r="E413" i="18"/>
  <c r="W411" i="18" s="1"/>
  <c r="D413" i="18"/>
  <c r="T410" i="18"/>
  <c r="S410" i="18"/>
  <c r="R410" i="18"/>
  <c r="Q410" i="18"/>
  <c r="P410" i="18"/>
  <c r="O410" i="18"/>
  <c r="N410" i="18"/>
  <c r="M410" i="18"/>
  <c r="L410" i="18"/>
  <c r="K410" i="18"/>
  <c r="J410" i="18"/>
  <c r="I410" i="18"/>
  <c r="H410" i="18"/>
  <c r="G410" i="18"/>
  <c r="F410" i="18"/>
  <c r="E410" i="18"/>
  <c r="D410" i="18"/>
  <c r="T407" i="18"/>
  <c r="S407" i="18"/>
  <c r="R407" i="18"/>
  <c r="Q407" i="18"/>
  <c r="P407" i="18"/>
  <c r="O407" i="18"/>
  <c r="N407" i="18"/>
  <c r="M407" i="18"/>
  <c r="L407" i="18"/>
  <c r="K407" i="18"/>
  <c r="J407" i="18"/>
  <c r="I407" i="18"/>
  <c r="H407" i="18"/>
  <c r="G407" i="18"/>
  <c r="F407" i="18"/>
  <c r="E407" i="18"/>
  <c r="D407" i="18"/>
  <c r="T404" i="18"/>
  <c r="S404" i="18"/>
  <c r="R404" i="18"/>
  <c r="Q404" i="18"/>
  <c r="P404" i="18"/>
  <c r="O404" i="18"/>
  <c r="N404" i="18"/>
  <c r="M404" i="18"/>
  <c r="L404" i="18"/>
  <c r="K404" i="18"/>
  <c r="J404" i="18"/>
  <c r="I404" i="18"/>
  <c r="H404" i="18"/>
  <c r="G404" i="18"/>
  <c r="F404" i="18"/>
  <c r="E404" i="18"/>
  <c r="D404" i="18"/>
  <c r="W402" i="18" s="1"/>
  <c r="T401" i="18"/>
  <c r="S401" i="18"/>
  <c r="R401" i="18"/>
  <c r="Q401" i="18"/>
  <c r="P401" i="18"/>
  <c r="O401" i="18"/>
  <c r="N401" i="18"/>
  <c r="M401" i="18"/>
  <c r="L401" i="18"/>
  <c r="K401" i="18"/>
  <c r="J401" i="18"/>
  <c r="I401" i="18"/>
  <c r="H401" i="18"/>
  <c r="G401" i="18"/>
  <c r="F401" i="18"/>
  <c r="E401" i="18"/>
  <c r="D401" i="18"/>
  <c r="V399" i="18" s="1"/>
  <c r="T398" i="18"/>
  <c r="S398" i="18"/>
  <c r="R398" i="18"/>
  <c r="Q398" i="18"/>
  <c r="P398" i="18"/>
  <c r="O398" i="18"/>
  <c r="N398" i="18"/>
  <c r="M398" i="18"/>
  <c r="L398" i="18"/>
  <c r="K398" i="18"/>
  <c r="J398" i="18"/>
  <c r="I398" i="18"/>
  <c r="H398" i="18"/>
  <c r="G398" i="18"/>
  <c r="F398" i="18"/>
  <c r="E398" i="18"/>
  <c r="D398" i="18"/>
  <c r="T395" i="18"/>
  <c r="S395" i="18"/>
  <c r="R395" i="18"/>
  <c r="Q395" i="18"/>
  <c r="P395" i="18"/>
  <c r="O395" i="18"/>
  <c r="N395" i="18"/>
  <c r="M395" i="18"/>
  <c r="L395" i="18"/>
  <c r="K395" i="18"/>
  <c r="J395" i="18"/>
  <c r="I395" i="18"/>
  <c r="H395" i="18"/>
  <c r="G395" i="18"/>
  <c r="F395" i="18"/>
  <c r="E395" i="18"/>
  <c r="D395" i="18"/>
  <c r="T392" i="18"/>
  <c r="S392" i="18"/>
  <c r="R392" i="18"/>
  <c r="Q392" i="18"/>
  <c r="P392" i="18"/>
  <c r="O392" i="18"/>
  <c r="N392" i="18"/>
  <c r="M392" i="18"/>
  <c r="L392" i="18"/>
  <c r="K392" i="18"/>
  <c r="J392" i="18"/>
  <c r="I392" i="18"/>
  <c r="H392" i="18"/>
  <c r="G392" i="18"/>
  <c r="W390" i="18" s="1"/>
  <c r="F392" i="18"/>
  <c r="E392" i="18"/>
  <c r="D392" i="18"/>
  <c r="T389" i="18"/>
  <c r="S389" i="18"/>
  <c r="R389" i="18"/>
  <c r="Q389" i="18"/>
  <c r="P389" i="18"/>
  <c r="O389" i="18"/>
  <c r="N389" i="18"/>
  <c r="M389" i="18"/>
  <c r="L389" i="18"/>
  <c r="K389" i="18"/>
  <c r="J389" i="18"/>
  <c r="I389" i="18"/>
  <c r="H389" i="18"/>
  <c r="G389" i="18"/>
  <c r="F389" i="18"/>
  <c r="E389" i="18"/>
  <c r="W387" i="18" s="1"/>
  <c r="D389" i="18"/>
  <c r="T386" i="18"/>
  <c r="S386" i="18"/>
  <c r="R386" i="18"/>
  <c r="Q386" i="18"/>
  <c r="P386" i="18"/>
  <c r="O386" i="18"/>
  <c r="N386" i="18"/>
  <c r="M386" i="18"/>
  <c r="L386" i="18"/>
  <c r="K386" i="18"/>
  <c r="J386" i="18"/>
  <c r="I386" i="18"/>
  <c r="H386" i="18"/>
  <c r="G386" i="18"/>
  <c r="F386" i="18"/>
  <c r="E386" i="18"/>
  <c r="D386" i="18"/>
  <c r="T383" i="18"/>
  <c r="S383" i="18"/>
  <c r="R383" i="18"/>
  <c r="Q383" i="18"/>
  <c r="P383" i="18"/>
  <c r="O383" i="18"/>
  <c r="N383" i="18"/>
  <c r="M383" i="18"/>
  <c r="L383" i="18"/>
  <c r="K383" i="18"/>
  <c r="J383" i="18"/>
  <c r="I383" i="18"/>
  <c r="H383" i="18"/>
  <c r="G383" i="18"/>
  <c r="F383" i="18"/>
  <c r="E383" i="18"/>
  <c r="D383" i="18"/>
  <c r="T380" i="18"/>
  <c r="W378" i="18" s="1"/>
  <c r="S380" i="18"/>
  <c r="R380" i="18"/>
  <c r="Q380" i="18"/>
  <c r="P380" i="18"/>
  <c r="O380" i="18"/>
  <c r="N380" i="18"/>
  <c r="M380" i="18"/>
  <c r="L380" i="18"/>
  <c r="K380" i="18"/>
  <c r="J380" i="18"/>
  <c r="I380" i="18"/>
  <c r="H380" i="18"/>
  <c r="G380" i="18"/>
  <c r="F380" i="18"/>
  <c r="E380" i="18"/>
  <c r="D380" i="18"/>
  <c r="T377" i="18"/>
  <c r="S377" i="18"/>
  <c r="R377" i="18"/>
  <c r="Q377" i="18"/>
  <c r="P377" i="18"/>
  <c r="O377" i="18"/>
  <c r="N377" i="18"/>
  <c r="M377" i="18"/>
  <c r="L377" i="18"/>
  <c r="K377" i="18"/>
  <c r="J377" i="18"/>
  <c r="I377" i="18"/>
  <c r="H377" i="18"/>
  <c r="G377" i="18"/>
  <c r="F377" i="18"/>
  <c r="E377" i="18"/>
  <c r="D377" i="18"/>
  <c r="V375" i="18" s="1"/>
  <c r="T374" i="18"/>
  <c r="S374" i="18"/>
  <c r="R374" i="18"/>
  <c r="Q374" i="18"/>
  <c r="P374" i="18"/>
  <c r="O374" i="18"/>
  <c r="N374" i="18"/>
  <c r="M374" i="18"/>
  <c r="L374" i="18"/>
  <c r="K374" i="18"/>
  <c r="J374" i="18"/>
  <c r="I374" i="18"/>
  <c r="H374" i="18"/>
  <c r="G374" i="18"/>
  <c r="F374" i="18"/>
  <c r="E374" i="18"/>
  <c r="D374" i="18"/>
  <c r="T371" i="18"/>
  <c r="S371" i="18"/>
  <c r="R371" i="18"/>
  <c r="Q371" i="18"/>
  <c r="P371" i="18"/>
  <c r="O371" i="18"/>
  <c r="N371" i="18"/>
  <c r="M371" i="18"/>
  <c r="L371" i="18"/>
  <c r="K371" i="18"/>
  <c r="J371" i="18"/>
  <c r="I371" i="18"/>
  <c r="H371" i="18"/>
  <c r="G371" i="18"/>
  <c r="F371" i="18"/>
  <c r="E371" i="18"/>
  <c r="D371" i="18"/>
  <c r="T368" i="18"/>
  <c r="S368" i="18"/>
  <c r="R368" i="18"/>
  <c r="Q368" i="18"/>
  <c r="P368" i="18"/>
  <c r="O368" i="18"/>
  <c r="N368" i="18"/>
  <c r="M368" i="18"/>
  <c r="L368" i="18"/>
  <c r="K368" i="18"/>
  <c r="J368" i="18"/>
  <c r="I368" i="18"/>
  <c r="H368" i="18"/>
  <c r="G368" i="18"/>
  <c r="F368" i="18"/>
  <c r="E368" i="18"/>
  <c r="D368" i="18"/>
  <c r="W366" i="18"/>
  <c r="T365" i="18"/>
  <c r="S365" i="18"/>
  <c r="R365" i="18"/>
  <c r="Q365" i="18"/>
  <c r="P365" i="18"/>
  <c r="O365" i="18"/>
  <c r="N365" i="18"/>
  <c r="M365" i="18"/>
  <c r="L365" i="18"/>
  <c r="K365" i="18"/>
  <c r="J365" i="18"/>
  <c r="I365" i="18"/>
  <c r="H365" i="18"/>
  <c r="G365" i="18"/>
  <c r="F365" i="18"/>
  <c r="E365" i="18"/>
  <c r="W363" i="18" s="1"/>
  <c r="D365" i="18"/>
  <c r="T362" i="18"/>
  <c r="S362" i="18"/>
  <c r="R362" i="18"/>
  <c r="Q362" i="18"/>
  <c r="P362" i="18"/>
  <c r="O362" i="18"/>
  <c r="N362" i="18"/>
  <c r="M362" i="18"/>
  <c r="L362" i="18"/>
  <c r="K362" i="18"/>
  <c r="J362" i="18"/>
  <c r="I362" i="18"/>
  <c r="H362" i="18"/>
  <c r="G362" i="18"/>
  <c r="F362" i="18"/>
  <c r="E362" i="18"/>
  <c r="D362" i="18"/>
  <c r="T359" i="18"/>
  <c r="S359" i="18"/>
  <c r="R359" i="18"/>
  <c r="Q359" i="18"/>
  <c r="P359" i="18"/>
  <c r="O359" i="18"/>
  <c r="N359" i="18"/>
  <c r="M359" i="18"/>
  <c r="L359" i="18"/>
  <c r="K359" i="18"/>
  <c r="J359" i="18"/>
  <c r="I359" i="18"/>
  <c r="H359" i="18"/>
  <c r="G359" i="18"/>
  <c r="F359" i="18"/>
  <c r="E359" i="18"/>
  <c r="D359" i="18"/>
  <c r="T356" i="18"/>
  <c r="W354" i="18" s="1"/>
  <c r="S356" i="18"/>
  <c r="R356" i="18"/>
  <c r="Q356" i="18"/>
  <c r="P356" i="18"/>
  <c r="O356" i="18"/>
  <c r="N356" i="18"/>
  <c r="M356" i="18"/>
  <c r="L356" i="18"/>
  <c r="K356" i="18"/>
  <c r="J356" i="18"/>
  <c r="I356" i="18"/>
  <c r="H356" i="18"/>
  <c r="G356" i="18"/>
  <c r="F356" i="18"/>
  <c r="E356" i="18"/>
  <c r="D356" i="18"/>
  <c r="T353" i="18"/>
  <c r="S353" i="18"/>
  <c r="R353" i="18"/>
  <c r="Q353" i="18"/>
  <c r="P353" i="18"/>
  <c r="O353" i="18"/>
  <c r="N353" i="18"/>
  <c r="M353" i="18"/>
  <c r="L353" i="18"/>
  <c r="K353" i="18"/>
  <c r="J353" i="18"/>
  <c r="I353" i="18"/>
  <c r="H353" i="18"/>
  <c r="G353" i="18"/>
  <c r="F353" i="18"/>
  <c r="E353" i="18"/>
  <c r="D353" i="18"/>
  <c r="V351" i="18" s="1"/>
  <c r="T350" i="18"/>
  <c r="S350" i="18"/>
  <c r="R350" i="18"/>
  <c r="Q350" i="18"/>
  <c r="P350" i="18"/>
  <c r="O350" i="18"/>
  <c r="N350" i="18"/>
  <c r="M350" i="18"/>
  <c r="L350" i="18"/>
  <c r="K350" i="18"/>
  <c r="J350" i="18"/>
  <c r="I350" i="18"/>
  <c r="H350" i="18"/>
  <c r="G350" i="18"/>
  <c r="F350" i="18"/>
  <c r="E350" i="18"/>
  <c r="D350" i="18"/>
  <c r="T347" i="18"/>
  <c r="S347" i="18"/>
  <c r="R347" i="18"/>
  <c r="Q347" i="18"/>
  <c r="P347" i="18"/>
  <c r="O347" i="18"/>
  <c r="N347" i="18"/>
  <c r="M347" i="18"/>
  <c r="L347" i="18"/>
  <c r="K347" i="18"/>
  <c r="J347" i="18"/>
  <c r="I347" i="18"/>
  <c r="H347" i="18"/>
  <c r="G347" i="18"/>
  <c r="F347" i="18"/>
  <c r="E347" i="18"/>
  <c r="D347" i="18"/>
  <c r="T344" i="18"/>
  <c r="S344" i="18"/>
  <c r="R344" i="18"/>
  <c r="Q344" i="18"/>
  <c r="P344" i="18"/>
  <c r="O344" i="18"/>
  <c r="N344" i="18"/>
  <c r="M344" i="18"/>
  <c r="L344" i="18"/>
  <c r="K344" i="18"/>
  <c r="J344" i="18"/>
  <c r="I344" i="18"/>
  <c r="H344" i="18"/>
  <c r="G344" i="18"/>
  <c r="F344" i="18"/>
  <c r="E344" i="18"/>
  <c r="D344" i="18"/>
  <c r="W342" i="18"/>
  <c r="T341" i="18"/>
  <c r="S341" i="18"/>
  <c r="R341" i="18"/>
  <c r="Q341" i="18"/>
  <c r="P341" i="18"/>
  <c r="O341" i="18"/>
  <c r="N341" i="18"/>
  <c r="M341" i="18"/>
  <c r="L341" i="18"/>
  <c r="K341" i="18"/>
  <c r="J341" i="18"/>
  <c r="I341" i="18"/>
  <c r="H341" i="18"/>
  <c r="G341" i="18"/>
  <c r="F341" i="18"/>
  <c r="E341" i="18"/>
  <c r="W339" i="18" s="1"/>
  <c r="D341" i="18"/>
  <c r="T338" i="18"/>
  <c r="S338" i="18"/>
  <c r="R338" i="18"/>
  <c r="Q338" i="18"/>
  <c r="P338" i="18"/>
  <c r="O338" i="18"/>
  <c r="N338" i="18"/>
  <c r="M338" i="18"/>
  <c r="L338" i="18"/>
  <c r="K338" i="18"/>
  <c r="J338" i="18"/>
  <c r="I338" i="18"/>
  <c r="H338" i="18"/>
  <c r="G338" i="18"/>
  <c r="F338" i="18"/>
  <c r="E338" i="18"/>
  <c r="D338" i="18"/>
  <c r="T335" i="18"/>
  <c r="S335" i="18"/>
  <c r="R335" i="18"/>
  <c r="Q335" i="18"/>
  <c r="P335" i="18"/>
  <c r="O335" i="18"/>
  <c r="N335" i="18"/>
  <c r="M335" i="18"/>
  <c r="L335" i="18"/>
  <c r="K335" i="18"/>
  <c r="J335" i="18"/>
  <c r="I335" i="18"/>
  <c r="H335" i="18"/>
  <c r="G335" i="18"/>
  <c r="F335" i="18"/>
  <c r="E335" i="18"/>
  <c r="D335" i="18"/>
  <c r="T332" i="18"/>
  <c r="W330" i="18" s="1"/>
  <c r="S332" i="18"/>
  <c r="R332" i="18"/>
  <c r="Q332" i="18"/>
  <c r="P332" i="18"/>
  <c r="O332" i="18"/>
  <c r="N332" i="18"/>
  <c r="M332" i="18"/>
  <c r="L332" i="18"/>
  <c r="K332" i="18"/>
  <c r="J332" i="18"/>
  <c r="I332" i="18"/>
  <c r="H332" i="18"/>
  <c r="G332" i="18"/>
  <c r="F332" i="18"/>
  <c r="E332" i="18"/>
  <c r="D332" i="18"/>
  <c r="T329" i="18"/>
  <c r="S329" i="18"/>
  <c r="R329" i="18"/>
  <c r="Q329" i="18"/>
  <c r="P329" i="18"/>
  <c r="O329" i="18"/>
  <c r="N329" i="18"/>
  <c r="M329" i="18"/>
  <c r="L329" i="18"/>
  <c r="K329" i="18"/>
  <c r="J329" i="18"/>
  <c r="I329" i="18"/>
  <c r="H329" i="18"/>
  <c r="G329" i="18"/>
  <c r="F329" i="18"/>
  <c r="E329" i="18"/>
  <c r="D329" i="18"/>
  <c r="V327" i="18" s="1"/>
  <c r="T326" i="18"/>
  <c r="S326" i="18"/>
  <c r="R326" i="18"/>
  <c r="Q326" i="18"/>
  <c r="P326" i="18"/>
  <c r="O326" i="18"/>
  <c r="N326" i="18"/>
  <c r="M326" i="18"/>
  <c r="L326" i="18"/>
  <c r="K326" i="18"/>
  <c r="J326" i="18"/>
  <c r="I326" i="18"/>
  <c r="H326" i="18"/>
  <c r="G326" i="18"/>
  <c r="F326" i="18"/>
  <c r="E326" i="18"/>
  <c r="D326" i="18"/>
  <c r="T323" i="18"/>
  <c r="S323" i="18"/>
  <c r="R323" i="18"/>
  <c r="Q323" i="18"/>
  <c r="P323" i="18"/>
  <c r="O323" i="18"/>
  <c r="N323" i="18"/>
  <c r="M323" i="18"/>
  <c r="L323" i="18"/>
  <c r="K323" i="18"/>
  <c r="J323" i="18"/>
  <c r="I323" i="18"/>
  <c r="H323" i="18"/>
  <c r="G323" i="18"/>
  <c r="F323" i="18"/>
  <c r="E323" i="18"/>
  <c r="D323" i="18"/>
  <c r="T320" i="18"/>
  <c r="S320" i="18"/>
  <c r="R320" i="18"/>
  <c r="Q320" i="18"/>
  <c r="P320" i="18"/>
  <c r="O320" i="18"/>
  <c r="N320" i="18"/>
  <c r="M320" i="18"/>
  <c r="L320" i="18"/>
  <c r="K320" i="18"/>
  <c r="J320" i="18"/>
  <c r="I320" i="18"/>
  <c r="H320" i="18"/>
  <c r="G320" i="18"/>
  <c r="F320" i="18"/>
  <c r="E320" i="18"/>
  <c r="D320" i="18"/>
  <c r="W318" i="18"/>
  <c r="T317" i="18"/>
  <c r="S317" i="18"/>
  <c r="R317" i="18"/>
  <c r="Q317" i="18"/>
  <c r="P317" i="18"/>
  <c r="O317" i="18"/>
  <c r="N317" i="18"/>
  <c r="M317" i="18"/>
  <c r="L317" i="18"/>
  <c r="K317" i="18"/>
  <c r="J317" i="18"/>
  <c r="I317" i="18"/>
  <c r="H317" i="18"/>
  <c r="G317" i="18"/>
  <c r="F317" i="18"/>
  <c r="E317" i="18"/>
  <c r="W315" i="18" s="1"/>
  <c r="D317" i="18"/>
  <c r="T314" i="18"/>
  <c r="S314" i="18"/>
  <c r="R314" i="18"/>
  <c r="Q314" i="18"/>
  <c r="P314" i="18"/>
  <c r="O314" i="18"/>
  <c r="N314" i="18"/>
  <c r="M314" i="18"/>
  <c r="L314" i="18"/>
  <c r="K314" i="18"/>
  <c r="J314" i="18"/>
  <c r="I314" i="18"/>
  <c r="H314" i="18"/>
  <c r="G314" i="18"/>
  <c r="F314" i="18"/>
  <c r="E314" i="18"/>
  <c r="D314" i="18"/>
  <c r="T311" i="18"/>
  <c r="S311" i="18"/>
  <c r="R311" i="18"/>
  <c r="Q311" i="18"/>
  <c r="P311" i="18"/>
  <c r="O311" i="18"/>
  <c r="N311" i="18"/>
  <c r="M311" i="18"/>
  <c r="L311" i="18"/>
  <c r="K311" i="18"/>
  <c r="J311" i="18"/>
  <c r="I311" i="18"/>
  <c r="H311" i="18"/>
  <c r="G311" i="18"/>
  <c r="F311" i="18"/>
  <c r="E311" i="18"/>
  <c r="D311" i="18"/>
  <c r="T308" i="18"/>
  <c r="S308" i="18"/>
  <c r="R308" i="18"/>
  <c r="Q308" i="18"/>
  <c r="P308" i="18"/>
  <c r="O308" i="18"/>
  <c r="N308" i="18"/>
  <c r="M308" i="18"/>
  <c r="L308" i="18"/>
  <c r="K308" i="18"/>
  <c r="J308" i="18"/>
  <c r="I308" i="18"/>
  <c r="H308" i="18"/>
  <c r="G308" i="18"/>
  <c r="F308" i="18"/>
  <c r="W306" i="18" s="1"/>
  <c r="E308" i="18"/>
  <c r="D308" i="18"/>
  <c r="T305" i="18"/>
  <c r="S305" i="18"/>
  <c r="R305" i="18"/>
  <c r="Q305" i="18"/>
  <c r="P305" i="18"/>
  <c r="O305" i="18"/>
  <c r="N305" i="18"/>
  <c r="M305" i="18"/>
  <c r="L305" i="18"/>
  <c r="K305" i="18"/>
  <c r="J305" i="18"/>
  <c r="I305" i="18"/>
  <c r="H305" i="18"/>
  <c r="G305" i="18"/>
  <c r="F305" i="18"/>
  <c r="E305" i="18"/>
  <c r="D305" i="18"/>
  <c r="V303" i="18" s="1"/>
  <c r="T302" i="18"/>
  <c r="S302" i="18"/>
  <c r="R302" i="18"/>
  <c r="Q302" i="18"/>
  <c r="P302" i="18"/>
  <c r="O302" i="18"/>
  <c r="N302" i="18"/>
  <c r="M302" i="18"/>
  <c r="L302" i="18"/>
  <c r="K302" i="18"/>
  <c r="J302" i="18"/>
  <c r="I302" i="18"/>
  <c r="H302" i="18"/>
  <c r="G302" i="18"/>
  <c r="F302" i="18"/>
  <c r="E302" i="18"/>
  <c r="D302" i="18"/>
  <c r="T299" i="18"/>
  <c r="S299" i="18"/>
  <c r="R299" i="18"/>
  <c r="Q299" i="18"/>
  <c r="P299" i="18"/>
  <c r="O299" i="18"/>
  <c r="N299" i="18"/>
  <c r="M299" i="18"/>
  <c r="L299" i="18"/>
  <c r="K299" i="18"/>
  <c r="J299" i="18"/>
  <c r="I299" i="18"/>
  <c r="H299" i="18"/>
  <c r="G299" i="18"/>
  <c r="F299" i="18"/>
  <c r="E299" i="18"/>
  <c r="D299" i="18"/>
  <c r="T296" i="18"/>
  <c r="S296" i="18"/>
  <c r="R296" i="18"/>
  <c r="Q296" i="18"/>
  <c r="P296" i="18"/>
  <c r="O296" i="18"/>
  <c r="N296" i="18"/>
  <c r="M296" i="18"/>
  <c r="L296" i="18"/>
  <c r="K296" i="18"/>
  <c r="J296" i="18"/>
  <c r="I296" i="18"/>
  <c r="H296" i="18"/>
  <c r="G296" i="18"/>
  <c r="F296" i="18"/>
  <c r="W294" i="18" s="1"/>
  <c r="E296" i="18"/>
  <c r="D296" i="18"/>
  <c r="T293" i="18"/>
  <c r="S293" i="18"/>
  <c r="R293" i="18"/>
  <c r="Q293" i="18"/>
  <c r="P293" i="18"/>
  <c r="O293" i="18"/>
  <c r="N293" i="18"/>
  <c r="M293" i="18"/>
  <c r="L293" i="18"/>
  <c r="K293" i="18"/>
  <c r="J293" i="18"/>
  <c r="I293" i="18"/>
  <c r="H293" i="18"/>
  <c r="G293" i="18"/>
  <c r="F293" i="18"/>
  <c r="E293" i="18"/>
  <c r="D293" i="18"/>
  <c r="V291" i="18" s="1"/>
  <c r="T290" i="18"/>
  <c r="S290" i="18"/>
  <c r="R290" i="18"/>
  <c r="Q290" i="18"/>
  <c r="P290" i="18"/>
  <c r="O290" i="18"/>
  <c r="N290" i="18"/>
  <c r="M290" i="18"/>
  <c r="L290" i="18"/>
  <c r="K290" i="18"/>
  <c r="J290" i="18"/>
  <c r="I290" i="18"/>
  <c r="H290" i="18"/>
  <c r="G290" i="18"/>
  <c r="F290" i="18"/>
  <c r="E290" i="18"/>
  <c r="D290" i="18"/>
  <c r="T287" i="18"/>
  <c r="S287" i="18"/>
  <c r="R287" i="18"/>
  <c r="Q287" i="18"/>
  <c r="P287" i="18"/>
  <c r="O287" i="18"/>
  <c r="N287" i="18"/>
  <c r="M287" i="18"/>
  <c r="L287" i="18"/>
  <c r="K287" i="18"/>
  <c r="J287" i="18"/>
  <c r="I287" i="18"/>
  <c r="H287" i="18"/>
  <c r="G287" i="18"/>
  <c r="F287" i="18"/>
  <c r="E287" i="18"/>
  <c r="D287" i="18"/>
  <c r="T284" i="18"/>
  <c r="S284" i="18"/>
  <c r="R284" i="18"/>
  <c r="Q284" i="18"/>
  <c r="P284" i="18"/>
  <c r="O284" i="18"/>
  <c r="N284" i="18"/>
  <c r="M284" i="18"/>
  <c r="L284" i="18"/>
  <c r="K284" i="18"/>
  <c r="J284" i="18"/>
  <c r="I284" i="18"/>
  <c r="H284" i="18"/>
  <c r="G284" i="18"/>
  <c r="F284" i="18"/>
  <c r="W282" i="18" s="1"/>
  <c r="E284" i="18"/>
  <c r="D284" i="18"/>
  <c r="T281" i="18"/>
  <c r="S281" i="18"/>
  <c r="R281" i="18"/>
  <c r="Q281" i="18"/>
  <c r="P281" i="18"/>
  <c r="O281" i="18"/>
  <c r="N281" i="18"/>
  <c r="M281" i="18"/>
  <c r="L281" i="18"/>
  <c r="K281" i="18"/>
  <c r="J281" i="18"/>
  <c r="I281" i="18"/>
  <c r="H281" i="18"/>
  <c r="G281" i="18"/>
  <c r="F281" i="18"/>
  <c r="E281" i="18"/>
  <c r="D281" i="18"/>
  <c r="V279" i="18" s="1"/>
  <c r="T278" i="18"/>
  <c r="S278" i="18"/>
  <c r="R278" i="18"/>
  <c r="Q278" i="18"/>
  <c r="P278" i="18"/>
  <c r="O278" i="18"/>
  <c r="N278" i="18"/>
  <c r="M278" i="18"/>
  <c r="L278" i="18"/>
  <c r="K278" i="18"/>
  <c r="J278" i="18"/>
  <c r="I278" i="18"/>
  <c r="H278" i="18"/>
  <c r="G278" i="18"/>
  <c r="F278" i="18"/>
  <c r="E278" i="18"/>
  <c r="D278" i="18"/>
  <c r="T275" i="18"/>
  <c r="S275" i="18"/>
  <c r="R275" i="18"/>
  <c r="Q275" i="18"/>
  <c r="P275" i="18"/>
  <c r="O275" i="18"/>
  <c r="N275" i="18"/>
  <c r="M275" i="18"/>
  <c r="L275" i="18"/>
  <c r="K275" i="18"/>
  <c r="J275" i="18"/>
  <c r="I275" i="18"/>
  <c r="H275" i="18"/>
  <c r="G275" i="18"/>
  <c r="F275" i="18"/>
  <c r="E275" i="18"/>
  <c r="D275" i="18"/>
  <c r="T272" i="18"/>
  <c r="S272" i="18"/>
  <c r="R272" i="18"/>
  <c r="Q272" i="18"/>
  <c r="P272" i="18"/>
  <c r="O272" i="18"/>
  <c r="N272" i="18"/>
  <c r="M272" i="18"/>
  <c r="L272" i="18"/>
  <c r="K272" i="18"/>
  <c r="J272" i="18"/>
  <c r="I272" i="18"/>
  <c r="H272" i="18"/>
  <c r="G272" i="18"/>
  <c r="F272" i="18"/>
  <c r="W270" i="18" s="1"/>
  <c r="E272" i="18"/>
  <c r="D272" i="18"/>
  <c r="T269" i="18"/>
  <c r="S269" i="18"/>
  <c r="R269" i="18"/>
  <c r="Q269" i="18"/>
  <c r="P269" i="18"/>
  <c r="O269" i="18"/>
  <c r="N269" i="18"/>
  <c r="M269" i="18"/>
  <c r="L269" i="18"/>
  <c r="K269" i="18"/>
  <c r="J269" i="18"/>
  <c r="I269" i="18"/>
  <c r="H269" i="18"/>
  <c r="G269" i="18"/>
  <c r="F269" i="18"/>
  <c r="E269" i="18"/>
  <c r="D269" i="18"/>
  <c r="V267" i="18" s="1"/>
  <c r="T266" i="18"/>
  <c r="S266" i="18"/>
  <c r="R266" i="18"/>
  <c r="Q266" i="18"/>
  <c r="P266" i="18"/>
  <c r="O266" i="18"/>
  <c r="N266" i="18"/>
  <c r="M266" i="18"/>
  <c r="L266" i="18"/>
  <c r="K266" i="18"/>
  <c r="J266" i="18"/>
  <c r="I266" i="18"/>
  <c r="H266" i="18"/>
  <c r="G266" i="18"/>
  <c r="F266" i="18"/>
  <c r="E266" i="18"/>
  <c r="D266" i="18"/>
  <c r="T263" i="18"/>
  <c r="S263" i="18"/>
  <c r="R263" i="18"/>
  <c r="Q263" i="18"/>
  <c r="P263" i="18"/>
  <c r="O263" i="18"/>
  <c r="N263" i="18"/>
  <c r="M263" i="18"/>
  <c r="L263" i="18"/>
  <c r="K263" i="18"/>
  <c r="J263" i="18"/>
  <c r="I263" i="18"/>
  <c r="H263" i="18"/>
  <c r="G263" i="18"/>
  <c r="F263" i="18"/>
  <c r="E263" i="18"/>
  <c r="D263" i="18"/>
  <c r="T260" i="18"/>
  <c r="S260" i="18"/>
  <c r="R260" i="18"/>
  <c r="Q260" i="18"/>
  <c r="P260" i="18"/>
  <c r="O260" i="18"/>
  <c r="N260" i="18"/>
  <c r="M260" i="18"/>
  <c r="L260" i="18"/>
  <c r="K260" i="18"/>
  <c r="J260" i="18"/>
  <c r="I260" i="18"/>
  <c r="H260" i="18"/>
  <c r="G260" i="18"/>
  <c r="F260" i="18"/>
  <c r="W258" i="18" s="1"/>
  <c r="E260" i="18"/>
  <c r="D260" i="18"/>
  <c r="T257" i="18"/>
  <c r="S257" i="18"/>
  <c r="R257" i="18"/>
  <c r="Q257" i="18"/>
  <c r="P257" i="18"/>
  <c r="O257" i="18"/>
  <c r="N257" i="18"/>
  <c r="M257" i="18"/>
  <c r="L257" i="18"/>
  <c r="K257" i="18"/>
  <c r="J257" i="18"/>
  <c r="I257" i="18"/>
  <c r="H257" i="18"/>
  <c r="G257" i="18"/>
  <c r="F257" i="18"/>
  <c r="E257" i="18"/>
  <c r="D257" i="18"/>
  <c r="V255" i="18" s="1"/>
  <c r="T254" i="18"/>
  <c r="S254" i="18"/>
  <c r="R254" i="18"/>
  <c r="Q254" i="18"/>
  <c r="P254" i="18"/>
  <c r="O254" i="18"/>
  <c r="N254" i="18"/>
  <c r="M254" i="18"/>
  <c r="L254" i="18"/>
  <c r="K254" i="18"/>
  <c r="J254" i="18"/>
  <c r="I254" i="18"/>
  <c r="H254" i="18"/>
  <c r="G254" i="18"/>
  <c r="F254" i="18"/>
  <c r="E254" i="18"/>
  <c r="D254" i="18"/>
  <c r="T251" i="18"/>
  <c r="S251" i="18"/>
  <c r="R251" i="18"/>
  <c r="Q251" i="18"/>
  <c r="P251" i="18"/>
  <c r="O251" i="18"/>
  <c r="N251" i="18"/>
  <c r="M251" i="18"/>
  <c r="L251" i="18"/>
  <c r="K251" i="18"/>
  <c r="J251" i="18"/>
  <c r="I251" i="18"/>
  <c r="H251" i="18"/>
  <c r="G251" i="18"/>
  <c r="F251" i="18"/>
  <c r="E251" i="18"/>
  <c r="D251" i="18"/>
  <c r="T248" i="18"/>
  <c r="S248" i="18"/>
  <c r="R248" i="18"/>
  <c r="Q248" i="18"/>
  <c r="P248" i="18"/>
  <c r="O248" i="18"/>
  <c r="N248" i="18"/>
  <c r="M248" i="18"/>
  <c r="L248" i="18"/>
  <c r="K248" i="18"/>
  <c r="J248" i="18"/>
  <c r="I248" i="18"/>
  <c r="H248" i="18"/>
  <c r="G248" i="18"/>
  <c r="F248" i="18"/>
  <c r="W246" i="18" s="1"/>
  <c r="E248" i="18"/>
  <c r="D248" i="18"/>
  <c r="T245" i="18"/>
  <c r="S245" i="18"/>
  <c r="R245" i="18"/>
  <c r="Q245" i="18"/>
  <c r="P245" i="18"/>
  <c r="O245" i="18"/>
  <c r="N245" i="18"/>
  <c r="M245" i="18"/>
  <c r="L245" i="18"/>
  <c r="K245" i="18"/>
  <c r="J245" i="18"/>
  <c r="I245" i="18"/>
  <c r="H245" i="18"/>
  <c r="G245" i="18"/>
  <c r="F245" i="18"/>
  <c r="E245" i="18"/>
  <c r="D245" i="18"/>
  <c r="V243" i="18" s="1"/>
  <c r="T242" i="18"/>
  <c r="S242" i="18"/>
  <c r="R242" i="18"/>
  <c r="Q242" i="18"/>
  <c r="P242" i="18"/>
  <c r="O242" i="18"/>
  <c r="N242" i="18"/>
  <c r="M242" i="18"/>
  <c r="L242" i="18"/>
  <c r="K242" i="18"/>
  <c r="J242" i="18"/>
  <c r="I242" i="18"/>
  <c r="H242" i="18"/>
  <c r="G242" i="18"/>
  <c r="F242" i="18"/>
  <c r="E242" i="18"/>
  <c r="D242" i="18"/>
  <c r="T239" i="18"/>
  <c r="S239" i="18"/>
  <c r="R239" i="18"/>
  <c r="Q239" i="18"/>
  <c r="P239" i="18"/>
  <c r="O239" i="18"/>
  <c r="N239" i="18"/>
  <c r="M239" i="18"/>
  <c r="L239" i="18"/>
  <c r="K239" i="18"/>
  <c r="J239" i="18"/>
  <c r="I239" i="18"/>
  <c r="H239" i="18"/>
  <c r="G239" i="18"/>
  <c r="F239" i="18"/>
  <c r="E239" i="18"/>
  <c r="D239" i="18"/>
  <c r="T236" i="18"/>
  <c r="S236" i="18"/>
  <c r="R236" i="18"/>
  <c r="Q236" i="18"/>
  <c r="P236" i="18"/>
  <c r="O236" i="18"/>
  <c r="N236" i="18"/>
  <c r="M236" i="18"/>
  <c r="L236" i="18"/>
  <c r="K236" i="18"/>
  <c r="J236" i="18"/>
  <c r="I236" i="18"/>
  <c r="H236" i="18"/>
  <c r="G236" i="18"/>
  <c r="F236" i="18"/>
  <c r="W234" i="18" s="1"/>
  <c r="E236" i="18"/>
  <c r="D236" i="18"/>
  <c r="T233" i="18"/>
  <c r="S233" i="18"/>
  <c r="R233" i="18"/>
  <c r="Q233" i="18"/>
  <c r="P233" i="18"/>
  <c r="O233" i="18"/>
  <c r="N233" i="18"/>
  <c r="M233" i="18"/>
  <c r="L233" i="18"/>
  <c r="K233" i="18"/>
  <c r="J233" i="18"/>
  <c r="I233" i="18"/>
  <c r="H233" i="18"/>
  <c r="G233" i="18"/>
  <c r="F233" i="18"/>
  <c r="E233" i="18"/>
  <c r="D233" i="18"/>
  <c r="V231" i="18" s="1"/>
  <c r="T230" i="18"/>
  <c r="S230" i="18"/>
  <c r="R230" i="18"/>
  <c r="Q230" i="18"/>
  <c r="P230" i="18"/>
  <c r="O230" i="18"/>
  <c r="N230" i="18"/>
  <c r="M230" i="18"/>
  <c r="L230" i="18"/>
  <c r="K230" i="18"/>
  <c r="J230" i="18"/>
  <c r="I230" i="18"/>
  <c r="H230" i="18"/>
  <c r="G230" i="18"/>
  <c r="F230" i="18"/>
  <c r="E230" i="18"/>
  <c r="D230" i="18"/>
  <c r="T227" i="18"/>
  <c r="S227" i="18"/>
  <c r="R227" i="18"/>
  <c r="Q227" i="18"/>
  <c r="P227" i="18"/>
  <c r="O227" i="18"/>
  <c r="N227" i="18"/>
  <c r="M227" i="18"/>
  <c r="L227" i="18"/>
  <c r="K227" i="18"/>
  <c r="J227" i="18"/>
  <c r="I227" i="18"/>
  <c r="H227" i="18"/>
  <c r="G227" i="18"/>
  <c r="F227" i="18"/>
  <c r="E227" i="18"/>
  <c r="D227" i="18"/>
  <c r="T224" i="18"/>
  <c r="S224" i="18"/>
  <c r="R224" i="18"/>
  <c r="Q224" i="18"/>
  <c r="P224" i="18"/>
  <c r="O224" i="18"/>
  <c r="N224" i="18"/>
  <c r="M224" i="18"/>
  <c r="L224" i="18"/>
  <c r="K224" i="18"/>
  <c r="J224" i="18"/>
  <c r="I224" i="18"/>
  <c r="H224" i="18"/>
  <c r="G224" i="18"/>
  <c r="F224" i="18"/>
  <c r="W222" i="18" s="1"/>
  <c r="E224" i="18"/>
  <c r="D224" i="18"/>
  <c r="T221" i="18"/>
  <c r="S221" i="18"/>
  <c r="R221" i="18"/>
  <c r="Q221" i="18"/>
  <c r="P221" i="18"/>
  <c r="O221" i="18"/>
  <c r="N221" i="18"/>
  <c r="M221" i="18"/>
  <c r="L221" i="18"/>
  <c r="K221" i="18"/>
  <c r="J221" i="18"/>
  <c r="I221" i="18"/>
  <c r="H221" i="18"/>
  <c r="G221" i="18"/>
  <c r="F221" i="18"/>
  <c r="E221" i="18"/>
  <c r="D221" i="18"/>
  <c r="V219" i="18" s="1"/>
  <c r="T218" i="18"/>
  <c r="S218" i="18"/>
  <c r="R218" i="18"/>
  <c r="Q218" i="18"/>
  <c r="P218" i="18"/>
  <c r="O218" i="18"/>
  <c r="N218" i="18"/>
  <c r="M218" i="18"/>
  <c r="L218" i="18"/>
  <c r="K218" i="18"/>
  <c r="J218" i="18"/>
  <c r="I218" i="18"/>
  <c r="H218" i="18"/>
  <c r="G218" i="18"/>
  <c r="F218" i="18"/>
  <c r="E218" i="18"/>
  <c r="D218" i="18"/>
  <c r="T215" i="18"/>
  <c r="S215" i="18"/>
  <c r="R215" i="18"/>
  <c r="Q215" i="18"/>
  <c r="P215" i="18"/>
  <c r="O215" i="18"/>
  <c r="N215" i="18"/>
  <c r="M215" i="18"/>
  <c r="L215" i="18"/>
  <c r="K215" i="18"/>
  <c r="J215" i="18"/>
  <c r="I215" i="18"/>
  <c r="H215" i="18"/>
  <c r="G215" i="18"/>
  <c r="F215" i="18"/>
  <c r="E215" i="18"/>
  <c r="D215" i="18"/>
  <c r="T212" i="18"/>
  <c r="S212" i="18"/>
  <c r="R212" i="18"/>
  <c r="Q212" i="18"/>
  <c r="P212" i="18"/>
  <c r="O212" i="18"/>
  <c r="N212" i="18"/>
  <c r="M212" i="18"/>
  <c r="L212" i="18"/>
  <c r="K212" i="18"/>
  <c r="J212" i="18"/>
  <c r="I212" i="18"/>
  <c r="H212" i="18"/>
  <c r="G212" i="18"/>
  <c r="F212" i="18"/>
  <c r="W210" i="18" s="1"/>
  <c r="E212" i="18"/>
  <c r="D212" i="18"/>
  <c r="T209" i="18"/>
  <c r="S209" i="18"/>
  <c r="R209" i="18"/>
  <c r="Q209" i="18"/>
  <c r="P209" i="18"/>
  <c r="O209" i="18"/>
  <c r="N209" i="18"/>
  <c r="M209" i="18"/>
  <c r="L209" i="18"/>
  <c r="K209" i="18"/>
  <c r="J209" i="18"/>
  <c r="I209" i="18"/>
  <c r="H209" i="18"/>
  <c r="G209" i="18"/>
  <c r="F209" i="18"/>
  <c r="E209" i="18"/>
  <c r="D209" i="18"/>
  <c r="V207" i="18" s="1"/>
  <c r="T206" i="18"/>
  <c r="S206" i="18"/>
  <c r="R206" i="18"/>
  <c r="Q206" i="18"/>
  <c r="P206" i="18"/>
  <c r="O206" i="18"/>
  <c r="N206" i="18"/>
  <c r="M206" i="18"/>
  <c r="L206" i="18"/>
  <c r="K206" i="18"/>
  <c r="J206" i="18"/>
  <c r="I206" i="18"/>
  <c r="H206" i="18"/>
  <c r="G206" i="18"/>
  <c r="F206" i="18"/>
  <c r="E206" i="18"/>
  <c r="D206" i="18"/>
  <c r="T203" i="18"/>
  <c r="S203" i="18"/>
  <c r="R203" i="18"/>
  <c r="Q203" i="18"/>
  <c r="P203" i="18"/>
  <c r="O203" i="18"/>
  <c r="N203" i="18"/>
  <c r="M203" i="18"/>
  <c r="L203" i="18"/>
  <c r="K203" i="18"/>
  <c r="J203" i="18"/>
  <c r="I203" i="18"/>
  <c r="H203" i="18"/>
  <c r="G203" i="18"/>
  <c r="F203" i="18"/>
  <c r="E203" i="18"/>
  <c r="D203" i="18"/>
  <c r="T200" i="18"/>
  <c r="S200" i="18"/>
  <c r="R200" i="18"/>
  <c r="Q200" i="18"/>
  <c r="P200" i="18"/>
  <c r="O200" i="18"/>
  <c r="N200" i="18"/>
  <c r="M200" i="18"/>
  <c r="L200" i="18"/>
  <c r="K200" i="18"/>
  <c r="J200" i="18"/>
  <c r="I200" i="18"/>
  <c r="H200" i="18"/>
  <c r="G200" i="18"/>
  <c r="F200" i="18"/>
  <c r="W198" i="18" s="1"/>
  <c r="E200" i="18"/>
  <c r="D200" i="18"/>
  <c r="T197" i="18"/>
  <c r="S197" i="18"/>
  <c r="R197" i="18"/>
  <c r="Q197" i="18"/>
  <c r="P197" i="18"/>
  <c r="O197" i="18"/>
  <c r="N197" i="18"/>
  <c r="M197" i="18"/>
  <c r="L197" i="18"/>
  <c r="K197" i="18"/>
  <c r="J197" i="18"/>
  <c r="I197" i="18"/>
  <c r="H197" i="18"/>
  <c r="G197" i="18"/>
  <c r="F197" i="18"/>
  <c r="E197" i="18"/>
  <c r="D197" i="18"/>
  <c r="V195" i="18" s="1"/>
  <c r="T194" i="18"/>
  <c r="S194" i="18"/>
  <c r="R194" i="18"/>
  <c r="Q194" i="18"/>
  <c r="P194" i="18"/>
  <c r="O194" i="18"/>
  <c r="N194" i="18"/>
  <c r="M194" i="18"/>
  <c r="L194" i="18"/>
  <c r="K194" i="18"/>
  <c r="J194" i="18"/>
  <c r="I194" i="18"/>
  <c r="H194" i="18"/>
  <c r="G194" i="18"/>
  <c r="F194" i="18"/>
  <c r="X192" i="18" s="1"/>
  <c r="E194" i="18"/>
  <c r="D194" i="18"/>
  <c r="T191" i="18"/>
  <c r="S191" i="18"/>
  <c r="R191" i="18"/>
  <c r="Q191" i="18"/>
  <c r="P191" i="18"/>
  <c r="O191" i="18"/>
  <c r="N191" i="18"/>
  <c r="M191" i="18"/>
  <c r="L191" i="18"/>
  <c r="K191" i="18"/>
  <c r="J191" i="18"/>
  <c r="I191" i="18"/>
  <c r="H191" i="18"/>
  <c r="G191" i="18"/>
  <c r="F191" i="18"/>
  <c r="E191" i="18"/>
  <c r="D191" i="18"/>
  <c r="T188" i="18"/>
  <c r="S188" i="18"/>
  <c r="R188" i="18"/>
  <c r="Q188" i="18"/>
  <c r="P188" i="18"/>
  <c r="O188" i="18"/>
  <c r="N188" i="18"/>
  <c r="M188" i="18"/>
  <c r="L188" i="18"/>
  <c r="K188" i="18"/>
  <c r="J188" i="18"/>
  <c r="I188" i="18"/>
  <c r="H188" i="18"/>
  <c r="G188" i="18"/>
  <c r="F188" i="18"/>
  <c r="W186" i="18" s="1"/>
  <c r="E188" i="18"/>
  <c r="D188" i="18"/>
  <c r="T185" i="18"/>
  <c r="S185" i="18"/>
  <c r="R185" i="18"/>
  <c r="Q185" i="18"/>
  <c r="P185" i="18"/>
  <c r="O185" i="18"/>
  <c r="N185" i="18"/>
  <c r="M185" i="18"/>
  <c r="L185" i="18"/>
  <c r="K185" i="18"/>
  <c r="J185" i="18"/>
  <c r="I185" i="18"/>
  <c r="H185" i="18"/>
  <c r="G185" i="18"/>
  <c r="F185" i="18"/>
  <c r="E185" i="18"/>
  <c r="D185" i="18"/>
  <c r="V183" i="18" s="1"/>
  <c r="T182" i="18"/>
  <c r="S182" i="18"/>
  <c r="R182" i="18"/>
  <c r="Q182" i="18"/>
  <c r="P182" i="18"/>
  <c r="O182" i="18"/>
  <c r="N182" i="18"/>
  <c r="M182" i="18"/>
  <c r="L182" i="18"/>
  <c r="K182" i="18"/>
  <c r="J182" i="18"/>
  <c r="I182" i="18"/>
  <c r="H182" i="18"/>
  <c r="G182" i="18"/>
  <c r="F182" i="18"/>
  <c r="E182" i="18"/>
  <c r="D182" i="18"/>
  <c r="U180" i="18"/>
  <c r="T179" i="18"/>
  <c r="S179" i="18"/>
  <c r="R179" i="18"/>
  <c r="Q179" i="18"/>
  <c r="P179" i="18"/>
  <c r="O179" i="18"/>
  <c r="N179" i="18"/>
  <c r="M179" i="18"/>
  <c r="L179" i="18"/>
  <c r="K179" i="18"/>
  <c r="J179" i="18"/>
  <c r="I179" i="18"/>
  <c r="H179" i="18"/>
  <c r="G179" i="18"/>
  <c r="F179" i="18"/>
  <c r="E179" i="18"/>
  <c r="W177" i="18" s="1"/>
  <c r="D179" i="18"/>
  <c r="T176" i="18"/>
  <c r="S176" i="18"/>
  <c r="R176" i="18"/>
  <c r="Q176" i="18"/>
  <c r="P176" i="18"/>
  <c r="O176" i="18"/>
  <c r="N176" i="18"/>
  <c r="M176" i="18"/>
  <c r="L176" i="18"/>
  <c r="K176" i="18"/>
  <c r="J176" i="18"/>
  <c r="I176" i="18"/>
  <c r="H176" i="18"/>
  <c r="G176" i="18"/>
  <c r="F176" i="18"/>
  <c r="W174" i="18" s="1"/>
  <c r="E176" i="18"/>
  <c r="D176" i="18"/>
  <c r="T173" i="18"/>
  <c r="S173" i="18"/>
  <c r="R173" i="18"/>
  <c r="Q173" i="18"/>
  <c r="P173" i="18"/>
  <c r="O173" i="18"/>
  <c r="N173" i="18"/>
  <c r="M173" i="18"/>
  <c r="L173" i="18"/>
  <c r="K173" i="18"/>
  <c r="J173" i="18"/>
  <c r="I173" i="18"/>
  <c r="H173" i="18"/>
  <c r="G173" i="18"/>
  <c r="F173" i="18"/>
  <c r="E173" i="18"/>
  <c r="D173" i="18"/>
  <c r="V171" i="18" s="1"/>
  <c r="T170" i="18"/>
  <c r="S170" i="18"/>
  <c r="R170" i="18"/>
  <c r="Q170" i="18"/>
  <c r="P170" i="18"/>
  <c r="O170" i="18"/>
  <c r="N170" i="18"/>
  <c r="M170" i="18"/>
  <c r="L170" i="18"/>
  <c r="K170" i="18"/>
  <c r="J170" i="18"/>
  <c r="I170" i="18"/>
  <c r="H170" i="18"/>
  <c r="G170" i="18"/>
  <c r="F170" i="18"/>
  <c r="E170" i="18"/>
  <c r="D170" i="18"/>
  <c r="U168" i="18"/>
  <c r="T167" i="18"/>
  <c r="S167" i="18"/>
  <c r="R167" i="18"/>
  <c r="Q167" i="18"/>
  <c r="P167" i="18"/>
  <c r="O167" i="18"/>
  <c r="N167" i="18"/>
  <c r="M167" i="18"/>
  <c r="L167" i="18"/>
  <c r="K167" i="18"/>
  <c r="J167" i="18"/>
  <c r="I167" i="18"/>
  <c r="H167" i="18"/>
  <c r="G167" i="18"/>
  <c r="F167" i="18"/>
  <c r="E167" i="18"/>
  <c r="W165" i="18" s="1"/>
  <c r="D167" i="18"/>
  <c r="T164" i="18"/>
  <c r="S164" i="18"/>
  <c r="R164" i="18"/>
  <c r="Q164" i="18"/>
  <c r="P164" i="18"/>
  <c r="O164" i="18"/>
  <c r="N164" i="18"/>
  <c r="M164" i="18"/>
  <c r="L164" i="18"/>
  <c r="K164" i="18"/>
  <c r="J164" i="18"/>
  <c r="I164" i="18"/>
  <c r="H164" i="18"/>
  <c r="G164" i="18"/>
  <c r="F164" i="18"/>
  <c r="W162" i="18" s="1"/>
  <c r="E164" i="18"/>
  <c r="D164" i="18"/>
  <c r="T161" i="18"/>
  <c r="S161" i="18"/>
  <c r="R161" i="18"/>
  <c r="Q161" i="18"/>
  <c r="P161" i="18"/>
  <c r="O161" i="18"/>
  <c r="N161" i="18"/>
  <c r="M161" i="18"/>
  <c r="L161" i="18"/>
  <c r="K161" i="18"/>
  <c r="J161" i="18"/>
  <c r="I161" i="18"/>
  <c r="H161" i="18"/>
  <c r="G161" i="18"/>
  <c r="F161" i="18"/>
  <c r="E161" i="18"/>
  <c r="D161" i="18"/>
  <c r="V159" i="18" s="1"/>
  <c r="T158" i="18"/>
  <c r="S158" i="18"/>
  <c r="R158" i="18"/>
  <c r="Q158" i="18"/>
  <c r="P158" i="18"/>
  <c r="O158" i="18"/>
  <c r="N158" i="18"/>
  <c r="M158" i="18"/>
  <c r="L158" i="18"/>
  <c r="K158" i="18"/>
  <c r="J158" i="18"/>
  <c r="I158" i="18"/>
  <c r="H158" i="18"/>
  <c r="G158" i="18"/>
  <c r="U156" i="18" s="1"/>
  <c r="F158" i="18"/>
  <c r="E158" i="18"/>
  <c r="D158" i="18"/>
  <c r="T155" i="18"/>
  <c r="S155" i="18"/>
  <c r="R155" i="18"/>
  <c r="Q155" i="18"/>
  <c r="P155" i="18"/>
  <c r="O155" i="18"/>
  <c r="N155" i="18"/>
  <c r="M155" i="18"/>
  <c r="L155" i="18"/>
  <c r="K155" i="18"/>
  <c r="J155" i="18"/>
  <c r="I155" i="18"/>
  <c r="H155" i="18"/>
  <c r="G155" i="18"/>
  <c r="F155" i="18"/>
  <c r="E155" i="18"/>
  <c r="W153" i="18" s="1"/>
  <c r="D155" i="18"/>
  <c r="T152" i="18"/>
  <c r="S152" i="18"/>
  <c r="R152" i="18"/>
  <c r="Q152" i="18"/>
  <c r="P152" i="18"/>
  <c r="O152" i="18"/>
  <c r="N152" i="18"/>
  <c r="M152" i="18"/>
  <c r="L152" i="18"/>
  <c r="K152" i="18"/>
  <c r="J152" i="18"/>
  <c r="I152" i="18"/>
  <c r="H152" i="18"/>
  <c r="G152" i="18"/>
  <c r="F152" i="18"/>
  <c r="W150" i="18" s="1"/>
  <c r="E152" i="18"/>
  <c r="D152" i="18"/>
  <c r="T149" i="18"/>
  <c r="S149" i="18"/>
  <c r="R149" i="18"/>
  <c r="Q149" i="18"/>
  <c r="P149" i="18"/>
  <c r="O149" i="18"/>
  <c r="N149" i="18"/>
  <c r="M149" i="18"/>
  <c r="L149" i="18"/>
  <c r="K149" i="18"/>
  <c r="J149" i="18"/>
  <c r="I149" i="18"/>
  <c r="H149" i="18"/>
  <c r="G149" i="18"/>
  <c r="F149" i="18"/>
  <c r="E149" i="18"/>
  <c r="D149" i="18"/>
  <c r="V147" i="18" s="1"/>
  <c r="T146" i="18"/>
  <c r="S146" i="18"/>
  <c r="R146" i="18"/>
  <c r="Q146" i="18"/>
  <c r="P146" i="18"/>
  <c r="O146" i="18"/>
  <c r="N146" i="18"/>
  <c r="M146" i="18"/>
  <c r="L146" i="18"/>
  <c r="K146" i="18"/>
  <c r="J146" i="18"/>
  <c r="I146" i="18"/>
  <c r="H146" i="18"/>
  <c r="G146" i="18"/>
  <c r="F146" i="18"/>
  <c r="E146" i="18"/>
  <c r="D146" i="18"/>
  <c r="U144" i="18"/>
  <c r="T143" i="18"/>
  <c r="S143" i="18"/>
  <c r="R143" i="18"/>
  <c r="Q143" i="18"/>
  <c r="P143" i="18"/>
  <c r="O143" i="18"/>
  <c r="N143" i="18"/>
  <c r="M143" i="18"/>
  <c r="L143" i="18"/>
  <c r="K143" i="18"/>
  <c r="J143" i="18"/>
  <c r="I143" i="18"/>
  <c r="H143" i="18"/>
  <c r="G143" i="18"/>
  <c r="F143" i="18"/>
  <c r="E143" i="18"/>
  <c r="W141" i="18" s="1"/>
  <c r="D143" i="18"/>
  <c r="T140" i="18"/>
  <c r="S140" i="18"/>
  <c r="R140" i="18"/>
  <c r="Q140" i="18"/>
  <c r="P140" i="18"/>
  <c r="O140" i="18"/>
  <c r="N140" i="18"/>
  <c r="M140" i="18"/>
  <c r="L140" i="18"/>
  <c r="K140" i="18"/>
  <c r="J140" i="18"/>
  <c r="I140" i="18"/>
  <c r="H140" i="18"/>
  <c r="G140" i="18"/>
  <c r="F140" i="18"/>
  <c r="W138" i="18" s="1"/>
  <c r="E140" i="18"/>
  <c r="D140" i="18"/>
  <c r="T137" i="18"/>
  <c r="S137" i="18"/>
  <c r="R137" i="18"/>
  <c r="Q137" i="18"/>
  <c r="P137" i="18"/>
  <c r="O137" i="18"/>
  <c r="N137" i="18"/>
  <c r="M137" i="18"/>
  <c r="L137" i="18"/>
  <c r="K137" i="18"/>
  <c r="J137" i="18"/>
  <c r="I137" i="18"/>
  <c r="H137" i="18"/>
  <c r="G137" i="18"/>
  <c r="F137" i="18"/>
  <c r="E137" i="18"/>
  <c r="D137" i="18"/>
  <c r="V135" i="18" s="1"/>
  <c r="T134" i="18"/>
  <c r="S134" i="18"/>
  <c r="R134" i="18"/>
  <c r="Q134" i="18"/>
  <c r="P134" i="18"/>
  <c r="O134" i="18"/>
  <c r="N134" i="18"/>
  <c r="M134" i="18"/>
  <c r="L134" i="18"/>
  <c r="K134" i="18"/>
  <c r="J134" i="18"/>
  <c r="I134" i="18"/>
  <c r="H134" i="18"/>
  <c r="G134" i="18"/>
  <c r="F134" i="18"/>
  <c r="E134" i="18"/>
  <c r="D134" i="18"/>
  <c r="U132" i="18"/>
  <c r="T131" i="18"/>
  <c r="S131" i="18"/>
  <c r="R131" i="18"/>
  <c r="Q131" i="18"/>
  <c r="P131" i="18"/>
  <c r="O131" i="18"/>
  <c r="N131" i="18"/>
  <c r="M131" i="18"/>
  <c r="L131" i="18"/>
  <c r="K131" i="18"/>
  <c r="J131" i="18"/>
  <c r="I131" i="18"/>
  <c r="H131" i="18"/>
  <c r="G131" i="18"/>
  <c r="F131" i="18"/>
  <c r="E131" i="18"/>
  <c r="W129" i="18" s="1"/>
  <c r="D131" i="18"/>
  <c r="T128" i="18"/>
  <c r="S128" i="18"/>
  <c r="R128" i="18"/>
  <c r="Q128" i="18"/>
  <c r="P128" i="18"/>
  <c r="O128" i="18"/>
  <c r="N128" i="18"/>
  <c r="M128" i="18"/>
  <c r="L128" i="18"/>
  <c r="K128" i="18"/>
  <c r="J128" i="18"/>
  <c r="I128" i="18"/>
  <c r="H128" i="18"/>
  <c r="G128" i="18"/>
  <c r="F128" i="18"/>
  <c r="W126" i="18" s="1"/>
  <c r="E128" i="18"/>
  <c r="D128" i="18"/>
  <c r="T125" i="18"/>
  <c r="S125" i="18"/>
  <c r="R125" i="18"/>
  <c r="Q125" i="18"/>
  <c r="P125" i="18"/>
  <c r="O125" i="18"/>
  <c r="N125" i="18"/>
  <c r="M125" i="18"/>
  <c r="L125" i="18"/>
  <c r="K125" i="18"/>
  <c r="J125" i="18"/>
  <c r="I125" i="18"/>
  <c r="H125" i="18"/>
  <c r="G125" i="18"/>
  <c r="F125" i="18"/>
  <c r="E125" i="18"/>
  <c r="D125" i="18"/>
  <c r="V123" i="18" s="1"/>
  <c r="T122" i="18"/>
  <c r="S122" i="18"/>
  <c r="R122" i="18"/>
  <c r="Q122" i="18"/>
  <c r="P122" i="18"/>
  <c r="O122" i="18"/>
  <c r="N122" i="18"/>
  <c r="M122" i="18"/>
  <c r="L122" i="18"/>
  <c r="K122" i="18"/>
  <c r="J122" i="18"/>
  <c r="I122" i="18"/>
  <c r="H122" i="18"/>
  <c r="G122" i="18"/>
  <c r="F122" i="18"/>
  <c r="E122" i="18"/>
  <c r="D122" i="18"/>
  <c r="U120" i="18"/>
  <c r="T119" i="18"/>
  <c r="S119" i="18"/>
  <c r="R119" i="18"/>
  <c r="Q119" i="18"/>
  <c r="P119" i="18"/>
  <c r="O119" i="18"/>
  <c r="N119" i="18"/>
  <c r="M119" i="18"/>
  <c r="L119" i="18"/>
  <c r="K119" i="18"/>
  <c r="J119" i="18"/>
  <c r="I119" i="18"/>
  <c r="H119" i="18"/>
  <c r="G119" i="18"/>
  <c r="F119" i="18"/>
  <c r="E119" i="18"/>
  <c r="W117" i="18" s="1"/>
  <c r="D119" i="18"/>
  <c r="T116" i="18"/>
  <c r="S116" i="18"/>
  <c r="R116" i="18"/>
  <c r="Q116" i="18"/>
  <c r="P116" i="18"/>
  <c r="O116" i="18"/>
  <c r="N116" i="18"/>
  <c r="M116" i="18"/>
  <c r="L116" i="18"/>
  <c r="K116" i="18"/>
  <c r="J116" i="18"/>
  <c r="I116" i="18"/>
  <c r="H116" i="18"/>
  <c r="G116" i="18"/>
  <c r="F116" i="18"/>
  <c r="W114" i="18" s="1"/>
  <c r="E116" i="18"/>
  <c r="D116" i="18"/>
  <c r="T113" i="18"/>
  <c r="S113" i="18"/>
  <c r="R113" i="18"/>
  <c r="Q113" i="18"/>
  <c r="P113" i="18"/>
  <c r="O113" i="18"/>
  <c r="N113" i="18"/>
  <c r="M113" i="18"/>
  <c r="L113" i="18"/>
  <c r="K113" i="18"/>
  <c r="J113" i="18"/>
  <c r="I113" i="18"/>
  <c r="H113" i="18"/>
  <c r="G113" i="18"/>
  <c r="F113" i="18"/>
  <c r="E113" i="18"/>
  <c r="D113" i="18"/>
  <c r="V111" i="18" s="1"/>
  <c r="T110" i="18"/>
  <c r="S110" i="18"/>
  <c r="R110" i="18"/>
  <c r="Q110" i="18"/>
  <c r="P110" i="18"/>
  <c r="O110" i="18"/>
  <c r="N110" i="18"/>
  <c r="M110" i="18"/>
  <c r="L110" i="18"/>
  <c r="K110" i="18"/>
  <c r="J110" i="18"/>
  <c r="I110" i="18"/>
  <c r="H110" i="18"/>
  <c r="G110" i="18"/>
  <c r="U108" i="18" s="1"/>
  <c r="F110" i="18"/>
  <c r="E110" i="18"/>
  <c r="D110" i="18"/>
  <c r="T107" i="18"/>
  <c r="S107" i="18"/>
  <c r="R107" i="18"/>
  <c r="Q107" i="18"/>
  <c r="P107" i="18"/>
  <c r="O107" i="18"/>
  <c r="N107" i="18"/>
  <c r="M107" i="18"/>
  <c r="L107" i="18"/>
  <c r="K107" i="18"/>
  <c r="J107" i="18"/>
  <c r="I107" i="18"/>
  <c r="H107" i="18"/>
  <c r="G107" i="18"/>
  <c r="F107" i="18"/>
  <c r="E107" i="18"/>
  <c r="W105" i="18" s="1"/>
  <c r="D107" i="18"/>
  <c r="T104" i="18"/>
  <c r="S104" i="18"/>
  <c r="R104" i="18"/>
  <c r="Q104" i="18"/>
  <c r="P104" i="18"/>
  <c r="O104" i="18"/>
  <c r="N104" i="18"/>
  <c r="M104" i="18"/>
  <c r="L104" i="18"/>
  <c r="K104" i="18"/>
  <c r="J104" i="18"/>
  <c r="I104" i="18"/>
  <c r="H104" i="18"/>
  <c r="G104" i="18"/>
  <c r="F104" i="18"/>
  <c r="W102" i="18" s="1"/>
  <c r="E104" i="18"/>
  <c r="D104" i="18"/>
  <c r="T101" i="18"/>
  <c r="S101" i="18"/>
  <c r="R101" i="18"/>
  <c r="Q101" i="18"/>
  <c r="P101" i="18"/>
  <c r="O101" i="18"/>
  <c r="N101" i="18"/>
  <c r="M101" i="18"/>
  <c r="L101" i="18"/>
  <c r="K101" i="18"/>
  <c r="J101" i="18"/>
  <c r="I101" i="18"/>
  <c r="H101" i="18"/>
  <c r="G101" i="18"/>
  <c r="F101" i="18"/>
  <c r="E101" i="18"/>
  <c r="D101" i="18"/>
  <c r="V99" i="18" s="1"/>
  <c r="T98" i="18"/>
  <c r="S98" i="18"/>
  <c r="R98" i="18"/>
  <c r="Q98" i="18"/>
  <c r="P98" i="18"/>
  <c r="O98" i="18"/>
  <c r="N98" i="18"/>
  <c r="M98" i="18"/>
  <c r="L98" i="18"/>
  <c r="K98" i="18"/>
  <c r="J98" i="18"/>
  <c r="I98" i="18"/>
  <c r="H98" i="18"/>
  <c r="G98" i="18"/>
  <c r="F98" i="18"/>
  <c r="E98" i="18"/>
  <c r="D98" i="18"/>
  <c r="U96" i="18"/>
  <c r="T95" i="18"/>
  <c r="S95" i="18"/>
  <c r="R95" i="18"/>
  <c r="Q95" i="18"/>
  <c r="P95" i="18"/>
  <c r="O95" i="18"/>
  <c r="N95" i="18"/>
  <c r="M95" i="18"/>
  <c r="L95" i="18"/>
  <c r="K95" i="18"/>
  <c r="J95" i="18"/>
  <c r="I95" i="18"/>
  <c r="H95" i="18"/>
  <c r="G95" i="18"/>
  <c r="F95" i="18"/>
  <c r="E95" i="18"/>
  <c r="W93" i="18" s="1"/>
  <c r="D95" i="18"/>
  <c r="T92" i="18"/>
  <c r="S92" i="18"/>
  <c r="R92" i="18"/>
  <c r="Q92" i="18"/>
  <c r="P92" i="18"/>
  <c r="O92" i="18"/>
  <c r="N92" i="18"/>
  <c r="M92" i="18"/>
  <c r="L92" i="18"/>
  <c r="K92" i="18"/>
  <c r="J92" i="18"/>
  <c r="I92" i="18"/>
  <c r="H92" i="18"/>
  <c r="G92" i="18"/>
  <c r="F92" i="18"/>
  <c r="W90" i="18" s="1"/>
  <c r="E92" i="18"/>
  <c r="D92" i="18"/>
  <c r="T89" i="18"/>
  <c r="S89" i="18"/>
  <c r="R89" i="18"/>
  <c r="Q89" i="18"/>
  <c r="P89" i="18"/>
  <c r="O89" i="18"/>
  <c r="N89" i="18"/>
  <c r="M89" i="18"/>
  <c r="L89" i="18"/>
  <c r="K89" i="18"/>
  <c r="J89" i="18"/>
  <c r="I89" i="18"/>
  <c r="H89" i="18"/>
  <c r="G89" i="18"/>
  <c r="F89" i="18"/>
  <c r="E89" i="18"/>
  <c r="D89" i="18"/>
  <c r="V87" i="18" s="1"/>
  <c r="T86" i="18"/>
  <c r="S86" i="18"/>
  <c r="R86" i="18"/>
  <c r="Q86" i="18"/>
  <c r="P86" i="18"/>
  <c r="O86" i="18"/>
  <c r="N86" i="18"/>
  <c r="M86" i="18"/>
  <c r="L86" i="18"/>
  <c r="K86" i="18"/>
  <c r="J86" i="18"/>
  <c r="I86" i="18"/>
  <c r="H86" i="18"/>
  <c r="G86" i="18"/>
  <c r="F86" i="18"/>
  <c r="E86" i="18"/>
  <c r="D86" i="18"/>
  <c r="U84" i="18"/>
  <c r="T83" i="18"/>
  <c r="S83" i="18"/>
  <c r="R83" i="18"/>
  <c r="Q83" i="18"/>
  <c r="P83" i="18"/>
  <c r="O83" i="18"/>
  <c r="N83" i="18"/>
  <c r="M83" i="18"/>
  <c r="L83" i="18"/>
  <c r="K83" i="18"/>
  <c r="J83" i="18"/>
  <c r="I83" i="18"/>
  <c r="H83" i="18"/>
  <c r="G83" i="18"/>
  <c r="F83" i="18"/>
  <c r="E83" i="18"/>
  <c r="W81" i="18" s="1"/>
  <c r="D83" i="18"/>
  <c r="T80" i="18"/>
  <c r="S80" i="18"/>
  <c r="R80" i="18"/>
  <c r="Q80" i="18"/>
  <c r="P80" i="18"/>
  <c r="O80" i="18"/>
  <c r="N80" i="18"/>
  <c r="M80" i="18"/>
  <c r="L80" i="18"/>
  <c r="K80" i="18"/>
  <c r="J80" i="18"/>
  <c r="I80" i="18"/>
  <c r="H80" i="18"/>
  <c r="G80" i="18"/>
  <c r="F80" i="18"/>
  <c r="W78" i="18" s="1"/>
  <c r="E80" i="18"/>
  <c r="D80" i="18"/>
  <c r="T77" i="18"/>
  <c r="S77" i="18"/>
  <c r="R77" i="18"/>
  <c r="Q77" i="18"/>
  <c r="P77" i="18"/>
  <c r="O77" i="18"/>
  <c r="N77" i="18"/>
  <c r="M77" i="18"/>
  <c r="L77" i="18"/>
  <c r="K77" i="18"/>
  <c r="J77" i="18"/>
  <c r="I77" i="18"/>
  <c r="H77" i="18"/>
  <c r="G77" i="18"/>
  <c r="F77" i="18"/>
  <c r="E77" i="18"/>
  <c r="D77" i="18"/>
  <c r="V75" i="18" s="1"/>
  <c r="T74" i="18"/>
  <c r="S74" i="18"/>
  <c r="R74" i="18"/>
  <c r="Q74" i="18"/>
  <c r="P74" i="18"/>
  <c r="O74" i="18"/>
  <c r="N74" i="18"/>
  <c r="M74" i="18"/>
  <c r="L74" i="18"/>
  <c r="K74" i="18"/>
  <c r="J74" i="18"/>
  <c r="I74" i="18"/>
  <c r="H74" i="18"/>
  <c r="G74" i="18"/>
  <c r="F74" i="18"/>
  <c r="E74" i="18"/>
  <c r="D74" i="18"/>
  <c r="U72" i="18"/>
  <c r="T71" i="18"/>
  <c r="S71" i="18"/>
  <c r="R71" i="18"/>
  <c r="Q71" i="18"/>
  <c r="P71" i="18"/>
  <c r="O71" i="18"/>
  <c r="N71" i="18"/>
  <c r="M71" i="18"/>
  <c r="L71" i="18"/>
  <c r="K71" i="18"/>
  <c r="J71" i="18"/>
  <c r="I71" i="18"/>
  <c r="H71" i="18"/>
  <c r="G71" i="18"/>
  <c r="F71" i="18"/>
  <c r="E71" i="18"/>
  <c r="W69" i="18" s="1"/>
  <c r="D71" i="18"/>
  <c r="T68" i="18"/>
  <c r="S68" i="18"/>
  <c r="R68" i="18"/>
  <c r="Q68" i="18"/>
  <c r="P68" i="18"/>
  <c r="O68" i="18"/>
  <c r="N68" i="18"/>
  <c r="M68" i="18"/>
  <c r="L68" i="18"/>
  <c r="K68" i="18"/>
  <c r="J68" i="18"/>
  <c r="I68" i="18"/>
  <c r="H68" i="18"/>
  <c r="G68" i="18"/>
  <c r="F68" i="18"/>
  <c r="W66" i="18" s="1"/>
  <c r="E68" i="18"/>
  <c r="D68" i="18"/>
  <c r="T65" i="18"/>
  <c r="S65" i="18"/>
  <c r="R65" i="18"/>
  <c r="Q65" i="18"/>
  <c r="P65" i="18"/>
  <c r="O65" i="18"/>
  <c r="N65" i="18"/>
  <c r="M65" i="18"/>
  <c r="L65" i="18"/>
  <c r="K65" i="18"/>
  <c r="J65" i="18"/>
  <c r="I65" i="18"/>
  <c r="H65" i="18"/>
  <c r="G65" i="18"/>
  <c r="F65" i="18"/>
  <c r="X63" i="18" s="1"/>
  <c r="E65" i="18"/>
  <c r="D65" i="18"/>
  <c r="T62" i="18"/>
  <c r="S62" i="18"/>
  <c r="R62" i="18"/>
  <c r="Q62" i="18"/>
  <c r="P62" i="18"/>
  <c r="O62" i="18"/>
  <c r="N62" i="18"/>
  <c r="M62" i="18"/>
  <c r="L62" i="18"/>
  <c r="K62" i="18"/>
  <c r="J62" i="18"/>
  <c r="I62" i="18"/>
  <c r="H62" i="18"/>
  <c r="G62" i="18"/>
  <c r="U60" i="18" s="1"/>
  <c r="F62" i="18"/>
  <c r="E62" i="18"/>
  <c r="D62" i="18"/>
  <c r="T59" i="18"/>
  <c r="S59" i="18"/>
  <c r="R59" i="18"/>
  <c r="Q59" i="18"/>
  <c r="P59" i="18"/>
  <c r="O59" i="18"/>
  <c r="N59" i="18"/>
  <c r="M59" i="18"/>
  <c r="L59" i="18"/>
  <c r="K59" i="18"/>
  <c r="J59" i="18"/>
  <c r="I59" i="18"/>
  <c r="H59" i="18"/>
  <c r="G59" i="18"/>
  <c r="F59" i="18"/>
  <c r="E59" i="18"/>
  <c r="W57" i="18" s="1"/>
  <c r="D59" i="18"/>
  <c r="T56" i="18"/>
  <c r="S56" i="18"/>
  <c r="R56" i="18"/>
  <c r="Q56" i="18"/>
  <c r="P56" i="18"/>
  <c r="O56" i="18"/>
  <c r="N56" i="18"/>
  <c r="M56" i="18"/>
  <c r="L56" i="18"/>
  <c r="K56" i="18"/>
  <c r="J56" i="18"/>
  <c r="I56" i="18"/>
  <c r="H56" i="18"/>
  <c r="G56" i="18"/>
  <c r="F56" i="18"/>
  <c r="E56" i="18"/>
  <c r="D56" i="18"/>
  <c r="T53" i="18"/>
  <c r="S53" i="18"/>
  <c r="R53" i="18"/>
  <c r="Q53" i="18"/>
  <c r="P53" i="18"/>
  <c r="O53" i="18"/>
  <c r="N53" i="18"/>
  <c r="M53" i="18"/>
  <c r="L53" i="18"/>
  <c r="K53" i="18"/>
  <c r="J53" i="18"/>
  <c r="I53" i="18"/>
  <c r="H53" i="18"/>
  <c r="G53" i="18"/>
  <c r="F53" i="18"/>
  <c r="E53" i="18"/>
  <c r="D53" i="18"/>
  <c r="V51" i="18" s="1"/>
  <c r="T50" i="18"/>
  <c r="S50" i="18"/>
  <c r="R50" i="18"/>
  <c r="Q50" i="18"/>
  <c r="P50" i="18"/>
  <c r="O50" i="18"/>
  <c r="N50" i="18"/>
  <c r="M50" i="18"/>
  <c r="L50" i="18"/>
  <c r="K50" i="18"/>
  <c r="J50" i="18"/>
  <c r="I50" i="18"/>
  <c r="H50" i="18"/>
  <c r="G50" i="18"/>
  <c r="F50" i="18"/>
  <c r="E50" i="18"/>
  <c r="D50" i="18"/>
  <c r="U48" i="18"/>
  <c r="T47" i="18"/>
  <c r="S47" i="18"/>
  <c r="R47" i="18"/>
  <c r="Q47" i="18"/>
  <c r="P47" i="18"/>
  <c r="O47" i="18"/>
  <c r="N47" i="18"/>
  <c r="M47" i="18"/>
  <c r="L47" i="18"/>
  <c r="K47" i="18"/>
  <c r="J47" i="18"/>
  <c r="I47" i="18"/>
  <c r="H47" i="18"/>
  <c r="G47" i="18"/>
  <c r="F47" i="18"/>
  <c r="E47" i="18"/>
  <c r="W45" i="18" s="1"/>
  <c r="D47" i="18"/>
  <c r="T44" i="18"/>
  <c r="S44" i="18"/>
  <c r="R44" i="18"/>
  <c r="Q44" i="18"/>
  <c r="P44" i="18"/>
  <c r="O44" i="18"/>
  <c r="N44" i="18"/>
  <c r="M44" i="18"/>
  <c r="L44" i="18"/>
  <c r="K44" i="18"/>
  <c r="J44" i="18"/>
  <c r="I44" i="18"/>
  <c r="H44" i="18"/>
  <c r="G44" i="18"/>
  <c r="F44" i="18"/>
  <c r="E44" i="18"/>
  <c r="D44" i="18"/>
  <c r="U42" i="18" s="1"/>
  <c r="T41" i="18"/>
  <c r="S41" i="18"/>
  <c r="R41" i="18"/>
  <c r="Q41" i="18"/>
  <c r="P41" i="18"/>
  <c r="O41" i="18"/>
  <c r="N41" i="18"/>
  <c r="M41" i="18"/>
  <c r="L41" i="18"/>
  <c r="K41" i="18"/>
  <c r="J41" i="18"/>
  <c r="I41" i="18"/>
  <c r="H41" i="18"/>
  <c r="G41" i="18"/>
  <c r="F41" i="18"/>
  <c r="X39" i="18" s="1"/>
  <c r="E41" i="18"/>
  <c r="D41" i="18"/>
  <c r="T38" i="18"/>
  <c r="S38" i="18"/>
  <c r="R38" i="18"/>
  <c r="Q38" i="18"/>
  <c r="P38" i="18"/>
  <c r="O38" i="18"/>
  <c r="N38" i="18"/>
  <c r="M38" i="18"/>
  <c r="L38" i="18"/>
  <c r="K38" i="18"/>
  <c r="J38" i="18"/>
  <c r="I38" i="18"/>
  <c r="H38" i="18"/>
  <c r="G38" i="18"/>
  <c r="F38" i="18"/>
  <c r="E38" i="18"/>
  <c r="D38" i="18"/>
  <c r="U36" i="18"/>
  <c r="T35" i="18"/>
  <c r="S35" i="18"/>
  <c r="R35" i="18"/>
  <c r="Q35" i="18"/>
  <c r="P35" i="18"/>
  <c r="O35" i="18"/>
  <c r="N35" i="18"/>
  <c r="M35" i="18"/>
  <c r="L35" i="18"/>
  <c r="K35" i="18"/>
  <c r="J35" i="18"/>
  <c r="I35" i="18"/>
  <c r="H35" i="18"/>
  <c r="G35" i="18"/>
  <c r="F35" i="18"/>
  <c r="E35" i="18"/>
  <c r="W33" i="18" s="1"/>
  <c r="D35" i="18"/>
  <c r="T32" i="18"/>
  <c r="W30" i="18" s="1"/>
  <c r="S32" i="18"/>
  <c r="R32" i="18"/>
  <c r="Q32" i="18"/>
  <c r="P32" i="18"/>
  <c r="O32" i="18"/>
  <c r="N32" i="18"/>
  <c r="M32" i="18"/>
  <c r="L32" i="18"/>
  <c r="K32" i="18"/>
  <c r="J32" i="18"/>
  <c r="I32" i="18"/>
  <c r="H32" i="18"/>
  <c r="G32" i="18"/>
  <c r="F32" i="18"/>
  <c r="E32" i="18"/>
  <c r="D32" i="18"/>
  <c r="T29" i="18"/>
  <c r="S29" i="18"/>
  <c r="R29" i="18"/>
  <c r="Q29" i="18"/>
  <c r="P29" i="18"/>
  <c r="O29" i="18"/>
  <c r="N29" i="18"/>
  <c r="M29" i="18"/>
  <c r="L29" i="18"/>
  <c r="K29" i="18"/>
  <c r="J29" i="18"/>
  <c r="I29" i="18"/>
  <c r="H29" i="18"/>
  <c r="G29" i="18"/>
  <c r="F29" i="18"/>
  <c r="E29" i="18"/>
  <c r="D29" i="18"/>
  <c r="V27" i="18" s="1"/>
  <c r="T26" i="18"/>
  <c r="S26" i="18"/>
  <c r="R26" i="18"/>
  <c r="Q26" i="18"/>
  <c r="P26" i="18"/>
  <c r="O26" i="18"/>
  <c r="N26" i="18"/>
  <c r="M26" i="18"/>
  <c r="L26" i="18"/>
  <c r="K26" i="18"/>
  <c r="J26" i="18"/>
  <c r="I26" i="18"/>
  <c r="H26" i="18"/>
  <c r="G26" i="18"/>
  <c r="F26" i="18"/>
  <c r="E26" i="18"/>
  <c r="D26" i="18"/>
  <c r="U24" i="18"/>
  <c r="T23" i="18"/>
  <c r="S23" i="18"/>
  <c r="R23" i="18"/>
  <c r="Q23" i="18"/>
  <c r="P23" i="18"/>
  <c r="O23" i="18"/>
  <c r="N23" i="18"/>
  <c r="M23" i="18"/>
  <c r="L23" i="18"/>
  <c r="K23" i="18"/>
  <c r="J23" i="18"/>
  <c r="I23" i="18"/>
  <c r="H23" i="18"/>
  <c r="G23" i="18"/>
  <c r="F23" i="18"/>
  <c r="E23" i="18"/>
  <c r="X21" i="18" s="1"/>
  <c r="D23" i="18"/>
  <c r="T20" i="18"/>
  <c r="S20" i="18"/>
  <c r="R20" i="18"/>
  <c r="Q20" i="18"/>
  <c r="P20" i="18"/>
  <c r="O20" i="18"/>
  <c r="N20" i="18"/>
  <c r="M20" i="18"/>
  <c r="L20" i="18"/>
  <c r="K20" i="18"/>
  <c r="J20" i="18"/>
  <c r="I20" i="18"/>
  <c r="H20" i="18"/>
  <c r="G20" i="18"/>
  <c r="F20" i="18"/>
  <c r="W18" i="18" s="1"/>
  <c r="E20" i="18"/>
  <c r="D20" i="18"/>
  <c r="T17" i="18"/>
  <c r="S17" i="18"/>
  <c r="R17" i="18"/>
  <c r="Q17" i="18"/>
  <c r="P17" i="18"/>
  <c r="O17" i="18"/>
  <c r="N17" i="18"/>
  <c r="M17" i="18"/>
  <c r="L17" i="18"/>
  <c r="K17" i="18"/>
  <c r="J17" i="18"/>
  <c r="I17" i="18"/>
  <c r="H17" i="18"/>
  <c r="G17" i="18"/>
  <c r="F17" i="18"/>
  <c r="E17" i="18"/>
  <c r="D17" i="18"/>
  <c r="V15" i="18" s="1"/>
  <c r="T14" i="18"/>
  <c r="S14" i="18"/>
  <c r="R14" i="18"/>
  <c r="Q14" i="18"/>
  <c r="P14" i="18"/>
  <c r="O14" i="18"/>
  <c r="N14" i="18"/>
  <c r="M14" i="18"/>
  <c r="L14" i="18"/>
  <c r="K14" i="18"/>
  <c r="J14" i="18"/>
  <c r="I14" i="18"/>
  <c r="H14" i="18"/>
  <c r="G14" i="18"/>
  <c r="F14" i="18"/>
  <c r="X12" i="18" s="1"/>
  <c r="E14" i="18"/>
  <c r="D14" i="18"/>
  <c r="P662" i="17"/>
  <c r="O662" i="17"/>
  <c r="N662" i="17"/>
  <c r="M662" i="17"/>
  <c r="L662" i="17"/>
  <c r="K662" i="17"/>
  <c r="J662" i="17"/>
  <c r="I662" i="17"/>
  <c r="H662" i="17"/>
  <c r="G662" i="17"/>
  <c r="F662" i="17"/>
  <c r="E662" i="17"/>
  <c r="D662" i="17"/>
  <c r="V660" i="17"/>
  <c r="U660" i="17"/>
  <c r="T660" i="17"/>
  <c r="S660" i="17"/>
  <c r="R660" i="17"/>
  <c r="Q660" i="17"/>
  <c r="P659" i="17"/>
  <c r="O659" i="17"/>
  <c r="N659" i="17"/>
  <c r="M659" i="17"/>
  <c r="L659" i="17"/>
  <c r="K659" i="17"/>
  <c r="J659" i="17"/>
  <c r="I659" i="17"/>
  <c r="H659" i="17"/>
  <c r="G659" i="17"/>
  <c r="F659" i="17"/>
  <c r="E659" i="17"/>
  <c r="D659" i="17"/>
  <c r="V657" i="17"/>
  <c r="U657" i="17"/>
  <c r="T657" i="17"/>
  <c r="S657" i="17"/>
  <c r="R657" i="17"/>
  <c r="Q657" i="17"/>
  <c r="P656" i="17"/>
  <c r="O656" i="17"/>
  <c r="N656" i="17"/>
  <c r="M656" i="17"/>
  <c r="L656" i="17"/>
  <c r="K656" i="17"/>
  <c r="J656" i="17"/>
  <c r="I656" i="17"/>
  <c r="H656" i="17"/>
  <c r="G656" i="17"/>
  <c r="F656" i="17"/>
  <c r="E656" i="17"/>
  <c r="D656" i="17"/>
  <c r="V654" i="17"/>
  <c r="U654" i="17"/>
  <c r="T654" i="17"/>
  <c r="S654" i="17"/>
  <c r="R654" i="17"/>
  <c r="Q654" i="17"/>
  <c r="P653" i="17"/>
  <c r="O653" i="17"/>
  <c r="N653" i="17"/>
  <c r="M653" i="17"/>
  <c r="L653" i="17"/>
  <c r="K653" i="17"/>
  <c r="J653" i="17"/>
  <c r="I653" i="17"/>
  <c r="H653" i="17"/>
  <c r="G653" i="17"/>
  <c r="F653" i="17"/>
  <c r="E653" i="17"/>
  <c r="D653" i="17"/>
  <c r="V651" i="17"/>
  <c r="U651" i="17"/>
  <c r="T651" i="17"/>
  <c r="S651" i="17"/>
  <c r="R651" i="17"/>
  <c r="Q651" i="17"/>
  <c r="P650" i="17"/>
  <c r="O650" i="17"/>
  <c r="N650" i="17"/>
  <c r="M650" i="17"/>
  <c r="L650" i="17"/>
  <c r="K650" i="17"/>
  <c r="J650" i="17"/>
  <c r="I650" i="17"/>
  <c r="H650" i="17"/>
  <c r="G650" i="17"/>
  <c r="F650" i="17"/>
  <c r="E650" i="17"/>
  <c r="D650" i="17"/>
  <c r="V648" i="17"/>
  <c r="U648" i="17"/>
  <c r="T648" i="17"/>
  <c r="S648" i="17"/>
  <c r="R648" i="17"/>
  <c r="Q648" i="17"/>
  <c r="P647" i="17"/>
  <c r="O647" i="17"/>
  <c r="N647" i="17"/>
  <c r="M647" i="17"/>
  <c r="L647" i="17"/>
  <c r="K647" i="17"/>
  <c r="J647" i="17"/>
  <c r="I647" i="17"/>
  <c r="H647" i="17"/>
  <c r="G647" i="17"/>
  <c r="F647" i="17"/>
  <c r="E647" i="17"/>
  <c r="D647" i="17"/>
  <c r="V645" i="17"/>
  <c r="U645" i="17"/>
  <c r="T645" i="17"/>
  <c r="S645" i="17"/>
  <c r="R645" i="17"/>
  <c r="Q645" i="17"/>
  <c r="P644" i="17"/>
  <c r="O644" i="17"/>
  <c r="N644" i="17"/>
  <c r="M644" i="17"/>
  <c r="L644" i="17"/>
  <c r="K644" i="17"/>
  <c r="J644" i="17"/>
  <c r="I644" i="17"/>
  <c r="H644" i="17"/>
  <c r="G644" i="17"/>
  <c r="F644" i="17"/>
  <c r="E644" i="17"/>
  <c r="D644" i="17"/>
  <c r="V642" i="17"/>
  <c r="U642" i="17"/>
  <c r="T642" i="17"/>
  <c r="S642" i="17"/>
  <c r="R642" i="17"/>
  <c r="Q642" i="17"/>
  <c r="P641" i="17"/>
  <c r="O641" i="17"/>
  <c r="N641" i="17"/>
  <c r="M641" i="17"/>
  <c r="L641" i="17"/>
  <c r="K641" i="17"/>
  <c r="J641" i="17"/>
  <c r="I641" i="17"/>
  <c r="H641" i="17"/>
  <c r="G641" i="17"/>
  <c r="F641" i="17"/>
  <c r="E641" i="17"/>
  <c r="D641" i="17"/>
  <c r="V639" i="17"/>
  <c r="U639" i="17"/>
  <c r="T639" i="17"/>
  <c r="S639" i="17"/>
  <c r="R639" i="17"/>
  <c r="Q639" i="17"/>
  <c r="P638" i="17"/>
  <c r="O638" i="17"/>
  <c r="N638" i="17"/>
  <c r="M638" i="17"/>
  <c r="L638" i="17"/>
  <c r="K638" i="17"/>
  <c r="J638" i="17"/>
  <c r="I638" i="17"/>
  <c r="H638" i="17"/>
  <c r="G638" i="17"/>
  <c r="F638" i="17"/>
  <c r="E638" i="17"/>
  <c r="D638" i="17"/>
  <c r="V636" i="17"/>
  <c r="U636" i="17"/>
  <c r="T636" i="17"/>
  <c r="S636" i="17"/>
  <c r="R636" i="17"/>
  <c r="Q636" i="17"/>
  <c r="P635" i="17"/>
  <c r="O635" i="17"/>
  <c r="N635" i="17"/>
  <c r="M635" i="17"/>
  <c r="L635" i="17"/>
  <c r="K635" i="17"/>
  <c r="J635" i="17"/>
  <c r="I635" i="17"/>
  <c r="H635" i="17"/>
  <c r="G635" i="17"/>
  <c r="F635" i="17"/>
  <c r="E635" i="17"/>
  <c r="D635" i="17"/>
  <c r="V633" i="17"/>
  <c r="U633" i="17"/>
  <c r="T633" i="17"/>
  <c r="S633" i="17"/>
  <c r="R633" i="17"/>
  <c r="Q633" i="17"/>
  <c r="P632" i="17"/>
  <c r="O632" i="17"/>
  <c r="N632" i="17"/>
  <c r="M632" i="17"/>
  <c r="L632" i="17"/>
  <c r="K632" i="17"/>
  <c r="J632" i="17"/>
  <c r="I632" i="17"/>
  <c r="H632" i="17"/>
  <c r="G632" i="17"/>
  <c r="F632" i="17"/>
  <c r="E632" i="17"/>
  <c r="D632" i="17"/>
  <c r="V630" i="17"/>
  <c r="U630" i="17"/>
  <c r="T630" i="17"/>
  <c r="S630" i="17"/>
  <c r="R630" i="17"/>
  <c r="Q630" i="17"/>
  <c r="P629" i="17"/>
  <c r="O629" i="17"/>
  <c r="N629" i="17"/>
  <c r="M629" i="17"/>
  <c r="L629" i="17"/>
  <c r="K629" i="17"/>
  <c r="J629" i="17"/>
  <c r="I629" i="17"/>
  <c r="H629" i="17"/>
  <c r="G629" i="17"/>
  <c r="F629" i="17"/>
  <c r="E629" i="17"/>
  <c r="D629" i="17"/>
  <c r="V627" i="17"/>
  <c r="U627" i="17"/>
  <c r="T627" i="17"/>
  <c r="S627" i="17"/>
  <c r="R627" i="17"/>
  <c r="Q627" i="17"/>
  <c r="P626" i="17"/>
  <c r="O626" i="17"/>
  <c r="N626" i="17"/>
  <c r="M626" i="17"/>
  <c r="L626" i="17"/>
  <c r="K626" i="17"/>
  <c r="J626" i="17"/>
  <c r="I626" i="17"/>
  <c r="H626" i="17"/>
  <c r="G626" i="17"/>
  <c r="F626" i="17"/>
  <c r="E626" i="17"/>
  <c r="D626" i="17"/>
  <c r="V624" i="17"/>
  <c r="U624" i="17"/>
  <c r="T624" i="17"/>
  <c r="S624" i="17"/>
  <c r="R624" i="17"/>
  <c r="Q624" i="17"/>
  <c r="P623" i="17"/>
  <c r="O623" i="17"/>
  <c r="N623" i="17"/>
  <c r="M623" i="17"/>
  <c r="L623" i="17"/>
  <c r="K623" i="17"/>
  <c r="J623" i="17"/>
  <c r="I623" i="17"/>
  <c r="H623" i="17"/>
  <c r="G623" i="17"/>
  <c r="F623" i="17"/>
  <c r="E623" i="17"/>
  <c r="D623" i="17"/>
  <c r="V621" i="17"/>
  <c r="U621" i="17"/>
  <c r="T621" i="17"/>
  <c r="S621" i="17"/>
  <c r="R621" i="17"/>
  <c r="Q621" i="17"/>
  <c r="P620" i="17"/>
  <c r="O620" i="17"/>
  <c r="N620" i="17"/>
  <c r="M620" i="17"/>
  <c r="L620" i="17"/>
  <c r="K620" i="17"/>
  <c r="J620" i="17"/>
  <c r="I620" i="17"/>
  <c r="H620" i="17"/>
  <c r="G620" i="17"/>
  <c r="F620" i="17"/>
  <c r="E620" i="17"/>
  <c r="D620" i="17"/>
  <c r="V618" i="17"/>
  <c r="U618" i="17"/>
  <c r="T618" i="17"/>
  <c r="S618" i="17"/>
  <c r="R618" i="17"/>
  <c r="Q618" i="17"/>
  <c r="P617" i="17"/>
  <c r="O617" i="17"/>
  <c r="N617" i="17"/>
  <c r="M617" i="17"/>
  <c r="L617" i="17"/>
  <c r="K617" i="17"/>
  <c r="J617" i="17"/>
  <c r="I617" i="17"/>
  <c r="H617" i="17"/>
  <c r="G617" i="17"/>
  <c r="F617" i="17"/>
  <c r="E617" i="17"/>
  <c r="D617" i="17"/>
  <c r="V615" i="17"/>
  <c r="U615" i="17"/>
  <c r="T615" i="17"/>
  <c r="S615" i="17"/>
  <c r="R615" i="17"/>
  <c r="Q615" i="17"/>
  <c r="P614" i="17"/>
  <c r="O614" i="17"/>
  <c r="N614" i="17"/>
  <c r="M614" i="17"/>
  <c r="L614" i="17"/>
  <c r="K614" i="17"/>
  <c r="J614" i="17"/>
  <c r="I614" i="17"/>
  <c r="H614" i="17"/>
  <c r="G614" i="17"/>
  <c r="F614" i="17"/>
  <c r="E614" i="17"/>
  <c r="D614" i="17"/>
  <c r="V612" i="17"/>
  <c r="U612" i="17"/>
  <c r="T612" i="17"/>
  <c r="S612" i="17"/>
  <c r="R612" i="17"/>
  <c r="Q612" i="17"/>
  <c r="P611" i="17"/>
  <c r="O611" i="17"/>
  <c r="N611" i="17"/>
  <c r="M611" i="17"/>
  <c r="L611" i="17"/>
  <c r="K611" i="17"/>
  <c r="J611" i="17"/>
  <c r="I611" i="17"/>
  <c r="H611" i="17"/>
  <c r="G611" i="17"/>
  <c r="F611" i="17"/>
  <c r="E611" i="17"/>
  <c r="D611" i="17"/>
  <c r="V609" i="17"/>
  <c r="U609" i="17"/>
  <c r="T609" i="17"/>
  <c r="S609" i="17"/>
  <c r="R609" i="17"/>
  <c r="Q609" i="17"/>
  <c r="P608" i="17"/>
  <c r="O608" i="17"/>
  <c r="N608" i="17"/>
  <c r="M608" i="17"/>
  <c r="L608" i="17"/>
  <c r="K608" i="17"/>
  <c r="J608" i="17"/>
  <c r="I608" i="17"/>
  <c r="H608" i="17"/>
  <c r="G608" i="17"/>
  <c r="F608" i="17"/>
  <c r="E608" i="17"/>
  <c r="D608" i="17"/>
  <c r="V606" i="17"/>
  <c r="U606" i="17"/>
  <c r="T606" i="17"/>
  <c r="S606" i="17"/>
  <c r="R606" i="17"/>
  <c r="Q606" i="17"/>
  <c r="P605" i="17"/>
  <c r="O605" i="17"/>
  <c r="N605" i="17"/>
  <c r="M605" i="17"/>
  <c r="L605" i="17"/>
  <c r="K605" i="17"/>
  <c r="J605" i="17"/>
  <c r="I605" i="17"/>
  <c r="H605" i="17"/>
  <c r="G605" i="17"/>
  <c r="F605" i="17"/>
  <c r="E605" i="17"/>
  <c r="D605" i="17"/>
  <c r="V603" i="17"/>
  <c r="U603" i="17"/>
  <c r="T603" i="17"/>
  <c r="S603" i="17"/>
  <c r="R603" i="17"/>
  <c r="Q603" i="17"/>
  <c r="P602" i="17"/>
  <c r="O602" i="17"/>
  <c r="N602" i="17"/>
  <c r="M602" i="17"/>
  <c r="L602" i="17"/>
  <c r="K602" i="17"/>
  <c r="J602" i="17"/>
  <c r="I602" i="17"/>
  <c r="H602" i="17"/>
  <c r="G602" i="17"/>
  <c r="F602" i="17"/>
  <c r="E602" i="17"/>
  <c r="D602" i="17"/>
  <c r="V600" i="17"/>
  <c r="U600" i="17"/>
  <c r="T600" i="17"/>
  <c r="S600" i="17"/>
  <c r="R600" i="17"/>
  <c r="Q600" i="17"/>
  <c r="P599" i="17"/>
  <c r="O599" i="17"/>
  <c r="N599" i="17"/>
  <c r="M599" i="17"/>
  <c r="L599" i="17"/>
  <c r="K599" i="17"/>
  <c r="J599" i="17"/>
  <c r="I599" i="17"/>
  <c r="H599" i="17"/>
  <c r="G599" i="17"/>
  <c r="F599" i="17"/>
  <c r="E599" i="17"/>
  <c r="D599" i="17"/>
  <c r="V597" i="17"/>
  <c r="U597" i="17"/>
  <c r="T597" i="17"/>
  <c r="S597" i="17"/>
  <c r="R597" i="17"/>
  <c r="Q597" i="17"/>
  <c r="P596" i="17"/>
  <c r="O596" i="17"/>
  <c r="N596" i="17"/>
  <c r="M596" i="17"/>
  <c r="L596" i="17"/>
  <c r="K596" i="17"/>
  <c r="J596" i="17"/>
  <c r="I596" i="17"/>
  <c r="H596" i="17"/>
  <c r="G596" i="17"/>
  <c r="F596" i="17"/>
  <c r="E596" i="17"/>
  <c r="D596" i="17"/>
  <c r="V594" i="17"/>
  <c r="U594" i="17"/>
  <c r="T594" i="17"/>
  <c r="S594" i="17"/>
  <c r="R594" i="17"/>
  <c r="Q594" i="17"/>
  <c r="P593" i="17"/>
  <c r="O593" i="17"/>
  <c r="N593" i="17"/>
  <c r="M593" i="17"/>
  <c r="L593" i="17"/>
  <c r="K593" i="17"/>
  <c r="J593" i="17"/>
  <c r="I593" i="17"/>
  <c r="H593" i="17"/>
  <c r="G593" i="17"/>
  <c r="F593" i="17"/>
  <c r="E593" i="17"/>
  <c r="D593" i="17"/>
  <c r="V591" i="17"/>
  <c r="U591" i="17"/>
  <c r="T591" i="17"/>
  <c r="S591" i="17"/>
  <c r="R591" i="17"/>
  <c r="Q591" i="17"/>
  <c r="P590" i="17"/>
  <c r="O590" i="17"/>
  <c r="N590" i="17"/>
  <c r="M590" i="17"/>
  <c r="L590" i="17"/>
  <c r="K590" i="17"/>
  <c r="J590" i="17"/>
  <c r="I590" i="17"/>
  <c r="H590" i="17"/>
  <c r="G590" i="17"/>
  <c r="F590" i="17"/>
  <c r="E590" i="17"/>
  <c r="D590" i="17"/>
  <c r="V588" i="17"/>
  <c r="U588" i="17"/>
  <c r="T588" i="17"/>
  <c r="S588" i="17"/>
  <c r="R588" i="17"/>
  <c r="Q588" i="17"/>
  <c r="P587" i="17"/>
  <c r="O587" i="17"/>
  <c r="N587" i="17"/>
  <c r="M587" i="17"/>
  <c r="L587" i="17"/>
  <c r="K587" i="17"/>
  <c r="J587" i="17"/>
  <c r="I587" i="17"/>
  <c r="H587" i="17"/>
  <c r="G587" i="17"/>
  <c r="F587" i="17"/>
  <c r="E587" i="17"/>
  <c r="D587" i="17"/>
  <c r="V585" i="17"/>
  <c r="U585" i="17"/>
  <c r="T585" i="17"/>
  <c r="S585" i="17"/>
  <c r="R585" i="17"/>
  <c r="Q585" i="17"/>
  <c r="P584" i="17"/>
  <c r="O584" i="17"/>
  <c r="N584" i="17"/>
  <c r="M584" i="17"/>
  <c r="L584" i="17"/>
  <c r="K584" i="17"/>
  <c r="J584" i="17"/>
  <c r="I584" i="17"/>
  <c r="H584" i="17"/>
  <c r="G584" i="17"/>
  <c r="F584" i="17"/>
  <c r="E584" i="17"/>
  <c r="D584" i="17"/>
  <c r="V582" i="17"/>
  <c r="U582" i="17"/>
  <c r="T582" i="17"/>
  <c r="S582" i="17"/>
  <c r="R582" i="17"/>
  <c r="Q582" i="17"/>
  <c r="P581" i="17"/>
  <c r="O581" i="17"/>
  <c r="N581" i="17"/>
  <c r="M581" i="17"/>
  <c r="L581" i="17"/>
  <c r="K581" i="17"/>
  <c r="J581" i="17"/>
  <c r="I581" i="17"/>
  <c r="H581" i="17"/>
  <c r="G581" i="17"/>
  <c r="F581" i="17"/>
  <c r="E581" i="17"/>
  <c r="D581" i="17"/>
  <c r="V579" i="17"/>
  <c r="U579" i="17"/>
  <c r="T579" i="17"/>
  <c r="S579" i="17"/>
  <c r="R579" i="17"/>
  <c r="Q579" i="17"/>
  <c r="P578" i="17"/>
  <c r="O578" i="17"/>
  <c r="N578" i="17"/>
  <c r="M578" i="17"/>
  <c r="L578" i="17"/>
  <c r="K578" i="17"/>
  <c r="J578" i="17"/>
  <c r="I578" i="17"/>
  <c r="H578" i="17"/>
  <c r="G578" i="17"/>
  <c r="F578" i="17"/>
  <c r="E578" i="17"/>
  <c r="D578" i="17"/>
  <c r="V576" i="17"/>
  <c r="U576" i="17"/>
  <c r="T576" i="17"/>
  <c r="S576" i="17"/>
  <c r="R576" i="17"/>
  <c r="Q576" i="17"/>
  <c r="P575" i="17"/>
  <c r="O575" i="17"/>
  <c r="N575" i="17"/>
  <c r="M575" i="17"/>
  <c r="L575" i="17"/>
  <c r="K575" i="17"/>
  <c r="J575" i="17"/>
  <c r="I575" i="17"/>
  <c r="H575" i="17"/>
  <c r="G575" i="17"/>
  <c r="F575" i="17"/>
  <c r="E575" i="17"/>
  <c r="D575" i="17"/>
  <c r="V573" i="17"/>
  <c r="U573" i="17"/>
  <c r="T573" i="17"/>
  <c r="S573" i="17"/>
  <c r="R573" i="17"/>
  <c r="Q573" i="17"/>
  <c r="P572" i="17"/>
  <c r="O572" i="17"/>
  <c r="N572" i="17"/>
  <c r="M572" i="17"/>
  <c r="L572" i="17"/>
  <c r="K572" i="17"/>
  <c r="J572" i="17"/>
  <c r="I572" i="17"/>
  <c r="H572" i="17"/>
  <c r="G572" i="17"/>
  <c r="F572" i="17"/>
  <c r="E572" i="17"/>
  <c r="D572" i="17"/>
  <c r="V570" i="17"/>
  <c r="U570" i="17"/>
  <c r="T570" i="17"/>
  <c r="S570" i="17"/>
  <c r="R570" i="17"/>
  <c r="Q570" i="17"/>
  <c r="P569" i="17"/>
  <c r="O569" i="17"/>
  <c r="N569" i="17"/>
  <c r="M569" i="17"/>
  <c r="L569" i="17"/>
  <c r="K569" i="17"/>
  <c r="J569" i="17"/>
  <c r="I569" i="17"/>
  <c r="H569" i="17"/>
  <c r="G569" i="17"/>
  <c r="F569" i="17"/>
  <c r="E569" i="17"/>
  <c r="D569" i="17"/>
  <c r="V567" i="17"/>
  <c r="U567" i="17"/>
  <c r="T567" i="17"/>
  <c r="S567" i="17"/>
  <c r="R567" i="17"/>
  <c r="Q567" i="17"/>
  <c r="P566" i="17"/>
  <c r="O566" i="17"/>
  <c r="N566" i="17"/>
  <c r="M566" i="17"/>
  <c r="L566" i="17"/>
  <c r="K566" i="17"/>
  <c r="J566" i="17"/>
  <c r="I566" i="17"/>
  <c r="H566" i="17"/>
  <c r="G566" i="17"/>
  <c r="F566" i="17"/>
  <c r="E566" i="17"/>
  <c r="D566" i="17"/>
  <c r="V564" i="17"/>
  <c r="U564" i="17"/>
  <c r="T564" i="17"/>
  <c r="S564" i="17"/>
  <c r="R564" i="17"/>
  <c r="Q564" i="17"/>
  <c r="P563" i="17"/>
  <c r="O563" i="17"/>
  <c r="N563" i="17"/>
  <c r="M563" i="17"/>
  <c r="L563" i="17"/>
  <c r="K563" i="17"/>
  <c r="J563" i="17"/>
  <c r="I563" i="17"/>
  <c r="H563" i="17"/>
  <c r="G563" i="17"/>
  <c r="F563" i="17"/>
  <c r="E563" i="17"/>
  <c r="D563" i="17"/>
  <c r="V561" i="17"/>
  <c r="U561" i="17"/>
  <c r="T561" i="17"/>
  <c r="S561" i="17"/>
  <c r="R561" i="17"/>
  <c r="Q561" i="17"/>
  <c r="P560" i="17"/>
  <c r="O560" i="17"/>
  <c r="N560" i="17"/>
  <c r="M560" i="17"/>
  <c r="L560" i="17"/>
  <c r="K560" i="17"/>
  <c r="J560" i="17"/>
  <c r="I560" i="17"/>
  <c r="H560" i="17"/>
  <c r="G560" i="17"/>
  <c r="F560" i="17"/>
  <c r="E560" i="17"/>
  <c r="D560" i="17"/>
  <c r="V558" i="17"/>
  <c r="U558" i="17"/>
  <c r="T558" i="17"/>
  <c r="S558" i="17"/>
  <c r="R558" i="17"/>
  <c r="Q558" i="17"/>
  <c r="P557" i="17"/>
  <c r="O557" i="17"/>
  <c r="N557" i="17"/>
  <c r="M557" i="17"/>
  <c r="L557" i="17"/>
  <c r="K557" i="17"/>
  <c r="J557" i="17"/>
  <c r="I557" i="17"/>
  <c r="H557" i="17"/>
  <c r="G557" i="17"/>
  <c r="F557" i="17"/>
  <c r="E557" i="17"/>
  <c r="D557" i="17"/>
  <c r="V555" i="17"/>
  <c r="U555" i="17"/>
  <c r="T555" i="17"/>
  <c r="S555" i="17"/>
  <c r="R555" i="17"/>
  <c r="Q555" i="17"/>
  <c r="P554" i="17"/>
  <c r="O554" i="17"/>
  <c r="N554" i="17"/>
  <c r="M554" i="17"/>
  <c r="L554" i="17"/>
  <c r="K554" i="17"/>
  <c r="J554" i="17"/>
  <c r="I554" i="17"/>
  <c r="H554" i="17"/>
  <c r="G554" i="17"/>
  <c r="F554" i="17"/>
  <c r="E554" i="17"/>
  <c r="D554" i="17"/>
  <c r="V552" i="17"/>
  <c r="U552" i="17"/>
  <c r="T552" i="17"/>
  <c r="S552" i="17"/>
  <c r="R552" i="17"/>
  <c r="Q552" i="17"/>
  <c r="P551" i="17"/>
  <c r="O551" i="17"/>
  <c r="N551" i="17"/>
  <c r="M551" i="17"/>
  <c r="L551" i="17"/>
  <c r="K551" i="17"/>
  <c r="J551" i="17"/>
  <c r="I551" i="17"/>
  <c r="H551" i="17"/>
  <c r="G551" i="17"/>
  <c r="F551" i="17"/>
  <c r="E551" i="17"/>
  <c r="D551" i="17"/>
  <c r="V549" i="17"/>
  <c r="U549" i="17"/>
  <c r="T549" i="17"/>
  <c r="S549" i="17"/>
  <c r="R549" i="17"/>
  <c r="Q549" i="17"/>
  <c r="P548" i="17"/>
  <c r="O548" i="17"/>
  <c r="N548" i="17"/>
  <c r="M548" i="17"/>
  <c r="L548" i="17"/>
  <c r="K548" i="17"/>
  <c r="J548" i="17"/>
  <c r="I548" i="17"/>
  <c r="H548" i="17"/>
  <c r="G548" i="17"/>
  <c r="F548" i="17"/>
  <c r="E548" i="17"/>
  <c r="D548" i="17"/>
  <c r="V546" i="17"/>
  <c r="U546" i="17"/>
  <c r="T546" i="17"/>
  <c r="S546" i="17"/>
  <c r="R546" i="17"/>
  <c r="Q546" i="17"/>
  <c r="P545" i="17"/>
  <c r="O545" i="17"/>
  <c r="N545" i="17"/>
  <c r="M545" i="17"/>
  <c r="L545" i="17"/>
  <c r="K545" i="17"/>
  <c r="J545" i="17"/>
  <c r="I545" i="17"/>
  <c r="H545" i="17"/>
  <c r="G545" i="17"/>
  <c r="F545" i="17"/>
  <c r="E545" i="17"/>
  <c r="D545" i="17"/>
  <c r="V543" i="17"/>
  <c r="U543" i="17"/>
  <c r="T543" i="17"/>
  <c r="S543" i="17"/>
  <c r="R543" i="17"/>
  <c r="Q543" i="17"/>
  <c r="P542" i="17"/>
  <c r="O542" i="17"/>
  <c r="N542" i="17"/>
  <c r="M542" i="17"/>
  <c r="L542" i="17"/>
  <c r="K542" i="17"/>
  <c r="J542" i="17"/>
  <c r="I542" i="17"/>
  <c r="H542" i="17"/>
  <c r="G542" i="17"/>
  <c r="F542" i="17"/>
  <c r="E542" i="17"/>
  <c r="D542" i="17"/>
  <c r="V540" i="17"/>
  <c r="U540" i="17"/>
  <c r="T540" i="17"/>
  <c r="S540" i="17"/>
  <c r="R540" i="17"/>
  <c r="Q540" i="17"/>
  <c r="P539" i="17"/>
  <c r="O539" i="17"/>
  <c r="N539" i="17"/>
  <c r="M539" i="17"/>
  <c r="L539" i="17"/>
  <c r="K539" i="17"/>
  <c r="J539" i="17"/>
  <c r="I539" i="17"/>
  <c r="H539" i="17"/>
  <c r="G539" i="17"/>
  <c r="F539" i="17"/>
  <c r="E539" i="17"/>
  <c r="D539" i="17"/>
  <c r="V537" i="17"/>
  <c r="U537" i="17"/>
  <c r="T537" i="17"/>
  <c r="S537" i="17"/>
  <c r="R537" i="17"/>
  <c r="Q537" i="17"/>
  <c r="P536" i="17"/>
  <c r="O536" i="17"/>
  <c r="N536" i="17"/>
  <c r="M536" i="17"/>
  <c r="L536" i="17"/>
  <c r="K536" i="17"/>
  <c r="J536" i="17"/>
  <c r="I536" i="17"/>
  <c r="H536" i="17"/>
  <c r="G536" i="17"/>
  <c r="F536" i="17"/>
  <c r="E536" i="17"/>
  <c r="D536" i="17"/>
  <c r="V534" i="17"/>
  <c r="U534" i="17"/>
  <c r="T534" i="17"/>
  <c r="S534" i="17"/>
  <c r="R534" i="17"/>
  <c r="Q534" i="17"/>
  <c r="P533" i="17"/>
  <c r="O533" i="17"/>
  <c r="N533" i="17"/>
  <c r="M533" i="17"/>
  <c r="L533" i="17"/>
  <c r="K533" i="17"/>
  <c r="J533" i="17"/>
  <c r="I533" i="17"/>
  <c r="H533" i="17"/>
  <c r="G533" i="17"/>
  <c r="F533" i="17"/>
  <c r="E533" i="17"/>
  <c r="D533" i="17"/>
  <c r="V531" i="17"/>
  <c r="U531" i="17"/>
  <c r="T531" i="17"/>
  <c r="S531" i="17"/>
  <c r="R531" i="17"/>
  <c r="Q531" i="17"/>
  <c r="P530" i="17"/>
  <c r="O530" i="17"/>
  <c r="N530" i="17"/>
  <c r="M530" i="17"/>
  <c r="L530" i="17"/>
  <c r="K530" i="17"/>
  <c r="J530" i="17"/>
  <c r="I530" i="17"/>
  <c r="H530" i="17"/>
  <c r="G530" i="17"/>
  <c r="F530" i="17"/>
  <c r="E530" i="17"/>
  <c r="D530" i="17"/>
  <c r="V528" i="17"/>
  <c r="U528" i="17"/>
  <c r="T528" i="17"/>
  <c r="S528" i="17"/>
  <c r="R528" i="17"/>
  <c r="Q528" i="17"/>
  <c r="P527" i="17"/>
  <c r="O527" i="17"/>
  <c r="N527" i="17"/>
  <c r="M527" i="17"/>
  <c r="L527" i="17"/>
  <c r="K527" i="17"/>
  <c r="J527" i="17"/>
  <c r="I527" i="17"/>
  <c r="H527" i="17"/>
  <c r="G527" i="17"/>
  <c r="F527" i="17"/>
  <c r="E527" i="17"/>
  <c r="D527" i="17"/>
  <c r="V525" i="17"/>
  <c r="U525" i="17"/>
  <c r="T525" i="17"/>
  <c r="S525" i="17"/>
  <c r="R525" i="17"/>
  <c r="Q525" i="17"/>
  <c r="P524" i="17"/>
  <c r="O524" i="17"/>
  <c r="N524" i="17"/>
  <c r="M524" i="17"/>
  <c r="L524" i="17"/>
  <c r="K524" i="17"/>
  <c r="J524" i="17"/>
  <c r="I524" i="17"/>
  <c r="H524" i="17"/>
  <c r="G524" i="17"/>
  <c r="F524" i="17"/>
  <c r="E524" i="17"/>
  <c r="D524" i="17"/>
  <c r="V522" i="17"/>
  <c r="U522" i="17"/>
  <c r="T522" i="17"/>
  <c r="S522" i="17"/>
  <c r="R522" i="17"/>
  <c r="Q522" i="17"/>
  <c r="P521" i="17"/>
  <c r="O521" i="17"/>
  <c r="N521" i="17"/>
  <c r="M521" i="17"/>
  <c r="L521" i="17"/>
  <c r="K521" i="17"/>
  <c r="J521" i="17"/>
  <c r="I521" i="17"/>
  <c r="H521" i="17"/>
  <c r="G521" i="17"/>
  <c r="F521" i="17"/>
  <c r="E521" i="17"/>
  <c r="D521" i="17"/>
  <c r="V519" i="17"/>
  <c r="U519" i="17"/>
  <c r="T519" i="17"/>
  <c r="S519" i="17"/>
  <c r="R519" i="17"/>
  <c r="Q519" i="17"/>
  <c r="P518" i="17"/>
  <c r="O518" i="17"/>
  <c r="N518" i="17"/>
  <c r="M518" i="17"/>
  <c r="L518" i="17"/>
  <c r="K518" i="17"/>
  <c r="J518" i="17"/>
  <c r="I518" i="17"/>
  <c r="H518" i="17"/>
  <c r="G518" i="17"/>
  <c r="F518" i="17"/>
  <c r="E518" i="17"/>
  <c r="D518" i="17"/>
  <c r="V516" i="17"/>
  <c r="U516" i="17"/>
  <c r="T516" i="17"/>
  <c r="S516" i="17"/>
  <c r="R516" i="17"/>
  <c r="Q516" i="17"/>
  <c r="P515" i="17"/>
  <c r="O515" i="17"/>
  <c r="N515" i="17"/>
  <c r="M515" i="17"/>
  <c r="L515" i="17"/>
  <c r="K515" i="17"/>
  <c r="J515" i="17"/>
  <c r="I515" i="17"/>
  <c r="H515" i="17"/>
  <c r="G515" i="17"/>
  <c r="F515" i="17"/>
  <c r="E515" i="17"/>
  <c r="D515" i="17"/>
  <c r="V513" i="17"/>
  <c r="U513" i="17"/>
  <c r="T513" i="17"/>
  <c r="S513" i="17"/>
  <c r="R513" i="17"/>
  <c r="Q513" i="17"/>
  <c r="P512" i="17"/>
  <c r="O512" i="17"/>
  <c r="N512" i="17"/>
  <c r="M512" i="17"/>
  <c r="L512" i="17"/>
  <c r="K512" i="17"/>
  <c r="J512" i="17"/>
  <c r="I512" i="17"/>
  <c r="H512" i="17"/>
  <c r="G512" i="17"/>
  <c r="F512" i="17"/>
  <c r="E512" i="17"/>
  <c r="D512" i="17"/>
  <c r="V510" i="17"/>
  <c r="U510" i="17"/>
  <c r="T510" i="17"/>
  <c r="S510" i="17"/>
  <c r="R510" i="17"/>
  <c r="Q510" i="17"/>
  <c r="P509" i="17"/>
  <c r="O509" i="17"/>
  <c r="N509" i="17"/>
  <c r="M509" i="17"/>
  <c r="L509" i="17"/>
  <c r="K509" i="17"/>
  <c r="J509" i="17"/>
  <c r="I509" i="17"/>
  <c r="H509" i="17"/>
  <c r="G509" i="17"/>
  <c r="F509" i="17"/>
  <c r="E509" i="17"/>
  <c r="D509" i="17"/>
  <c r="V507" i="17"/>
  <c r="U507" i="17"/>
  <c r="T507" i="17"/>
  <c r="S507" i="17"/>
  <c r="R507" i="17"/>
  <c r="Q507" i="17"/>
  <c r="P506" i="17"/>
  <c r="O506" i="17"/>
  <c r="N506" i="17"/>
  <c r="M506" i="17"/>
  <c r="L506" i="17"/>
  <c r="K506" i="17"/>
  <c r="J506" i="17"/>
  <c r="I506" i="17"/>
  <c r="H506" i="17"/>
  <c r="G506" i="17"/>
  <c r="F506" i="17"/>
  <c r="E506" i="17"/>
  <c r="D506" i="17"/>
  <c r="V504" i="17"/>
  <c r="U504" i="17"/>
  <c r="T504" i="17"/>
  <c r="S504" i="17"/>
  <c r="R504" i="17"/>
  <c r="Q504" i="17"/>
  <c r="P503" i="17"/>
  <c r="O503" i="17"/>
  <c r="N503" i="17"/>
  <c r="M503" i="17"/>
  <c r="L503" i="17"/>
  <c r="K503" i="17"/>
  <c r="J503" i="17"/>
  <c r="I503" i="17"/>
  <c r="H503" i="17"/>
  <c r="G503" i="17"/>
  <c r="F503" i="17"/>
  <c r="E503" i="17"/>
  <c r="D503" i="17"/>
  <c r="V501" i="17"/>
  <c r="U501" i="17"/>
  <c r="T501" i="17"/>
  <c r="S501" i="17"/>
  <c r="R501" i="17"/>
  <c r="Q501" i="17"/>
  <c r="P500" i="17"/>
  <c r="O500" i="17"/>
  <c r="N500" i="17"/>
  <c r="M500" i="17"/>
  <c r="L500" i="17"/>
  <c r="K500" i="17"/>
  <c r="J500" i="17"/>
  <c r="I500" i="17"/>
  <c r="H500" i="17"/>
  <c r="G500" i="17"/>
  <c r="F500" i="17"/>
  <c r="E500" i="17"/>
  <c r="D500" i="17"/>
  <c r="V498" i="17"/>
  <c r="U498" i="17"/>
  <c r="T498" i="17"/>
  <c r="S498" i="17"/>
  <c r="R498" i="17"/>
  <c r="Q498" i="17"/>
  <c r="P497" i="17"/>
  <c r="O497" i="17"/>
  <c r="N497" i="17"/>
  <c r="M497" i="17"/>
  <c r="L497" i="17"/>
  <c r="K497" i="17"/>
  <c r="J497" i="17"/>
  <c r="I497" i="17"/>
  <c r="H497" i="17"/>
  <c r="G497" i="17"/>
  <c r="F497" i="17"/>
  <c r="E497" i="17"/>
  <c r="D497" i="17"/>
  <c r="V495" i="17"/>
  <c r="U495" i="17"/>
  <c r="T495" i="17"/>
  <c r="S495" i="17"/>
  <c r="R495" i="17"/>
  <c r="Q495" i="17"/>
  <c r="P494" i="17"/>
  <c r="O494" i="17"/>
  <c r="N494" i="17"/>
  <c r="M494" i="17"/>
  <c r="L494" i="17"/>
  <c r="K494" i="17"/>
  <c r="J494" i="17"/>
  <c r="I494" i="17"/>
  <c r="H494" i="17"/>
  <c r="G494" i="17"/>
  <c r="F494" i="17"/>
  <c r="E494" i="17"/>
  <c r="D494" i="17"/>
  <c r="V492" i="17"/>
  <c r="U492" i="17"/>
  <c r="T492" i="17"/>
  <c r="S492" i="17"/>
  <c r="R492" i="17"/>
  <c r="Q492" i="17"/>
  <c r="P491" i="17"/>
  <c r="O491" i="17"/>
  <c r="N491" i="17"/>
  <c r="M491" i="17"/>
  <c r="L491" i="17"/>
  <c r="K491" i="17"/>
  <c r="J491" i="17"/>
  <c r="I491" i="17"/>
  <c r="H491" i="17"/>
  <c r="G491" i="17"/>
  <c r="F491" i="17"/>
  <c r="E491" i="17"/>
  <c r="D491" i="17"/>
  <c r="V489" i="17"/>
  <c r="U489" i="17"/>
  <c r="T489" i="17"/>
  <c r="S489" i="17"/>
  <c r="R489" i="17"/>
  <c r="Q489" i="17"/>
  <c r="P488" i="17"/>
  <c r="O488" i="17"/>
  <c r="N488" i="17"/>
  <c r="M488" i="17"/>
  <c r="L488" i="17"/>
  <c r="K488" i="17"/>
  <c r="J488" i="17"/>
  <c r="I488" i="17"/>
  <c r="H488" i="17"/>
  <c r="G488" i="17"/>
  <c r="F488" i="17"/>
  <c r="E488" i="17"/>
  <c r="D488" i="17"/>
  <c r="V486" i="17"/>
  <c r="U486" i="17"/>
  <c r="T486" i="17"/>
  <c r="S486" i="17"/>
  <c r="R486" i="17"/>
  <c r="Q486" i="17"/>
  <c r="P485" i="17"/>
  <c r="O485" i="17"/>
  <c r="N485" i="17"/>
  <c r="M485" i="17"/>
  <c r="L485" i="17"/>
  <c r="K485" i="17"/>
  <c r="J485" i="17"/>
  <c r="I485" i="17"/>
  <c r="H485" i="17"/>
  <c r="G485" i="17"/>
  <c r="F485" i="17"/>
  <c r="E485" i="17"/>
  <c r="D485" i="17"/>
  <c r="V483" i="17"/>
  <c r="U483" i="17"/>
  <c r="T483" i="17"/>
  <c r="S483" i="17"/>
  <c r="R483" i="17"/>
  <c r="Q483" i="17"/>
  <c r="P482" i="17"/>
  <c r="O482" i="17"/>
  <c r="N482" i="17"/>
  <c r="M482" i="17"/>
  <c r="L482" i="17"/>
  <c r="K482" i="17"/>
  <c r="J482" i="17"/>
  <c r="I482" i="17"/>
  <c r="H482" i="17"/>
  <c r="G482" i="17"/>
  <c r="F482" i="17"/>
  <c r="E482" i="17"/>
  <c r="D482" i="17"/>
  <c r="V480" i="17"/>
  <c r="U480" i="17"/>
  <c r="T480" i="17"/>
  <c r="S480" i="17"/>
  <c r="R480" i="17"/>
  <c r="Q480" i="17"/>
  <c r="P479" i="17"/>
  <c r="O479" i="17"/>
  <c r="N479" i="17"/>
  <c r="M479" i="17"/>
  <c r="L479" i="17"/>
  <c r="K479" i="17"/>
  <c r="J479" i="17"/>
  <c r="I479" i="17"/>
  <c r="H479" i="17"/>
  <c r="G479" i="17"/>
  <c r="F479" i="17"/>
  <c r="E479" i="17"/>
  <c r="D479" i="17"/>
  <c r="V477" i="17"/>
  <c r="U477" i="17"/>
  <c r="T477" i="17"/>
  <c r="S477" i="17"/>
  <c r="R477" i="17"/>
  <c r="Q477" i="17"/>
  <c r="P476" i="17"/>
  <c r="O476" i="17"/>
  <c r="N476" i="17"/>
  <c r="M476" i="17"/>
  <c r="L476" i="17"/>
  <c r="K476" i="17"/>
  <c r="J476" i="17"/>
  <c r="I476" i="17"/>
  <c r="H476" i="17"/>
  <c r="G476" i="17"/>
  <c r="F476" i="17"/>
  <c r="E476" i="17"/>
  <c r="D476" i="17"/>
  <c r="V474" i="17"/>
  <c r="U474" i="17"/>
  <c r="T474" i="17"/>
  <c r="S474" i="17"/>
  <c r="R474" i="17"/>
  <c r="Q474" i="17"/>
  <c r="P473" i="17"/>
  <c r="O473" i="17"/>
  <c r="N473" i="17"/>
  <c r="M473" i="17"/>
  <c r="L473" i="17"/>
  <c r="K473" i="17"/>
  <c r="J473" i="17"/>
  <c r="I473" i="17"/>
  <c r="H473" i="17"/>
  <c r="G473" i="17"/>
  <c r="F473" i="17"/>
  <c r="E473" i="17"/>
  <c r="D473" i="17"/>
  <c r="V471" i="17"/>
  <c r="U471" i="17"/>
  <c r="T471" i="17"/>
  <c r="S471" i="17"/>
  <c r="R471" i="17"/>
  <c r="Q471" i="17"/>
  <c r="P470" i="17"/>
  <c r="O470" i="17"/>
  <c r="N470" i="17"/>
  <c r="M470" i="17"/>
  <c r="L470" i="17"/>
  <c r="K470" i="17"/>
  <c r="J470" i="17"/>
  <c r="I470" i="17"/>
  <c r="H470" i="17"/>
  <c r="G470" i="17"/>
  <c r="F470" i="17"/>
  <c r="E470" i="17"/>
  <c r="D470" i="17"/>
  <c r="V468" i="17"/>
  <c r="U468" i="17"/>
  <c r="T468" i="17"/>
  <c r="S468" i="17"/>
  <c r="R468" i="17"/>
  <c r="Q468" i="17"/>
  <c r="P467" i="17"/>
  <c r="O467" i="17"/>
  <c r="N467" i="17"/>
  <c r="M467" i="17"/>
  <c r="L467" i="17"/>
  <c r="K467" i="17"/>
  <c r="J467" i="17"/>
  <c r="I467" i="17"/>
  <c r="H467" i="17"/>
  <c r="G467" i="17"/>
  <c r="F467" i="17"/>
  <c r="E467" i="17"/>
  <c r="D467" i="17"/>
  <c r="V465" i="17"/>
  <c r="U465" i="17"/>
  <c r="T465" i="17"/>
  <c r="S465" i="17"/>
  <c r="R465" i="17"/>
  <c r="Q465" i="17"/>
  <c r="P464" i="17"/>
  <c r="O464" i="17"/>
  <c r="N464" i="17"/>
  <c r="M464" i="17"/>
  <c r="L464" i="17"/>
  <c r="K464" i="17"/>
  <c r="J464" i="17"/>
  <c r="I464" i="17"/>
  <c r="H464" i="17"/>
  <c r="G464" i="17"/>
  <c r="F464" i="17"/>
  <c r="E464" i="17"/>
  <c r="D464" i="17"/>
  <c r="V462" i="17"/>
  <c r="U462" i="17"/>
  <c r="T462" i="17"/>
  <c r="S462" i="17"/>
  <c r="R462" i="17"/>
  <c r="Q462" i="17"/>
  <c r="P461" i="17"/>
  <c r="O461" i="17"/>
  <c r="N461" i="17"/>
  <c r="M461" i="17"/>
  <c r="L461" i="17"/>
  <c r="K461" i="17"/>
  <c r="J461" i="17"/>
  <c r="I461" i="17"/>
  <c r="H461" i="17"/>
  <c r="G461" i="17"/>
  <c r="F461" i="17"/>
  <c r="E461" i="17"/>
  <c r="D461" i="17"/>
  <c r="V459" i="17"/>
  <c r="U459" i="17"/>
  <c r="T459" i="17"/>
  <c r="S459" i="17"/>
  <c r="R459" i="17"/>
  <c r="Q459" i="17"/>
  <c r="P458" i="17"/>
  <c r="O458" i="17"/>
  <c r="N458" i="17"/>
  <c r="M458" i="17"/>
  <c r="L458" i="17"/>
  <c r="K458" i="17"/>
  <c r="J458" i="17"/>
  <c r="I458" i="17"/>
  <c r="H458" i="17"/>
  <c r="G458" i="17"/>
  <c r="F458" i="17"/>
  <c r="E458" i="17"/>
  <c r="D458" i="17"/>
  <c r="V456" i="17"/>
  <c r="U456" i="17"/>
  <c r="T456" i="17"/>
  <c r="S456" i="17"/>
  <c r="R456" i="17"/>
  <c r="Q456" i="17"/>
  <c r="P455" i="17"/>
  <c r="O455" i="17"/>
  <c r="N455" i="17"/>
  <c r="M455" i="17"/>
  <c r="L455" i="17"/>
  <c r="K455" i="17"/>
  <c r="J455" i="17"/>
  <c r="I455" i="17"/>
  <c r="H455" i="17"/>
  <c r="G455" i="17"/>
  <c r="F455" i="17"/>
  <c r="E455" i="17"/>
  <c r="D455" i="17"/>
  <c r="V453" i="17"/>
  <c r="U453" i="17"/>
  <c r="T453" i="17"/>
  <c r="S453" i="17"/>
  <c r="R453" i="17"/>
  <c r="Q453" i="17"/>
  <c r="P452" i="17"/>
  <c r="O452" i="17"/>
  <c r="N452" i="17"/>
  <c r="M452" i="17"/>
  <c r="L452" i="17"/>
  <c r="K452" i="17"/>
  <c r="J452" i="17"/>
  <c r="I452" i="17"/>
  <c r="H452" i="17"/>
  <c r="G452" i="17"/>
  <c r="F452" i="17"/>
  <c r="E452" i="17"/>
  <c r="D452" i="17"/>
  <c r="V450" i="17"/>
  <c r="U450" i="17"/>
  <c r="T450" i="17"/>
  <c r="S450" i="17"/>
  <c r="R450" i="17"/>
  <c r="Q450" i="17"/>
  <c r="P449" i="17"/>
  <c r="O449" i="17"/>
  <c r="N449" i="17"/>
  <c r="M449" i="17"/>
  <c r="L449" i="17"/>
  <c r="K449" i="17"/>
  <c r="J449" i="17"/>
  <c r="I449" i="17"/>
  <c r="H449" i="17"/>
  <c r="G449" i="17"/>
  <c r="F449" i="17"/>
  <c r="E449" i="17"/>
  <c r="D449" i="17"/>
  <c r="V447" i="17"/>
  <c r="U447" i="17"/>
  <c r="T447" i="17"/>
  <c r="S447" i="17"/>
  <c r="R447" i="17"/>
  <c r="Q447" i="17"/>
  <c r="P446" i="17"/>
  <c r="O446" i="17"/>
  <c r="N446" i="17"/>
  <c r="M446" i="17"/>
  <c r="L446" i="17"/>
  <c r="K446" i="17"/>
  <c r="J446" i="17"/>
  <c r="I446" i="17"/>
  <c r="H446" i="17"/>
  <c r="G446" i="17"/>
  <c r="F446" i="17"/>
  <c r="E446" i="17"/>
  <c r="D446" i="17"/>
  <c r="R444" i="17" s="1"/>
  <c r="P443" i="17"/>
  <c r="O443" i="17"/>
  <c r="N443" i="17"/>
  <c r="M443" i="17"/>
  <c r="L443" i="17"/>
  <c r="K443" i="17"/>
  <c r="J443" i="17"/>
  <c r="I443" i="17"/>
  <c r="H443" i="17"/>
  <c r="G443" i="17"/>
  <c r="F443" i="17"/>
  <c r="T441" i="17" s="1"/>
  <c r="E443" i="17"/>
  <c r="D443" i="17"/>
  <c r="P440" i="17"/>
  <c r="O440" i="17"/>
  <c r="N440" i="17"/>
  <c r="M440" i="17"/>
  <c r="L440" i="17"/>
  <c r="K440" i="17"/>
  <c r="J440" i="17"/>
  <c r="I440" i="17"/>
  <c r="H440" i="17"/>
  <c r="G440" i="17"/>
  <c r="F440" i="17"/>
  <c r="E440" i="17"/>
  <c r="D440" i="17"/>
  <c r="P437" i="17"/>
  <c r="S435" i="17" s="1"/>
  <c r="O437" i="17"/>
  <c r="N437" i="17"/>
  <c r="M437" i="17"/>
  <c r="L437" i="17"/>
  <c r="K437" i="17"/>
  <c r="J437" i="17"/>
  <c r="I437" i="17"/>
  <c r="H437" i="17"/>
  <c r="G437" i="17"/>
  <c r="F437" i="17"/>
  <c r="E437" i="17"/>
  <c r="D437" i="17"/>
  <c r="Q435" i="17" s="1"/>
  <c r="P434" i="17"/>
  <c r="O434" i="17"/>
  <c r="N434" i="17"/>
  <c r="M434" i="17"/>
  <c r="L434" i="17"/>
  <c r="K434" i="17"/>
  <c r="J434" i="17"/>
  <c r="I434" i="17"/>
  <c r="H434" i="17"/>
  <c r="G434" i="17"/>
  <c r="F434" i="17"/>
  <c r="T432" i="17" s="1"/>
  <c r="E434" i="17"/>
  <c r="D434" i="17"/>
  <c r="P431" i="17"/>
  <c r="O431" i="17"/>
  <c r="N431" i="17"/>
  <c r="M431" i="17"/>
  <c r="L431" i="17"/>
  <c r="K431" i="17"/>
  <c r="J431" i="17"/>
  <c r="I431" i="17"/>
  <c r="H431" i="17"/>
  <c r="G431" i="17"/>
  <c r="Q429" i="17" s="1"/>
  <c r="F431" i="17"/>
  <c r="E431" i="17"/>
  <c r="D431" i="17"/>
  <c r="P428" i="17"/>
  <c r="O428" i="17"/>
  <c r="N428" i="17"/>
  <c r="M428" i="17"/>
  <c r="L428" i="17"/>
  <c r="K428" i="17"/>
  <c r="J428" i="17"/>
  <c r="I428" i="17"/>
  <c r="H428" i="17"/>
  <c r="G428" i="17"/>
  <c r="F428" i="17"/>
  <c r="E428" i="17"/>
  <c r="S426" i="17" s="1"/>
  <c r="D428" i="17"/>
  <c r="P425" i="17"/>
  <c r="O425" i="17"/>
  <c r="N425" i="17"/>
  <c r="M425" i="17"/>
  <c r="L425" i="17"/>
  <c r="K425" i="17"/>
  <c r="J425" i="17"/>
  <c r="I425" i="17"/>
  <c r="H425" i="17"/>
  <c r="G425" i="17"/>
  <c r="F425" i="17"/>
  <c r="S423" i="17" s="1"/>
  <c r="E425" i="17"/>
  <c r="D425" i="17"/>
  <c r="P422" i="17"/>
  <c r="O422" i="17"/>
  <c r="N422" i="17"/>
  <c r="M422" i="17"/>
  <c r="L422" i="17"/>
  <c r="K422" i="17"/>
  <c r="J422" i="17"/>
  <c r="I422" i="17"/>
  <c r="H422" i="17"/>
  <c r="G422" i="17"/>
  <c r="F422" i="17"/>
  <c r="E422" i="17"/>
  <c r="D422" i="17"/>
  <c r="R420" i="17" s="1"/>
  <c r="P419" i="17"/>
  <c r="O419" i="17"/>
  <c r="N419" i="17"/>
  <c r="M419" i="17"/>
  <c r="L419" i="17"/>
  <c r="K419" i="17"/>
  <c r="J419" i="17"/>
  <c r="I419" i="17"/>
  <c r="H419" i="17"/>
  <c r="G419" i="17"/>
  <c r="F419" i="17"/>
  <c r="T417" i="17" s="1"/>
  <c r="E419" i="17"/>
  <c r="D419" i="17"/>
  <c r="P416" i="17"/>
  <c r="O416" i="17"/>
  <c r="N416" i="17"/>
  <c r="M416" i="17"/>
  <c r="L416" i="17"/>
  <c r="K416" i="17"/>
  <c r="J416" i="17"/>
  <c r="I416" i="17"/>
  <c r="H416" i="17"/>
  <c r="G416" i="17"/>
  <c r="F416" i="17"/>
  <c r="E416" i="17"/>
  <c r="D416" i="17"/>
  <c r="P413" i="17"/>
  <c r="S411" i="17" s="1"/>
  <c r="O413" i="17"/>
  <c r="N413" i="17"/>
  <c r="M413" i="17"/>
  <c r="L413" i="17"/>
  <c r="K413" i="17"/>
  <c r="J413" i="17"/>
  <c r="I413" i="17"/>
  <c r="H413" i="17"/>
  <c r="G413" i="17"/>
  <c r="F413" i="17"/>
  <c r="E413" i="17"/>
  <c r="D413" i="17"/>
  <c r="Q411" i="17" s="1"/>
  <c r="P410" i="17"/>
  <c r="O410" i="17"/>
  <c r="N410" i="17"/>
  <c r="M410" i="17"/>
  <c r="L410" i="17"/>
  <c r="K410" i="17"/>
  <c r="J410" i="17"/>
  <c r="I410" i="17"/>
  <c r="H410" i="17"/>
  <c r="G410" i="17"/>
  <c r="F410" i="17"/>
  <c r="T408" i="17" s="1"/>
  <c r="E410" i="17"/>
  <c r="D410" i="17"/>
  <c r="P407" i="17"/>
  <c r="O407" i="17"/>
  <c r="N407" i="17"/>
  <c r="M407" i="17"/>
  <c r="L407" i="17"/>
  <c r="K407" i="17"/>
  <c r="J407" i="17"/>
  <c r="I407" i="17"/>
  <c r="H407" i="17"/>
  <c r="G407" i="17"/>
  <c r="F407" i="17"/>
  <c r="E407" i="17"/>
  <c r="D407" i="17"/>
  <c r="Q405" i="17"/>
  <c r="P404" i="17"/>
  <c r="O404" i="17"/>
  <c r="N404" i="17"/>
  <c r="M404" i="17"/>
  <c r="L404" i="17"/>
  <c r="K404" i="17"/>
  <c r="J404" i="17"/>
  <c r="I404" i="17"/>
  <c r="H404" i="17"/>
  <c r="G404" i="17"/>
  <c r="F404" i="17"/>
  <c r="E404" i="17"/>
  <c r="S402" i="17" s="1"/>
  <c r="D404" i="17"/>
  <c r="P401" i="17"/>
  <c r="O401" i="17"/>
  <c r="N401" i="17"/>
  <c r="M401" i="17"/>
  <c r="L401" i="17"/>
  <c r="K401" i="17"/>
  <c r="J401" i="17"/>
  <c r="I401" i="17"/>
  <c r="H401" i="17"/>
  <c r="G401" i="17"/>
  <c r="F401" i="17"/>
  <c r="S399" i="17" s="1"/>
  <c r="E401" i="17"/>
  <c r="D401" i="17"/>
  <c r="P398" i="17"/>
  <c r="O398" i="17"/>
  <c r="N398" i="17"/>
  <c r="M398" i="17"/>
  <c r="L398" i="17"/>
  <c r="K398" i="17"/>
  <c r="J398" i="17"/>
  <c r="I398" i="17"/>
  <c r="H398" i="17"/>
  <c r="G398" i="17"/>
  <c r="F398" i="17"/>
  <c r="E398" i="17"/>
  <c r="D398" i="17"/>
  <c r="R396" i="17" s="1"/>
  <c r="P395" i="17"/>
  <c r="O395" i="17"/>
  <c r="N395" i="17"/>
  <c r="M395" i="17"/>
  <c r="L395" i="17"/>
  <c r="K395" i="17"/>
  <c r="J395" i="17"/>
  <c r="I395" i="17"/>
  <c r="H395" i="17"/>
  <c r="G395" i="17"/>
  <c r="F395" i="17"/>
  <c r="T393" i="17" s="1"/>
  <c r="E395" i="17"/>
  <c r="D395" i="17"/>
  <c r="P392" i="17"/>
  <c r="O392" i="17"/>
  <c r="N392" i="17"/>
  <c r="M392" i="17"/>
  <c r="L392" i="17"/>
  <c r="K392" i="17"/>
  <c r="J392" i="17"/>
  <c r="I392" i="17"/>
  <c r="H392" i="17"/>
  <c r="G392" i="17"/>
  <c r="F392" i="17"/>
  <c r="E392" i="17"/>
  <c r="D392" i="17"/>
  <c r="P389" i="17"/>
  <c r="S387" i="17" s="1"/>
  <c r="O389" i="17"/>
  <c r="N389" i="17"/>
  <c r="M389" i="17"/>
  <c r="L389" i="17"/>
  <c r="K389" i="17"/>
  <c r="J389" i="17"/>
  <c r="I389" i="17"/>
  <c r="H389" i="17"/>
  <c r="G389" i="17"/>
  <c r="F389" i="17"/>
  <c r="E389" i="17"/>
  <c r="D389" i="17"/>
  <c r="Q387" i="17" s="1"/>
  <c r="P386" i="17"/>
  <c r="O386" i="17"/>
  <c r="N386" i="17"/>
  <c r="M386" i="17"/>
  <c r="L386" i="17"/>
  <c r="K386" i="17"/>
  <c r="J386" i="17"/>
  <c r="I386" i="17"/>
  <c r="H386" i="17"/>
  <c r="G386" i="17"/>
  <c r="F386" i="17"/>
  <c r="T384" i="17" s="1"/>
  <c r="E386" i="17"/>
  <c r="D386" i="17"/>
  <c r="P383" i="17"/>
  <c r="O383" i="17"/>
  <c r="N383" i="17"/>
  <c r="M383" i="17"/>
  <c r="L383" i="17"/>
  <c r="K383" i="17"/>
  <c r="J383" i="17"/>
  <c r="I383" i="17"/>
  <c r="H383" i="17"/>
  <c r="G383" i="17"/>
  <c r="Q381" i="17" s="1"/>
  <c r="F383" i="17"/>
  <c r="E383" i="17"/>
  <c r="D383" i="17"/>
  <c r="P380" i="17"/>
  <c r="O380" i="17"/>
  <c r="N380" i="17"/>
  <c r="M380" i="17"/>
  <c r="L380" i="17"/>
  <c r="K380" i="17"/>
  <c r="J380" i="17"/>
  <c r="I380" i="17"/>
  <c r="H380" i="17"/>
  <c r="G380" i="17"/>
  <c r="F380" i="17"/>
  <c r="E380" i="17"/>
  <c r="S378" i="17" s="1"/>
  <c r="D380" i="17"/>
  <c r="P377" i="17"/>
  <c r="O377" i="17"/>
  <c r="N377" i="17"/>
  <c r="M377" i="17"/>
  <c r="L377" i="17"/>
  <c r="K377" i="17"/>
  <c r="J377" i="17"/>
  <c r="I377" i="17"/>
  <c r="H377" i="17"/>
  <c r="G377" i="17"/>
  <c r="F377" i="17"/>
  <c r="S375" i="17" s="1"/>
  <c r="E377" i="17"/>
  <c r="D377" i="17"/>
  <c r="P374" i="17"/>
  <c r="O374" i="17"/>
  <c r="N374" i="17"/>
  <c r="M374" i="17"/>
  <c r="L374" i="17"/>
  <c r="K374" i="17"/>
  <c r="J374" i="17"/>
  <c r="I374" i="17"/>
  <c r="H374" i="17"/>
  <c r="G374" i="17"/>
  <c r="F374" i="17"/>
  <c r="E374" i="17"/>
  <c r="D374" i="17"/>
  <c r="R372" i="17" s="1"/>
  <c r="P371" i="17"/>
  <c r="O371" i="17"/>
  <c r="N371" i="17"/>
  <c r="M371" i="17"/>
  <c r="L371" i="17"/>
  <c r="K371" i="17"/>
  <c r="J371" i="17"/>
  <c r="I371" i="17"/>
  <c r="H371" i="17"/>
  <c r="G371" i="17"/>
  <c r="F371" i="17"/>
  <c r="T369" i="17" s="1"/>
  <c r="E371" i="17"/>
  <c r="D371" i="17"/>
  <c r="P368" i="17"/>
  <c r="O368" i="17"/>
  <c r="N368" i="17"/>
  <c r="M368" i="17"/>
  <c r="L368" i="17"/>
  <c r="K368" i="17"/>
  <c r="J368" i="17"/>
  <c r="I368" i="17"/>
  <c r="H368" i="17"/>
  <c r="G368" i="17"/>
  <c r="F368" i="17"/>
  <c r="E368" i="17"/>
  <c r="D368" i="17"/>
  <c r="P365" i="17"/>
  <c r="S363" i="17" s="1"/>
  <c r="O365" i="17"/>
  <c r="N365" i="17"/>
  <c r="M365" i="17"/>
  <c r="L365" i="17"/>
  <c r="K365" i="17"/>
  <c r="J365" i="17"/>
  <c r="I365" i="17"/>
  <c r="H365" i="17"/>
  <c r="G365" i="17"/>
  <c r="F365" i="17"/>
  <c r="E365" i="17"/>
  <c r="D365" i="17"/>
  <c r="Q363" i="17" s="1"/>
  <c r="P362" i="17"/>
  <c r="O362" i="17"/>
  <c r="N362" i="17"/>
  <c r="M362" i="17"/>
  <c r="L362" i="17"/>
  <c r="K362" i="17"/>
  <c r="J362" i="17"/>
  <c r="I362" i="17"/>
  <c r="H362" i="17"/>
  <c r="G362" i="17"/>
  <c r="F362" i="17"/>
  <c r="T360" i="17" s="1"/>
  <c r="E362" i="17"/>
  <c r="D362" i="17"/>
  <c r="P359" i="17"/>
  <c r="O359" i="17"/>
  <c r="N359" i="17"/>
  <c r="M359" i="17"/>
  <c r="L359" i="17"/>
  <c r="K359" i="17"/>
  <c r="J359" i="17"/>
  <c r="I359" i="17"/>
  <c r="H359" i="17"/>
  <c r="G359" i="17"/>
  <c r="Q357" i="17" s="1"/>
  <c r="F359" i="17"/>
  <c r="E359" i="17"/>
  <c r="D359" i="17"/>
  <c r="P356" i="17"/>
  <c r="O356" i="17"/>
  <c r="N356" i="17"/>
  <c r="M356" i="17"/>
  <c r="L356" i="17"/>
  <c r="K356" i="17"/>
  <c r="J356" i="17"/>
  <c r="I356" i="17"/>
  <c r="H356" i="17"/>
  <c r="G356" i="17"/>
  <c r="F356" i="17"/>
  <c r="E356" i="17"/>
  <c r="S354" i="17" s="1"/>
  <c r="D356" i="17"/>
  <c r="P353" i="17"/>
  <c r="O353" i="17"/>
  <c r="N353" i="17"/>
  <c r="M353" i="17"/>
  <c r="L353" i="17"/>
  <c r="K353" i="17"/>
  <c r="J353" i="17"/>
  <c r="I353" i="17"/>
  <c r="H353" i="17"/>
  <c r="G353" i="17"/>
  <c r="F353" i="17"/>
  <c r="S351" i="17" s="1"/>
  <c r="E353" i="17"/>
  <c r="D353" i="17"/>
  <c r="P350" i="17"/>
  <c r="O350" i="17"/>
  <c r="N350" i="17"/>
  <c r="M350" i="17"/>
  <c r="L350" i="17"/>
  <c r="K350" i="17"/>
  <c r="J350" i="17"/>
  <c r="I350" i="17"/>
  <c r="H350" i="17"/>
  <c r="G350" i="17"/>
  <c r="F350" i="17"/>
  <c r="E350" i="17"/>
  <c r="D350" i="17"/>
  <c r="R348" i="17" s="1"/>
  <c r="P347" i="17"/>
  <c r="O347" i="17"/>
  <c r="N347" i="17"/>
  <c r="M347" i="17"/>
  <c r="L347" i="17"/>
  <c r="K347" i="17"/>
  <c r="J347" i="17"/>
  <c r="I347" i="17"/>
  <c r="H347" i="17"/>
  <c r="G347" i="17"/>
  <c r="F347" i="17"/>
  <c r="T345" i="17" s="1"/>
  <c r="E347" i="17"/>
  <c r="D347" i="17"/>
  <c r="P344" i="17"/>
  <c r="O344" i="17"/>
  <c r="N344" i="17"/>
  <c r="M344" i="17"/>
  <c r="L344" i="17"/>
  <c r="K344" i="17"/>
  <c r="J344" i="17"/>
  <c r="I344" i="17"/>
  <c r="H344" i="17"/>
  <c r="G344" i="17"/>
  <c r="F344" i="17"/>
  <c r="E344" i="17"/>
  <c r="D344" i="17"/>
  <c r="P341" i="17"/>
  <c r="S339" i="17" s="1"/>
  <c r="O341" i="17"/>
  <c r="N341" i="17"/>
  <c r="M341" i="17"/>
  <c r="L341" i="17"/>
  <c r="K341" i="17"/>
  <c r="J341" i="17"/>
  <c r="I341" i="17"/>
  <c r="H341" i="17"/>
  <c r="G341" i="17"/>
  <c r="F341" i="17"/>
  <c r="E341" i="17"/>
  <c r="D341" i="17"/>
  <c r="Q339" i="17" s="1"/>
  <c r="P338" i="17"/>
  <c r="O338" i="17"/>
  <c r="N338" i="17"/>
  <c r="M338" i="17"/>
  <c r="L338" i="17"/>
  <c r="K338" i="17"/>
  <c r="J338" i="17"/>
  <c r="I338" i="17"/>
  <c r="H338" i="17"/>
  <c r="G338" i="17"/>
  <c r="F338" i="17"/>
  <c r="T336" i="17" s="1"/>
  <c r="E338" i="17"/>
  <c r="D338" i="17"/>
  <c r="P335" i="17"/>
  <c r="O335" i="17"/>
  <c r="N335" i="17"/>
  <c r="M335" i="17"/>
  <c r="L335" i="17"/>
  <c r="K335" i="17"/>
  <c r="J335" i="17"/>
  <c r="I335" i="17"/>
  <c r="H335" i="17"/>
  <c r="G335" i="17"/>
  <c r="Q333" i="17" s="1"/>
  <c r="F335" i="17"/>
  <c r="E335" i="17"/>
  <c r="D335" i="17"/>
  <c r="P332" i="17"/>
  <c r="O332" i="17"/>
  <c r="N332" i="17"/>
  <c r="M332" i="17"/>
  <c r="L332" i="17"/>
  <c r="K332" i="17"/>
  <c r="J332" i="17"/>
  <c r="I332" i="17"/>
  <c r="H332" i="17"/>
  <c r="G332" i="17"/>
  <c r="F332" i="17"/>
  <c r="E332" i="17"/>
  <c r="S330" i="17" s="1"/>
  <c r="D332" i="17"/>
  <c r="P329" i="17"/>
  <c r="O329" i="17"/>
  <c r="N329" i="17"/>
  <c r="M329" i="17"/>
  <c r="L329" i="17"/>
  <c r="K329" i="17"/>
  <c r="J329" i="17"/>
  <c r="I329" i="17"/>
  <c r="H329" i="17"/>
  <c r="G329" i="17"/>
  <c r="F329" i="17"/>
  <c r="S327" i="17" s="1"/>
  <c r="E329" i="17"/>
  <c r="D329" i="17"/>
  <c r="P326" i="17"/>
  <c r="O326" i="17"/>
  <c r="N326" i="17"/>
  <c r="M326" i="17"/>
  <c r="L326" i="17"/>
  <c r="K326" i="17"/>
  <c r="J326" i="17"/>
  <c r="I326" i="17"/>
  <c r="H326" i="17"/>
  <c r="G326" i="17"/>
  <c r="F326" i="17"/>
  <c r="E326" i="17"/>
  <c r="D326" i="17"/>
  <c r="R324" i="17" s="1"/>
  <c r="P323" i="17"/>
  <c r="O323" i="17"/>
  <c r="N323" i="17"/>
  <c r="M323" i="17"/>
  <c r="L323" i="17"/>
  <c r="K323" i="17"/>
  <c r="J323" i="17"/>
  <c r="I323" i="17"/>
  <c r="H323" i="17"/>
  <c r="G323" i="17"/>
  <c r="F323" i="17"/>
  <c r="T321" i="17" s="1"/>
  <c r="E323" i="17"/>
  <c r="D323" i="17"/>
  <c r="Q321" i="17"/>
  <c r="P320" i="17"/>
  <c r="O320" i="17"/>
  <c r="N320" i="17"/>
  <c r="M320" i="17"/>
  <c r="L320" i="17"/>
  <c r="K320" i="17"/>
  <c r="J320" i="17"/>
  <c r="I320" i="17"/>
  <c r="H320" i="17"/>
  <c r="G320" i="17"/>
  <c r="F320" i="17"/>
  <c r="E320" i="17"/>
  <c r="D320" i="17"/>
  <c r="P317" i="17"/>
  <c r="S315" i="17" s="1"/>
  <c r="O317" i="17"/>
  <c r="N317" i="17"/>
  <c r="M317" i="17"/>
  <c r="L317" i="17"/>
  <c r="K317" i="17"/>
  <c r="J317" i="17"/>
  <c r="I317" i="17"/>
  <c r="H317" i="17"/>
  <c r="G317" i="17"/>
  <c r="F317" i="17"/>
  <c r="E317" i="17"/>
  <c r="D317" i="17"/>
  <c r="Q315" i="17" s="1"/>
  <c r="P314" i="17"/>
  <c r="O314" i="17"/>
  <c r="N314" i="17"/>
  <c r="M314" i="17"/>
  <c r="L314" i="17"/>
  <c r="K314" i="17"/>
  <c r="J314" i="17"/>
  <c r="I314" i="17"/>
  <c r="H314" i="17"/>
  <c r="G314" i="17"/>
  <c r="F314" i="17"/>
  <c r="T312" i="17" s="1"/>
  <c r="E314" i="17"/>
  <c r="D314" i="17"/>
  <c r="P311" i="17"/>
  <c r="O311" i="17"/>
  <c r="N311" i="17"/>
  <c r="M311" i="17"/>
  <c r="L311" i="17"/>
  <c r="K311" i="17"/>
  <c r="J311" i="17"/>
  <c r="I311" i="17"/>
  <c r="H311" i="17"/>
  <c r="G311" i="17"/>
  <c r="Q309" i="17" s="1"/>
  <c r="F311" i="17"/>
  <c r="E311" i="17"/>
  <c r="D311" i="17"/>
  <c r="P308" i="17"/>
  <c r="O308" i="17"/>
  <c r="N308" i="17"/>
  <c r="M308" i="17"/>
  <c r="L308" i="17"/>
  <c r="K308" i="17"/>
  <c r="J308" i="17"/>
  <c r="I308" i="17"/>
  <c r="H308" i="17"/>
  <c r="G308" i="17"/>
  <c r="F308" i="17"/>
  <c r="E308" i="17"/>
  <c r="S306" i="17" s="1"/>
  <c r="D308" i="17"/>
  <c r="P305" i="17"/>
  <c r="O305" i="17"/>
  <c r="N305" i="17"/>
  <c r="M305" i="17"/>
  <c r="L305" i="17"/>
  <c r="K305" i="17"/>
  <c r="J305" i="17"/>
  <c r="I305" i="17"/>
  <c r="H305" i="17"/>
  <c r="G305" i="17"/>
  <c r="F305" i="17"/>
  <c r="E305" i="17"/>
  <c r="D305" i="17"/>
  <c r="S303" i="17" s="1"/>
  <c r="P302" i="17"/>
  <c r="O302" i="17"/>
  <c r="N302" i="17"/>
  <c r="M302" i="17"/>
  <c r="L302" i="17"/>
  <c r="K302" i="17"/>
  <c r="J302" i="17"/>
  <c r="I302" i="17"/>
  <c r="H302" i="17"/>
  <c r="G302" i="17"/>
  <c r="F302" i="17"/>
  <c r="E302" i="17"/>
  <c r="D302" i="17"/>
  <c r="P299" i="17"/>
  <c r="O299" i="17"/>
  <c r="N299" i="17"/>
  <c r="M299" i="17"/>
  <c r="L299" i="17"/>
  <c r="K299" i="17"/>
  <c r="J299" i="17"/>
  <c r="I299" i="17"/>
  <c r="H299" i="17"/>
  <c r="G299" i="17"/>
  <c r="F299" i="17"/>
  <c r="E299" i="17"/>
  <c r="D299" i="17"/>
  <c r="Q297" i="17"/>
  <c r="P296" i="17"/>
  <c r="O296" i="17"/>
  <c r="N296" i="17"/>
  <c r="M296" i="17"/>
  <c r="L296" i="17"/>
  <c r="K296" i="17"/>
  <c r="J296" i="17"/>
  <c r="I296" i="17"/>
  <c r="H296" i="17"/>
  <c r="G296" i="17"/>
  <c r="T294" i="17" s="1"/>
  <c r="F296" i="17"/>
  <c r="E296" i="17"/>
  <c r="D296" i="17"/>
  <c r="P293" i="17"/>
  <c r="O293" i="17"/>
  <c r="N293" i="17"/>
  <c r="M293" i="17"/>
  <c r="L293" i="17"/>
  <c r="K293" i="17"/>
  <c r="J293" i="17"/>
  <c r="I293" i="17"/>
  <c r="H293" i="17"/>
  <c r="G293" i="17"/>
  <c r="F293" i="17"/>
  <c r="E293" i="17"/>
  <c r="S291" i="17" s="1"/>
  <c r="D293" i="17"/>
  <c r="P290" i="17"/>
  <c r="O290" i="17"/>
  <c r="N290" i="17"/>
  <c r="M290" i="17"/>
  <c r="L290" i="17"/>
  <c r="K290" i="17"/>
  <c r="J290" i="17"/>
  <c r="I290" i="17"/>
  <c r="H290" i="17"/>
  <c r="G290" i="17"/>
  <c r="Q288" i="17" s="1"/>
  <c r="U288" i="17" s="1"/>
  <c r="F290" i="17"/>
  <c r="E290" i="17"/>
  <c r="D290" i="17"/>
  <c r="R288" i="17"/>
  <c r="P287" i="17"/>
  <c r="O287" i="17"/>
  <c r="N287" i="17"/>
  <c r="M287" i="17"/>
  <c r="L287" i="17"/>
  <c r="K287" i="17"/>
  <c r="J287" i="17"/>
  <c r="I287" i="17"/>
  <c r="H287" i="17"/>
  <c r="G287" i="17"/>
  <c r="F287" i="17"/>
  <c r="E287" i="17"/>
  <c r="S285" i="17" s="1"/>
  <c r="D287" i="17"/>
  <c r="P284" i="17"/>
  <c r="O284" i="17"/>
  <c r="N284" i="17"/>
  <c r="M284" i="17"/>
  <c r="L284" i="17"/>
  <c r="K284" i="17"/>
  <c r="J284" i="17"/>
  <c r="I284" i="17"/>
  <c r="H284" i="17"/>
  <c r="G284" i="17"/>
  <c r="F284" i="17"/>
  <c r="E284" i="17"/>
  <c r="D284" i="17"/>
  <c r="T282" i="17"/>
  <c r="P281" i="17"/>
  <c r="O281" i="17"/>
  <c r="N281" i="17"/>
  <c r="M281" i="17"/>
  <c r="L281" i="17"/>
  <c r="K281" i="17"/>
  <c r="J281" i="17"/>
  <c r="I281" i="17"/>
  <c r="H281" i="17"/>
  <c r="G281" i="17"/>
  <c r="F281" i="17"/>
  <c r="E281" i="17"/>
  <c r="S279" i="17" s="1"/>
  <c r="D281" i="17"/>
  <c r="P278" i="17"/>
  <c r="O278" i="17"/>
  <c r="N278" i="17"/>
  <c r="M278" i="17"/>
  <c r="L278" i="17"/>
  <c r="K278" i="17"/>
  <c r="J278" i="17"/>
  <c r="I278" i="17"/>
  <c r="H278" i="17"/>
  <c r="G278" i="17"/>
  <c r="Q276" i="17" s="1"/>
  <c r="F278" i="17"/>
  <c r="E278" i="17"/>
  <c r="D278" i="17"/>
  <c r="P275" i="17"/>
  <c r="O275" i="17"/>
  <c r="N275" i="17"/>
  <c r="M275" i="17"/>
  <c r="L275" i="17"/>
  <c r="K275" i="17"/>
  <c r="J275" i="17"/>
  <c r="I275" i="17"/>
  <c r="H275" i="17"/>
  <c r="G275" i="17"/>
  <c r="F275" i="17"/>
  <c r="E275" i="17"/>
  <c r="S273" i="17" s="1"/>
  <c r="D275" i="17"/>
  <c r="P272" i="17"/>
  <c r="O272" i="17"/>
  <c r="N272" i="17"/>
  <c r="M272" i="17"/>
  <c r="L272" i="17"/>
  <c r="K272" i="17"/>
  <c r="J272" i="17"/>
  <c r="I272" i="17"/>
  <c r="H272" i="17"/>
  <c r="G272" i="17"/>
  <c r="F272" i="17"/>
  <c r="E272" i="17"/>
  <c r="D272" i="17"/>
  <c r="T270" i="17"/>
  <c r="P269" i="17"/>
  <c r="O269" i="17"/>
  <c r="N269" i="17"/>
  <c r="M269" i="17"/>
  <c r="L269" i="17"/>
  <c r="K269" i="17"/>
  <c r="J269" i="17"/>
  <c r="I269" i="17"/>
  <c r="H269" i="17"/>
  <c r="G269" i="17"/>
  <c r="F269" i="17"/>
  <c r="E269" i="17"/>
  <c r="S267" i="17" s="1"/>
  <c r="D269" i="17"/>
  <c r="P266" i="17"/>
  <c r="O266" i="17"/>
  <c r="N266" i="17"/>
  <c r="M266" i="17"/>
  <c r="L266" i="17"/>
  <c r="K266" i="17"/>
  <c r="J266" i="17"/>
  <c r="I266" i="17"/>
  <c r="H266" i="17"/>
  <c r="G266" i="17"/>
  <c r="Q264" i="17" s="1"/>
  <c r="F266" i="17"/>
  <c r="E266" i="17"/>
  <c r="D266" i="17"/>
  <c r="P263" i="17"/>
  <c r="O263" i="17"/>
  <c r="N263" i="17"/>
  <c r="M263" i="17"/>
  <c r="L263" i="17"/>
  <c r="K263" i="17"/>
  <c r="J263" i="17"/>
  <c r="I263" i="17"/>
  <c r="H263" i="17"/>
  <c r="G263" i="17"/>
  <c r="F263" i="17"/>
  <c r="E263" i="17"/>
  <c r="S261" i="17" s="1"/>
  <c r="D263" i="17"/>
  <c r="P260" i="17"/>
  <c r="O260" i="17"/>
  <c r="N260" i="17"/>
  <c r="M260" i="17"/>
  <c r="L260" i="17"/>
  <c r="K260" i="17"/>
  <c r="J260" i="17"/>
  <c r="I260" i="17"/>
  <c r="H260" i="17"/>
  <c r="G260" i="17"/>
  <c r="F260" i="17"/>
  <c r="E260" i="17"/>
  <c r="D260" i="17"/>
  <c r="T258" i="17"/>
  <c r="P257" i="17"/>
  <c r="O257" i="17"/>
  <c r="N257" i="17"/>
  <c r="M257" i="17"/>
  <c r="L257" i="17"/>
  <c r="K257" i="17"/>
  <c r="J257" i="17"/>
  <c r="I257" i="17"/>
  <c r="H257" i="17"/>
  <c r="G257" i="17"/>
  <c r="F257" i="17"/>
  <c r="E257" i="17"/>
  <c r="S255" i="17" s="1"/>
  <c r="D257" i="17"/>
  <c r="P254" i="17"/>
  <c r="O254" i="17"/>
  <c r="N254" i="17"/>
  <c r="M254" i="17"/>
  <c r="L254" i="17"/>
  <c r="K254" i="17"/>
  <c r="J254" i="17"/>
  <c r="I254" i="17"/>
  <c r="H254" i="17"/>
  <c r="G254" i="17"/>
  <c r="Q252" i="17" s="1"/>
  <c r="F254" i="17"/>
  <c r="E254" i="17"/>
  <c r="D254" i="17"/>
  <c r="P251" i="17"/>
  <c r="O251" i="17"/>
  <c r="N251" i="17"/>
  <c r="M251" i="17"/>
  <c r="L251" i="17"/>
  <c r="K251" i="17"/>
  <c r="J251" i="17"/>
  <c r="I251" i="17"/>
  <c r="H251" i="17"/>
  <c r="G251" i="17"/>
  <c r="F251" i="17"/>
  <c r="E251" i="17"/>
  <c r="S249" i="17" s="1"/>
  <c r="D251" i="17"/>
  <c r="P248" i="17"/>
  <c r="O248" i="17"/>
  <c r="N248" i="17"/>
  <c r="M248" i="17"/>
  <c r="L248" i="17"/>
  <c r="K248" i="17"/>
  <c r="J248" i="17"/>
  <c r="I248" i="17"/>
  <c r="H248" i="17"/>
  <c r="G248" i="17"/>
  <c r="F248" i="17"/>
  <c r="E248" i="17"/>
  <c r="D248" i="17"/>
  <c r="T246" i="17"/>
  <c r="P245" i="17"/>
  <c r="O245" i="17"/>
  <c r="N245" i="17"/>
  <c r="M245" i="17"/>
  <c r="L245" i="17"/>
  <c r="K245" i="17"/>
  <c r="J245" i="17"/>
  <c r="I245" i="17"/>
  <c r="H245" i="17"/>
  <c r="G245" i="17"/>
  <c r="F245" i="17"/>
  <c r="E245" i="17"/>
  <c r="S243" i="17" s="1"/>
  <c r="D245" i="17"/>
  <c r="P242" i="17"/>
  <c r="O242" i="17"/>
  <c r="N242" i="17"/>
  <c r="M242" i="17"/>
  <c r="L242" i="17"/>
  <c r="K242" i="17"/>
  <c r="J242" i="17"/>
  <c r="I242" i="17"/>
  <c r="H242" i="17"/>
  <c r="G242" i="17"/>
  <c r="Q240" i="17" s="1"/>
  <c r="F242" i="17"/>
  <c r="E242" i="17"/>
  <c r="D242" i="17"/>
  <c r="P239" i="17"/>
  <c r="O239" i="17"/>
  <c r="N239" i="17"/>
  <c r="M239" i="17"/>
  <c r="L239" i="17"/>
  <c r="K239" i="17"/>
  <c r="J239" i="17"/>
  <c r="I239" i="17"/>
  <c r="H239" i="17"/>
  <c r="G239" i="17"/>
  <c r="F239" i="17"/>
  <c r="E239" i="17"/>
  <c r="S237" i="17" s="1"/>
  <c r="D239" i="17"/>
  <c r="P236" i="17"/>
  <c r="O236" i="17"/>
  <c r="N236" i="17"/>
  <c r="M236" i="17"/>
  <c r="L236" i="17"/>
  <c r="K236" i="17"/>
  <c r="J236" i="17"/>
  <c r="I236" i="17"/>
  <c r="H236" i="17"/>
  <c r="G236" i="17"/>
  <c r="T234" i="17" s="1"/>
  <c r="F236" i="17"/>
  <c r="E236" i="17"/>
  <c r="D236" i="17"/>
  <c r="P233" i="17"/>
  <c r="O233" i="17"/>
  <c r="N233" i="17"/>
  <c r="M233" i="17"/>
  <c r="L233" i="17"/>
  <c r="K233" i="17"/>
  <c r="J233" i="17"/>
  <c r="I233" i="17"/>
  <c r="H233" i="17"/>
  <c r="G233" i="17"/>
  <c r="F233" i="17"/>
  <c r="E233" i="17"/>
  <c r="S231" i="17" s="1"/>
  <c r="D233" i="17"/>
  <c r="P230" i="17"/>
  <c r="O230" i="17"/>
  <c r="N230" i="17"/>
  <c r="M230" i="17"/>
  <c r="L230" i="17"/>
  <c r="K230" i="17"/>
  <c r="J230" i="17"/>
  <c r="I230" i="17"/>
  <c r="H230" i="17"/>
  <c r="G230" i="17"/>
  <c r="Q228" i="17" s="1"/>
  <c r="F230" i="17"/>
  <c r="E230" i="17"/>
  <c r="D230" i="17"/>
  <c r="P227" i="17"/>
  <c r="O227" i="17"/>
  <c r="N227" i="17"/>
  <c r="M227" i="17"/>
  <c r="L227" i="17"/>
  <c r="K227" i="17"/>
  <c r="J227" i="17"/>
  <c r="I227" i="17"/>
  <c r="H227" i="17"/>
  <c r="G227" i="17"/>
  <c r="F227" i="17"/>
  <c r="E227" i="17"/>
  <c r="S225" i="17" s="1"/>
  <c r="D227" i="17"/>
  <c r="P224" i="17"/>
  <c r="O224" i="17"/>
  <c r="N224" i="17"/>
  <c r="M224" i="17"/>
  <c r="L224" i="17"/>
  <c r="K224" i="17"/>
  <c r="J224" i="17"/>
  <c r="I224" i="17"/>
  <c r="H224" i="17"/>
  <c r="G224" i="17"/>
  <c r="T222" i="17" s="1"/>
  <c r="F224" i="17"/>
  <c r="E224" i="17"/>
  <c r="D224" i="17"/>
  <c r="P221" i="17"/>
  <c r="O221" i="17"/>
  <c r="N221" i="17"/>
  <c r="M221" i="17"/>
  <c r="L221" i="17"/>
  <c r="K221" i="17"/>
  <c r="J221" i="17"/>
  <c r="I221" i="17"/>
  <c r="H221" i="17"/>
  <c r="G221" i="17"/>
  <c r="F221" i="17"/>
  <c r="E221" i="17"/>
  <c r="S219" i="17" s="1"/>
  <c r="D221" i="17"/>
  <c r="P218" i="17"/>
  <c r="O218" i="17"/>
  <c r="N218" i="17"/>
  <c r="M218" i="17"/>
  <c r="L218" i="17"/>
  <c r="K218" i="17"/>
  <c r="J218" i="17"/>
  <c r="I218" i="17"/>
  <c r="H218" i="17"/>
  <c r="G218" i="17"/>
  <c r="Q216" i="17" s="1"/>
  <c r="F218" i="17"/>
  <c r="E218" i="17"/>
  <c r="D218" i="17"/>
  <c r="P215" i="17"/>
  <c r="O215" i="17"/>
  <c r="N215" i="17"/>
  <c r="M215" i="17"/>
  <c r="L215" i="17"/>
  <c r="K215" i="17"/>
  <c r="J215" i="17"/>
  <c r="I215" i="17"/>
  <c r="H215" i="17"/>
  <c r="G215" i="17"/>
  <c r="F215" i="17"/>
  <c r="E215" i="17"/>
  <c r="S213" i="17" s="1"/>
  <c r="D215" i="17"/>
  <c r="P212" i="17"/>
  <c r="O212" i="17"/>
  <c r="N212" i="17"/>
  <c r="M212" i="17"/>
  <c r="L212" i="17"/>
  <c r="K212" i="17"/>
  <c r="J212" i="17"/>
  <c r="I212" i="17"/>
  <c r="H212" i="17"/>
  <c r="G212" i="17"/>
  <c r="F212" i="17"/>
  <c r="E212" i="17"/>
  <c r="D212" i="17"/>
  <c r="T210" i="17"/>
  <c r="P209" i="17"/>
  <c r="O209" i="17"/>
  <c r="N209" i="17"/>
  <c r="M209" i="17"/>
  <c r="L209" i="17"/>
  <c r="K209" i="17"/>
  <c r="J209" i="17"/>
  <c r="I209" i="17"/>
  <c r="H209" i="17"/>
  <c r="G209" i="17"/>
  <c r="F209" i="17"/>
  <c r="E209" i="17"/>
  <c r="S207" i="17" s="1"/>
  <c r="D209" i="17"/>
  <c r="P206" i="17"/>
  <c r="O206" i="17"/>
  <c r="N206" i="17"/>
  <c r="M206" i="17"/>
  <c r="L206" i="17"/>
  <c r="K206" i="17"/>
  <c r="J206" i="17"/>
  <c r="I206" i="17"/>
  <c r="H206" i="17"/>
  <c r="G206" i="17"/>
  <c r="Q204" i="17" s="1"/>
  <c r="F206" i="17"/>
  <c r="E206" i="17"/>
  <c r="D206" i="17"/>
  <c r="P203" i="17"/>
  <c r="O203" i="17"/>
  <c r="N203" i="17"/>
  <c r="M203" i="17"/>
  <c r="L203" i="17"/>
  <c r="K203" i="17"/>
  <c r="J203" i="17"/>
  <c r="I203" i="17"/>
  <c r="H203" i="17"/>
  <c r="G203" i="17"/>
  <c r="F203" i="17"/>
  <c r="E203" i="17"/>
  <c r="S201" i="17" s="1"/>
  <c r="D203" i="17"/>
  <c r="P200" i="17"/>
  <c r="O200" i="17"/>
  <c r="N200" i="17"/>
  <c r="M200" i="17"/>
  <c r="L200" i="17"/>
  <c r="K200" i="17"/>
  <c r="J200" i="17"/>
  <c r="I200" i="17"/>
  <c r="H200" i="17"/>
  <c r="G200" i="17"/>
  <c r="F200" i="17"/>
  <c r="E200" i="17"/>
  <c r="D200" i="17"/>
  <c r="T198" i="17"/>
  <c r="P197" i="17"/>
  <c r="O197" i="17"/>
  <c r="N197" i="17"/>
  <c r="M197" i="17"/>
  <c r="L197" i="17"/>
  <c r="K197" i="17"/>
  <c r="J197" i="17"/>
  <c r="I197" i="17"/>
  <c r="H197" i="17"/>
  <c r="G197" i="17"/>
  <c r="F197" i="17"/>
  <c r="E197" i="17"/>
  <c r="S195" i="17" s="1"/>
  <c r="D197" i="17"/>
  <c r="P194" i="17"/>
  <c r="O194" i="17"/>
  <c r="N194" i="17"/>
  <c r="M194" i="17"/>
  <c r="L194" i="17"/>
  <c r="K194" i="17"/>
  <c r="J194" i="17"/>
  <c r="I194" i="17"/>
  <c r="H194" i="17"/>
  <c r="G194" i="17"/>
  <c r="Q192" i="17" s="1"/>
  <c r="F194" i="17"/>
  <c r="E194" i="17"/>
  <c r="D194" i="17"/>
  <c r="P191" i="17"/>
  <c r="O191" i="17"/>
  <c r="N191" i="17"/>
  <c r="M191" i="17"/>
  <c r="L191" i="17"/>
  <c r="K191" i="17"/>
  <c r="J191" i="17"/>
  <c r="I191" i="17"/>
  <c r="H191" i="17"/>
  <c r="G191" i="17"/>
  <c r="F191" i="17"/>
  <c r="E191" i="17"/>
  <c r="Q189" i="17" s="1"/>
  <c r="D191" i="17"/>
  <c r="P188" i="17"/>
  <c r="O188" i="17"/>
  <c r="N188" i="17"/>
  <c r="M188" i="17"/>
  <c r="L188" i="17"/>
  <c r="K188" i="17"/>
  <c r="J188" i="17"/>
  <c r="I188" i="17"/>
  <c r="H188" i="17"/>
  <c r="G188" i="17"/>
  <c r="F188" i="17"/>
  <c r="E188" i="17"/>
  <c r="D188" i="17"/>
  <c r="T186" i="17"/>
  <c r="P185" i="17"/>
  <c r="O185" i="17"/>
  <c r="N185" i="17"/>
  <c r="M185" i="17"/>
  <c r="L185" i="17"/>
  <c r="K185" i="17"/>
  <c r="J185" i="17"/>
  <c r="I185" i="17"/>
  <c r="H185" i="17"/>
  <c r="G185" i="17"/>
  <c r="F185" i="17"/>
  <c r="E185" i="17"/>
  <c r="S183" i="17" s="1"/>
  <c r="D185" i="17"/>
  <c r="P182" i="17"/>
  <c r="O182" i="17"/>
  <c r="N182" i="17"/>
  <c r="M182" i="17"/>
  <c r="L182" i="17"/>
  <c r="K182" i="17"/>
  <c r="J182" i="17"/>
  <c r="I182" i="17"/>
  <c r="H182" i="17"/>
  <c r="G182" i="17"/>
  <c r="Q180" i="17" s="1"/>
  <c r="F182" i="17"/>
  <c r="E182" i="17"/>
  <c r="D182" i="17"/>
  <c r="P179" i="17"/>
  <c r="O179" i="17"/>
  <c r="N179" i="17"/>
  <c r="M179" i="17"/>
  <c r="L179" i="17"/>
  <c r="K179" i="17"/>
  <c r="J179" i="17"/>
  <c r="I179" i="17"/>
  <c r="H179" i="17"/>
  <c r="G179" i="17"/>
  <c r="F179" i="17"/>
  <c r="E179" i="17"/>
  <c r="Q177" i="17" s="1"/>
  <c r="D179" i="17"/>
  <c r="P176" i="17"/>
  <c r="O176" i="17"/>
  <c r="N176" i="17"/>
  <c r="M176" i="17"/>
  <c r="L176" i="17"/>
  <c r="K176" i="17"/>
  <c r="J176" i="17"/>
  <c r="I176" i="17"/>
  <c r="H176" i="17"/>
  <c r="G176" i="17"/>
  <c r="F176" i="17"/>
  <c r="E176" i="17"/>
  <c r="D176" i="17"/>
  <c r="T174" i="17"/>
  <c r="P173" i="17"/>
  <c r="O173" i="17"/>
  <c r="N173" i="17"/>
  <c r="M173" i="17"/>
  <c r="L173" i="17"/>
  <c r="K173" i="17"/>
  <c r="J173" i="17"/>
  <c r="I173" i="17"/>
  <c r="H173" i="17"/>
  <c r="G173" i="17"/>
  <c r="F173" i="17"/>
  <c r="E173" i="17"/>
  <c r="S171" i="17" s="1"/>
  <c r="D173" i="17"/>
  <c r="P170" i="17"/>
  <c r="O170" i="17"/>
  <c r="N170" i="17"/>
  <c r="M170" i="17"/>
  <c r="L170" i="17"/>
  <c r="K170" i="17"/>
  <c r="J170" i="17"/>
  <c r="I170" i="17"/>
  <c r="H170" i="17"/>
  <c r="G170" i="17"/>
  <c r="Q168" i="17" s="1"/>
  <c r="U168" i="17" s="1"/>
  <c r="F170" i="17"/>
  <c r="E170" i="17"/>
  <c r="D170" i="17"/>
  <c r="R168" i="17"/>
  <c r="P167" i="17"/>
  <c r="O167" i="17"/>
  <c r="N167" i="17"/>
  <c r="M167" i="17"/>
  <c r="L167" i="17"/>
  <c r="K167" i="17"/>
  <c r="J167" i="17"/>
  <c r="I167" i="17"/>
  <c r="H167" i="17"/>
  <c r="G167" i="17"/>
  <c r="F167" i="17"/>
  <c r="E167" i="17"/>
  <c r="Q165" i="17" s="1"/>
  <c r="D167" i="17"/>
  <c r="P164" i="17"/>
  <c r="O164" i="17"/>
  <c r="N164" i="17"/>
  <c r="M164" i="17"/>
  <c r="L164" i="17"/>
  <c r="K164" i="17"/>
  <c r="J164" i="17"/>
  <c r="I164" i="17"/>
  <c r="H164" i="17"/>
  <c r="G164" i="17"/>
  <c r="F164" i="17"/>
  <c r="E164" i="17"/>
  <c r="D164" i="17"/>
  <c r="T162" i="17"/>
  <c r="P161" i="17"/>
  <c r="O161" i="17"/>
  <c r="N161" i="17"/>
  <c r="M161" i="17"/>
  <c r="L161" i="17"/>
  <c r="K161" i="17"/>
  <c r="J161" i="17"/>
  <c r="I161" i="17"/>
  <c r="H161" i="17"/>
  <c r="G161" i="17"/>
  <c r="F161" i="17"/>
  <c r="E161" i="17"/>
  <c r="S159" i="17" s="1"/>
  <c r="D161" i="17"/>
  <c r="P158" i="17"/>
  <c r="O158" i="17"/>
  <c r="N158" i="17"/>
  <c r="M158" i="17"/>
  <c r="L158" i="17"/>
  <c r="K158" i="17"/>
  <c r="J158" i="17"/>
  <c r="I158" i="17"/>
  <c r="H158" i="17"/>
  <c r="G158" i="17"/>
  <c r="Q156" i="17" s="1"/>
  <c r="F158" i="17"/>
  <c r="E158" i="17"/>
  <c r="D158" i="17"/>
  <c r="P155" i="17"/>
  <c r="O155" i="17"/>
  <c r="N155" i="17"/>
  <c r="M155" i="17"/>
  <c r="L155" i="17"/>
  <c r="K155" i="17"/>
  <c r="J155" i="17"/>
  <c r="I155" i="17"/>
  <c r="H155" i="17"/>
  <c r="G155" i="17"/>
  <c r="F155" i="17"/>
  <c r="E155" i="17"/>
  <c r="Q153" i="17" s="1"/>
  <c r="D155" i="17"/>
  <c r="P152" i="17"/>
  <c r="O152" i="17"/>
  <c r="N152" i="17"/>
  <c r="M152" i="17"/>
  <c r="L152" i="17"/>
  <c r="K152" i="17"/>
  <c r="J152" i="17"/>
  <c r="I152" i="17"/>
  <c r="H152" i="17"/>
  <c r="G152" i="17"/>
  <c r="F152" i="17"/>
  <c r="E152" i="17"/>
  <c r="D152" i="17"/>
  <c r="T150" i="17"/>
  <c r="P149" i="17"/>
  <c r="O149" i="17"/>
  <c r="N149" i="17"/>
  <c r="M149" i="17"/>
  <c r="L149" i="17"/>
  <c r="K149" i="17"/>
  <c r="J149" i="17"/>
  <c r="I149" i="17"/>
  <c r="H149" i="17"/>
  <c r="G149" i="17"/>
  <c r="F149" i="17"/>
  <c r="E149" i="17"/>
  <c r="S147" i="17" s="1"/>
  <c r="D149" i="17"/>
  <c r="P146" i="17"/>
  <c r="O146" i="17"/>
  <c r="N146" i="17"/>
  <c r="M146" i="17"/>
  <c r="L146" i="17"/>
  <c r="K146" i="17"/>
  <c r="J146" i="17"/>
  <c r="I146" i="17"/>
  <c r="H146" i="17"/>
  <c r="G146" i="17"/>
  <c r="T144" i="17" s="1"/>
  <c r="F146" i="17"/>
  <c r="E146" i="17"/>
  <c r="D146" i="17"/>
  <c r="P143" i="17"/>
  <c r="O143" i="17"/>
  <c r="N143" i="17"/>
  <c r="M143" i="17"/>
  <c r="L143" i="17"/>
  <c r="K143" i="17"/>
  <c r="J143" i="17"/>
  <c r="I143" i="17"/>
  <c r="H143" i="17"/>
  <c r="G143" i="17"/>
  <c r="F143" i="17"/>
  <c r="E143" i="17"/>
  <c r="Q141" i="17" s="1"/>
  <c r="D143" i="17"/>
  <c r="P140" i="17"/>
  <c r="O140" i="17"/>
  <c r="N140" i="17"/>
  <c r="M140" i="17"/>
  <c r="L140" i="17"/>
  <c r="K140" i="17"/>
  <c r="J140" i="17"/>
  <c r="I140" i="17"/>
  <c r="H140" i="17"/>
  <c r="G140" i="17"/>
  <c r="F140" i="17"/>
  <c r="E140" i="17"/>
  <c r="D140" i="17"/>
  <c r="T138" i="17"/>
  <c r="P137" i="17"/>
  <c r="O137" i="17"/>
  <c r="N137" i="17"/>
  <c r="M137" i="17"/>
  <c r="L137" i="17"/>
  <c r="K137" i="17"/>
  <c r="J137" i="17"/>
  <c r="I137" i="17"/>
  <c r="H137" i="17"/>
  <c r="G137" i="17"/>
  <c r="F137" i="17"/>
  <c r="E137" i="17"/>
  <c r="S135" i="17" s="1"/>
  <c r="D137" i="17"/>
  <c r="P134" i="17"/>
  <c r="O134" i="17"/>
  <c r="N134" i="17"/>
  <c r="M134" i="17"/>
  <c r="L134" i="17"/>
  <c r="K134" i="17"/>
  <c r="J134" i="17"/>
  <c r="I134" i="17"/>
  <c r="H134" i="17"/>
  <c r="G134" i="17"/>
  <c r="T132" i="17" s="1"/>
  <c r="F134" i="17"/>
  <c r="E134" i="17"/>
  <c r="D134" i="17"/>
  <c r="R132" i="17"/>
  <c r="P131" i="17"/>
  <c r="O131" i="17"/>
  <c r="N131" i="17"/>
  <c r="M131" i="17"/>
  <c r="L131" i="17"/>
  <c r="K131" i="17"/>
  <c r="J131" i="17"/>
  <c r="I131" i="17"/>
  <c r="H131" i="17"/>
  <c r="G131" i="17"/>
  <c r="F131" i="17"/>
  <c r="E131" i="17"/>
  <c r="Q129" i="17" s="1"/>
  <c r="D131" i="17"/>
  <c r="P128" i="17"/>
  <c r="O128" i="17"/>
  <c r="N128" i="17"/>
  <c r="M128" i="17"/>
  <c r="L128" i="17"/>
  <c r="K128" i="17"/>
  <c r="J128" i="17"/>
  <c r="I128" i="17"/>
  <c r="H128" i="17"/>
  <c r="G128" i="17"/>
  <c r="F128" i="17"/>
  <c r="E128" i="17"/>
  <c r="D128" i="17"/>
  <c r="T126" i="17"/>
  <c r="P125" i="17"/>
  <c r="O125" i="17"/>
  <c r="N125" i="17"/>
  <c r="M125" i="17"/>
  <c r="L125" i="17"/>
  <c r="K125" i="17"/>
  <c r="J125" i="17"/>
  <c r="I125" i="17"/>
  <c r="H125" i="17"/>
  <c r="G125" i="17"/>
  <c r="F125" i="17"/>
  <c r="E125" i="17"/>
  <c r="S123" i="17" s="1"/>
  <c r="D125" i="17"/>
  <c r="P122" i="17"/>
  <c r="O122" i="17"/>
  <c r="N122" i="17"/>
  <c r="M122" i="17"/>
  <c r="L122" i="17"/>
  <c r="K122" i="17"/>
  <c r="J122" i="17"/>
  <c r="I122" i="17"/>
  <c r="H122" i="17"/>
  <c r="G122" i="17"/>
  <c r="T120" i="17" s="1"/>
  <c r="F122" i="17"/>
  <c r="E122" i="17"/>
  <c r="D122" i="17"/>
  <c r="P119" i="17"/>
  <c r="O119" i="17"/>
  <c r="N119" i="17"/>
  <c r="M119" i="17"/>
  <c r="L119" i="17"/>
  <c r="K119" i="17"/>
  <c r="J119" i="17"/>
  <c r="I119" i="17"/>
  <c r="H119" i="17"/>
  <c r="G119" i="17"/>
  <c r="F119" i="17"/>
  <c r="E119" i="17"/>
  <c r="Q117" i="17" s="1"/>
  <c r="D119" i="17"/>
  <c r="P116" i="17"/>
  <c r="O116" i="17"/>
  <c r="N116" i="17"/>
  <c r="M116" i="17"/>
  <c r="L116" i="17"/>
  <c r="K116" i="17"/>
  <c r="J116" i="17"/>
  <c r="I116" i="17"/>
  <c r="H116" i="17"/>
  <c r="G116" i="17"/>
  <c r="F116" i="17"/>
  <c r="E116" i="17"/>
  <c r="D116" i="17"/>
  <c r="T114" i="17"/>
  <c r="P113" i="17"/>
  <c r="O113" i="17"/>
  <c r="N113" i="17"/>
  <c r="M113" i="17"/>
  <c r="L113" i="17"/>
  <c r="K113" i="17"/>
  <c r="J113" i="17"/>
  <c r="I113" i="17"/>
  <c r="H113" i="17"/>
  <c r="G113" i="17"/>
  <c r="F113" i="17"/>
  <c r="E113" i="17"/>
  <c r="S111" i="17" s="1"/>
  <c r="D113" i="17"/>
  <c r="P110" i="17"/>
  <c r="O110" i="17"/>
  <c r="N110" i="17"/>
  <c r="M110" i="17"/>
  <c r="L110" i="17"/>
  <c r="K110" i="17"/>
  <c r="J110" i="17"/>
  <c r="I110" i="17"/>
  <c r="H110" i="17"/>
  <c r="G110" i="17"/>
  <c r="S108" i="17" s="1"/>
  <c r="F110" i="17"/>
  <c r="E110" i="17"/>
  <c r="D110" i="17"/>
  <c r="P107" i="17"/>
  <c r="O107" i="17"/>
  <c r="N107" i="17"/>
  <c r="M107" i="17"/>
  <c r="L107" i="17"/>
  <c r="K107" i="17"/>
  <c r="J107" i="17"/>
  <c r="I107" i="17"/>
  <c r="H107" i="17"/>
  <c r="G107" i="17"/>
  <c r="F107" i="17"/>
  <c r="E107" i="17"/>
  <c r="Q105" i="17" s="1"/>
  <c r="D107" i="17"/>
  <c r="P104" i="17"/>
  <c r="O104" i="17"/>
  <c r="N104" i="17"/>
  <c r="M104" i="17"/>
  <c r="L104" i="17"/>
  <c r="K104" i="17"/>
  <c r="J104" i="17"/>
  <c r="I104" i="17"/>
  <c r="H104" i="17"/>
  <c r="G104" i="17"/>
  <c r="F104" i="17"/>
  <c r="E104" i="17"/>
  <c r="D104" i="17"/>
  <c r="T102" i="17"/>
  <c r="P101" i="17"/>
  <c r="O101" i="17"/>
  <c r="N101" i="17"/>
  <c r="M101" i="17"/>
  <c r="L101" i="17"/>
  <c r="K101" i="17"/>
  <c r="J101" i="17"/>
  <c r="I101" i="17"/>
  <c r="H101" i="17"/>
  <c r="G101" i="17"/>
  <c r="F101" i="17"/>
  <c r="E101" i="17"/>
  <c r="S99" i="17" s="1"/>
  <c r="D101" i="17"/>
  <c r="P98" i="17"/>
  <c r="O98" i="17"/>
  <c r="N98" i="17"/>
  <c r="M98" i="17"/>
  <c r="L98" i="17"/>
  <c r="K98" i="17"/>
  <c r="J98" i="17"/>
  <c r="I98" i="17"/>
  <c r="H98" i="17"/>
  <c r="G98" i="17"/>
  <c r="Q96" i="17" s="1"/>
  <c r="F98" i="17"/>
  <c r="E98" i="17"/>
  <c r="D98" i="17"/>
  <c r="P95" i="17"/>
  <c r="O95" i="17"/>
  <c r="N95" i="17"/>
  <c r="M95" i="17"/>
  <c r="L95" i="17"/>
  <c r="K95" i="17"/>
  <c r="J95" i="17"/>
  <c r="I95" i="17"/>
  <c r="H95" i="17"/>
  <c r="G95" i="17"/>
  <c r="F95" i="17"/>
  <c r="E95" i="17"/>
  <c r="Q93" i="17" s="1"/>
  <c r="D95" i="17"/>
  <c r="P92" i="17"/>
  <c r="O92" i="17"/>
  <c r="N92" i="17"/>
  <c r="M92" i="17"/>
  <c r="L92" i="17"/>
  <c r="K92" i="17"/>
  <c r="J92" i="17"/>
  <c r="I92" i="17"/>
  <c r="H92" i="17"/>
  <c r="G92" i="17"/>
  <c r="T90" i="17" s="1"/>
  <c r="F92" i="17"/>
  <c r="E92" i="17"/>
  <c r="D92" i="17"/>
  <c r="P89" i="17"/>
  <c r="O89" i="17"/>
  <c r="N89" i="17"/>
  <c r="M89" i="17"/>
  <c r="L89" i="17"/>
  <c r="K89" i="17"/>
  <c r="J89" i="17"/>
  <c r="I89" i="17"/>
  <c r="H89" i="17"/>
  <c r="G89" i="17"/>
  <c r="F89" i="17"/>
  <c r="E89" i="17"/>
  <c r="S87" i="17" s="1"/>
  <c r="D89" i="17"/>
  <c r="P86" i="17"/>
  <c r="O86" i="17"/>
  <c r="N86" i="17"/>
  <c r="M86" i="17"/>
  <c r="L86" i="17"/>
  <c r="K86" i="17"/>
  <c r="J86" i="17"/>
  <c r="I86" i="17"/>
  <c r="H86" i="17"/>
  <c r="G86" i="17"/>
  <c r="T84" i="17" s="1"/>
  <c r="F86" i="17"/>
  <c r="E86" i="17"/>
  <c r="D86" i="17"/>
  <c r="P83" i="17"/>
  <c r="O83" i="17"/>
  <c r="N83" i="17"/>
  <c r="M83" i="17"/>
  <c r="L83" i="17"/>
  <c r="K83" i="17"/>
  <c r="J83" i="17"/>
  <c r="I83" i="17"/>
  <c r="H83" i="17"/>
  <c r="G83" i="17"/>
  <c r="F83" i="17"/>
  <c r="E83" i="17"/>
  <c r="Q81" i="17" s="1"/>
  <c r="D83" i="17"/>
  <c r="P80" i="17"/>
  <c r="O80" i="17"/>
  <c r="N80" i="17"/>
  <c r="M80" i="17"/>
  <c r="L80" i="17"/>
  <c r="K80" i="17"/>
  <c r="J80" i="17"/>
  <c r="I80" i="17"/>
  <c r="H80" i="17"/>
  <c r="G80" i="17"/>
  <c r="T78" i="17" s="1"/>
  <c r="F80" i="17"/>
  <c r="E80" i="17"/>
  <c r="D80" i="17"/>
  <c r="P77" i="17"/>
  <c r="O77" i="17"/>
  <c r="N77" i="17"/>
  <c r="M77" i="17"/>
  <c r="L77" i="17"/>
  <c r="K77" i="17"/>
  <c r="J77" i="17"/>
  <c r="I77" i="17"/>
  <c r="H77" i="17"/>
  <c r="G77" i="17"/>
  <c r="F77" i="17"/>
  <c r="E77" i="17"/>
  <c r="S75" i="17" s="1"/>
  <c r="D77" i="17"/>
  <c r="P74" i="17"/>
  <c r="O74" i="17"/>
  <c r="N74" i="17"/>
  <c r="M74" i="17"/>
  <c r="L74" i="17"/>
  <c r="K74" i="17"/>
  <c r="J74" i="17"/>
  <c r="I74" i="17"/>
  <c r="H74" i="17"/>
  <c r="G74" i="17"/>
  <c r="T72" i="17" s="1"/>
  <c r="F74" i="17"/>
  <c r="E74" i="17"/>
  <c r="D74" i="17"/>
  <c r="R72" i="17"/>
  <c r="P71" i="17"/>
  <c r="O71" i="17"/>
  <c r="N71" i="17"/>
  <c r="M71" i="17"/>
  <c r="L71" i="17"/>
  <c r="K71" i="17"/>
  <c r="J71" i="17"/>
  <c r="I71" i="17"/>
  <c r="H71" i="17"/>
  <c r="G71" i="17"/>
  <c r="F71" i="17"/>
  <c r="E71" i="17"/>
  <c r="Q69" i="17" s="1"/>
  <c r="D71" i="17"/>
  <c r="P68" i="17"/>
  <c r="O68" i="17"/>
  <c r="N68" i="17"/>
  <c r="M68" i="17"/>
  <c r="L68" i="17"/>
  <c r="K68" i="17"/>
  <c r="J68" i="17"/>
  <c r="I68" i="17"/>
  <c r="H68" i="17"/>
  <c r="G68" i="17"/>
  <c r="F68" i="17"/>
  <c r="E68" i="17"/>
  <c r="D68" i="17"/>
  <c r="T66" i="17"/>
  <c r="P65" i="17"/>
  <c r="O65" i="17"/>
  <c r="N65" i="17"/>
  <c r="M65" i="17"/>
  <c r="L65" i="17"/>
  <c r="K65" i="17"/>
  <c r="J65" i="17"/>
  <c r="I65" i="17"/>
  <c r="H65" i="17"/>
  <c r="G65" i="17"/>
  <c r="F65" i="17"/>
  <c r="E65" i="17"/>
  <c r="S63" i="17" s="1"/>
  <c r="D65" i="17"/>
  <c r="P62" i="17"/>
  <c r="O62" i="17"/>
  <c r="N62" i="17"/>
  <c r="M62" i="17"/>
  <c r="L62" i="17"/>
  <c r="K62" i="17"/>
  <c r="J62" i="17"/>
  <c r="I62" i="17"/>
  <c r="H62" i="17"/>
  <c r="G62" i="17"/>
  <c r="T60" i="17" s="1"/>
  <c r="F62" i="17"/>
  <c r="E62" i="17"/>
  <c r="D62" i="17"/>
  <c r="P59" i="17"/>
  <c r="O59" i="17"/>
  <c r="N59" i="17"/>
  <c r="M59" i="17"/>
  <c r="L59" i="17"/>
  <c r="K59" i="17"/>
  <c r="J59" i="17"/>
  <c r="I59" i="17"/>
  <c r="H59" i="17"/>
  <c r="G59" i="17"/>
  <c r="F59" i="17"/>
  <c r="E59" i="17"/>
  <c r="Q57" i="17" s="1"/>
  <c r="D59" i="17"/>
  <c r="P56" i="17"/>
  <c r="O56" i="17"/>
  <c r="N56" i="17"/>
  <c r="M56" i="17"/>
  <c r="L56" i="17"/>
  <c r="K56" i="17"/>
  <c r="J56" i="17"/>
  <c r="I56" i="17"/>
  <c r="H56" i="17"/>
  <c r="G56" i="17"/>
  <c r="F56" i="17"/>
  <c r="E56" i="17"/>
  <c r="D56" i="17"/>
  <c r="T54" i="17"/>
  <c r="P53" i="17"/>
  <c r="O53" i="17"/>
  <c r="N53" i="17"/>
  <c r="M53" i="17"/>
  <c r="L53" i="17"/>
  <c r="K53" i="17"/>
  <c r="J53" i="17"/>
  <c r="I53" i="17"/>
  <c r="H53" i="17"/>
  <c r="G53" i="17"/>
  <c r="F53" i="17"/>
  <c r="E53" i="17"/>
  <c r="S51" i="17" s="1"/>
  <c r="D53" i="17"/>
  <c r="P50" i="17"/>
  <c r="O50" i="17"/>
  <c r="N50" i="17"/>
  <c r="M50" i="17"/>
  <c r="L50" i="17"/>
  <c r="K50" i="17"/>
  <c r="J50" i="17"/>
  <c r="I50" i="17"/>
  <c r="H50" i="17"/>
  <c r="G50" i="17"/>
  <c r="Q48" i="17" s="1"/>
  <c r="F50" i="17"/>
  <c r="E50" i="17"/>
  <c r="D50" i="17"/>
  <c r="P47" i="17"/>
  <c r="O47" i="17"/>
  <c r="N47" i="17"/>
  <c r="M47" i="17"/>
  <c r="L47" i="17"/>
  <c r="K47" i="17"/>
  <c r="J47" i="17"/>
  <c r="I47" i="17"/>
  <c r="H47" i="17"/>
  <c r="G47" i="17"/>
  <c r="F47" i="17"/>
  <c r="E47" i="17"/>
  <c r="Q45" i="17" s="1"/>
  <c r="D47" i="17"/>
  <c r="P44" i="17"/>
  <c r="O44" i="17"/>
  <c r="N44" i="17"/>
  <c r="M44" i="17"/>
  <c r="L44" i="17"/>
  <c r="K44" i="17"/>
  <c r="J44" i="17"/>
  <c r="I44" i="17"/>
  <c r="H44" i="17"/>
  <c r="G44" i="17"/>
  <c r="F44" i="17"/>
  <c r="E44" i="17"/>
  <c r="D44" i="17"/>
  <c r="T42" i="17"/>
  <c r="P41" i="17"/>
  <c r="O41" i="17"/>
  <c r="N41" i="17"/>
  <c r="M41" i="17"/>
  <c r="L41" i="17"/>
  <c r="K41" i="17"/>
  <c r="J41" i="17"/>
  <c r="I41" i="17"/>
  <c r="H41" i="17"/>
  <c r="G41" i="17"/>
  <c r="F41" i="17"/>
  <c r="E41" i="17"/>
  <c r="S39" i="17" s="1"/>
  <c r="D41" i="17"/>
  <c r="P38" i="17"/>
  <c r="O38" i="17"/>
  <c r="N38" i="17"/>
  <c r="M38" i="17"/>
  <c r="L38" i="17"/>
  <c r="K38" i="17"/>
  <c r="J38" i="17"/>
  <c r="I38" i="17"/>
  <c r="H38" i="17"/>
  <c r="G38" i="17"/>
  <c r="T36" i="17" s="1"/>
  <c r="F38" i="17"/>
  <c r="E38" i="17"/>
  <c r="D38" i="17"/>
  <c r="R36" i="17"/>
  <c r="P35" i="17"/>
  <c r="O35" i="17"/>
  <c r="N35" i="17"/>
  <c r="M35" i="17"/>
  <c r="L35" i="17"/>
  <c r="K35" i="17"/>
  <c r="J35" i="17"/>
  <c r="I35" i="17"/>
  <c r="H35" i="17"/>
  <c r="G35" i="17"/>
  <c r="F35" i="17"/>
  <c r="E35" i="17"/>
  <c r="Q33" i="17" s="1"/>
  <c r="D35" i="17"/>
  <c r="P32" i="17"/>
  <c r="O32" i="17"/>
  <c r="N32" i="17"/>
  <c r="M32" i="17"/>
  <c r="L32" i="17"/>
  <c r="K32" i="17"/>
  <c r="J32" i="17"/>
  <c r="I32" i="17"/>
  <c r="H32" i="17"/>
  <c r="G32" i="17"/>
  <c r="F32" i="17"/>
  <c r="E32" i="17"/>
  <c r="D32" i="17"/>
  <c r="T30" i="17"/>
  <c r="P29" i="17"/>
  <c r="O29" i="17"/>
  <c r="N29" i="17"/>
  <c r="M29" i="17"/>
  <c r="L29" i="17"/>
  <c r="K29" i="17"/>
  <c r="J29" i="17"/>
  <c r="I29" i="17"/>
  <c r="H29" i="17"/>
  <c r="G29" i="17"/>
  <c r="F29" i="17"/>
  <c r="E29" i="17"/>
  <c r="S27" i="17" s="1"/>
  <c r="D29" i="17"/>
  <c r="P26" i="17"/>
  <c r="O26" i="17"/>
  <c r="N26" i="17"/>
  <c r="M26" i="17"/>
  <c r="L26" i="17"/>
  <c r="K26" i="17"/>
  <c r="J26" i="17"/>
  <c r="I26" i="17"/>
  <c r="H26" i="17"/>
  <c r="G26" i="17"/>
  <c r="T24" i="17" s="1"/>
  <c r="F26" i="17"/>
  <c r="E26" i="17"/>
  <c r="D26" i="17"/>
  <c r="R24" i="17"/>
  <c r="P23" i="17"/>
  <c r="O23" i="17"/>
  <c r="N23" i="17"/>
  <c r="M23" i="17"/>
  <c r="L23" i="17"/>
  <c r="K23" i="17"/>
  <c r="J23" i="17"/>
  <c r="I23" i="17"/>
  <c r="H23" i="17"/>
  <c r="G23" i="17"/>
  <c r="F23" i="17"/>
  <c r="E23" i="17"/>
  <c r="Q21" i="17" s="1"/>
  <c r="D23" i="17"/>
  <c r="P20" i="17"/>
  <c r="O20" i="17"/>
  <c r="N20" i="17"/>
  <c r="M20" i="17"/>
  <c r="L20" i="17"/>
  <c r="K20" i="17"/>
  <c r="J20" i="17"/>
  <c r="I20" i="17"/>
  <c r="H20" i="17"/>
  <c r="G20" i="17"/>
  <c r="F20" i="17"/>
  <c r="E20" i="17"/>
  <c r="D20" i="17"/>
  <c r="T18" i="17"/>
  <c r="P17" i="17"/>
  <c r="O17" i="17"/>
  <c r="N17" i="17"/>
  <c r="M17" i="17"/>
  <c r="L17" i="17"/>
  <c r="K17" i="17"/>
  <c r="J17" i="17"/>
  <c r="I17" i="17"/>
  <c r="H17" i="17"/>
  <c r="G17" i="17"/>
  <c r="F17" i="17"/>
  <c r="E17" i="17"/>
  <c r="S15" i="17" s="1"/>
  <c r="D17" i="17"/>
  <c r="P14" i="17"/>
  <c r="O14" i="17"/>
  <c r="N14" i="17"/>
  <c r="M14" i="17"/>
  <c r="L14" i="17"/>
  <c r="K14" i="17"/>
  <c r="J14" i="17"/>
  <c r="I14" i="17"/>
  <c r="H14" i="17"/>
  <c r="G14" i="17"/>
  <c r="Q12" i="17" s="1"/>
  <c r="F14" i="17"/>
  <c r="E14" i="17"/>
  <c r="D14" i="17"/>
  <c r="N15" i="3"/>
  <c r="N16" i="3"/>
  <c r="N6" i="3"/>
  <c r="N5" i="3"/>
  <c r="U429" i="17" l="1"/>
  <c r="V429" i="17" s="1"/>
  <c r="R48" i="17"/>
  <c r="R84" i="17"/>
  <c r="R144" i="17"/>
  <c r="U156" i="17"/>
  <c r="R180" i="17"/>
  <c r="R192" i="17"/>
  <c r="R204" i="17"/>
  <c r="R216" i="17"/>
  <c r="U216" i="17" s="1"/>
  <c r="R228" i="17"/>
  <c r="R252" i="17"/>
  <c r="R264" i="17"/>
  <c r="T12" i="17"/>
  <c r="T48" i="17"/>
  <c r="S57" i="17"/>
  <c r="S69" i="17"/>
  <c r="R78" i="17"/>
  <c r="S81" i="17"/>
  <c r="S93" i="17"/>
  <c r="T96" i="17"/>
  <c r="S105" i="17"/>
  <c r="T108" i="17"/>
  <c r="S117" i="17"/>
  <c r="S129" i="17"/>
  <c r="S141" i="17"/>
  <c r="S153" i="17"/>
  <c r="T156" i="17"/>
  <c r="S165" i="17"/>
  <c r="T168" i="17"/>
  <c r="S177" i="17"/>
  <c r="T180" i="17"/>
  <c r="S189" i="17"/>
  <c r="T192" i="17"/>
  <c r="R198" i="17"/>
  <c r="T201" i="17"/>
  <c r="T204" i="17"/>
  <c r="R210" i="17"/>
  <c r="T213" i="17"/>
  <c r="R222" i="17"/>
  <c r="T225" i="17"/>
  <c r="R234" i="17"/>
  <c r="T237" i="17"/>
  <c r="T240" i="17"/>
  <c r="R246" i="17"/>
  <c r="T249" i="17"/>
  <c r="T252" i="17"/>
  <c r="R258" i="17"/>
  <c r="T261" i="17"/>
  <c r="T264" i="17"/>
  <c r="R270" i="17"/>
  <c r="T273" i="17"/>
  <c r="T276" i="17"/>
  <c r="R282" i="17"/>
  <c r="T285" i="17"/>
  <c r="T288" i="17"/>
  <c r="R294" i="17"/>
  <c r="T297" i="17"/>
  <c r="R318" i="17"/>
  <c r="T318" i="17"/>
  <c r="R333" i="17"/>
  <c r="U333" i="17" s="1"/>
  <c r="V333" i="17" s="1"/>
  <c r="R342" i="17"/>
  <c r="T342" i="17"/>
  <c r="S348" i="17"/>
  <c r="R357" i="17"/>
  <c r="U357" i="17" s="1"/>
  <c r="V357" i="17" s="1"/>
  <c r="R366" i="17"/>
  <c r="T366" i="17"/>
  <c r="S372" i="17"/>
  <c r="R381" i="17"/>
  <c r="U381" i="17" s="1"/>
  <c r="V381" i="17" s="1"/>
  <c r="R390" i="17"/>
  <c r="T390" i="17"/>
  <c r="S396" i="17"/>
  <c r="R405" i="17"/>
  <c r="R414" i="17"/>
  <c r="T414" i="17"/>
  <c r="S420" i="17"/>
  <c r="R429" i="17"/>
  <c r="R438" i="17"/>
  <c r="T438" i="17"/>
  <c r="S444" i="17"/>
  <c r="W42" i="18"/>
  <c r="R12" i="17"/>
  <c r="R96" i="17"/>
  <c r="U192" i="17"/>
  <c r="V192" i="17" s="1"/>
  <c r="U204" i="17"/>
  <c r="R276" i="17"/>
  <c r="U276" i="17" s="1"/>
  <c r="V276" i="17" s="1"/>
  <c r="T300" i="17"/>
  <c r="R300" i="17"/>
  <c r="V357" i="18"/>
  <c r="X357" i="18"/>
  <c r="R18" i="17"/>
  <c r="S33" i="17"/>
  <c r="S45" i="17"/>
  <c r="R30" i="17"/>
  <c r="R54" i="17"/>
  <c r="R66" i="17"/>
  <c r="S78" i="17"/>
  <c r="R90" i="17"/>
  <c r="R102" i="17"/>
  <c r="R114" i="17"/>
  <c r="R126" i="17"/>
  <c r="R138" i="17"/>
  <c r="R150" i="17"/>
  <c r="R162" i="17"/>
  <c r="R174" i="17"/>
  <c r="R186" i="17"/>
  <c r="S198" i="17"/>
  <c r="Q201" i="17"/>
  <c r="S210" i="17"/>
  <c r="Q213" i="17"/>
  <c r="S222" i="17"/>
  <c r="Q225" i="17"/>
  <c r="S234" i="17"/>
  <c r="Q237" i="17"/>
  <c r="S246" i="17"/>
  <c r="Q249" i="17"/>
  <c r="S258" i="17"/>
  <c r="Q261" i="17"/>
  <c r="S270" i="17"/>
  <c r="Q273" i="17"/>
  <c r="S282" i="17"/>
  <c r="Q285" i="17"/>
  <c r="S294" i="17"/>
  <c r="S300" i="17"/>
  <c r="Q303" i="17"/>
  <c r="R312" i="17"/>
  <c r="S318" i="17"/>
  <c r="T324" i="17"/>
  <c r="Q327" i="17"/>
  <c r="R336" i="17"/>
  <c r="S342" i="17"/>
  <c r="Q345" i="17"/>
  <c r="T348" i="17"/>
  <c r="Q351" i="17"/>
  <c r="U351" i="17" s="1"/>
  <c r="V351" i="17" s="1"/>
  <c r="R360" i="17"/>
  <c r="S366" i="17"/>
  <c r="Q369" i="17"/>
  <c r="T372" i="17"/>
  <c r="Q375" i="17"/>
  <c r="R384" i="17"/>
  <c r="S390" i="17"/>
  <c r="Q393" i="17"/>
  <c r="T396" i="17"/>
  <c r="Q399" i="17"/>
  <c r="R408" i="17"/>
  <c r="S414" i="17"/>
  <c r="Q417" i="17"/>
  <c r="T420" i="17"/>
  <c r="Q423" i="17"/>
  <c r="R432" i="17"/>
  <c r="S438" i="17"/>
  <c r="Q441" i="17"/>
  <c r="T444" i="17"/>
  <c r="W54" i="18"/>
  <c r="U12" i="17"/>
  <c r="U48" i="17"/>
  <c r="R60" i="17"/>
  <c r="U96" i="17"/>
  <c r="R108" i="17"/>
  <c r="R120" i="17"/>
  <c r="R156" i="17"/>
  <c r="U180" i="17"/>
  <c r="U228" i="17"/>
  <c r="V228" i="17" s="1"/>
  <c r="R240" i="17"/>
  <c r="U240" i="17" s="1"/>
  <c r="V240" i="17" s="1"/>
  <c r="U252" i="17"/>
  <c r="U264" i="17"/>
  <c r="U405" i="17"/>
  <c r="V324" i="18"/>
  <c r="U324" i="18"/>
  <c r="X384" i="18"/>
  <c r="U384" i="18"/>
  <c r="V420" i="18"/>
  <c r="U420" i="18"/>
  <c r="S21" i="17"/>
  <c r="S18" i="17"/>
  <c r="R42" i="17"/>
  <c r="Q15" i="17"/>
  <c r="Q27" i="17"/>
  <c r="T33" i="17"/>
  <c r="Q39" i="17"/>
  <c r="Q51" i="17"/>
  <c r="Q63" i="17"/>
  <c r="T69" i="17"/>
  <c r="Q75" i="17"/>
  <c r="Q87" i="17"/>
  <c r="Q99" i="17"/>
  <c r="T105" i="17"/>
  <c r="Q111" i="17"/>
  <c r="T117" i="17"/>
  <c r="Q123" i="17"/>
  <c r="U123" i="17" s="1"/>
  <c r="V123" i="17" s="1"/>
  <c r="Q135" i="17"/>
  <c r="T141" i="17"/>
  <c r="Q147" i="17"/>
  <c r="Q159" i="17"/>
  <c r="T165" i="17"/>
  <c r="Q171" i="17"/>
  <c r="Q183" i="17"/>
  <c r="Q195" i="17"/>
  <c r="S204" i="17"/>
  <c r="Q207" i="17"/>
  <c r="R213" i="17"/>
  <c r="T216" i="17"/>
  <c r="Q219" i="17"/>
  <c r="T228" i="17"/>
  <c r="Q231" i="17"/>
  <c r="S240" i="17"/>
  <c r="Q243" i="17"/>
  <c r="S252" i="17"/>
  <c r="Q255" i="17"/>
  <c r="U255" i="17" s="1"/>
  <c r="V255" i="17" s="1"/>
  <c r="S264" i="17"/>
  <c r="Q267" i="17"/>
  <c r="S276" i="17"/>
  <c r="Q279" i="17"/>
  <c r="S288" i="17"/>
  <c r="V288" i="17" s="1"/>
  <c r="Q291" i="17"/>
  <c r="R306" i="17"/>
  <c r="T306" i="17"/>
  <c r="T309" i="17"/>
  <c r="R321" i="17"/>
  <c r="U321" i="17" s="1"/>
  <c r="V321" i="17" s="1"/>
  <c r="R330" i="17"/>
  <c r="T330" i="17"/>
  <c r="T333" i="17"/>
  <c r="S336" i="17"/>
  <c r="R345" i="17"/>
  <c r="R354" i="17"/>
  <c r="T354" i="17"/>
  <c r="T357" i="17"/>
  <c r="S360" i="17"/>
  <c r="R369" i="17"/>
  <c r="R378" i="17"/>
  <c r="T378" i="17"/>
  <c r="T381" i="17"/>
  <c r="S384" i="17"/>
  <c r="V384" i="17" s="1"/>
  <c r="R393" i="17"/>
  <c r="R402" i="17"/>
  <c r="T402" i="17"/>
  <c r="T405" i="17"/>
  <c r="S408" i="17"/>
  <c r="R417" i="17"/>
  <c r="R426" i="17"/>
  <c r="T426" i="17"/>
  <c r="T429" i="17"/>
  <c r="S432" i="17"/>
  <c r="R441" i="17"/>
  <c r="S297" i="17"/>
  <c r="Q300" i="17"/>
  <c r="U300" i="17" s="1"/>
  <c r="S309" i="17"/>
  <c r="Q312" i="17"/>
  <c r="U312" i="17" s="1"/>
  <c r="S321" i="17"/>
  <c r="Q324" i="17"/>
  <c r="U324" i="17" s="1"/>
  <c r="S333" i="17"/>
  <c r="Q336" i="17"/>
  <c r="S345" i="17"/>
  <c r="Q348" i="17"/>
  <c r="U348" i="17" s="1"/>
  <c r="V348" i="17" s="1"/>
  <c r="S357" i="17"/>
  <c r="Q360" i="17"/>
  <c r="U360" i="17" s="1"/>
  <c r="S369" i="17"/>
  <c r="Q372" i="17"/>
  <c r="U372" i="17" s="1"/>
  <c r="V372" i="17" s="1"/>
  <c r="S381" i="17"/>
  <c r="Q384" i="17"/>
  <c r="U384" i="17" s="1"/>
  <c r="S393" i="17"/>
  <c r="Q396" i="17"/>
  <c r="U396" i="17" s="1"/>
  <c r="V396" i="17" s="1"/>
  <c r="S405" i="17"/>
  <c r="Q408" i="17"/>
  <c r="U408" i="17" s="1"/>
  <c r="S417" i="17"/>
  <c r="Q420" i="17"/>
  <c r="U420" i="17" s="1"/>
  <c r="V420" i="17" s="1"/>
  <c r="S429" i="17"/>
  <c r="Q432" i="17"/>
  <c r="S441" i="17"/>
  <c r="Q444" i="17"/>
  <c r="U444" i="17" s="1"/>
  <c r="V444" i="17" s="1"/>
  <c r="W12" i="18"/>
  <c r="U15" i="18"/>
  <c r="Y15" i="18" s="1"/>
  <c r="V21" i="18"/>
  <c r="X24" i="18"/>
  <c r="W27" i="18"/>
  <c r="V36" i="18"/>
  <c r="V45" i="18"/>
  <c r="X45" i="18"/>
  <c r="X48" i="18"/>
  <c r="W51" i="18"/>
  <c r="V60" i="18"/>
  <c r="Y60" i="18" s="1"/>
  <c r="Z60" i="18" s="1"/>
  <c r="V69" i="18"/>
  <c r="X69" i="18"/>
  <c r="X72" i="18"/>
  <c r="W75" i="18"/>
  <c r="V93" i="18"/>
  <c r="X93" i="18"/>
  <c r="X96" i="18"/>
  <c r="W99" i="18"/>
  <c r="V117" i="18"/>
  <c r="X117" i="18"/>
  <c r="X120" i="18"/>
  <c r="W123" i="18"/>
  <c r="V141" i="18"/>
  <c r="X141" i="18"/>
  <c r="X144" i="18"/>
  <c r="W147" i="18"/>
  <c r="V165" i="18"/>
  <c r="X165" i="18"/>
  <c r="X168" i="18"/>
  <c r="W171" i="18"/>
  <c r="V189" i="18"/>
  <c r="X189" i="18"/>
  <c r="X204" i="18"/>
  <c r="U204" i="18"/>
  <c r="Y204" i="18" s="1"/>
  <c r="Z204" i="18" s="1"/>
  <c r="X216" i="18"/>
  <c r="U216" i="18"/>
  <c r="X228" i="18"/>
  <c r="U228" i="18"/>
  <c r="X240" i="18"/>
  <c r="U240" i="18"/>
  <c r="X252" i="18"/>
  <c r="U252" i="18"/>
  <c r="Y252" i="18" s="1"/>
  <c r="Z252" i="18" s="1"/>
  <c r="X264" i="18"/>
  <c r="U264" i="18"/>
  <c r="X276" i="18"/>
  <c r="U276" i="18"/>
  <c r="X288" i="18"/>
  <c r="U288" i="18"/>
  <c r="X300" i="18"/>
  <c r="U300" i="18"/>
  <c r="Y300" i="18" s="1"/>
  <c r="Z300" i="18" s="1"/>
  <c r="X312" i="18"/>
  <c r="U312" i="18"/>
  <c r="V348" i="18"/>
  <c r="U348" i="18"/>
  <c r="Y348" i="18" s="1"/>
  <c r="Z348" i="18" s="1"/>
  <c r="V381" i="18"/>
  <c r="X381" i="18"/>
  <c r="X408" i="18"/>
  <c r="U408" i="18"/>
  <c r="V444" i="18"/>
  <c r="Y444" i="18" s="1"/>
  <c r="Z444" i="18" s="1"/>
  <c r="U444" i="18"/>
  <c r="X27" i="18"/>
  <c r="U30" i="18"/>
  <c r="V39" i="18"/>
  <c r="X51" i="18"/>
  <c r="U54" i="18"/>
  <c r="V63" i="18"/>
  <c r="W189" i="18"/>
  <c r="U192" i="18"/>
  <c r="V201" i="18"/>
  <c r="X201" i="18"/>
  <c r="V213" i="18"/>
  <c r="X213" i="18"/>
  <c r="V225" i="18"/>
  <c r="X225" i="18"/>
  <c r="V237" i="18"/>
  <c r="X237" i="18"/>
  <c r="V249" i="18"/>
  <c r="X249" i="18"/>
  <c r="V261" i="18"/>
  <c r="X261" i="18"/>
  <c r="V273" i="18"/>
  <c r="X273" i="18"/>
  <c r="V285" i="18"/>
  <c r="X285" i="18"/>
  <c r="V297" i="18"/>
  <c r="X297" i="18"/>
  <c r="V309" i="18"/>
  <c r="X309" i="18"/>
  <c r="X336" i="18"/>
  <c r="U336" i="18"/>
  <c r="Y336" i="18" s="1"/>
  <c r="Z336" i="18" s="1"/>
  <c r="V372" i="18"/>
  <c r="U372" i="18"/>
  <c r="V405" i="18"/>
  <c r="X405" i="18"/>
  <c r="X432" i="18"/>
  <c r="U432" i="18"/>
  <c r="U12" i="18"/>
  <c r="W15" i="18"/>
  <c r="V24" i="18"/>
  <c r="Y24" i="18" s="1"/>
  <c r="Z24" i="18" s="1"/>
  <c r="V33" i="18"/>
  <c r="X33" i="18"/>
  <c r="X36" i="18"/>
  <c r="W39" i="18"/>
  <c r="V48" i="18"/>
  <c r="V57" i="18"/>
  <c r="X57" i="18"/>
  <c r="X60" i="18"/>
  <c r="W63" i="18"/>
  <c r="V81" i="18"/>
  <c r="X81" i="18"/>
  <c r="X84" i="18"/>
  <c r="W87" i="18"/>
  <c r="V105" i="18"/>
  <c r="X105" i="18"/>
  <c r="X108" i="18"/>
  <c r="W111" i="18"/>
  <c r="V129" i="18"/>
  <c r="X129" i="18"/>
  <c r="X132" i="18"/>
  <c r="W135" i="18"/>
  <c r="V153" i="18"/>
  <c r="X153" i="18"/>
  <c r="X156" i="18"/>
  <c r="W159" i="18"/>
  <c r="V177" i="18"/>
  <c r="X177" i="18"/>
  <c r="X180" i="18"/>
  <c r="W183" i="18"/>
  <c r="V333" i="18"/>
  <c r="X333" i="18"/>
  <c r="X360" i="18"/>
  <c r="U360" i="18"/>
  <c r="V396" i="18"/>
  <c r="U396" i="18"/>
  <c r="Y396" i="18" s="1"/>
  <c r="Z396" i="18" s="1"/>
  <c r="V429" i="18"/>
  <c r="X429" i="18"/>
  <c r="W195" i="18"/>
  <c r="W201" i="18"/>
  <c r="W207" i="18"/>
  <c r="W213" i="18"/>
  <c r="W219" i="18"/>
  <c r="W225" i="18"/>
  <c r="W231" i="18"/>
  <c r="W237" i="18"/>
  <c r="W243" i="18"/>
  <c r="W249" i="18"/>
  <c r="W255" i="18"/>
  <c r="W261" i="18"/>
  <c r="W267" i="18"/>
  <c r="W273" i="18"/>
  <c r="W279" i="18"/>
  <c r="W285" i="18"/>
  <c r="W291" i="18"/>
  <c r="W297" i="18"/>
  <c r="W303" i="18"/>
  <c r="W309" i="18"/>
  <c r="X315" i="18"/>
  <c r="U318" i="18"/>
  <c r="W333" i="18"/>
  <c r="X339" i="18"/>
  <c r="U342" i="18"/>
  <c r="W357" i="18"/>
  <c r="X363" i="18"/>
  <c r="U366" i="18"/>
  <c r="W381" i="18"/>
  <c r="X387" i="18"/>
  <c r="U390" i="18"/>
  <c r="W405" i="18"/>
  <c r="X411" i="18"/>
  <c r="U414" i="18"/>
  <c r="W429" i="18"/>
  <c r="X435" i="18"/>
  <c r="U438" i="18"/>
  <c r="U66" i="18"/>
  <c r="V72" i="18"/>
  <c r="Y72" i="18" s="1"/>
  <c r="Z72" i="18" s="1"/>
  <c r="X75" i="18"/>
  <c r="U78" i="18"/>
  <c r="V84" i="18"/>
  <c r="X87" i="18"/>
  <c r="U90" i="18"/>
  <c r="V96" i="18"/>
  <c r="X99" i="18"/>
  <c r="U102" i="18"/>
  <c r="V108" i="18"/>
  <c r="X111" i="18"/>
  <c r="U114" i="18"/>
  <c r="V120" i="18"/>
  <c r="Y120" i="18" s="1"/>
  <c r="Z120" i="18" s="1"/>
  <c r="X123" i="18"/>
  <c r="U126" i="18"/>
  <c r="V132" i="18"/>
  <c r="X135" i="18"/>
  <c r="U138" i="18"/>
  <c r="V144" i="18"/>
  <c r="X147" i="18"/>
  <c r="U150" i="18"/>
  <c r="V156" i="18"/>
  <c r="X159" i="18"/>
  <c r="U162" i="18"/>
  <c r="V168" i="18"/>
  <c r="Y168" i="18" s="1"/>
  <c r="Z168" i="18" s="1"/>
  <c r="X171" i="18"/>
  <c r="U174" i="18"/>
  <c r="V180" i="18"/>
  <c r="X183" i="18"/>
  <c r="U186" i="18"/>
  <c r="V192" i="18"/>
  <c r="X195" i="18"/>
  <c r="U198" i="18"/>
  <c r="V204" i="18"/>
  <c r="X207" i="18"/>
  <c r="U210" i="18"/>
  <c r="V216" i="18"/>
  <c r="Y216" i="18" s="1"/>
  <c r="Z216" i="18" s="1"/>
  <c r="X219" i="18"/>
  <c r="U222" i="18"/>
  <c r="V228" i="18"/>
  <c r="X231" i="18"/>
  <c r="U234" i="18"/>
  <c r="V240" i="18"/>
  <c r="X243" i="18"/>
  <c r="U246" i="18"/>
  <c r="V252" i="18"/>
  <c r="X255" i="18"/>
  <c r="U258" i="18"/>
  <c r="V264" i="18"/>
  <c r="Y264" i="18" s="1"/>
  <c r="Z264" i="18" s="1"/>
  <c r="X267" i="18"/>
  <c r="U270" i="18"/>
  <c r="V276" i="18"/>
  <c r="X279" i="18"/>
  <c r="U282" i="18"/>
  <c r="V288" i="18"/>
  <c r="X291" i="18"/>
  <c r="U294" i="18"/>
  <c r="V300" i="18"/>
  <c r="X303" i="18"/>
  <c r="U306" i="18"/>
  <c r="V312" i="18"/>
  <c r="Y312" i="18" s="1"/>
  <c r="Z312" i="18" s="1"/>
  <c r="V321" i="18"/>
  <c r="X321" i="18"/>
  <c r="X324" i="18"/>
  <c r="W327" i="18"/>
  <c r="V336" i="18"/>
  <c r="V345" i="18"/>
  <c r="X345" i="18"/>
  <c r="X348" i="18"/>
  <c r="W351" i="18"/>
  <c r="V360" i="18"/>
  <c r="V369" i="18"/>
  <c r="X369" i="18"/>
  <c r="X372" i="18"/>
  <c r="W375" i="18"/>
  <c r="V384" i="18"/>
  <c r="Y384" i="18" s="1"/>
  <c r="Z384" i="18" s="1"/>
  <c r="V393" i="18"/>
  <c r="X393" i="18"/>
  <c r="X396" i="18"/>
  <c r="V408" i="18"/>
  <c r="V417" i="18"/>
  <c r="X417" i="18"/>
  <c r="X420" i="18"/>
  <c r="W423" i="18"/>
  <c r="V432" i="18"/>
  <c r="Y432" i="18" s="1"/>
  <c r="Z432" i="18" s="1"/>
  <c r="V441" i="18"/>
  <c r="X441" i="18"/>
  <c r="X444" i="18"/>
  <c r="W447" i="18"/>
  <c r="V12" i="18"/>
  <c r="X15" i="18"/>
  <c r="U18" i="18"/>
  <c r="W24" i="18"/>
  <c r="U27" i="18"/>
  <c r="Y27" i="18" s="1"/>
  <c r="Z27" i="18" s="1"/>
  <c r="W36" i="18"/>
  <c r="U39" i="18"/>
  <c r="W48" i="18"/>
  <c r="U51" i="18"/>
  <c r="Y51" i="18" s="1"/>
  <c r="Z51" i="18" s="1"/>
  <c r="W60" i="18"/>
  <c r="U63" i="18"/>
  <c r="Y63" i="18" s="1"/>
  <c r="Z63" i="18" s="1"/>
  <c r="W72" i="18"/>
  <c r="U75" i="18"/>
  <c r="Y75" i="18" s="1"/>
  <c r="W84" i="18"/>
  <c r="U87" i="18"/>
  <c r="Y87" i="18" s="1"/>
  <c r="Z87" i="18" s="1"/>
  <c r="W96" i="18"/>
  <c r="U99" i="18"/>
  <c r="Y99" i="18" s="1"/>
  <c r="W108" i="18"/>
  <c r="U111" i="18"/>
  <c r="Y111" i="18" s="1"/>
  <c r="Z111" i="18" s="1"/>
  <c r="W120" i="18"/>
  <c r="U123" i="18"/>
  <c r="Y123" i="18" s="1"/>
  <c r="W132" i="18"/>
  <c r="U135" i="18"/>
  <c r="Y135" i="18" s="1"/>
  <c r="Z135" i="18" s="1"/>
  <c r="W144" i="18"/>
  <c r="U147" i="18"/>
  <c r="Y147" i="18" s="1"/>
  <c r="W156" i="18"/>
  <c r="U159" i="18"/>
  <c r="Y159" i="18" s="1"/>
  <c r="Z159" i="18" s="1"/>
  <c r="W168" i="18"/>
  <c r="U171" i="18"/>
  <c r="Y171" i="18" s="1"/>
  <c r="W180" i="18"/>
  <c r="U183" i="18"/>
  <c r="Y183" i="18" s="1"/>
  <c r="Z183" i="18" s="1"/>
  <c r="W192" i="18"/>
  <c r="U195" i="18"/>
  <c r="Y195" i="18" s="1"/>
  <c r="Z195" i="18" s="1"/>
  <c r="W204" i="18"/>
  <c r="U207" i="18"/>
  <c r="Y207" i="18" s="1"/>
  <c r="W216" i="18"/>
  <c r="U219" i="18"/>
  <c r="Y219" i="18" s="1"/>
  <c r="Z219" i="18" s="1"/>
  <c r="W228" i="18"/>
  <c r="U231" i="18"/>
  <c r="Y231" i="18" s="1"/>
  <c r="W240" i="18"/>
  <c r="U243" i="18"/>
  <c r="Y243" i="18" s="1"/>
  <c r="Z243" i="18" s="1"/>
  <c r="W252" i="18"/>
  <c r="U255" i="18"/>
  <c r="Y255" i="18" s="1"/>
  <c r="W264" i="18"/>
  <c r="U267" i="18"/>
  <c r="Y267" i="18" s="1"/>
  <c r="Z267" i="18" s="1"/>
  <c r="W276" i="18"/>
  <c r="U279" i="18"/>
  <c r="Y279" i="18" s="1"/>
  <c r="W288" i="18"/>
  <c r="U291" i="18"/>
  <c r="Y291" i="18" s="1"/>
  <c r="Z291" i="18" s="1"/>
  <c r="W300" i="18"/>
  <c r="U303" i="18"/>
  <c r="Y303" i="18" s="1"/>
  <c r="W312" i="18"/>
  <c r="V315" i="18"/>
  <c r="W321" i="18"/>
  <c r="X327" i="18"/>
  <c r="U330" i="18"/>
  <c r="V339" i="18"/>
  <c r="W345" i="18"/>
  <c r="X351" i="18"/>
  <c r="U354" i="18"/>
  <c r="V363" i="18"/>
  <c r="W369" i="18"/>
  <c r="X375" i="18"/>
  <c r="U378" i="18"/>
  <c r="Y378" i="18" s="1"/>
  <c r="Z378" i="18" s="1"/>
  <c r="V387" i="18"/>
  <c r="W393" i="18"/>
  <c r="X399" i="18"/>
  <c r="U402" i="18"/>
  <c r="V411" i="18"/>
  <c r="W417" i="18"/>
  <c r="X423" i="18"/>
  <c r="U426" i="18"/>
  <c r="V435" i="18"/>
  <c r="W441" i="18"/>
  <c r="X465" i="18"/>
  <c r="X483" i="18"/>
  <c r="X486" i="18"/>
  <c r="X504" i="18"/>
  <c r="X447" i="18"/>
  <c r="X450" i="18"/>
  <c r="X468" i="18"/>
  <c r="X495" i="18"/>
  <c r="X498" i="18"/>
  <c r="U315" i="18"/>
  <c r="Y315" i="18" s="1"/>
  <c r="Z315" i="18" s="1"/>
  <c r="W324" i="18"/>
  <c r="U327" i="18"/>
  <c r="Y327" i="18" s="1"/>
  <c r="W336" i="18"/>
  <c r="U339" i="18"/>
  <c r="Y339" i="18" s="1"/>
  <c r="Z339" i="18" s="1"/>
  <c r="W348" i="18"/>
  <c r="U351" i="18"/>
  <c r="Y351" i="18" s="1"/>
  <c r="Z351" i="18" s="1"/>
  <c r="W360" i="18"/>
  <c r="U363" i="18"/>
  <c r="Y363" i="18" s="1"/>
  <c r="Z363" i="18" s="1"/>
  <c r="W372" i="18"/>
  <c r="U375" i="18"/>
  <c r="Y375" i="18" s="1"/>
  <c r="Z375" i="18" s="1"/>
  <c r="W384" i="18"/>
  <c r="U387" i="18"/>
  <c r="Y387" i="18" s="1"/>
  <c r="Z387" i="18" s="1"/>
  <c r="W396" i="18"/>
  <c r="U399" i="18"/>
  <c r="Y399" i="18" s="1"/>
  <c r="W399" i="18"/>
  <c r="W408" i="18"/>
  <c r="U411" i="18"/>
  <c r="Y411" i="18" s="1"/>
  <c r="Z411" i="18" s="1"/>
  <c r="W420" i="18"/>
  <c r="U423" i="18"/>
  <c r="Y423" i="18" s="1"/>
  <c r="Z423" i="18" s="1"/>
  <c r="W432" i="18"/>
  <c r="U435" i="18"/>
  <c r="Y435" i="18" s="1"/>
  <c r="Z435" i="18" s="1"/>
  <c r="W444" i="18"/>
  <c r="U447" i="18"/>
  <c r="Y447" i="18" s="1"/>
  <c r="X459" i="18"/>
  <c r="X462" i="18"/>
  <c r="X480" i="18"/>
  <c r="X507" i="18"/>
  <c r="Y12" i="18"/>
  <c r="Z12" i="18" s="1"/>
  <c r="Y36" i="18"/>
  <c r="Z36" i="18" s="1"/>
  <c r="Y48" i="18"/>
  <c r="Y84" i="18"/>
  <c r="Z84" i="18" s="1"/>
  <c r="Y96" i="18"/>
  <c r="Y108" i="18"/>
  <c r="Z108" i="18" s="1"/>
  <c r="Y132" i="18"/>
  <c r="Z132" i="18" s="1"/>
  <c r="Y144" i="18"/>
  <c r="Y156" i="18"/>
  <c r="Z156" i="18" s="1"/>
  <c r="Y180" i="18"/>
  <c r="Z180" i="18" s="1"/>
  <c r="Y192" i="18"/>
  <c r="Y228" i="18"/>
  <c r="Z228" i="18" s="1"/>
  <c r="Y240" i="18"/>
  <c r="Y276" i="18"/>
  <c r="Z276" i="18" s="1"/>
  <c r="Y288" i="18"/>
  <c r="Y324" i="18"/>
  <c r="Z324" i="18" s="1"/>
  <c r="Y360" i="18"/>
  <c r="Y372" i="18"/>
  <c r="Z372" i="18" s="1"/>
  <c r="Y408" i="18"/>
  <c r="Y420" i="18"/>
  <c r="Z420" i="18" s="1"/>
  <c r="X18" i="18"/>
  <c r="U21" i="18"/>
  <c r="X30" i="18"/>
  <c r="U33" i="18"/>
  <c r="Y33" i="18" s="1"/>
  <c r="Z33" i="18" s="1"/>
  <c r="X42" i="18"/>
  <c r="U45" i="18"/>
  <c r="X54" i="18"/>
  <c r="U57" i="18"/>
  <c r="Y57" i="18" s="1"/>
  <c r="Z57" i="18" s="1"/>
  <c r="X66" i="18"/>
  <c r="U69" i="18"/>
  <c r="X78" i="18"/>
  <c r="U81" i="18"/>
  <c r="Y81" i="18" s="1"/>
  <c r="Z81" i="18" s="1"/>
  <c r="X90" i="18"/>
  <c r="U93" i="18"/>
  <c r="X102" i="18"/>
  <c r="U105" i="18"/>
  <c r="Y105" i="18" s="1"/>
  <c r="Z105" i="18" s="1"/>
  <c r="X114" i="18"/>
  <c r="U117" i="18"/>
  <c r="X126" i="18"/>
  <c r="U129" i="18"/>
  <c r="Y129" i="18" s="1"/>
  <c r="Z129" i="18" s="1"/>
  <c r="X138" i="18"/>
  <c r="U141" i="18"/>
  <c r="X150" i="18"/>
  <c r="U153" i="18"/>
  <c r="Y153" i="18" s="1"/>
  <c r="Z153" i="18" s="1"/>
  <c r="X162" i="18"/>
  <c r="U165" i="18"/>
  <c r="X174" i="18"/>
  <c r="U177" i="18"/>
  <c r="Y177" i="18" s="1"/>
  <c r="Z177" i="18" s="1"/>
  <c r="X186" i="18"/>
  <c r="U189" i="18"/>
  <c r="X198" i="18"/>
  <c r="U201" i="18"/>
  <c r="Y201" i="18" s="1"/>
  <c r="Z201" i="18" s="1"/>
  <c r="X210" i="18"/>
  <c r="U213" i="18"/>
  <c r="X222" i="18"/>
  <c r="U225" i="18"/>
  <c r="Y225" i="18" s="1"/>
  <c r="Z225" i="18" s="1"/>
  <c r="X234" i="18"/>
  <c r="U237" i="18"/>
  <c r="X246" i="18"/>
  <c r="U249" i="18"/>
  <c r="Y249" i="18" s="1"/>
  <c r="Z249" i="18" s="1"/>
  <c r="X258" i="18"/>
  <c r="U261" i="18"/>
  <c r="X270" i="18"/>
  <c r="U273" i="18"/>
  <c r="Y273" i="18" s="1"/>
  <c r="Z273" i="18" s="1"/>
  <c r="X282" i="18"/>
  <c r="U285" i="18"/>
  <c r="X294" i="18"/>
  <c r="U297" i="18"/>
  <c r="Y297" i="18" s="1"/>
  <c r="Z297" i="18" s="1"/>
  <c r="X306" i="18"/>
  <c r="U309" i="18"/>
  <c r="X318" i="18"/>
  <c r="U321" i="18"/>
  <c r="Y321" i="18" s="1"/>
  <c r="Z321" i="18" s="1"/>
  <c r="X330" i="18"/>
  <c r="U333" i="18"/>
  <c r="Y333" i="18" s="1"/>
  <c r="X342" i="18"/>
  <c r="U345" i="18"/>
  <c r="Y345" i="18" s="1"/>
  <c r="Z345" i="18" s="1"/>
  <c r="X354" i="18"/>
  <c r="U357" i="18"/>
  <c r="Y357" i="18" s="1"/>
  <c r="X366" i="18"/>
  <c r="U369" i="18"/>
  <c r="Y369" i="18" s="1"/>
  <c r="Z369" i="18" s="1"/>
  <c r="X378" i="18"/>
  <c r="U381" i="18"/>
  <c r="X390" i="18"/>
  <c r="U393" i="18"/>
  <c r="Y393" i="18" s="1"/>
  <c r="Z393" i="18" s="1"/>
  <c r="X402" i="18"/>
  <c r="U405" i="18"/>
  <c r="Y405" i="18" s="1"/>
  <c r="Z405" i="18" s="1"/>
  <c r="X414" i="18"/>
  <c r="U417" i="18"/>
  <c r="Y417" i="18" s="1"/>
  <c r="Z417" i="18" s="1"/>
  <c r="X426" i="18"/>
  <c r="U429" i="18"/>
  <c r="X438" i="18"/>
  <c r="U441" i="18"/>
  <c r="Y441" i="18" s="1"/>
  <c r="Z441" i="18" s="1"/>
  <c r="V18" i="18"/>
  <c r="W21" i="18"/>
  <c r="V30" i="18"/>
  <c r="Y30" i="18" s="1"/>
  <c r="Z30" i="18" s="1"/>
  <c r="V42" i="18"/>
  <c r="Y42" i="18" s="1"/>
  <c r="Z42" i="18" s="1"/>
  <c r="V54" i="18"/>
  <c r="Y54" i="18" s="1"/>
  <c r="V66" i="18"/>
  <c r="V78" i="18"/>
  <c r="Y78" i="18" s="1"/>
  <c r="Z78" i="18" s="1"/>
  <c r="V90" i="18"/>
  <c r="Y90" i="18" s="1"/>
  <c r="Z90" i="18" s="1"/>
  <c r="V102" i="18"/>
  <c r="V114" i="18"/>
  <c r="V126" i="18"/>
  <c r="Y126" i="18" s="1"/>
  <c r="Z126" i="18" s="1"/>
  <c r="V138" i="18"/>
  <c r="Y138" i="18" s="1"/>
  <c r="Z138" i="18" s="1"/>
  <c r="V150" i="18"/>
  <c r="V162" i="18"/>
  <c r="V174" i="18"/>
  <c r="Y174" i="18" s="1"/>
  <c r="Z174" i="18" s="1"/>
  <c r="V186" i="18"/>
  <c r="Y186" i="18" s="1"/>
  <c r="Z186" i="18" s="1"/>
  <c r="V198" i="18"/>
  <c r="V210" i="18"/>
  <c r="V222" i="18"/>
  <c r="Y222" i="18" s="1"/>
  <c r="Z222" i="18" s="1"/>
  <c r="V234" i="18"/>
  <c r="Y234" i="18" s="1"/>
  <c r="Z234" i="18" s="1"/>
  <c r="V246" i="18"/>
  <c r="V258" i="18"/>
  <c r="V270" i="18"/>
  <c r="Y270" i="18" s="1"/>
  <c r="Z270" i="18" s="1"/>
  <c r="V282" i="18"/>
  <c r="Y282" i="18" s="1"/>
  <c r="Z282" i="18" s="1"/>
  <c r="V294" i="18"/>
  <c r="V306" i="18"/>
  <c r="V318" i="18"/>
  <c r="Y318" i="18" s="1"/>
  <c r="Z318" i="18" s="1"/>
  <c r="V330" i="18"/>
  <c r="Y330" i="18" s="1"/>
  <c r="Z330" i="18" s="1"/>
  <c r="V342" i="18"/>
  <c r="Y342" i="18" s="1"/>
  <c r="Z342" i="18" s="1"/>
  <c r="V354" i="18"/>
  <c r="V366" i="18"/>
  <c r="Y366" i="18" s="1"/>
  <c r="Z366" i="18" s="1"/>
  <c r="V378" i="18"/>
  <c r="V390" i="18"/>
  <c r="V402" i="18"/>
  <c r="V414" i="18"/>
  <c r="Y414" i="18" s="1"/>
  <c r="Z414" i="18" s="1"/>
  <c r="V426" i="18"/>
  <c r="Y426" i="18" s="1"/>
  <c r="Z426" i="18" s="1"/>
  <c r="V438" i="18"/>
  <c r="Y438" i="18" s="1"/>
  <c r="Z438" i="18" s="1"/>
  <c r="U165" i="17"/>
  <c r="V165" i="17" s="1"/>
  <c r="V300" i="17"/>
  <c r="V360" i="17"/>
  <c r="V408" i="17"/>
  <c r="U207" i="17"/>
  <c r="V207" i="17" s="1"/>
  <c r="U399" i="17"/>
  <c r="V399" i="17" s="1"/>
  <c r="S12" i="17"/>
  <c r="V12" i="17" s="1"/>
  <c r="T15" i="17"/>
  <c r="Q18" i="17"/>
  <c r="R21" i="17"/>
  <c r="U21" i="17" s="1"/>
  <c r="V21" i="17" s="1"/>
  <c r="S24" i="17"/>
  <c r="T27" i="17"/>
  <c r="Q30" i="17"/>
  <c r="U30" i="17" s="1"/>
  <c r="R33" i="17"/>
  <c r="U33" i="17" s="1"/>
  <c r="V33" i="17" s="1"/>
  <c r="S36" i="17"/>
  <c r="T39" i="17"/>
  <c r="Q42" i="17"/>
  <c r="U42" i="17" s="1"/>
  <c r="R45" i="17"/>
  <c r="U45" i="17" s="1"/>
  <c r="V45" i="17" s="1"/>
  <c r="S48" i="17"/>
  <c r="V48" i="17" s="1"/>
  <c r="T51" i="17"/>
  <c r="Q54" i="17"/>
  <c r="R57" i="17"/>
  <c r="U57" i="17" s="1"/>
  <c r="V57" i="17" s="1"/>
  <c r="S60" i="17"/>
  <c r="T63" i="17"/>
  <c r="Q66" i="17"/>
  <c r="U66" i="17" s="1"/>
  <c r="V66" i="17" s="1"/>
  <c r="R69" i="17"/>
  <c r="U69" i="17" s="1"/>
  <c r="V69" i="17" s="1"/>
  <c r="S72" i="17"/>
  <c r="T75" i="17"/>
  <c r="Q78" i="17"/>
  <c r="U78" i="17" s="1"/>
  <c r="V78" i="17" s="1"/>
  <c r="R81" i="17"/>
  <c r="U81" i="17" s="1"/>
  <c r="V81" i="17" s="1"/>
  <c r="S84" i="17"/>
  <c r="T87" i="17"/>
  <c r="Q90" i="17"/>
  <c r="U90" i="17" s="1"/>
  <c r="R93" i="17"/>
  <c r="U93" i="17" s="1"/>
  <c r="V93" i="17" s="1"/>
  <c r="S96" i="17"/>
  <c r="T99" i="17"/>
  <c r="Q102" i="17"/>
  <c r="R105" i="17"/>
  <c r="U105" i="17" s="1"/>
  <c r="V105" i="17" s="1"/>
  <c r="T111" i="17"/>
  <c r="Q114" i="17"/>
  <c r="U114" i="17" s="1"/>
  <c r="R117" i="17"/>
  <c r="U117" i="17" s="1"/>
  <c r="V117" i="17" s="1"/>
  <c r="S120" i="17"/>
  <c r="T123" i="17"/>
  <c r="Q126" i="17"/>
  <c r="U126" i="17" s="1"/>
  <c r="R129" i="17"/>
  <c r="U129" i="17" s="1"/>
  <c r="V129" i="17" s="1"/>
  <c r="S132" i="17"/>
  <c r="T135" i="17"/>
  <c r="Q138" i="17"/>
  <c r="U138" i="17" s="1"/>
  <c r="R141" i="17"/>
  <c r="U141" i="17" s="1"/>
  <c r="V141" i="17" s="1"/>
  <c r="S144" i="17"/>
  <c r="T147" i="17"/>
  <c r="Q150" i="17"/>
  <c r="R153" i="17"/>
  <c r="U153" i="17" s="1"/>
  <c r="V153" i="17" s="1"/>
  <c r="S156" i="17"/>
  <c r="V156" i="17" s="1"/>
  <c r="T159" i="17"/>
  <c r="Q162" i="17"/>
  <c r="U162" i="17" s="1"/>
  <c r="R165" i="17"/>
  <c r="S168" i="17"/>
  <c r="V168" i="17" s="1"/>
  <c r="T171" i="17"/>
  <c r="Q174" i="17"/>
  <c r="U174" i="17" s="1"/>
  <c r="R177" i="17"/>
  <c r="U177" i="17" s="1"/>
  <c r="V177" i="17" s="1"/>
  <c r="S180" i="17"/>
  <c r="V180" i="17" s="1"/>
  <c r="T183" i="17"/>
  <c r="Q186" i="17"/>
  <c r="U186" i="17" s="1"/>
  <c r="R189" i="17"/>
  <c r="U189" i="17" s="1"/>
  <c r="V189" i="17" s="1"/>
  <c r="S192" i="17"/>
  <c r="T195" i="17"/>
  <c r="Q198" i="17"/>
  <c r="U198" i="17" s="1"/>
  <c r="R201" i="17"/>
  <c r="U201" i="17" s="1"/>
  <c r="V201" i="17" s="1"/>
  <c r="T207" i="17"/>
  <c r="Q210" i="17"/>
  <c r="U210" i="17" s="1"/>
  <c r="V210" i="17" s="1"/>
  <c r="S216" i="17"/>
  <c r="T219" i="17"/>
  <c r="Q222" i="17"/>
  <c r="U222" i="17" s="1"/>
  <c r="V222" i="17" s="1"/>
  <c r="R225" i="17"/>
  <c r="U225" i="17" s="1"/>
  <c r="V225" i="17" s="1"/>
  <c r="S228" i="17"/>
  <c r="T231" i="17"/>
  <c r="Q234" i="17"/>
  <c r="U234" i="17" s="1"/>
  <c r="V234" i="17" s="1"/>
  <c r="R237" i="17"/>
  <c r="U237" i="17" s="1"/>
  <c r="V237" i="17" s="1"/>
  <c r="T243" i="17"/>
  <c r="Q246" i="17"/>
  <c r="U246" i="17" s="1"/>
  <c r="R249" i="17"/>
  <c r="U249" i="17" s="1"/>
  <c r="V249" i="17" s="1"/>
  <c r="T255" i="17"/>
  <c r="Q258" i="17"/>
  <c r="R261" i="17"/>
  <c r="U261" i="17" s="1"/>
  <c r="V261" i="17" s="1"/>
  <c r="T267" i="17"/>
  <c r="Q270" i="17"/>
  <c r="U270" i="17" s="1"/>
  <c r="R273" i="17"/>
  <c r="U273" i="17" s="1"/>
  <c r="V273" i="17" s="1"/>
  <c r="T279" i="17"/>
  <c r="Q282" i="17"/>
  <c r="U282" i="17" s="1"/>
  <c r="V282" i="17" s="1"/>
  <c r="R285" i="17"/>
  <c r="U285" i="17" s="1"/>
  <c r="V285" i="17" s="1"/>
  <c r="T291" i="17"/>
  <c r="Q294" i="17"/>
  <c r="U294" i="17" s="1"/>
  <c r="R297" i="17"/>
  <c r="U297" i="17" s="1"/>
  <c r="V297" i="17" s="1"/>
  <c r="T303" i="17"/>
  <c r="Q306" i="17"/>
  <c r="U306" i="17" s="1"/>
  <c r="V306" i="17" s="1"/>
  <c r="R309" i="17"/>
  <c r="U309" i="17" s="1"/>
  <c r="V309" i="17" s="1"/>
  <c r="S312" i="17"/>
  <c r="V312" i="17" s="1"/>
  <c r="T315" i="17"/>
  <c r="Q318" i="17"/>
  <c r="U318" i="17" s="1"/>
  <c r="S324" i="17"/>
  <c r="T327" i="17"/>
  <c r="Q330" i="17"/>
  <c r="U330" i="17" s="1"/>
  <c r="V330" i="17" s="1"/>
  <c r="T339" i="17"/>
  <c r="Q342" i="17"/>
  <c r="U342" i="17" s="1"/>
  <c r="V342" i="17" s="1"/>
  <c r="T351" i="17"/>
  <c r="Q354" i="17"/>
  <c r="T363" i="17"/>
  <c r="Q366" i="17"/>
  <c r="U366" i="17" s="1"/>
  <c r="V366" i="17" s="1"/>
  <c r="T375" i="17"/>
  <c r="Q378" i="17"/>
  <c r="T387" i="17"/>
  <c r="Q390" i="17"/>
  <c r="U390" i="17" s="1"/>
  <c r="V390" i="17" s="1"/>
  <c r="T399" i="17"/>
  <c r="Q402" i="17"/>
  <c r="U402" i="17" s="1"/>
  <c r="V402" i="17" s="1"/>
  <c r="T411" i="17"/>
  <c r="Q414" i="17"/>
  <c r="U414" i="17" s="1"/>
  <c r="T423" i="17"/>
  <c r="Q426" i="17"/>
  <c r="U426" i="17" s="1"/>
  <c r="V426" i="17" s="1"/>
  <c r="T435" i="17"/>
  <c r="Q438" i="17"/>
  <c r="U438" i="17" s="1"/>
  <c r="V438" i="17" s="1"/>
  <c r="R15" i="17"/>
  <c r="U15" i="17" s="1"/>
  <c r="V15" i="17" s="1"/>
  <c r="T21" i="17"/>
  <c r="Q24" i="17"/>
  <c r="U24" i="17" s="1"/>
  <c r="R27" i="17"/>
  <c r="S30" i="17"/>
  <c r="Q36" i="17"/>
  <c r="U36" i="17" s="1"/>
  <c r="V36" i="17" s="1"/>
  <c r="R39" i="17"/>
  <c r="U39" i="17" s="1"/>
  <c r="V39" i="17" s="1"/>
  <c r="S42" i="17"/>
  <c r="T45" i="17"/>
  <c r="R51" i="17"/>
  <c r="U51" i="17" s="1"/>
  <c r="V51" i="17" s="1"/>
  <c r="S54" i="17"/>
  <c r="T57" i="17"/>
  <c r="Q60" i="17"/>
  <c r="U60" i="17" s="1"/>
  <c r="R63" i="17"/>
  <c r="S66" i="17"/>
  <c r="Q72" i="17"/>
  <c r="U72" i="17" s="1"/>
  <c r="R75" i="17"/>
  <c r="U75" i="17" s="1"/>
  <c r="V75" i="17" s="1"/>
  <c r="T81" i="17"/>
  <c r="Q84" i="17"/>
  <c r="U84" i="17" s="1"/>
  <c r="R87" i="17"/>
  <c r="U87" i="17" s="1"/>
  <c r="V87" i="17" s="1"/>
  <c r="S90" i="17"/>
  <c r="T93" i="17"/>
  <c r="R99" i="17"/>
  <c r="S102" i="17"/>
  <c r="Q108" i="17"/>
  <c r="U108" i="17" s="1"/>
  <c r="V108" i="17" s="1"/>
  <c r="R111" i="17"/>
  <c r="U111" i="17" s="1"/>
  <c r="V111" i="17" s="1"/>
  <c r="S114" i="17"/>
  <c r="Q120" i="17"/>
  <c r="U120" i="17" s="1"/>
  <c r="R123" i="17"/>
  <c r="S126" i="17"/>
  <c r="T129" i="17"/>
  <c r="Q132" i="17"/>
  <c r="U132" i="17" s="1"/>
  <c r="R135" i="17"/>
  <c r="U135" i="17" s="1"/>
  <c r="V135" i="17" s="1"/>
  <c r="S138" i="17"/>
  <c r="Q144" i="17"/>
  <c r="U144" i="17" s="1"/>
  <c r="R147" i="17"/>
  <c r="U147" i="17" s="1"/>
  <c r="V147" i="17" s="1"/>
  <c r="S150" i="17"/>
  <c r="T153" i="17"/>
  <c r="R159" i="17"/>
  <c r="S162" i="17"/>
  <c r="R171" i="17"/>
  <c r="U171" i="17" s="1"/>
  <c r="V171" i="17" s="1"/>
  <c r="S174" i="17"/>
  <c r="T177" i="17"/>
  <c r="R183" i="17"/>
  <c r="U183" i="17" s="1"/>
  <c r="V183" i="17" s="1"/>
  <c r="S186" i="17"/>
  <c r="T189" i="17"/>
  <c r="R195" i="17"/>
  <c r="R207" i="17"/>
  <c r="R219" i="17"/>
  <c r="U219" i="17" s="1"/>
  <c r="V219" i="17" s="1"/>
  <c r="R231" i="17"/>
  <c r="U231" i="17" s="1"/>
  <c r="V231" i="17" s="1"/>
  <c r="R243" i="17"/>
  <c r="U243" i="17" s="1"/>
  <c r="V243" i="17" s="1"/>
  <c r="R255" i="17"/>
  <c r="R267" i="17"/>
  <c r="U267" i="17" s="1"/>
  <c r="V267" i="17" s="1"/>
  <c r="R279" i="17"/>
  <c r="U279" i="17" s="1"/>
  <c r="V279" i="17" s="1"/>
  <c r="R291" i="17"/>
  <c r="U291" i="17" s="1"/>
  <c r="V291" i="17" s="1"/>
  <c r="R303" i="17"/>
  <c r="U303" i="17" s="1"/>
  <c r="V303" i="17" s="1"/>
  <c r="R315" i="17"/>
  <c r="U315" i="17" s="1"/>
  <c r="V315" i="17" s="1"/>
  <c r="R327" i="17"/>
  <c r="U327" i="17" s="1"/>
  <c r="V327" i="17" s="1"/>
  <c r="R339" i="17"/>
  <c r="U339" i="17" s="1"/>
  <c r="V339" i="17" s="1"/>
  <c r="R351" i="17"/>
  <c r="R363" i="17"/>
  <c r="U363" i="17" s="1"/>
  <c r="V363" i="17" s="1"/>
  <c r="R375" i="17"/>
  <c r="U375" i="17" s="1"/>
  <c r="V375" i="17" s="1"/>
  <c r="R387" i="17"/>
  <c r="U387" i="17" s="1"/>
  <c r="V387" i="17" s="1"/>
  <c r="R399" i="17"/>
  <c r="R411" i="17"/>
  <c r="U411" i="17" s="1"/>
  <c r="V411" i="17" s="1"/>
  <c r="R423" i="17"/>
  <c r="U423" i="17" s="1"/>
  <c r="V423" i="17" s="1"/>
  <c r="R435" i="17"/>
  <c r="U435" i="17" s="1"/>
  <c r="V435" i="17" s="1"/>
  <c r="U393" i="17" l="1"/>
  <c r="V393" i="17" s="1"/>
  <c r="V132" i="17"/>
  <c r="U27" i="17"/>
  <c r="V27" i="17" s="1"/>
  <c r="V414" i="17"/>
  <c r="V246" i="17"/>
  <c r="U102" i="17"/>
  <c r="U54" i="17"/>
  <c r="Z360" i="18"/>
  <c r="Z303" i="18"/>
  <c r="Z231" i="18"/>
  <c r="V252" i="17"/>
  <c r="U369" i="17"/>
  <c r="V369" i="17" s="1"/>
  <c r="U213" i="17"/>
  <c r="V213" i="17" s="1"/>
  <c r="V264" i="17"/>
  <c r="V120" i="17"/>
  <c r="V324" i="17"/>
  <c r="V294" i="17"/>
  <c r="U18" i="17"/>
  <c r="V18" i="17" s="1"/>
  <c r="Z408" i="18"/>
  <c r="Z447" i="18"/>
  <c r="Z255" i="18"/>
  <c r="U195" i="17"/>
  <c r="V195" i="17" s="1"/>
  <c r="U159" i="17"/>
  <c r="V159" i="17" s="1"/>
  <c r="V144" i="17"/>
  <c r="U99" i="17"/>
  <c r="V99" i="17" s="1"/>
  <c r="V318" i="17"/>
  <c r="U258" i="17"/>
  <c r="V258" i="17" s="1"/>
  <c r="V216" i="17"/>
  <c r="V198" i="17"/>
  <c r="V186" i="17"/>
  <c r="V162" i="17"/>
  <c r="U150" i="17"/>
  <c r="V150" i="17" s="1"/>
  <c r="Y402" i="18"/>
  <c r="Z402" i="18" s="1"/>
  <c r="Y354" i="18"/>
  <c r="Z354" i="18" s="1"/>
  <c r="Y306" i="18"/>
  <c r="Z306" i="18" s="1"/>
  <c r="Y258" i="18"/>
  <c r="Z258" i="18" s="1"/>
  <c r="Y210" i="18"/>
  <c r="Z210" i="18" s="1"/>
  <c r="Y162" i="18"/>
  <c r="Z162" i="18" s="1"/>
  <c r="Y114" i="18"/>
  <c r="Z114" i="18" s="1"/>
  <c r="Y66" i="18"/>
  <c r="Z66" i="18" s="1"/>
  <c r="Y429" i="18"/>
  <c r="Z429" i="18" s="1"/>
  <c r="Y381" i="18"/>
  <c r="Z381" i="18" s="1"/>
  <c r="Z357" i="18"/>
  <c r="Z333" i="18"/>
  <c r="Y309" i="18"/>
  <c r="Z309" i="18" s="1"/>
  <c r="Y285" i="18"/>
  <c r="Z285" i="18" s="1"/>
  <c r="Y261" i="18"/>
  <c r="Z261" i="18" s="1"/>
  <c r="Y237" i="18"/>
  <c r="Z237" i="18" s="1"/>
  <c r="Y213" i="18"/>
  <c r="Z213" i="18" s="1"/>
  <c r="Y189" i="18"/>
  <c r="Z189" i="18" s="1"/>
  <c r="Y165" i="18"/>
  <c r="Z165" i="18" s="1"/>
  <c r="Y141" i="18"/>
  <c r="Z141" i="18" s="1"/>
  <c r="Y117" i="18"/>
  <c r="Z117" i="18" s="1"/>
  <c r="Y93" i="18"/>
  <c r="Z93" i="18" s="1"/>
  <c r="Y69" i="18"/>
  <c r="Z69" i="18" s="1"/>
  <c r="Y45" i="18"/>
  <c r="Z45" i="18" s="1"/>
  <c r="Y21" i="18"/>
  <c r="Z399" i="18"/>
  <c r="Z327" i="18"/>
  <c r="Z15" i="18"/>
  <c r="U432" i="17"/>
  <c r="V432" i="17" s="1"/>
  <c r="U336" i="17"/>
  <c r="V336" i="17" s="1"/>
  <c r="U441" i="17"/>
  <c r="V441" i="17" s="1"/>
  <c r="U345" i="17"/>
  <c r="V345" i="17" s="1"/>
  <c r="Z279" i="18"/>
  <c r="Z207" i="18"/>
  <c r="Y39" i="18"/>
  <c r="Z39" i="18" s="1"/>
  <c r="U63" i="17"/>
  <c r="V63" i="17" s="1"/>
  <c r="U378" i="17"/>
  <c r="V378" i="17" s="1"/>
  <c r="U354" i="17"/>
  <c r="V354" i="17" s="1"/>
  <c r="V270" i="17"/>
  <c r="V96" i="17"/>
  <c r="Y390" i="18"/>
  <c r="Z390" i="18" s="1"/>
  <c r="Y294" i="18"/>
  <c r="Z294" i="18" s="1"/>
  <c r="Y246" i="18"/>
  <c r="Z246" i="18" s="1"/>
  <c r="Y198" i="18"/>
  <c r="Z198" i="18" s="1"/>
  <c r="Y150" i="18"/>
  <c r="Z150" i="18" s="1"/>
  <c r="Y102" i="18"/>
  <c r="Z102" i="18" s="1"/>
  <c r="Z54" i="18"/>
  <c r="Y18" i="18"/>
  <c r="Z18" i="18" s="1"/>
  <c r="Z288" i="18"/>
  <c r="Z240" i="18"/>
  <c r="Z192" i="18"/>
  <c r="Z144" i="18"/>
  <c r="Z96" i="18"/>
  <c r="Z48" i="18"/>
  <c r="Z171" i="18"/>
  <c r="Z147" i="18"/>
  <c r="Z123" i="18"/>
  <c r="Z99" i="18"/>
  <c r="Z75" i="18"/>
  <c r="V405" i="17"/>
  <c r="U417" i="17"/>
  <c r="V417" i="17" s="1"/>
  <c r="V204" i="17"/>
  <c r="Z21" i="18"/>
  <c r="V114" i="17"/>
  <c r="V72" i="17"/>
  <c r="V102" i="17"/>
  <c r="V90" i="17"/>
  <c r="V54" i="17"/>
  <c r="V42" i="17"/>
  <c r="V30" i="17"/>
  <c r="V84" i="17"/>
  <c r="V24" i="17"/>
  <c r="V60" i="17"/>
  <c r="V174" i="17"/>
  <c r="V138" i="17"/>
  <c r="V126" i="17"/>
  <c r="D257" i="15" l="1"/>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c r="D52" i="15"/>
  <c r="E52" i="15" s="1"/>
  <c r="D51" i="15"/>
  <c r="E51" i="15" s="1"/>
  <c r="D50" i="15"/>
  <c r="E50" i="15" s="1"/>
  <c r="D49" i="15"/>
  <c r="E49" i="15" s="1"/>
  <c r="D48" i="15"/>
  <c r="E48" i="15" s="1"/>
  <c r="D47" i="15"/>
  <c r="E47" i="15" s="1"/>
  <c r="D46" i="15"/>
  <c r="E46" i="15" s="1"/>
  <c r="D45" i="15"/>
  <c r="E45" i="15"/>
  <c r="D44" i="15"/>
  <c r="E44" i="15" s="1"/>
  <c r="D43" i="15"/>
  <c r="E43" i="15" s="1"/>
  <c r="D42" i="15"/>
  <c r="E42" i="15" s="1"/>
  <c r="D41" i="15"/>
  <c r="E41" i="15" s="1"/>
  <c r="D40" i="15"/>
  <c r="E40" i="15" s="1"/>
  <c r="D39" i="15"/>
  <c r="E39" i="15" s="1"/>
  <c r="D38" i="15"/>
  <c r="E38" i="15" s="1"/>
  <c r="D37" i="15"/>
  <c r="E37" i="15" s="1"/>
  <c r="D36" i="15"/>
  <c r="E36" i="15" s="1"/>
  <c r="D35" i="15"/>
  <c r="E35" i="15" s="1"/>
  <c r="D34" i="15"/>
  <c r="E34" i="15" s="1"/>
  <c r="D33" i="15"/>
  <c r="E33" i="15" s="1"/>
  <c r="D32" i="15"/>
  <c r="E32" i="15" s="1"/>
  <c r="D31" i="15"/>
  <c r="E31" i="15" s="1"/>
  <c r="D30" i="15"/>
  <c r="E30" i="15" s="1"/>
  <c r="D29" i="15"/>
  <c r="E29" i="15" s="1"/>
  <c r="D28" i="15"/>
  <c r="E28" i="15" s="1"/>
  <c r="D27" i="15"/>
  <c r="E27" i="15" s="1"/>
  <c r="D26" i="15"/>
  <c r="E26" i="15" s="1"/>
  <c r="D25" i="15"/>
  <c r="E25" i="15" s="1"/>
  <c r="D24" i="15"/>
  <c r="E24" i="15" s="1"/>
  <c r="D23" i="15"/>
  <c r="E23" i="15" s="1"/>
  <c r="D22" i="15"/>
  <c r="E22" i="15" s="1"/>
  <c r="D21" i="15"/>
  <c r="E21" i="15"/>
  <c r="D20" i="15"/>
  <c r="E20" i="15" s="1"/>
  <c r="D19" i="15"/>
  <c r="E19" i="15" s="1"/>
  <c r="D18" i="15"/>
  <c r="E18" i="15" s="1"/>
  <c r="D17" i="15"/>
  <c r="E17" i="15" s="1"/>
  <c r="D16" i="15"/>
  <c r="E16" i="15" s="1"/>
  <c r="D15" i="15"/>
  <c r="E15" i="15" s="1"/>
  <c r="D14" i="15"/>
  <c r="E14" i="15" s="1"/>
  <c r="D13" i="15"/>
  <c r="E13" i="15"/>
  <c r="D12" i="15"/>
  <c r="E12" i="15" s="1"/>
  <c r="D11" i="15"/>
  <c r="E11" i="15" s="1"/>
  <c r="D10" i="15"/>
  <c r="E10" i="15" s="1"/>
  <c r="D9" i="15"/>
  <c r="E9" i="15" s="1"/>
  <c r="D8" i="15"/>
  <c r="E8" i="15" s="1"/>
  <c r="D7" i="15"/>
  <c r="E7" i="15" s="1"/>
  <c r="D6" i="15"/>
  <c r="E6" i="15" s="1"/>
  <c r="D5" i="15"/>
  <c r="E5" i="15" s="1"/>
  <c r="D4" i="15"/>
  <c r="E4" i="15" s="1"/>
  <c r="D3" i="15"/>
  <c r="E3" i="15" s="1"/>
  <c r="H42" i="14"/>
  <c r="G43" i="14" s="1"/>
  <c r="D42" i="14"/>
  <c r="Q41" i="14"/>
  <c r="P41" i="14"/>
  <c r="P42" i="14" s="1"/>
  <c r="O41" i="14"/>
  <c r="O44" i="14" s="1"/>
  <c r="M41" i="14"/>
  <c r="L41" i="14"/>
  <c r="L42" i="14" s="1"/>
  <c r="K41" i="14"/>
  <c r="K44" i="14"/>
  <c r="I41" i="14"/>
  <c r="H41" i="14"/>
  <c r="G41" i="14"/>
  <c r="D41" i="14"/>
  <c r="D44" i="14" s="1"/>
  <c r="C41" i="14"/>
  <c r="C42" i="14" s="1"/>
  <c r="B41" i="14"/>
  <c r="Q40" i="14"/>
  <c r="Q42" i="14" s="1"/>
  <c r="M40" i="14"/>
  <c r="M42" i="14" s="1"/>
  <c r="I40" i="14"/>
  <c r="I42" i="14" s="1"/>
  <c r="D40" i="14"/>
  <c r="I44" i="14"/>
  <c r="K43" i="14"/>
  <c r="I43" i="14"/>
  <c r="S17" i="13"/>
  <c r="R17" i="13"/>
  <c r="Q17" i="13"/>
  <c r="P17" i="13"/>
  <c r="O17" i="13"/>
  <c r="N17" i="13"/>
  <c r="M17" i="13"/>
  <c r="L17" i="13"/>
  <c r="K17" i="13"/>
  <c r="J17" i="13"/>
  <c r="I17" i="13"/>
  <c r="H17" i="13"/>
  <c r="G17" i="13"/>
  <c r="F17" i="13"/>
  <c r="E17" i="13"/>
  <c r="D17" i="13"/>
  <c r="C17" i="13"/>
  <c r="S11" i="13"/>
  <c r="R11" i="13"/>
  <c r="Q11" i="13"/>
  <c r="P11" i="13"/>
  <c r="O11" i="13"/>
  <c r="N11" i="13"/>
  <c r="M11" i="13"/>
  <c r="L11" i="13"/>
  <c r="K11" i="13"/>
  <c r="J11" i="13"/>
  <c r="I11" i="13"/>
  <c r="H11" i="13"/>
  <c r="G11" i="13"/>
  <c r="F11" i="13"/>
  <c r="E11" i="13"/>
  <c r="D11" i="13"/>
  <c r="C11" i="13"/>
  <c r="S5" i="13"/>
  <c r="R5" i="13"/>
  <c r="Q5" i="13"/>
  <c r="P5" i="13"/>
  <c r="O5" i="13"/>
  <c r="N5" i="13"/>
  <c r="M5" i="13"/>
  <c r="L5" i="13"/>
  <c r="K5" i="13"/>
  <c r="J5" i="13"/>
  <c r="I5" i="13"/>
  <c r="H5" i="13"/>
  <c r="G5" i="13"/>
  <c r="F5" i="13"/>
  <c r="E5" i="13"/>
  <c r="D5" i="13"/>
  <c r="C5" i="13"/>
  <c r="U3" i="13" l="1"/>
  <c r="V3" i="13"/>
  <c r="V9" i="13"/>
  <c r="U15" i="13"/>
  <c r="G44" i="14"/>
  <c r="O43" i="14"/>
  <c r="D43" i="14"/>
  <c r="T3" i="13"/>
  <c r="X3" i="13" s="1"/>
  <c r="T9" i="13"/>
  <c r="Q44" i="14"/>
  <c r="Q43" i="14"/>
  <c r="W15" i="13"/>
  <c r="T15" i="13"/>
  <c r="M44" i="14"/>
  <c r="M43" i="14"/>
  <c r="W9" i="13"/>
  <c r="V15" i="13"/>
  <c r="B44" i="14"/>
  <c r="B43" i="14"/>
  <c r="W3" i="13"/>
  <c r="U9" i="13"/>
  <c r="X15" i="13" l="1"/>
  <c r="X9"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abhijit</author>
  </authors>
  <commentList>
    <comment ref="J6" authorId="0" shapeId="0" xr:uid="{BFADB668-CAEB-42A0-BAF8-6CFAAA8C0731}">
      <text>
        <r>
          <rPr>
            <b/>
            <sz val="9"/>
            <color indexed="81"/>
            <rFont val="Tahoma"/>
            <family val="2"/>
          </rPr>
          <t>abhijit:</t>
        </r>
        <r>
          <rPr>
            <sz val="9"/>
            <color indexed="81"/>
            <rFont val="Tahoma"/>
            <family val="2"/>
          </rPr>
          <t xml:space="preserve">
Enter entries:
E.g. 0</t>
        </r>
      </text>
    </comment>
    <comment ref="J16" authorId="0" shapeId="0" xr:uid="{1033D879-F3DE-41A6-9E27-5812D4CE076C}">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<sst xmlns="http://schemas.openxmlformats.org/spreadsheetml/2006/main" count="2283" uniqueCount="261">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</sst>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51"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36"/>
      <color rgb="FF000000"/>
      <name val="Calibri"/>
      <family val="2"/>
    </font>
    <font>
      <b/>
      <u/>
      <sz val="14"/>
      <color rgb="FF0066CC"/>
      <name val="Calibri"/>
      <family val="2"/>
    </font>
    <font>
      <b/>
      <sz val="16"/>
      <color rgb="FFFF0000"/>
      <name val="Calibri"/>
      <family val="2"/>
    </font>
    <font>
      <b/>
      <u/>
      <sz val="14"/>
      <color rgb="FF339966"/>
      <name val="Calibri"/>
      <family val="2"/>
    </font>
    <font>
      <b/>
      <sz val="14"/>
      <color rgb="FF000000"/>
      <name val="Calibri"/>
      <family val="2"/>
    </font>
    <font>
      <b/>
      <sz val="14"/>
      <color rgb="FF00CCFF"/>
      <name val="Calibri"/>
      <family val="2"/>
    </font>
    <font>
      <b/>
      <sz val="12"/>
      <color rgb="FF0000FF"/>
      <name val="Calibri"/>
      <family val="2"/>
    </font>
    <font>
      <sz val="9"/>
      <color indexed="81"/>
      <name val="Tahoma"/>
      <family val="2"/>
    </font>
    <font>
      <b/>
      <sz val="9"/>
      <color indexed="81"/>
      <name val="Tahoma"/>
      <family val="2"/>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s>
  <cellStyleXfs count="2">
    <xf numFmtId="0" fontId="0" fillId="0" borderId="0"/>
    <xf numFmtId="0" fontId="6" fillId="0" borderId="0"/>
  </cellStyleXfs>
  <cellXfs count="458">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0" fontId="6" fillId="0" borderId="9" xfId="0" applyFont="1" applyBorder="1" applyAlignment="1">
      <alignment horizontal="center"/>
    </xf>
    <xf numFmtId="0" fontId="14" fillId="2" borderId="0" xfId="0" applyFont="1" applyFill="1" applyAlignment="1">
      <alignment horizontal="left" vertical="center"/>
    </xf>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24" fillId="0" borderId="56" xfId="0" applyFont="1" applyBorder="1" applyAlignment="1">
      <alignment horizontal="center" vertical="top" wrapText="1"/>
    </xf>
    <xf numFmtId="0" fontId="24" fillId="0" borderId="35" xfId="0" applyFont="1" applyBorder="1" applyAlignment="1">
      <alignment horizontal="center" vertical="top" wrapText="1"/>
    </xf>
    <xf numFmtId="0" fontId="0" fillId="0" borderId="9" xfId="0" applyBorder="1" applyAlignment="1">
      <alignment horizontal="center" vertical="center"/>
    </xf>
    <xf numFmtId="1" fontId="0" fillId="15" borderId="0" xfId="0" applyNumberFormat="1" applyFill="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xr:uid="{00000000-0005-0000-0000-000001000000}"/>
  </cellStyles>
  <dxfs count="172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4</xdr:row>
          <xdr:rowOff>152400</xdr:rowOff>
        </xdr:from>
        <xdr:to>
          <xdr:col>5</xdr:col>
          <xdr:colOff>411480</xdr:colOff>
          <xdr:row>8</xdr:row>
          <xdr:rowOff>137160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4</xdr:row>
          <xdr:rowOff>144780</xdr:rowOff>
        </xdr:from>
        <xdr:to>
          <xdr:col>9</xdr:col>
          <xdr:colOff>0</xdr:colOff>
          <xdr:row>7</xdr:row>
          <xdr:rowOff>91440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8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66CC"/>
                  </a:solidFill>
                  <a:latin typeface="Calibri"/>
                  <a:cs typeface="Calibri"/>
                </a:rPr>
                <a:t>CALC</a:t>
              </a:r>
            </a:p>
            <a:p>
              <a:pPr algn="ctr" rtl="0">
                <a:defRPr sz="1000"/>
              </a:pPr>
              <a:r>
                <a:rPr lang="en-US" sz="1400" b="1" i="0" u="sng" strike="noStrike" baseline="0">
                  <a:solidFill>
                    <a:srgbClr val="0066CC"/>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xdr:row>
          <xdr:rowOff>22860</xdr:rowOff>
        </xdr:from>
        <xdr:to>
          <xdr:col>8</xdr:col>
          <xdr:colOff>662940</xdr:colOff>
          <xdr:row>3</xdr:row>
          <xdr:rowOff>22860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8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11</xdr:row>
          <xdr:rowOff>236220</xdr:rowOff>
        </xdr:from>
        <xdr:to>
          <xdr:col>8</xdr:col>
          <xdr:colOff>662940</xdr:colOff>
          <xdr:row>12</xdr:row>
          <xdr:rowOff>289560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8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14</xdr:row>
          <xdr:rowOff>114300</xdr:rowOff>
        </xdr:from>
        <xdr:to>
          <xdr:col>9</xdr:col>
          <xdr:colOff>7620</xdr:colOff>
          <xdr:row>17</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8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cs typeface="Calibri"/>
                </a:rPr>
                <a:t>CALC</a:t>
              </a:r>
            </a:p>
            <a:p>
              <a:pPr algn="ctr" rtl="0">
                <a:defRPr sz="1000"/>
              </a:pPr>
              <a:r>
                <a:rPr lang="en-US" sz="1400" b="1" i="0" u="sng" strike="noStrike" baseline="0">
                  <a:solidFill>
                    <a:srgbClr val="339966"/>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3</xdr:row>
          <xdr:rowOff>30480</xdr:rowOff>
        </xdr:from>
        <xdr:to>
          <xdr:col>9</xdr:col>
          <xdr:colOff>0</xdr:colOff>
          <xdr:row>4</xdr:row>
          <xdr:rowOff>137160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13</xdr:col>
          <xdr:colOff>152400</xdr:colOff>
          <xdr:row>3</xdr:row>
          <xdr:rowOff>198120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8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12</xdr:row>
          <xdr:rowOff>7620</xdr:rowOff>
        </xdr:from>
        <xdr:to>
          <xdr:col>13</xdr:col>
          <xdr:colOff>160020</xdr:colOff>
          <xdr:row>14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8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14</xdr:row>
          <xdr:rowOff>7620</xdr:rowOff>
        </xdr:from>
        <xdr:to>
          <xdr:col>15</xdr:col>
          <xdr:colOff>335280</xdr:colOff>
          <xdr:row>16</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2</xdr:row>
          <xdr:rowOff>0</xdr:rowOff>
        </xdr:from>
        <xdr:to>
          <xdr:col>15</xdr:col>
          <xdr:colOff>335280</xdr:colOff>
          <xdr:row>3</xdr:row>
          <xdr:rowOff>160020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800-00001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396240</xdr:colOff>
          <xdr:row>13</xdr:row>
          <xdr:rowOff>0</xdr:rowOff>
        </xdr:from>
        <xdr:to>
          <xdr:col>9</xdr:col>
          <xdr:colOff>0</xdr:colOff>
          <xdr:row>14</xdr:row>
          <xdr:rowOff>106680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800-00002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 (Pass)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12</xdr:row>
          <xdr:rowOff>0</xdr:rowOff>
        </xdr:from>
        <xdr:to>
          <xdr:col>15</xdr:col>
          <xdr:colOff>335280</xdr:colOff>
          <xdr:row>13</xdr:row>
          <xdr:rowOff>160020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800-00002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 dates</a:t>
              </a:r>
            </a:p>
            <a:p>
              <a:pPr algn="ctr" rtl="0">
                <a:defRPr sz="1000"/>
              </a:pPr>
              <a:r>
                <a:rPr lang="en-US" sz="1400" b="1"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xdr:colOff>
          <xdr:row>4</xdr:row>
          <xdr:rowOff>7620</xdr:rowOff>
        </xdr:from>
        <xdr:to>
          <xdr:col>15</xdr:col>
          <xdr:colOff>335280</xdr:colOff>
          <xdr:row>6</xdr:row>
          <xdr:rowOff>83820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8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4.x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I12" sqref="I12"/>
    </sheetView>
  </sheetViews>
  <sheetFormatPr defaultColWidth="11" defaultRowHeight="15.6" x14ac:dyDescent="0.3"/>
  <sheetData>
    <row r="1" spans="1:20" s="2" customFormat="1" ht="13.2" x14ac:dyDescent="0.25">
      <c r="A1" s="420" t="s">
        <v>11</v>
      </c>
      <c r="B1" s="421"/>
      <c r="C1" s="421"/>
      <c r="D1" s="421"/>
      <c r="E1" s="421"/>
      <c r="F1" s="421"/>
      <c r="G1" s="422"/>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423" t="s">
        <v>15</v>
      </c>
      <c r="G3" s="424"/>
      <c r="H3" s="12"/>
      <c r="I3" s="12"/>
      <c r="J3" s="12"/>
      <c r="K3" s="12"/>
      <c r="L3" s="12"/>
      <c r="M3" s="12"/>
      <c r="N3" s="12"/>
      <c r="O3" s="12"/>
      <c r="P3" s="12"/>
      <c r="Q3" s="12"/>
      <c r="R3" s="12"/>
      <c r="S3" s="12"/>
      <c r="T3" s="13"/>
    </row>
    <row r="4" spans="1:20" x14ac:dyDescent="0.3">
      <c r="A4" s="10" t="s">
        <v>16</v>
      </c>
      <c r="B4" s="11"/>
      <c r="C4" s="6"/>
      <c r="D4" s="6"/>
      <c r="E4" s="6"/>
      <c r="F4" s="423" t="s">
        <v>17</v>
      </c>
      <c r="G4" s="424"/>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416"/>
      <c r="B13" s="24" t="s">
        <v>32</v>
      </c>
      <c r="C13" s="25"/>
      <c r="D13" s="24" t="s">
        <v>33</v>
      </c>
      <c r="E13" s="26"/>
      <c r="F13" s="419"/>
      <c r="G13" s="27"/>
      <c r="H13" s="28"/>
      <c r="I13" s="29"/>
      <c r="J13" s="28"/>
      <c r="K13" s="28"/>
      <c r="L13" s="28"/>
      <c r="M13" s="28"/>
      <c r="N13" s="28"/>
      <c r="O13" s="28"/>
      <c r="P13" s="28"/>
      <c r="Q13" s="28"/>
      <c r="R13" s="28"/>
      <c r="S13" s="28"/>
      <c r="T13" s="13"/>
    </row>
    <row r="14" spans="1:20" x14ac:dyDescent="0.3">
      <c r="A14" s="417"/>
      <c r="B14" s="24" t="s">
        <v>34</v>
      </c>
      <c r="C14" s="25"/>
      <c r="D14" s="24" t="s">
        <v>33</v>
      </c>
      <c r="E14" s="26"/>
      <c r="F14" s="419"/>
      <c r="G14" s="27"/>
      <c r="H14" s="28"/>
      <c r="I14" s="29"/>
      <c r="J14" s="28"/>
      <c r="K14" s="28"/>
      <c r="L14" s="28"/>
      <c r="M14" s="28"/>
      <c r="N14" s="28"/>
      <c r="O14" s="28"/>
      <c r="P14" s="28"/>
      <c r="Q14" s="28"/>
      <c r="R14" s="28"/>
      <c r="S14" s="28"/>
      <c r="T14" s="13"/>
    </row>
    <row r="15" spans="1:20" x14ac:dyDescent="0.3">
      <c r="A15" s="417"/>
      <c r="B15" s="24" t="s">
        <v>35</v>
      </c>
      <c r="C15" s="25"/>
      <c r="D15" s="24" t="s">
        <v>33</v>
      </c>
      <c r="E15" s="26"/>
      <c r="F15" s="419"/>
      <c r="G15" s="27"/>
      <c r="H15" s="28"/>
      <c r="I15" s="29"/>
      <c r="J15" s="28"/>
      <c r="K15" s="28"/>
      <c r="L15" s="28"/>
      <c r="M15" s="28"/>
      <c r="N15" s="28"/>
      <c r="O15" s="28"/>
      <c r="P15" s="28"/>
      <c r="Q15" s="28"/>
      <c r="R15" s="28"/>
      <c r="S15" s="28"/>
      <c r="T15" s="13"/>
    </row>
    <row r="16" spans="1:20" x14ac:dyDescent="0.3">
      <c r="A16" s="417"/>
      <c r="B16" s="24" t="s">
        <v>36</v>
      </c>
      <c r="C16" s="25"/>
      <c r="D16" s="24" t="s">
        <v>33</v>
      </c>
      <c r="E16" s="26"/>
      <c r="F16" s="419"/>
      <c r="G16" s="27"/>
      <c r="H16" s="28"/>
      <c r="I16" s="29"/>
      <c r="J16" s="28"/>
      <c r="K16" s="28"/>
      <c r="L16" s="28"/>
      <c r="M16" s="28"/>
      <c r="N16" s="28"/>
      <c r="O16" s="28"/>
      <c r="P16" s="28"/>
      <c r="Q16" s="28"/>
      <c r="R16" s="28"/>
      <c r="S16" s="28"/>
      <c r="T16" s="13"/>
    </row>
    <row r="17" spans="1:20" x14ac:dyDescent="0.3">
      <c r="A17" s="418"/>
      <c r="B17" s="24" t="s">
        <v>37</v>
      </c>
      <c r="C17" s="25"/>
      <c r="D17" s="24" t="s">
        <v>33</v>
      </c>
      <c r="E17" s="26"/>
      <c r="F17" s="419"/>
      <c r="G17" s="27"/>
      <c r="H17" s="28"/>
      <c r="I17" s="29"/>
      <c r="J17" s="28"/>
      <c r="K17" s="28"/>
      <c r="L17" s="28"/>
      <c r="M17" s="28"/>
      <c r="N17" s="28"/>
      <c r="O17" s="28"/>
      <c r="P17" s="28"/>
      <c r="Q17" s="28"/>
      <c r="R17" s="28"/>
      <c r="S17" s="28"/>
      <c r="T17" s="13"/>
    </row>
    <row r="18" spans="1:20" x14ac:dyDescent="0.3">
      <c r="A18" s="416"/>
      <c r="B18" s="24" t="s">
        <v>32</v>
      </c>
      <c r="C18" s="25"/>
      <c r="D18" s="24" t="s">
        <v>33</v>
      </c>
      <c r="E18" s="26"/>
      <c r="F18" s="419"/>
      <c r="G18" s="27"/>
    </row>
    <row r="19" spans="1:20" x14ac:dyDescent="0.3">
      <c r="A19" s="417"/>
      <c r="B19" s="24" t="s">
        <v>34</v>
      </c>
      <c r="C19" s="25"/>
      <c r="D19" s="24" t="s">
        <v>33</v>
      </c>
      <c r="E19" s="26"/>
      <c r="F19" s="419"/>
      <c r="G19" s="27"/>
    </row>
    <row r="20" spans="1:20" x14ac:dyDescent="0.3">
      <c r="A20" s="417"/>
      <c r="B20" s="24" t="s">
        <v>35</v>
      </c>
      <c r="C20" s="25"/>
      <c r="D20" s="24" t="s">
        <v>33</v>
      </c>
      <c r="E20" s="26"/>
      <c r="F20" s="419"/>
      <c r="G20" s="27"/>
    </row>
    <row r="21" spans="1:20" x14ac:dyDescent="0.3">
      <c r="A21" s="417"/>
      <c r="B21" s="24" t="s">
        <v>36</v>
      </c>
      <c r="C21" s="25"/>
      <c r="D21" s="24" t="s">
        <v>33</v>
      </c>
      <c r="E21" s="26"/>
      <c r="F21" s="419"/>
      <c r="G21" s="27"/>
    </row>
    <row r="22" spans="1:20" x14ac:dyDescent="0.3">
      <c r="A22" s="418"/>
      <c r="B22" s="24" t="s">
        <v>37</v>
      </c>
      <c r="C22" s="25"/>
      <c r="D22" s="24" t="s">
        <v>33</v>
      </c>
      <c r="E22" s="26"/>
      <c r="F22" s="419"/>
      <c r="G22" s="27"/>
    </row>
    <row r="23" spans="1:20" x14ac:dyDescent="0.3">
      <c r="A23" s="416"/>
      <c r="B23" s="24" t="s">
        <v>32</v>
      </c>
      <c r="C23" s="25"/>
      <c r="D23" s="24" t="s">
        <v>33</v>
      </c>
      <c r="E23" s="26"/>
      <c r="F23" s="419"/>
      <c r="G23" s="27"/>
    </row>
    <row r="24" spans="1:20" x14ac:dyDescent="0.3">
      <c r="A24" s="417"/>
      <c r="B24" s="24" t="s">
        <v>34</v>
      </c>
      <c r="C24" s="25"/>
      <c r="D24" s="24" t="s">
        <v>33</v>
      </c>
      <c r="E24" s="26"/>
      <c r="F24" s="419"/>
      <c r="G24" s="27"/>
    </row>
    <row r="25" spans="1:20" x14ac:dyDescent="0.3">
      <c r="A25" s="417"/>
      <c r="B25" s="24" t="s">
        <v>35</v>
      </c>
      <c r="C25" s="25"/>
      <c r="D25" s="24" t="s">
        <v>33</v>
      </c>
      <c r="E25" s="26"/>
      <c r="F25" s="419"/>
      <c r="G25" s="27"/>
    </row>
    <row r="26" spans="1:20" x14ac:dyDescent="0.3">
      <c r="A26" s="417"/>
      <c r="B26" s="24" t="s">
        <v>36</v>
      </c>
      <c r="C26" s="25"/>
      <c r="D26" s="24" t="s">
        <v>33</v>
      </c>
      <c r="E26" s="26"/>
      <c r="F26" s="419"/>
      <c r="G26" s="27"/>
    </row>
    <row r="27" spans="1:20" x14ac:dyDescent="0.3">
      <c r="A27" s="418"/>
      <c r="B27" s="24" t="s">
        <v>37</v>
      </c>
      <c r="C27" s="25"/>
      <c r="D27" s="24" t="s">
        <v>33</v>
      </c>
      <c r="E27" s="26"/>
      <c r="F27" s="419"/>
      <c r="G27" s="27"/>
    </row>
    <row r="28" spans="1:20" x14ac:dyDescent="0.3">
      <c r="A28" s="416"/>
      <c r="B28" s="24" t="s">
        <v>32</v>
      </c>
      <c r="C28" s="25"/>
      <c r="D28" s="24" t="s">
        <v>33</v>
      </c>
      <c r="E28" s="26"/>
      <c r="F28" s="419"/>
      <c r="G28" s="27"/>
    </row>
    <row r="29" spans="1:20" x14ac:dyDescent="0.3">
      <c r="A29" s="417"/>
      <c r="B29" s="24" t="s">
        <v>34</v>
      </c>
      <c r="C29" s="25"/>
      <c r="D29" s="24" t="s">
        <v>33</v>
      </c>
      <c r="E29" s="26"/>
      <c r="F29" s="419"/>
      <c r="G29" s="27"/>
    </row>
    <row r="30" spans="1:20" x14ac:dyDescent="0.3">
      <c r="A30" s="417"/>
      <c r="B30" s="24" t="s">
        <v>35</v>
      </c>
      <c r="C30" s="25"/>
      <c r="D30" s="24" t="s">
        <v>33</v>
      </c>
      <c r="E30" s="26"/>
      <c r="F30" s="419"/>
      <c r="G30" s="27"/>
    </row>
    <row r="31" spans="1:20" x14ac:dyDescent="0.3">
      <c r="A31" s="417"/>
      <c r="B31" s="24" t="s">
        <v>36</v>
      </c>
      <c r="C31" s="25"/>
      <c r="D31" s="24" t="s">
        <v>33</v>
      </c>
      <c r="E31" s="26"/>
      <c r="F31" s="419"/>
      <c r="G31" s="27"/>
    </row>
    <row r="32" spans="1:20" x14ac:dyDescent="0.3">
      <c r="A32" s="418"/>
      <c r="B32" s="24" t="s">
        <v>37</v>
      </c>
      <c r="C32" s="25"/>
      <c r="D32" s="24" t="s">
        <v>33</v>
      </c>
      <c r="E32" s="26"/>
      <c r="F32" s="419"/>
      <c r="G32" s="27"/>
    </row>
    <row r="33" spans="1:7" x14ac:dyDescent="0.3">
      <c r="A33" s="416"/>
      <c r="B33" s="24" t="s">
        <v>32</v>
      </c>
      <c r="C33" s="25"/>
      <c r="D33" s="24" t="s">
        <v>33</v>
      </c>
      <c r="E33" s="26"/>
      <c r="F33" s="419"/>
      <c r="G33" s="27"/>
    </row>
    <row r="34" spans="1:7" x14ac:dyDescent="0.3">
      <c r="A34" s="417"/>
      <c r="B34" s="24" t="s">
        <v>34</v>
      </c>
      <c r="C34" s="25"/>
      <c r="D34" s="24" t="s">
        <v>33</v>
      </c>
      <c r="E34" s="26"/>
      <c r="F34" s="419"/>
      <c r="G34" s="27"/>
    </row>
    <row r="35" spans="1:7" x14ac:dyDescent="0.3">
      <c r="A35" s="417"/>
      <c r="B35" s="24" t="s">
        <v>35</v>
      </c>
      <c r="C35" s="25"/>
      <c r="D35" s="24" t="s">
        <v>33</v>
      </c>
      <c r="E35" s="26"/>
      <c r="F35" s="419"/>
      <c r="G35" s="27"/>
    </row>
    <row r="36" spans="1:7" x14ac:dyDescent="0.3">
      <c r="A36" s="417"/>
      <c r="B36" s="24" t="s">
        <v>36</v>
      </c>
      <c r="C36" s="25"/>
      <c r="D36" s="24" t="s">
        <v>33</v>
      </c>
      <c r="E36" s="26"/>
      <c r="F36" s="419"/>
      <c r="G36" s="27"/>
    </row>
    <row r="37" spans="1:7" x14ac:dyDescent="0.3">
      <c r="A37" s="418"/>
      <c r="B37" s="24" t="s">
        <v>37</v>
      </c>
      <c r="C37" s="25"/>
      <c r="D37" s="24" t="s">
        <v>33</v>
      </c>
      <c r="E37" s="26"/>
      <c r="F37" s="419"/>
      <c r="G37" s="27"/>
    </row>
    <row r="38" spans="1:7" x14ac:dyDescent="0.3">
      <c r="A38" s="416"/>
      <c r="B38" s="24" t="s">
        <v>32</v>
      </c>
      <c r="C38" s="25"/>
      <c r="D38" s="24" t="s">
        <v>33</v>
      </c>
      <c r="E38" s="26"/>
      <c r="F38" s="419"/>
      <c r="G38" s="27"/>
    </row>
    <row r="39" spans="1:7" x14ac:dyDescent="0.3">
      <c r="A39" s="417"/>
      <c r="B39" s="24" t="s">
        <v>34</v>
      </c>
      <c r="C39" s="25"/>
      <c r="D39" s="24" t="s">
        <v>33</v>
      </c>
      <c r="E39" s="26"/>
      <c r="F39" s="419"/>
      <c r="G39" s="27"/>
    </row>
    <row r="40" spans="1:7" x14ac:dyDescent="0.3">
      <c r="A40" s="417"/>
      <c r="B40" s="24" t="s">
        <v>35</v>
      </c>
      <c r="C40" s="25"/>
      <c r="D40" s="24" t="s">
        <v>33</v>
      </c>
      <c r="E40" s="26"/>
      <c r="F40" s="419"/>
      <c r="G40" s="27"/>
    </row>
    <row r="41" spans="1:7" x14ac:dyDescent="0.3">
      <c r="A41" s="417"/>
      <c r="B41" s="24" t="s">
        <v>36</v>
      </c>
      <c r="C41" s="25"/>
      <c r="D41" s="24" t="s">
        <v>33</v>
      </c>
      <c r="E41" s="26"/>
      <c r="F41" s="419"/>
      <c r="G41" s="27"/>
    </row>
    <row r="42" spans="1:7" x14ac:dyDescent="0.3">
      <c r="A42" s="418"/>
      <c r="B42" s="24" t="s">
        <v>37</v>
      </c>
      <c r="C42" s="25"/>
      <c r="D42" s="24" t="s">
        <v>33</v>
      </c>
      <c r="E42" s="26"/>
      <c r="F42" s="419"/>
      <c r="G42" s="27"/>
    </row>
    <row r="43" spans="1:7" x14ac:dyDescent="0.3">
      <c r="A43" s="416"/>
      <c r="B43" s="24" t="s">
        <v>32</v>
      </c>
      <c r="C43" s="25"/>
      <c r="D43" s="24" t="s">
        <v>33</v>
      </c>
      <c r="E43" s="26"/>
      <c r="F43" s="419"/>
      <c r="G43" s="27"/>
    </row>
    <row r="44" spans="1:7" x14ac:dyDescent="0.3">
      <c r="A44" s="417"/>
      <c r="B44" s="24" t="s">
        <v>34</v>
      </c>
      <c r="C44" s="25"/>
      <c r="D44" s="24" t="s">
        <v>33</v>
      </c>
      <c r="E44" s="26"/>
      <c r="F44" s="419"/>
      <c r="G44" s="27"/>
    </row>
    <row r="45" spans="1:7" x14ac:dyDescent="0.3">
      <c r="A45" s="417"/>
      <c r="B45" s="24" t="s">
        <v>35</v>
      </c>
      <c r="C45" s="25"/>
      <c r="D45" s="24" t="s">
        <v>33</v>
      </c>
      <c r="E45" s="26"/>
      <c r="F45" s="419"/>
      <c r="G45" s="27"/>
    </row>
    <row r="46" spans="1:7" x14ac:dyDescent="0.3">
      <c r="A46" s="417"/>
      <c r="B46" s="24" t="s">
        <v>36</v>
      </c>
      <c r="C46" s="25"/>
      <c r="D46" s="24" t="s">
        <v>33</v>
      </c>
      <c r="E46" s="26"/>
      <c r="F46" s="419"/>
      <c r="G46" s="27"/>
    </row>
    <row r="47" spans="1:7" x14ac:dyDescent="0.3">
      <c r="A47" s="418"/>
      <c r="B47" s="24" t="s">
        <v>37</v>
      </c>
      <c r="C47" s="25"/>
      <c r="D47" s="24" t="s">
        <v>33</v>
      </c>
      <c r="E47" s="26"/>
      <c r="F47" s="419"/>
      <c r="G47" s="27"/>
    </row>
    <row r="48" spans="1:7" x14ac:dyDescent="0.3">
      <c r="A48" s="416"/>
      <c r="B48" s="24" t="s">
        <v>32</v>
      </c>
      <c r="C48" s="25"/>
      <c r="D48" s="24" t="s">
        <v>33</v>
      </c>
      <c r="E48" s="26"/>
      <c r="F48" s="419"/>
      <c r="G48" s="27"/>
    </row>
    <row r="49" spans="1:7" x14ac:dyDescent="0.3">
      <c r="A49" s="417"/>
      <c r="B49" s="24" t="s">
        <v>34</v>
      </c>
      <c r="C49" s="25"/>
      <c r="D49" s="24" t="s">
        <v>33</v>
      </c>
      <c r="E49" s="26"/>
      <c r="F49" s="419"/>
      <c r="G49" s="27"/>
    </row>
    <row r="50" spans="1:7" x14ac:dyDescent="0.3">
      <c r="A50" s="417"/>
      <c r="B50" s="24" t="s">
        <v>35</v>
      </c>
      <c r="C50" s="25"/>
      <c r="D50" s="24" t="s">
        <v>33</v>
      </c>
      <c r="E50" s="26"/>
      <c r="F50" s="419"/>
      <c r="G50" s="27"/>
    </row>
    <row r="51" spans="1:7" x14ac:dyDescent="0.3">
      <c r="A51" s="417"/>
      <c r="B51" s="24" t="s">
        <v>36</v>
      </c>
      <c r="C51" s="25"/>
      <c r="D51" s="24" t="s">
        <v>33</v>
      </c>
      <c r="E51" s="26"/>
      <c r="F51" s="419"/>
      <c r="G51" s="27"/>
    </row>
    <row r="52" spans="1:7" x14ac:dyDescent="0.3">
      <c r="A52" s="418"/>
      <c r="B52" s="24" t="s">
        <v>37</v>
      </c>
      <c r="C52" s="25"/>
      <c r="D52" s="24" t="s">
        <v>33</v>
      </c>
      <c r="E52" s="26"/>
      <c r="F52" s="419"/>
      <c r="G52" s="27"/>
    </row>
    <row r="53" spans="1:7" x14ac:dyDescent="0.3">
      <c r="A53" s="416"/>
      <c r="B53" s="24" t="s">
        <v>32</v>
      </c>
      <c r="C53" s="25"/>
      <c r="D53" s="24" t="s">
        <v>33</v>
      </c>
      <c r="E53" s="26"/>
      <c r="F53" s="419"/>
      <c r="G53" s="27"/>
    </row>
    <row r="54" spans="1:7" x14ac:dyDescent="0.3">
      <c r="A54" s="417"/>
      <c r="B54" s="24" t="s">
        <v>34</v>
      </c>
      <c r="C54" s="25"/>
      <c r="D54" s="24" t="s">
        <v>33</v>
      </c>
      <c r="E54" s="26"/>
      <c r="F54" s="419"/>
      <c r="G54" s="27"/>
    </row>
    <row r="55" spans="1:7" x14ac:dyDescent="0.3">
      <c r="A55" s="417"/>
      <c r="B55" s="24" t="s">
        <v>35</v>
      </c>
      <c r="C55" s="25"/>
      <c r="D55" s="24" t="s">
        <v>33</v>
      </c>
      <c r="E55" s="26"/>
      <c r="F55" s="419"/>
      <c r="G55" s="27"/>
    </row>
    <row r="56" spans="1:7" x14ac:dyDescent="0.3">
      <c r="A56" s="417"/>
      <c r="B56" s="24" t="s">
        <v>36</v>
      </c>
      <c r="C56" s="25"/>
      <c r="D56" s="24" t="s">
        <v>33</v>
      </c>
      <c r="E56" s="26"/>
      <c r="F56" s="419"/>
      <c r="G56" s="27"/>
    </row>
    <row r="57" spans="1:7" x14ac:dyDescent="0.3">
      <c r="A57" s="418"/>
      <c r="B57" s="24" t="s">
        <v>37</v>
      </c>
      <c r="C57" s="25"/>
      <c r="D57" s="24" t="s">
        <v>33</v>
      </c>
      <c r="E57" s="26"/>
      <c r="F57" s="41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6:A123"/>
  <sheetViews>
    <sheetView workbookViewId="0">
      <selection activeCell="W21" sqref="W21"/>
    </sheetView>
  </sheetViews>
  <sheetFormatPr defaultRowHeight="15.6" x14ac:dyDescent="0.3"/>
  <sheetData>
    <row r="26" spans="1:1" x14ac:dyDescent="0.3">
      <c r="A26" s="33"/>
    </row>
    <row r="27" spans="1:1" x14ac:dyDescent="0.3">
      <c r="A27" s="33"/>
    </row>
    <row r="28" spans="1:1" x14ac:dyDescent="0.3">
      <c r="A28" s="33"/>
    </row>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row r="107" spans="1:1" x14ac:dyDescent="0.3">
      <c r="A107" s="33"/>
    </row>
    <row r="108" spans="1:1" x14ac:dyDescent="0.3">
      <c r="A108" s="33"/>
    </row>
    <row r="109" spans="1:1" x14ac:dyDescent="0.3">
      <c r="A109" s="33"/>
    </row>
    <row r="110" spans="1:1" x14ac:dyDescent="0.3">
      <c r="A110" s="33"/>
    </row>
    <row r="111" spans="1:1" x14ac:dyDescent="0.3">
      <c r="A111" s="33"/>
    </row>
    <row r="112" spans="1:1" x14ac:dyDescent="0.3">
      <c r="A112" s="33"/>
    </row>
    <row r="113" spans="1:1" x14ac:dyDescent="0.3">
      <c r="A113" s="33"/>
    </row>
    <row r="114" spans="1:1" x14ac:dyDescent="0.3">
      <c r="A114" s="33"/>
    </row>
    <row r="115" spans="1:1" x14ac:dyDescent="0.3">
      <c r="A115" s="33"/>
    </row>
    <row r="116" spans="1:1" x14ac:dyDescent="0.3">
      <c r="A116" s="33"/>
    </row>
    <row r="117" spans="1:1" x14ac:dyDescent="0.3">
      <c r="A117" s="33"/>
    </row>
    <row r="118" spans="1:1" x14ac:dyDescent="0.3">
      <c r="A118" s="33"/>
    </row>
    <row r="119" spans="1:1" x14ac:dyDescent="0.3">
      <c r="A119" s="33"/>
    </row>
    <row r="120" spans="1:1" x14ac:dyDescent="0.3">
      <c r="A120" s="33"/>
    </row>
    <row r="121" spans="1:1" x14ac:dyDescent="0.3">
      <c r="A121" s="33"/>
    </row>
    <row r="122" spans="1:1" x14ac:dyDescent="0.3">
      <c r="A122" s="33"/>
    </row>
    <row r="123" spans="1:1" x14ac:dyDescent="0.3">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9:A100"/>
  <sheetViews>
    <sheetView topLeftCell="H7" zoomScale="90" zoomScaleNormal="90" workbookViewId="0">
      <selection activeCell="X52" sqref="X52"/>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29:A106"/>
  <sheetViews>
    <sheetView topLeftCell="A13" workbookViewId="0">
      <selection activeCell="J17" sqref="J17"/>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238"/>
  <sheetViews>
    <sheetView zoomScale="85" zoomScaleNormal="85" workbookViewId="0">
      <pane ySplit="9" topLeftCell="A184" activePane="bottomLeft" state="frozen"/>
      <selection pane="bottomLeft" activeCell="A198" sqref="A198"/>
    </sheetView>
  </sheetViews>
  <sheetFormatPr defaultColWidth="11.19921875" defaultRowHeight="13.8" x14ac:dyDescent="0.3"/>
  <cols>
    <col min="1" max="1" width="12.19921875" style="116" customWidth="1"/>
    <col min="2" max="5" width="11.19921875" style="73"/>
    <col min="6" max="6" width="11.19921875" style="93"/>
    <col min="7" max="7" width="11.19921875" style="73"/>
    <col min="8" max="8" width="11.19921875" style="94"/>
    <col min="9" max="9" width="56.5" style="73" bestFit="1" customWidth="1"/>
    <col min="10" max="16384" width="11.19921875" style="73"/>
  </cols>
  <sheetData>
    <row r="1" spans="1:9" s="68" customFormat="1" x14ac:dyDescent="0.3">
      <c r="A1" s="425" t="s">
        <v>11</v>
      </c>
      <c r="B1" s="425"/>
      <c r="C1" s="425"/>
      <c r="D1" s="425"/>
      <c r="E1" s="425"/>
      <c r="F1" s="425"/>
      <c r="G1" s="425"/>
      <c r="H1" s="425"/>
      <c r="I1" s="67"/>
    </row>
    <row r="2" spans="1:9" x14ac:dyDescent="0.3">
      <c r="A2" s="69" t="s">
        <v>128</v>
      </c>
      <c r="B2" s="399"/>
      <c r="C2" s="399"/>
      <c r="D2" s="399"/>
      <c r="E2" s="70"/>
      <c r="F2" s="95"/>
      <c r="G2" s="71"/>
      <c r="H2" s="399" t="s">
        <v>129</v>
      </c>
      <c r="I2" s="72"/>
    </row>
    <row r="3" spans="1:9" x14ac:dyDescent="0.3">
      <c r="A3" s="69" t="s">
        <v>130</v>
      </c>
      <c r="B3" s="74"/>
      <c r="C3" s="74"/>
      <c r="D3" s="74"/>
      <c r="E3" s="75" t="s">
        <v>38</v>
      </c>
      <c r="F3" s="96"/>
      <c r="G3" s="75"/>
      <c r="H3" s="75"/>
      <c r="I3" s="72"/>
    </row>
    <row r="4" spans="1:9" x14ac:dyDescent="0.3">
      <c r="A4" s="69" t="s">
        <v>131</v>
      </c>
      <c r="B4" s="75"/>
      <c r="C4" s="75"/>
      <c r="D4" s="75"/>
      <c r="E4" s="75" t="s">
        <v>39</v>
      </c>
      <c r="F4" s="96"/>
      <c r="G4" s="75"/>
      <c r="H4" s="75"/>
      <c r="I4" s="72"/>
    </row>
    <row r="5" spans="1:9" x14ac:dyDescent="0.3">
      <c r="A5" s="69" t="s">
        <v>132</v>
      </c>
      <c r="B5" s="74"/>
      <c r="C5" s="74"/>
      <c r="D5" s="74"/>
      <c r="E5" s="74"/>
      <c r="F5" s="96"/>
      <c r="G5" s="74"/>
      <c r="H5" s="74"/>
      <c r="I5" s="72"/>
    </row>
    <row r="6" spans="1:9" x14ac:dyDescent="0.3">
      <c r="A6" s="69" t="s">
        <v>133</v>
      </c>
      <c r="B6" s="74"/>
      <c r="C6" s="74"/>
      <c r="D6" s="74"/>
      <c r="E6" s="74"/>
      <c r="F6" s="96"/>
      <c r="G6" s="74"/>
      <c r="H6" s="74"/>
      <c r="I6" s="72"/>
    </row>
    <row r="7" spans="1:9" x14ac:dyDescent="0.3">
      <c r="A7" s="76"/>
      <c r="B7" s="74"/>
      <c r="C7" s="74"/>
      <c r="D7" s="74"/>
      <c r="E7" s="74"/>
      <c r="F7" s="96"/>
      <c r="G7" s="74"/>
      <c r="H7" s="74"/>
      <c r="I7" s="72"/>
    </row>
    <row r="8" spans="1:9" ht="14.4" thickBot="1" x14ac:dyDescent="0.35">
      <c r="A8" s="113"/>
      <c r="B8" s="426" t="s">
        <v>40</v>
      </c>
      <c r="C8" s="427"/>
      <c r="D8" s="97"/>
      <c r="E8" s="97"/>
      <c r="F8" s="98"/>
      <c r="G8" s="97"/>
      <c r="H8" s="99"/>
      <c r="I8" s="100"/>
    </row>
    <row r="9" spans="1:9" s="77" customFormat="1" ht="33" customHeight="1" thickBot="1" x14ac:dyDescent="0.35">
      <c r="A9" s="106" t="s">
        <v>135</v>
      </c>
      <c r="B9" s="107" t="s">
        <v>44</v>
      </c>
      <c r="C9" s="107" t="s">
        <v>45</v>
      </c>
      <c r="D9" s="108" t="s">
        <v>63</v>
      </c>
      <c r="E9" s="108" t="s">
        <v>29</v>
      </c>
      <c r="F9" s="107" t="s">
        <v>41</v>
      </c>
      <c r="G9" s="108" t="s">
        <v>42</v>
      </c>
      <c r="H9" s="109" t="s">
        <v>43</v>
      </c>
      <c r="I9" s="110" t="s">
        <v>31</v>
      </c>
    </row>
    <row r="10" spans="1:9" x14ac:dyDescent="0.3">
      <c r="A10" s="114">
        <v>43101</v>
      </c>
      <c r="B10" s="101">
        <v>17</v>
      </c>
      <c r="C10" s="101">
        <v>46</v>
      </c>
      <c r="D10" s="101">
        <v>29</v>
      </c>
      <c r="E10" s="102" t="s">
        <v>46</v>
      </c>
      <c r="F10" s="103">
        <v>1428</v>
      </c>
      <c r="G10" s="104" t="s">
        <v>47</v>
      </c>
      <c r="H10" s="105">
        <v>60</v>
      </c>
      <c r="I10" s="101"/>
    </row>
    <row r="11" spans="1:9" x14ac:dyDescent="0.3">
      <c r="A11" s="115">
        <v>43104</v>
      </c>
      <c r="B11" s="82">
        <v>16</v>
      </c>
      <c r="C11" s="82">
        <v>27</v>
      </c>
      <c r="D11" s="82">
        <f t="shared" ref="D11:D41" si="0">IF(((C11="")*AND(B11="")),"",(C11-B11))</f>
        <v>11</v>
      </c>
      <c r="E11" s="79" t="str">
        <f t="shared" ref="E11:E41" si="1">IF(D11="","",IF(D11&lt;60,"Pass","Fail"))</f>
        <v>Pass</v>
      </c>
      <c r="F11" s="83">
        <v>1335</v>
      </c>
      <c r="G11" s="80" t="s">
        <v>47</v>
      </c>
      <c r="H11" s="81">
        <v>60</v>
      </c>
      <c r="I11" s="78"/>
    </row>
    <row r="12" spans="1:9" x14ac:dyDescent="0.3">
      <c r="A12" s="115">
        <v>43112</v>
      </c>
      <c r="B12" s="82">
        <v>18</v>
      </c>
      <c r="C12" s="82">
        <v>40</v>
      </c>
      <c r="D12" s="82">
        <f t="shared" si="0"/>
        <v>22</v>
      </c>
      <c r="E12" s="79" t="str">
        <f t="shared" si="1"/>
        <v>Pass</v>
      </c>
      <c r="F12" s="83" t="s">
        <v>48</v>
      </c>
      <c r="G12" s="80" t="s">
        <v>47</v>
      </c>
      <c r="H12" s="81">
        <v>60</v>
      </c>
      <c r="I12" s="78"/>
    </row>
    <row r="13" spans="1:9" x14ac:dyDescent="0.3">
      <c r="A13" s="115">
        <v>43116</v>
      </c>
      <c r="B13" s="82">
        <v>18</v>
      </c>
      <c r="C13" s="82">
        <v>77</v>
      </c>
      <c r="D13" s="82">
        <f t="shared" si="0"/>
        <v>59</v>
      </c>
      <c r="E13" s="79" t="str">
        <f t="shared" si="1"/>
        <v>Pass</v>
      </c>
      <c r="F13" s="83">
        <v>102</v>
      </c>
      <c r="G13" s="80" t="s">
        <v>47</v>
      </c>
      <c r="H13" s="81">
        <v>60</v>
      </c>
      <c r="I13" s="78"/>
    </row>
    <row r="14" spans="1:9" x14ac:dyDescent="0.3">
      <c r="A14" s="115">
        <v>43119</v>
      </c>
      <c r="B14" s="82">
        <v>14</v>
      </c>
      <c r="C14" s="82">
        <v>22</v>
      </c>
      <c r="D14" s="82">
        <f t="shared" si="0"/>
        <v>8</v>
      </c>
      <c r="E14" s="79" t="str">
        <f t="shared" si="1"/>
        <v>Pass</v>
      </c>
      <c r="F14" s="83">
        <v>1428</v>
      </c>
      <c r="G14" s="80"/>
      <c r="H14" s="81">
        <v>60</v>
      </c>
      <c r="I14" s="78"/>
    </row>
    <row r="15" spans="1:9" x14ac:dyDescent="0.3">
      <c r="A15" s="115">
        <v>43122</v>
      </c>
      <c r="B15" s="82">
        <v>18</v>
      </c>
      <c r="C15" s="82">
        <v>123</v>
      </c>
      <c r="D15" s="82">
        <f t="shared" si="0"/>
        <v>105</v>
      </c>
      <c r="E15" s="79" t="str">
        <f t="shared" si="1"/>
        <v>Fail</v>
      </c>
      <c r="F15" s="83">
        <v>1428</v>
      </c>
      <c r="G15" s="80"/>
      <c r="H15" s="81">
        <v>60</v>
      </c>
      <c r="I15" s="78"/>
    </row>
    <row r="16" spans="1:9" x14ac:dyDescent="0.3">
      <c r="A16" s="115">
        <v>43122</v>
      </c>
      <c r="B16" s="82">
        <v>19</v>
      </c>
      <c r="C16" s="82">
        <v>521</v>
      </c>
      <c r="D16" s="82">
        <f t="shared" si="0"/>
        <v>502</v>
      </c>
      <c r="E16" s="79" t="str">
        <f t="shared" si="1"/>
        <v>Fail</v>
      </c>
      <c r="F16" s="83">
        <v>121</v>
      </c>
      <c r="G16" s="80"/>
      <c r="H16" s="81">
        <v>60</v>
      </c>
      <c r="I16" s="78"/>
    </row>
    <row r="17" spans="1:9" x14ac:dyDescent="0.3">
      <c r="A17" s="115">
        <v>43122</v>
      </c>
      <c r="B17" s="82">
        <v>14</v>
      </c>
      <c r="C17" s="82">
        <v>762</v>
      </c>
      <c r="D17" s="82">
        <f t="shared" si="0"/>
        <v>748</v>
      </c>
      <c r="E17" s="79" t="str">
        <f t="shared" si="1"/>
        <v>Fail</v>
      </c>
      <c r="F17" s="83">
        <v>102</v>
      </c>
      <c r="G17" s="80"/>
      <c r="H17" s="81">
        <v>60</v>
      </c>
      <c r="I17" s="78"/>
    </row>
    <row r="18" spans="1:9" x14ac:dyDescent="0.3">
      <c r="A18" s="115">
        <v>43122</v>
      </c>
      <c r="B18" s="82">
        <v>27</v>
      </c>
      <c r="C18" s="82">
        <v>48</v>
      </c>
      <c r="D18" s="82">
        <f t="shared" si="0"/>
        <v>21</v>
      </c>
      <c r="E18" s="79" t="str">
        <f t="shared" si="1"/>
        <v>Pass</v>
      </c>
      <c r="F18" s="83">
        <v>102</v>
      </c>
      <c r="G18" s="80"/>
      <c r="H18" s="81">
        <v>60</v>
      </c>
      <c r="I18" s="78"/>
    </row>
    <row r="19" spans="1:9" x14ac:dyDescent="0.3">
      <c r="A19" s="115">
        <v>43125</v>
      </c>
      <c r="B19" s="82">
        <v>27</v>
      </c>
      <c r="C19" s="82">
        <v>279</v>
      </c>
      <c r="D19" s="82">
        <f t="shared" si="0"/>
        <v>252</v>
      </c>
      <c r="E19" s="79" t="str">
        <f t="shared" si="1"/>
        <v>Fail</v>
      </c>
      <c r="F19" s="83">
        <v>102</v>
      </c>
      <c r="G19" s="80"/>
      <c r="H19" s="81">
        <v>60</v>
      </c>
      <c r="I19" s="78"/>
    </row>
    <row r="20" spans="1:9" x14ac:dyDescent="0.3">
      <c r="A20" s="115">
        <v>43125</v>
      </c>
      <c r="B20" s="82">
        <v>6</v>
      </c>
      <c r="C20" s="82">
        <v>178</v>
      </c>
      <c r="D20" s="82">
        <f t="shared" si="0"/>
        <v>172</v>
      </c>
      <c r="E20" s="79" t="str">
        <f t="shared" si="1"/>
        <v>Fail</v>
      </c>
      <c r="F20" s="83">
        <v>102</v>
      </c>
      <c r="G20" s="80"/>
      <c r="H20" s="81">
        <v>60</v>
      </c>
      <c r="I20" s="78"/>
    </row>
    <row r="21" spans="1:9" x14ac:dyDescent="0.3">
      <c r="A21" s="115">
        <v>43125</v>
      </c>
      <c r="B21" s="82">
        <v>36</v>
      </c>
      <c r="C21" s="82">
        <v>49</v>
      </c>
      <c r="D21" s="82">
        <f t="shared" si="0"/>
        <v>13</v>
      </c>
      <c r="E21" s="79" t="str">
        <f t="shared" si="1"/>
        <v>Pass</v>
      </c>
      <c r="F21" s="83">
        <v>1335</v>
      </c>
      <c r="G21" s="80"/>
      <c r="H21" s="81">
        <v>60</v>
      </c>
      <c r="I21" s="78"/>
    </row>
    <row r="22" spans="1:9" x14ac:dyDescent="0.3">
      <c r="A22" s="115">
        <v>43129</v>
      </c>
      <c r="B22" s="82">
        <v>11</v>
      </c>
      <c r="C22" s="82">
        <v>29</v>
      </c>
      <c r="D22" s="82">
        <f t="shared" si="0"/>
        <v>18</v>
      </c>
      <c r="E22" s="79" t="str">
        <f t="shared" si="1"/>
        <v>Pass</v>
      </c>
      <c r="F22" s="84" t="s">
        <v>49</v>
      </c>
      <c r="G22" s="80"/>
      <c r="H22" s="81">
        <v>60</v>
      </c>
      <c r="I22" s="78"/>
    </row>
    <row r="23" spans="1:9" x14ac:dyDescent="0.3">
      <c r="A23" s="115">
        <v>43132</v>
      </c>
      <c r="B23" s="82">
        <v>1</v>
      </c>
      <c r="C23" s="82">
        <v>10</v>
      </c>
      <c r="D23" s="82">
        <f t="shared" si="0"/>
        <v>9</v>
      </c>
      <c r="E23" s="79" t="str">
        <f t="shared" si="1"/>
        <v>Pass</v>
      </c>
      <c r="F23" s="83">
        <v>1335</v>
      </c>
      <c r="G23" s="80"/>
      <c r="H23" s="81">
        <v>60</v>
      </c>
      <c r="I23" s="78"/>
    </row>
    <row r="24" spans="1:9" x14ac:dyDescent="0.3">
      <c r="A24" s="115">
        <v>43137</v>
      </c>
      <c r="B24" s="82">
        <v>20</v>
      </c>
      <c r="C24" s="82">
        <v>52</v>
      </c>
      <c r="D24" s="82">
        <f t="shared" si="0"/>
        <v>32</v>
      </c>
      <c r="E24" s="79" t="str">
        <f t="shared" si="1"/>
        <v>Pass</v>
      </c>
      <c r="F24" s="83">
        <v>1519</v>
      </c>
      <c r="G24" s="80"/>
      <c r="H24" s="81">
        <v>60</v>
      </c>
      <c r="I24" s="78"/>
    </row>
    <row r="25" spans="1:9" x14ac:dyDescent="0.3">
      <c r="A25" s="115">
        <v>43138</v>
      </c>
      <c r="B25" s="82">
        <v>42</v>
      </c>
      <c r="C25" s="82">
        <v>100</v>
      </c>
      <c r="D25" s="82">
        <f t="shared" si="0"/>
        <v>58</v>
      </c>
      <c r="E25" s="79" t="str">
        <f t="shared" si="1"/>
        <v>Pass</v>
      </c>
      <c r="F25" s="83">
        <v>1428</v>
      </c>
      <c r="G25" s="80"/>
      <c r="H25" s="81">
        <v>60</v>
      </c>
      <c r="I25" s="78"/>
    </row>
    <row r="26" spans="1:9" x14ac:dyDescent="0.3">
      <c r="A26" s="115">
        <v>43141</v>
      </c>
      <c r="B26" s="82">
        <v>91</v>
      </c>
      <c r="C26" s="82">
        <v>119</v>
      </c>
      <c r="D26" s="82">
        <f>IF(((C26="")*AND(B26="")),"",(C26-B26))</f>
        <v>28</v>
      </c>
      <c r="E26" s="79" t="str">
        <f>IF(D26="","",IF(D26&lt;60,"Pass","Fail"))</f>
        <v>Pass</v>
      </c>
      <c r="F26" s="83">
        <v>102</v>
      </c>
      <c r="G26" s="80"/>
      <c r="H26" s="81">
        <v>60</v>
      </c>
      <c r="I26" s="78"/>
    </row>
    <row r="27" spans="1:9" x14ac:dyDescent="0.3">
      <c r="A27" s="115">
        <v>43146</v>
      </c>
      <c r="B27" s="82">
        <v>25</v>
      </c>
      <c r="C27" s="82">
        <v>29</v>
      </c>
      <c r="D27" s="82">
        <f t="shared" si="0"/>
        <v>4</v>
      </c>
      <c r="E27" s="79" t="str">
        <f t="shared" si="1"/>
        <v>Pass</v>
      </c>
      <c r="F27" s="83">
        <v>1335</v>
      </c>
      <c r="G27" s="80"/>
      <c r="H27" s="81">
        <v>60</v>
      </c>
      <c r="I27" s="78"/>
    </row>
    <row r="28" spans="1:9" x14ac:dyDescent="0.3">
      <c r="A28" s="115">
        <v>43151</v>
      </c>
      <c r="B28" s="82">
        <v>44</v>
      </c>
      <c r="C28" s="82">
        <v>41</v>
      </c>
      <c r="D28" s="82">
        <f>IF(((C28="")*AND(B28="")),"",(C28-B28))</f>
        <v>-3</v>
      </c>
      <c r="E28" s="79" t="str">
        <f>IF(D28="","",IF(D28&lt;60,"Pass","Fail"))</f>
        <v>Pass</v>
      </c>
      <c r="F28" s="83">
        <v>102</v>
      </c>
      <c r="G28" s="80"/>
      <c r="H28" s="81">
        <v>60</v>
      </c>
      <c r="I28" s="78"/>
    </row>
    <row r="29" spans="1:9" x14ac:dyDescent="0.3">
      <c r="A29" s="115">
        <v>43156</v>
      </c>
      <c r="B29" s="82">
        <v>46</v>
      </c>
      <c r="C29" s="82">
        <v>1343</v>
      </c>
      <c r="D29" s="82">
        <f t="shared" si="0"/>
        <v>1297</v>
      </c>
      <c r="E29" s="79" t="str">
        <f t="shared" si="1"/>
        <v>Fail</v>
      </c>
      <c r="F29" s="83">
        <v>1534</v>
      </c>
      <c r="G29" s="80"/>
      <c r="H29" s="81">
        <v>60</v>
      </c>
      <c r="I29" s="78"/>
    </row>
    <row r="30" spans="1:9" x14ac:dyDescent="0.3">
      <c r="A30" s="115">
        <v>43157</v>
      </c>
      <c r="B30" s="82">
        <v>7</v>
      </c>
      <c r="C30" s="82">
        <v>20</v>
      </c>
      <c r="D30" s="82">
        <f t="shared" si="0"/>
        <v>13</v>
      </c>
      <c r="E30" s="79" t="str">
        <f t="shared" si="1"/>
        <v>Pass</v>
      </c>
      <c r="F30" s="83">
        <v>1159</v>
      </c>
      <c r="G30" s="80" t="s">
        <v>47</v>
      </c>
      <c r="H30" s="81">
        <v>60</v>
      </c>
      <c r="I30" s="78"/>
    </row>
    <row r="31" spans="1:9" x14ac:dyDescent="0.3">
      <c r="A31" s="115">
        <v>43177</v>
      </c>
      <c r="B31" s="82">
        <v>36</v>
      </c>
      <c r="C31" s="82">
        <v>237</v>
      </c>
      <c r="D31" s="82">
        <f t="shared" si="0"/>
        <v>201</v>
      </c>
      <c r="E31" s="79" t="str">
        <f t="shared" si="1"/>
        <v>Fail</v>
      </c>
      <c r="F31" s="83">
        <v>1159</v>
      </c>
      <c r="G31" s="80" t="s">
        <v>47</v>
      </c>
      <c r="H31" s="81">
        <v>60</v>
      </c>
      <c r="I31" s="78"/>
    </row>
    <row r="32" spans="1:9" x14ac:dyDescent="0.3">
      <c r="A32" s="115">
        <v>43177</v>
      </c>
      <c r="B32" s="82">
        <v>9</v>
      </c>
      <c r="C32" s="82">
        <v>17</v>
      </c>
      <c r="D32" s="82">
        <f t="shared" si="0"/>
        <v>8</v>
      </c>
      <c r="E32" s="79" t="str">
        <f t="shared" si="1"/>
        <v>Pass</v>
      </c>
      <c r="F32" s="83">
        <v>1159</v>
      </c>
      <c r="G32" s="80" t="s">
        <v>47</v>
      </c>
      <c r="H32" s="81">
        <v>60</v>
      </c>
      <c r="I32" s="78"/>
    </row>
    <row r="33" spans="1:9" x14ac:dyDescent="0.3">
      <c r="A33" s="115">
        <v>43182</v>
      </c>
      <c r="B33" s="82">
        <v>22</v>
      </c>
      <c r="C33" s="82">
        <v>35</v>
      </c>
      <c r="D33" s="82">
        <f t="shared" si="0"/>
        <v>13</v>
      </c>
      <c r="E33" s="79" t="str">
        <f t="shared" si="1"/>
        <v>Pass</v>
      </c>
      <c r="F33" s="83">
        <v>1159</v>
      </c>
      <c r="G33" s="80" t="s">
        <v>47</v>
      </c>
      <c r="H33" s="81">
        <v>60</v>
      </c>
      <c r="I33" s="78"/>
    </row>
    <row r="34" spans="1:9" x14ac:dyDescent="0.3">
      <c r="A34" s="115">
        <v>43199</v>
      </c>
      <c r="B34" s="82">
        <v>43</v>
      </c>
      <c r="C34" s="82">
        <v>47</v>
      </c>
      <c r="D34" s="82">
        <f t="shared" si="0"/>
        <v>4</v>
      </c>
      <c r="E34" s="79" t="str">
        <f t="shared" si="1"/>
        <v>Pass</v>
      </c>
      <c r="F34" s="83">
        <v>1159</v>
      </c>
      <c r="G34" s="80" t="s">
        <v>47</v>
      </c>
      <c r="H34" s="81">
        <v>60</v>
      </c>
      <c r="I34" s="78"/>
    </row>
    <row r="35" spans="1:9" x14ac:dyDescent="0.3">
      <c r="A35" s="115">
        <v>43203</v>
      </c>
      <c r="B35" s="82">
        <v>27</v>
      </c>
      <c r="C35" s="82">
        <v>1124</v>
      </c>
      <c r="D35" s="82">
        <f t="shared" si="0"/>
        <v>1097</v>
      </c>
      <c r="E35" s="79" t="str">
        <f t="shared" si="1"/>
        <v>Fail</v>
      </c>
      <c r="F35" s="83">
        <v>1159</v>
      </c>
      <c r="G35" s="80" t="s">
        <v>47</v>
      </c>
      <c r="H35" s="81">
        <v>60</v>
      </c>
      <c r="I35" s="78"/>
    </row>
    <row r="36" spans="1:9" x14ac:dyDescent="0.3">
      <c r="A36" s="115">
        <v>43206</v>
      </c>
      <c r="B36" s="82">
        <v>13</v>
      </c>
      <c r="C36" s="82">
        <v>14</v>
      </c>
      <c r="D36" s="82">
        <f t="shared" si="0"/>
        <v>1</v>
      </c>
      <c r="E36" s="79" t="str">
        <f t="shared" si="1"/>
        <v>Pass</v>
      </c>
      <c r="F36" s="83">
        <v>1335</v>
      </c>
      <c r="G36" s="80" t="s">
        <v>47</v>
      </c>
      <c r="H36" s="81">
        <v>60</v>
      </c>
      <c r="I36" s="78"/>
    </row>
    <row r="37" spans="1:9" x14ac:dyDescent="0.3">
      <c r="A37" s="115">
        <v>43214</v>
      </c>
      <c r="B37" s="82">
        <v>44</v>
      </c>
      <c r="C37" s="82">
        <v>376</v>
      </c>
      <c r="D37" s="82">
        <f t="shared" si="0"/>
        <v>332</v>
      </c>
      <c r="E37" s="79" t="str">
        <f t="shared" si="1"/>
        <v>Fail</v>
      </c>
      <c r="F37" s="83">
        <v>74</v>
      </c>
      <c r="G37" s="80" t="s">
        <v>47</v>
      </c>
      <c r="H37" s="81">
        <v>60</v>
      </c>
      <c r="I37" s="78"/>
    </row>
    <row r="38" spans="1:9" x14ac:dyDescent="0.3">
      <c r="A38" s="115">
        <v>43214</v>
      </c>
      <c r="B38" s="82">
        <v>4</v>
      </c>
      <c r="C38" s="82">
        <v>34</v>
      </c>
      <c r="D38" s="82">
        <f t="shared" si="0"/>
        <v>30</v>
      </c>
      <c r="E38" s="79" t="str">
        <f t="shared" si="1"/>
        <v>Pass</v>
      </c>
      <c r="F38" s="84" t="s">
        <v>50</v>
      </c>
      <c r="G38" s="80" t="s">
        <v>47</v>
      </c>
      <c r="H38" s="81">
        <v>60</v>
      </c>
      <c r="I38" s="78"/>
    </row>
    <row r="39" spans="1:9" x14ac:dyDescent="0.3">
      <c r="A39" s="115">
        <v>43221</v>
      </c>
      <c r="B39" s="82">
        <v>16</v>
      </c>
      <c r="C39" s="82">
        <v>44</v>
      </c>
      <c r="D39" s="82">
        <f t="shared" si="0"/>
        <v>28</v>
      </c>
      <c r="E39" s="79" t="str">
        <f t="shared" si="1"/>
        <v>Pass</v>
      </c>
      <c r="F39" s="83">
        <v>74</v>
      </c>
      <c r="G39" s="80" t="s">
        <v>47</v>
      </c>
      <c r="H39" s="81">
        <v>60</v>
      </c>
      <c r="I39" s="78"/>
    </row>
    <row r="40" spans="1:9" x14ac:dyDescent="0.3">
      <c r="A40" s="115">
        <v>43222</v>
      </c>
      <c r="B40" s="82">
        <v>21</v>
      </c>
      <c r="C40" s="82">
        <v>27</v>
      </c>
      <c r="D40" s="82">
        <f t="shared" si="0"/>
        <v>6</v>
      </c>
      <c r="E40" s="79" t="str">
        <f t="shared" si="1"/>
        <v>Pass</v>
      </c>
      <c r="F40" s="83">
        <v>1159</v>
      </c>
      <c r="G40" s="80" t="s">
        <v>47</v>
      </c>
      <c r="H40" s="81">
        <v>60</v>
      </c>
      <c r="I40" s="78"/>
    </row>
    <row r="41" spans="1:9" x14ac:dyDescent="0.3">
      <c r="A41" s="115">
        <v>43234</v>
      </c>
      <c r="B41" s="82">
        <v>31</v>
      </c>
      <c r="C41" s="82">
        <v>23</v>
      </c>
      <c r="D41" s="82">
        <f t="shared" si="0"/>
        <v>-8</v>
      </c>
      <c r="E41" s="79" t="str">
        <f t="shared" si="1"/>
        <v>Pass</v>
      </c>
      <c r="F41" s="83">
        <v>1159</v>
      </c>
      <c r="G41" s="80" t="s">
        <v>47</v>
      </c>
      <c r="H41" s="81">
        <v>60</v>
      </c>
      <c r="I41" s="78"/>
    </row>
    <row r="42" spans="1:9" x14ac:dyDescent="0.3">
      <c r="A42" s="115">
        <v>43238</v>
      </c>
      <c r="B42" s="82">
        <v>46</v>
      </c>
      <c r="C42" s="82">
        <v>31</v>
      </c>
      <c r="D42" s="82">
        <f>IF(((C42="")*AND(B42="")),"",(C42-B42))</f>
        <v>-15</v>
      </c>
      <c r="E42" s="79" t="str">
        <f>IF(D42="","",IF(D42&lt;60,"Pass","Fail"))</f>
        <v>Pass</v>
      </c>
      <c r="F42" s="83">
        <v>64</v>
      </c>
      <c r="G42" s="80" t="s">
        <v>47</v>
      </c>
      <c r="H42" s="81">
        <v>60</v>
      </c>
      <c r="I42" s="78"/>
    </row>
    <row r="43" spans="1:9" x14ac:dyDescent="0.3">
      <c r="A43" s="115">
        <v>43242</v>
      </c>
      <c r="B43" s="82">
        <v>33</v>
      </c>
      <c r="C43" s="82">
        <v>30</v>
      </c>
      <c r="D43" s="82">
        <f>IF(((C43="")*AND(B43="")),"",(C43-B43))</f>
        <v>-3</v>
      </c>
      <c r="E43" s="79" t="str">
        <f>IF(D43="","",IF(D43&lt;60,"Pass","Fail"))</f>
        <v>Pass</v>
      </c>
      <c r="F43" s="83">
        <v>102</v>
      </c>
      <c r="G43" s="80" t="s">
        <v>47</v>
      </c>
      <c r="H43" s="81">
        <v>60</v>
      </c>
      <c r="I43" s="80" t="s">
        <v>51</v>
      </c>
    </row>
    <row r="44" spans="1:9" x14ac:dyDescent="0.3">
      <c r="A44" s="115">
        <v>43243</v>
      </c>
      <c r="B44" s="82">
        <v>48</v>
      </c>
      <c r="C44" s="82">
        <v>76</v>
      </c>
      <c r="D44" s="82">
        <f t="shared" ref="D44:D106" si="2">IF(((C44="")*AND(B44="")),"",(C44-B44))</f>
        <v>28</v>
      </c>
      <c r="E44" s="79" t="str">
        <f t="shared" ref="E44:E106" si="3">IF(D44="","",IF(D44&lt;60,"Pass","Fail"))</f>
        <v>Pass</v>
      </c>
      <c r="F44" s="83">
        <v>1159</v>
      </c>
      <c r="G44" s="80" t="s">
        <v>47</v>
      </c>
      <c r="H44" s="81">
        <v>60</v>
      </c>
      <c r="I44" s="78"/>
    </row>
    <row r="45" spans="1:9" x14ac:dyDescent="0.3">
      <c r="A45" s="115">
        <v>43243</v>
      </c>
      <c r="B45" s="82">
        <v>43</v>
      </c>
      <c r="C45" s="82">
        <v>26</v>
      </c>
      <c r="D45" s="82">
        <f t="shared" si="2"/>
        <v>-17</v>
      </c>
      <c r="E45" s="79" t="str">
        <f t="shared" si="3"/>
        <v>Pass</v>
      </c>
      <c r="F45" s="83">
        <v>1159</v>
      </c>
      <c r="G45" s="80" t="s">
        <v>47</v>
      </c>
      <c r="H45" s="81">
        <v>60</v>
      </c>
      <c r="I45" s="78"/>
    </row>
    <row r="46" spans="1:9" x14ac:dyDescent="0.3">
      <c r="A46" s="115">
        <v>43248</v>
      </c>
      <c r="B46" s="82">
        <v>53</v>
      </c>
      <c r="C46" s="82">
        <v>44</v>
      </c>
      <c r="D46" s="82">
        <f t="shared" si="2"/>
        <v>-9</v>
      </c>
      <c r="E46" s="79" t="str">
        <f t="shared" si="3"/>
        <v>Pass</v>
      </c>
      <c r="F46" s="83">
        <v>102</v>
      </c>
      <c r="G46" s="80" t="s">
        <v>47</v>
      </c>
      <c r="H46" s="81">
        <v>60</v>
      </c>
      <c r="I46" s="78"/>
    </row>
    <row r="47" spans="1:9" x14ac:dyDescent="0.3">
      <c r="A47" s="115">
        <v>43251</v>
      </c>
      <c r="B47" s="82">
        <v>4</v>
      </c>
      <c r="C47" s="82">
        <v>16</v>
      </c>
      <c r="D47" s="82">
        <f t="shared" si="2"/>
        <v>12</v>
      </c>
      <c r="E47" s="79" t="str">
        <f t="shared" si="3"/>
        <v>Pass</v>
      </c>
      <c r="F47" s="83"/>
      <c r="G47" s="80" t="s">
        <v>47</v>
      </c>
      <c r="H47" s="81">
        <v>60</v>
      </c>
      <c r="I47" s="78"/>
    </row>
    <row r="48" spans="1:9" x14ac:dyDescent="0.3">
      <c r="A48" s="115">
        <v>43255</v>
      </c>
      <c r="B48" s="82">
        <v>21</v>
      </c>
      <c r="C48" s="82">
        <v>526</v>
      </c>
      <c r="D48" s="82">
        <f t="shared" si="2"/>
        <v>505</v>
      </c>
      <c r="E48" s="79" t="str">
        <f t="shared" si="3"/>
        <v>Fail</v>
      </c>
      <c r="F48" s="83">
        <v>1335</v>
      </c>
      <c r="G48" s="80" t="s">
        <v>47</v>
      </c>
      <c r="H48" s="81">
        <v>60</v>
      </c>
      <c r="I48" s="78"/>
    </row>
    <row r="49" spans="1:9" x14ac:dyDescent="0.3">
      <c r="A49" s="115">
        <v>43255</v>
      </c>
      <c r="B49" s="82">
        <v>24</v>
      </c>
      <c r="C49" s="82">
        <v>348</v>
      </c>
      <c r="D49" s="82">
        <f t="shared" si="2"/>
        <v>324</v>
      </c>
      <c r="E49" s="79" t="str">
        <f t="shared" si="3"/>
        <v>Fail</v>
      </c>
      <c r="F49" s="83">
        <v>121</v>
      </c>
      <c r="G49" s="80" t="s">
        <v>47</v>
      </c>
      <c r="H49" s="81">
        <v>60</v>
      </c>
      <c r="I49" s="78"/>
    </row>
    <row r="50" spans="1:9" x14ac:dyDescent="0.3">
      <c r="A50" s="115">
        <v>43255</v>
      </c>
      <c r="B50" s="82">
        <v>7</v>
      </c>
      <c r="C50" s="82">
        <v>11</v>
      </c>
      <c r="D50" s="82">
        <f t="shared" si="2"/>
        <v>4</v>
      </c>
      <c r="E50" s="79" t="str">
        <f t="shared" si="3"/>
        <v>Pass</v>
      </c>
      <c r="F50" s="83">
        <v>121</v>
      </c>
      <c r="G50" s="80" t="s">
        <v>47</v>
      </c>
      <c r="H50" s="81">
        <v>60</v>
      </c>
      <c r="I50" s="78"/>
    </row>
    <row r="51" spans="1:9" x14ac:dyDescent="0.3">
      <c r="A51" s="115">
        <v>43258</v>
      </c>
      <c r="B51" s="82">
        <v>14</v>
      </c>
      <c r="C51" s="82">
        <v>10</v>
      </c>
      <c r="D51" s="82">
        <f t="shared" si="2"/>
        <v>-4</v>
      </c>
      <c r="E51" s="79" t="str">
        <f t="shared" si="3"/>
        <v>Pass</v>
      </c>
      <c r="F51" s="83">
        <v>1335</v>
      </c>
      <c r="G51" s="80" t="s">
        <v>47</v>
      </c>
      <c r="H51" s="81">
        <v>60</v>
      </c>
      <c r="I51" s="78"/>
    </row>
    <row r="52" spans="1:9" x14ac:dyDescent="0.3">
      <c r="A52" s="115">
        <v>43262</v>
      </c>
      <c r="B52" s="82">
        <v>44</v>
      </c>
      <c r="C52" s="82">
        <v>80</v>
      </c>
      <c r="D52" s="82">
        <f t="shared" si="2"/>
        <v>36</v>
      </c>
      <c r="E52" s="79" t="str">
        <f t="shared" si="3"/>
        <v>Pass</v>
      </c>
      <c r="F52" s="83">
        <v>1159</v>
      </c>
      <c r="G52" s="80" t="s">
        <v>47</v>
      </c>
      <c r="H52" s="81">
        <v>60</v>
      </c>
      <c r="I52" s="78"/>
    </row>
    <row r="53" spans="1:9" x14ac:dyDescent="0.3">
      <c r="A53" s="115">
        <v>43272</v>
      </c>
      <c r="B53" s="82">
        <v>8</v>
      </c>
      <c r="C53" s="82">
        <v>11</v>
      </c>
      <c r="D53" s="82">
        <f t="shared" si="2"/>
        <v>3</v>
      </c>
      <c r="E53" s="79" t="str">
        <f t="shared" si="3"/>
        <v>Pass</v>
      </c>
      <c r="F53" s="83">
        <v>1159</v>
      </c>
      <c r="G53" s="80" t="s">
        <v>47</v>
      </c>
      <c r="H53" s="81">
        <v>60</v>
      </c>
      <c r="I53" s="78"/>
    </row>
    <row r="54" spans="1:9" x14ac:dyDescent="0.3">
      <c r="A54" s="115">
        <v>43283</v>
      </c>
      <c r="B54" s="82">
        <v>27</v>
      </c>
      <c r="C54" s="82">
        <v>57</v>
      </c>
      <c r="D54" s="82">
        <f t="shared" si="2"/>
        <v>30</v>
      </c>
      <c r="E54" s="79" t="str">
        <f t="shared" si="3"/>
        <v>Pass</v>
      </c>
      <c r="F54" s="83">
        <v>1340</v>
      </c>
      <c r="G54" s="80" t="s">
        <v>47</v>
      </c>
      <c r="H54" s="81">
        <v>60</v>
      </c>
      <c r="I54" s="78"/>
    </row>
    <row r="55" spans="1:9" x14ac:dyDescent="0.3">
      <c r="A55" s="115">
        <v>43287</v>
      </c>
      <c r="B55" s="82">
        <v>36</v>
      </c>
      <c r="C55" s="82">
        <v>27</v>
      </c>
      <c r="D55" s="82">
        <f t="shared" si="2"/>
        <v>-9</v>
      </c>
      <c r="E55" s="79" t="str">
        <f t="shared" si="3"/>
        <v>Pass</v>
      </c>
      <c r="F55" s="85"/>
      <c r="G55" s="80" t="s">
        <v>47</v>
      </c>
      <c r="H55" s="81">
        <v>60</v>
      </c>
      <c r="I55" s="78"/>
    </row>
    <row r="56" spans="1:9" x14ac:dyDescent="0.3">
      <c r="A56" s="115">
        <v>43294</v>
      </c>
      <c r="B56" s="82">
        <v>11</v>
      </c>
      <c r="C56" s="82">
        <v>13</v>
      </c>
      <c r="D56" s="82">
        <f t="shared" si="2"/>
        <v>2</v>
      </c>
      <c r="E56" s="79" t="str">
        <f t="shared" si="3"/>
        <v>Pass</v>
      </c>
      <c r="F56" s="85">
        <v>1335</v>
      </c>
      <c r="G56" s="80" t="s">
        <v>47</v>
      </c>
      <c r="H56" s="81">
        <v>60</v>
      </c>
      <c r="I56" s="78"/>
    </row>
    <row r="57" spans="1:9" x14ac:dyDescent="0.3">
      <c r="A57" s="115">
        <v>43300</v>
      </c>
      <c r="B57" s="82">
        <v>10</v>
      </c>
      <c r="C57" s="82">
        <v>68</v>
      </c>
      <c r="D57" s="82">
        <f t="shared" si="2"/>
        <v>58</v>
      </c>
      <c r="E57" s="79" t="str">
        <f t="shared" si="3"/>
        <v>Pass</v>
      </c>
      <c r="F57" s="85">
        <v>1335</v>
      </c>
      <c r="G57" s="80" t="s">
        <v>47</v>
      </c>
      <c r="H57" s="81">
        <v>60</v>
      </c>
      <c r="I57" s="78"/>
    </row>
    <row r="58" spans="1:9" x14ac:dyDescent="0.3">
      <c r="A58" s="115">
        <v>43304</v>
      </c>
      <c r="B58" s="86">
        <v>9</v>
      </c>
      <c r="C58" s="86">
        <v>15</v>
      </c>
      <c r="D58" s="87">
        <f t="shared" si="2"/>
        <v>6</v>
      </c>
      <c r="E58" s="88" t="str">
        <f t="shared" si="3"/>
        <v>Pass</v>
      </c>
      <c r="F58" s="89">
        <v>1340</v>
      </c>
      <c r="G58" s="80" t="s">
        <v>47</v>
      </c>
      <c r="H58" s="81">
        <v>60</v>
      </c>
      <c r="I58" s="78"/>
    </row>
    <row r="59" spans="1:9" x14ac:dyDescent="0.3">
      <c r="A59" s="115">
        <v>43305</v>
      </c>
      <c r="B59" s="87">
        <v>13</v>
      </c>
      <c r="C59" s="87">
        <v>63</v>
      </c>
      <c r="D59" s="87">
        <f t="shared" si="2"/>
        <v>50</v>
      </c>
      <c r="E59" s="88" t="str">
        <f t="shared" si="3"/>
        <v>Pass</v>
      </c>
      <c r="F59" s="89">
        <v>1340</v>
      </c>
      <c r="G59" s="80" t="s">
        <v>47</v>
      </c>
      <c r="H59" s="81">
        <v>60</v>
      </c>
      <c r="I59" s="78"/>
    </row>
    <row r="60" spans="1:9" x14ac:dyDescent="0.3">
      <c r="A60" s="115">
        <v>43305</v>
      </c>
      <c r="B60" s="87">
        <v>13</v>
      </c>
      <c r="C60" s="87">
        <v>63</v>
      </c>
      <c r="D60" s="87">
        <f t="shared" si="2"/>
        <v>50</v>
      </c>
      <c r="E60" s="88" t="str">
        <f t="shared" si="3"/>
        <v>Pass</v>
      </c>
      <c r="F60" s="89">
        <v>1340</v>
      </c>
      <c r="G60" s="80" t="s">
        <v>47</v>
      </c>
      <c r="H60" s="81">
        <v>60</v>
      </c>
      <c r="I60" s="78"/>
    </row>
    <row r="61" spans="1:9" x14ac:dyDescent="0.3">
      <c r="A61" s="115">
        <v>43306</v>
      </c>
      <c r="B61" s="86">
        <v>21</v>
      </c>
      <c r="C61" s="86">
        <v>23</v>
      </c>
      <c r="D61" s="87">
        <f t="shared" si="2"/>
        <v>2</v>
      </c>
      <c r="E61" s="88" t="str">
        <f t="shared" si="3"/>
        <v>Pass</v>
      </c>
      <c r="F61" s="90">
        <v>121</v>
      </c>
      <c r="G61" s="80" t="s">
        <v>47</v>
      </c>
      <c r="H61" s="81">
        <v>60</v>
      </c>
      <c r="I61" s="78"/>
    </row>
    <row r="62" spans="1:9" x14ac:dyDescent="0.3">
      <c r="A62" s="115">
        <v>43308</v>
      </c>
      <c r="B62" s="87">
        <v>14</v>
      </c>
      <c r="C62" s="87">
        <v>39</v>
      </c>
      <c r="D62" s="87">
        <f t="shared" si="2"/>
        <v>25</v>
      </c>
      <c r="E62" s="88" t="str">
        <f t="shared" si="3"/>
        <v>Pass</v>
      </c>
      <c r="F62" s="89">
        <v>1340</v>
      </c>
      <c r="G62" s="80" t="s">
        <v>47</v>
      </c>
      <c r="H62" s="81">
        <v>60</v>
      </c>
      <c r="I62" s="78"/>
    </row>
    <row r="63" spans="1:9" x14ac:dyDescent="0.3">
      <c r="A63" s="115">
        <v>43313</v>
      </c>
      <c r="B63" s="87">
        <v>10</v>
      </c>
      <c r="C63" s="87">
        <v>200</v>
      </c>
      <c r="D63" s="87">
        <f t="shared" si="2"/>
        <v>190</v>
      </c>
      <c r="E63" s="88" t="str">
        <f t="shared" si="3"/>
        <v>Fail</v>
      </c>
      <c r="F63" s="89">
        <v>74</v>
      </c>
      <c r="G63" s="80" t="s">
        <v>47</v>
      </c>
      <c r="H63" s="81">
        <v>60</v>
      </c>
      <c r="I63" s="78" t="s">
        <v>52</v>
      </c>
    </row>
    <row r="64" spans="1:9" x14ac:dyDescent="0.3">
      <c r="A64" s="115">
        <v>43314</v>
      </c>
      <c r="B64" s="87">
        <v>8</v>
      </c>
      <c r="C64" s="87">
        <v>24</v>
      </c>
      <c r="D64" s="87">
        <f t="shared" si="2"/>
        <v>16</v>
      </c>
      <c r="E64" s="88" t="str">
        <f t="shared" si="3"/>
        <v>Pass</v>
      </c>
      <c r="F64" s="89">
        <v>74</v>
      </c>
      <c r="G64" s="80" t="s">
        <v>47</v>
      </c>
      <c r="H64" s="81">
        <v>60</v>
      </c>
      <c r="I64" s="78"/>
    </row>
    <row r="65" spans="1:9" x14ac:dyDescent="0.3">
      <c r="A65" s="115">
        <v>43320</v>
      </c>
      <c r="B65" s="78">
        <v>6</v>
      </c>
      <c r="C65" s="78">
        <v>8</v>
      </c>
      <c r="D65" s="78">
        <f t="shared" si="2"/>
        <v>2</v>
      </c>
      <c r="E65" s="79" t="str">
        <f t="shared" si="3"/>
        <v>Pass</v>
      </c>
      <c r="F65" s="81">
        <v>1519</v>
      </c>
      <c r="G65" s="80" t="s">
        <v>47</v>
      </c>
      <c r="H65" s="81">
        <v>60</v>
      </c>
      <c r="I65" s="78"/>
    </row>
    <row r="66" spans="1:9" x14ac:dyDescent="0.3">
      <c r="A66" s="115">
        <v>43321</v>
      </c>
      <c r="B66" s="87">
        <v>16</v>
      </c>
      <c r="C66" s="87">
        <v>964</v>
      </c>
      <c r="D66" s="87">
        <f t="shared" si="2"/>
        <v>948</v>
      </c>
      <c r="E66" s="88" t="str">
        <f t="shared" si="3"/>
        <v>Fail</v>
      </c>
      <c r="F66" s="89">
        <v>1428</v>
      </c>
      <c r="G66" s="80" t="s">
        <v>47</v>
      </c>
      <c r="H66" s="81">
        <v>60</v>
      </c>
      <c r="I66" s="80" t="s">
        <v>53</v>
      </c>
    </row>
    <row r="67" spans="1:9" x14ac:dyDescent="0.3">
      <c r="A67" s="115">
        <v>43321</v>
      </c>
      <c r="B67" s="87">
        <v>8</v>
      </c>
      <c r="C67" s="87">
        <v>19</v>
      </c>
      <c r="D67" s="87">
        <f t="shared" si="2"/>
        <v>11</v>
      </c>
      <c r="E67" s="88" t="str">
        <f t="shared" si="3"/>
        <v>Pass</v>
      </c>
      <c r="F67" s="89">
        <v>1428</v>
      </c>
      <c r="G67" s="80" t="s">
        <v>47</v>
      </c>
      <c r="H67" s="81">
        <v>60</v>
      </c>
      <c r="I67" s="78"/>
    </row>
    <row r="68" spans="1:9" x14ac:dyDescent="0.3">
      <c r="A68" s="115">
        <v>43328</v>
      </c>
      <c r="B68" s="87">
        <v>27</v>
      </c>
      <c r="C68" s="87">
        <v>37</v>
      </c>
      <c r="D68" s="87">
        <f t="shared" si="2"/>
        <v>10</v>
      </c>
      <c r="E68" s="88" t="str">
        <f t="shared" si="3"/>
        <v>Pass</v>
      </c>
      <c r="F68" s="89">
        <v>74</v>
      </c>
      <c r="G68" s="80" t="s">
        <v>47</v>
      </c>
      <c r="H68" s="81">
        <v>60</v>
      </c>
      <c r="I68" s="78"/>
    </row>
    <row r="69" spans="1:9" x14ac:dyDescent="0.3">
      <c r="A69" s="115">
        <v>43336</v>
      </c>
      <c r="B69" s="86">
        <v>11</v>
      </c>
      <c r="C69" s="86">
        <v>82</v>
      </c>
      <c r="D69" s="87">
        <f t="shared" si="2"/>
        <v>71</v>
      </c>
      <c r="E69" s="88" t="str">
        <f t="shared" si="3"/>
        <v>Fail</v>
      </c>
      <c r="F69" s="89">
        <v>1340</v>
      </c>
      <c r="G69" s="80" t="s">
        <v>47</v>
      </c>
      <c r="H69" s="81">
        <v>60</v>
      </c>
      <c r="I69" s="78" t="s">
        <v>54</v>
      </c>
    </row>
    <row r="70" spans="1:9" x14ac:dyDescent="0.3">
      <c r="A70" s="115">
        <v>43336</v>
      </c>
      <c r="B70" s="86">
        <v>14</v>
      </c>
      <c r="C70" s="86">
        <v>124</v>
      </c>
      <c r="D70" s="87">
        <f t="shared" si="2"/>
        <v>110</v>
      </c>
      <c r="E70" s="88" t="str">
        <f t="shared" si="3"/>
        <v>Fail</v>
      </c>
      <c r="F70" s="89">
        <v>1340</v>
      </c>
      <c r="G70" s="80" t="s">
        <v>47</v>
      </c>
      <c r="H70" s="81">
        <v>60</v>
      </c>
      <c r="I70" s="78" t="s">
        <v>55</v>
      </c>
    </row>
    <row r="71" spans="1:9" x14ac:dyDescent="0.3">
      <c r="A71" s="115">
        <v>43336</v>
      </c>
      <c r="B71" s="87">
        <v>19</v>
      </c>
      <c r="C71" s="87">
        <v>157</v>
      </c>
      <c r="D71" s="87">
        <f t="shared" si="2"/>
        <v>138</v>
      </c>
      <c r="E71" s="88" t="str">
        <f t="shared" si="3"/>
        <v>Fail</v>
      </c>
      <c r="F71" s="89">
        <v>1519</v>
      </c>
      <c r="G71" s="80" t="s">
        <v>47</v>
      </c>
      <c r="H71" s="81">
        <v>60</v>
      </c>
      <c r="I71" s="78"/>
    </row>
    <row r="72" spans="1:9" x14ac:dyDescent="0.3">
      <c r="A72" s="115">
        <v>43336</v>
      </c>
      <c r="B72" s="87">
        <v>16</v>
      </c>
      <c r="C72" s="87">
        <v>57</v>
      </c>
      <c r="D72" s="87">
        <f t="shared" si="2"/>
        <v>41</v>
      </c>
      <c r="E72" s="88" t="str">
        <f t="shared" si="3"/>
        <v>Pass</v>
      </c>
      <c r="F72" s="89">
        <v>1159</v>
      </c>
      <c r="G72" s="80" t="s">
        <v>47</v>
      </c>
      <c r="H72" s="81">
        <v>60</v>
      </c>
      <c r="I72" s="78" t="s">
        <v>56</v>
      </c>
    </row>
    <row r="73" spans="1:9" x14ac:dyDescent="0.3">
      <c r="A73" s="115">
        <v>43340</v>
      </c>
      <c r="B73" s="87">
        <v>31</v>
      </c>
      <c r="C73" s="87">
        <v>341</v>
      </c>
      <c r="D73" s="87">
        <f t="shared" si="2"/>
        <v>310</v>
      </c>
      <c r="E73" s="88" t="str">
        <f t="shared" si="3"/>
        <v>Fail</v>
      </c>
      <c r="F73" s="89" t="s">
        <v>57</v>
      </c>
      <c r="G73" s="80" t="s">
        <v>47</v>
      </c>
      <c r="H73" s="81">
        <v>60</v>
      </c>
      <c r="I73" s="78"/>
    </row>
    <row r="74" spans="1:9" x14ac:dyDescent="0.3">
      <c r="A74" s="115">
        <v>43340</v>
      </c>
      <c r="B74" s="87">
        <v>27</v>
      </c>
      <c r="C74" s="87">
        <v>84</v>
      </c>
      <c r="D74" s="87">
        <f t="shared" si="2"/>
        <v>57</v>
      </c>
      <c r="E74" s="88" t="str">
        <f t="shared" si="3"/>
        <v>Pass</v>
      </c>
      <c r="F74" s="89">
        <v>1340</v>
      </c>
      <c r="G74" s="80" t="s">
        <v>47</v>
      </c>
      <c r="H74" s="81">
        <v>60</v>
      </c>
      <c r="I74" s="78" t="s">
        <v>58</v>
      </c>
    </row>
    <row r="75" spans="1:9" x14ac:dyDescent="0.3">
      <c r="A75" s="115">
        <v>43341</v>
      </c>
      <c r="B75" s="87">
        <v>10</v>
      </c>
      <c r="C75" s="87">
        <v>41</v>
      </c>
      <c r="D75" s="87">
        <f t="shared" si="2"/>
        <v>31</v>
      </c>
      <c r="E75" s="88" t="str">
        <f t="shared" si="3"/>
        <v>Pass</v>
      </c>
      <c r="F75" s="89">
        <v>121</v>
      </c>
      <c r="G75" s="80" t="s">
        <v>47</v>
      </c>
      <c r="H75" s="81">
        <v>60</v>
      </c>
      <c r="I75" s="78"/>
    </row>
    <row r="76" spans="1:9" x14ac:dyDescent="0.3">
      <c r="A76" s="115">
        <v>43344</v>
      </c>
      <c r="B76" s="87">
        <v>30</v>
      </c>
      <c r="C76" s="87">
        <v>82</v>
      </c>
      <c r="D76" s="87">
        <f t="shared" si="2"/>
        <v>52</v>
      </c>
      <c r="E76" s="88" t="str">
        <f t="shared" si="3"/>
        <v>Pass</v>
      </c>
      <c r="F76" s="89">
        <v>1428</v>
      </c>
      <c r="G76" s="80" t="s">
        <v>47</v>
      </c>
      <c r="H76" s="81">
        <v>60</v>
      </c>
      <c r="I76" s="78"/>
    </row>
    <row r="77" spans="1:9" x14ac:dyDescent="0.3">
      <c r="A77" s="115">
        <v>43348</v>
      </c>
      <c r="B77" s="87">
        <v>36</v>
      </c>
      <c r="C77" s="87">
        <v>909</v>
      </c>
      <c r="D77" s="87">
        <f t="shared" si="2"/>
        <v>873</v>
      </c>
      <c r="E77" s="88" t="str">
        <f t="shared" si="3"/>
        <v>Fail</v>
      </c>
      <c r="F77" s="89">
        <v>1335</v>
      </c>
      <c r="G77" s="80" t="s">
        <v>47</v>
      </c>
      <c r="H77" s="81">
        <v>60</v>
      </c>
      <c r="I77" s="78" t="s">
        <v>59</v>
      </c>
    </row>
    <row r="78" spans="1:9" x14ac:dyDescent="0.3">
      <c r="A78" s="115">
        <v>43349</v>
      </c>
      <c r="B78" s="87">
        <v>16</v>
      </c>
      <c r="C78" s="87">
        <v>49</v>
      </c>
      <c r="D78" s="87">
        <f t="shared" si="2"/>
        <v>33</v>
      </c>
      <c r="E78" s="88" t="str">
        <f t="shared" si="3"/>
        <v>Pass</v>
      </c>
      <c r="F78" s="89">
        <v>74</v>
      </c>
      <c r="G78" s="80" t="s">
        <v>47</v>
      </c>
      <c r="H78" s="81">
        <v>60</v>
      </c>
      <c r="I78" s="78"/>
    </row>
    <row r="79" spans="1:9" x14ac:dyDescent="0.3">
      <c r="A79" s="115">
        <v>43356</v>
      </c>
      <c r="B79" s="87">
        <v>24</v>
      </c>
      <c r="C79" s="87">
        <v>260</v>
      </c>
      <c r="D79" s="87">
        <f t="shared" si="2"/>
        <v>236</v>
      </c>
      <c r="E79" s="88" t="str">
        <f t="shared" si="3"/>
        <v>Fail</v>
      </c>
      <c r="F79" s="89">
        <v>1159</v>
      </c>
      <c r="G79" s="80" t="s">
        <v>47</v>
      </c>
      <c r="H79" s="81">
        <v>60</v>
      </c>
      <c r="I79" s="78" t="s">
        <v>59</v>
      </c>
    </row>
    <row r="80" spans="1:9" x14ac:dyDescent="0.3">
      <c r="A80" s="115">
        <v>43357</v>
      </c>
      <c r="B80" s="86">
        <v>25</v>
      </c>
      <c r="C80" s="86">
        <v>69</v>
      </c>
      <c r="D80" s="86">
        <f t="shared" si="2"/>
        <v>44</v>
      </c>
      <c r="E80" s="79" t="str">
        <f t="shared" si="3"/>
        <v>Pass</v>
      </c>
      <c r="F80" s="89">
        <v>1159</v>
      </c>
      <c r="G80" s="80" t="s">
        <v>47</v>
      </c>
      <c r="H80" s="81">
        <v>60</v>
      </c>
      <c r="I80" s="78"/>
    </row>
    <row r="81" spans="1:9" x14ac:dyDescent="0.3">
      <c r="A81" s="115">
        <v>43362</v>
      </c>
      <c r="B81" s="86">
        <v>30</v>
      </c>
      <c r="C81" s="86">
        <v>108</v>
      </c>
      <c r="D81" s="86">
        <f t="shared" si="2"/>
        <v>78</v>
      </c>
      <c r="E81" s="79" t="str">
        <f t="shared" si="3"/>
        <v>Fail</v>
      </c>
      <c r="F81" s="89">
        <v>1340</v>
      </c>
      <c r="G81" s="80" t="s">
        <v>47</v>
      </c>
      <c r="H81" s="81">
        <v>60</v>
      </c>
      <c r="I81" s="91" t="s">
        <v>60</v>
      </c>
    </row>
    <row r="82" spans="1:9" x14ac:dyDescent="0.3">
      <c r="A82" s="115">
        <v>43362</v>
      </c>
      <c r="B82" s="86">
        <v>22</v>
      </c>
      <c r="C82" s="86">
        <v>133</v>
      </c>
      <c r="D82" s="86">
        <f t="shared" si="2"/>
        <v>111</v>
      </c>
      <c r="E82" s="79" t="str">
        <f t="shared" si="3"/>
        <v>Fail</v>
      </c>
      <c r="F82" s="89">
        <v>1340</v>
      </c>
      <c r="G82" s="80" t="s">
        <v>47</v>
      </c>
      <c r="H82" s="81">
        <v>60</v>
      </c>
      <c r="I82" s="91" t="s">
        <v>60</v>
      </c>
    </row>
    <row r="83" spans="1:9" x14ac:dyDescent="0.3">
      <c r="A83" s="115">
        <v>43362</v>
      </c>
      <c r="B83" s="86">
        <v>18</v>
      </c>
      <c r="C83" s="86">
        <v>45</v>
      </c>
      <c r="D83" s="86">
        <f t="shared" si="2"/>
        <v>27</v>
      </c>
      <c r="E83" s="79" t="str">
        <f t="shared" si="3"/>
        <v>Pass</v>
      </c>
      <c r="F83" s="89">
        <v>1159</v>
      </c>
      <c r="G83" s="80" t="s">
        <v>47</v>
      </c>
      <c r="H83" s="81">
        <v>60</v>
      </c>
      <c r="I83" s="91" t="s">
        <v>61</v>
      </c>
    </row>
    <row r="84" spans="1:9" x14ac:dyDescent="0.3">
      <c r="A84" s="115">
        <v>43367</v>
      </c>
      <c r="B84" s="86">
        <v>6</v>
      </c>
      <c r="C84" s="86">
        <v>218</v>
      </c>
      <c r="D84" s="86">
        <f t="shared" si="2"/>
        <v>212</v>
      </c>
      <c r="E84" s="79" t="str">
        <f t="shared" si="3"/>
        <v>Fail</v>
      </c>
      <c r="F84" s="89">
        <v>1340</v>
      </c>
      <c r="G84" s="80" t="s">
        <v>47</v>
      </c>
      <c r="H84" s="81">
        <v>60</v>
      </c>
      <c r="I84" s="78"/>
    </row>
    <row r="85" spans="1:9" x14ac:dyDescent="0.3">
      <c r="A85" s="115">
        <v>43370</v>
      </c>
      <c r="B85" s="86">
        <v>16</v>
      </c>
      <c r="C85" s="86">
        <v>20</v>
      </c>
      <c r="D85" s="86">
        <f t="shared" si="2"/>
        <v>4</v>
      </c>
      <c r="E85" s="79" t="str">
        <f t="shared" si="3"/>
        <v>Pass</v>
      </c>
      <c r="F85" s="89">
        <v>1340</v>
      </c>
      <c r="G85" s="80" t="s">
        <v>47</v>
      </c>
      <c r="H85" s="81">
        <v>60</v>
      </c>
      <c r="I85" s="78"/>
    </row>
    <row r="86" spans="1:9" x14ac:dyDescent="0.3">
      <c r="A86" s="115">
        <v>43375</v>
      </c>
      <c r="B86" s="86">
        <v>14</v>
      </c>
      <c r="C86" s="86">
        <v>31</v>
      </c>
      <c r="D86" s="86">
        <f t="shared" si="2"/>
        <v>17</v>
      </c>
      <c r="E86" s="79" t="str">
        <f t="shared" si="3"/>
        <v>Pass</v>
      </c>
      <c r="F86" s="84">
        <v>1534</v>
      </c>
      <c r="G86" s="80" t="s">
        <v>47</v>
      </c>
      <c r="H86" s="81">
        <v>60</v>
      </c>
      <c r="I86" s="78"/>
    </row>
    <row r="87" spans="1:9" x14ac:dyDescent="0.3">
      <c r="A87" s="115">
        <v>43378</v>
      </c>
      <c r="B87" s="86">
        <v>26</v>
      </c>
      <c r="C87" s="86">
        <v>37</v>
      </c>
      <c r="D87" s="86">
        <f t="shared" si="2"/>
        <v>11</v>
      </c>
      <c r="E87" s="79" t="str">
        <f t="shared" si="3"/>
        <v>Pass</v>
      </c>
      <c r="F87" s="84">
        <v>1340</v>
      </c>
      <c r="G87" s="80" t="s">
        <v>47</v>
      </c>
      <c r="H87" s="81">
        <v>60</v>
      </c>
      <c r="I87" s="78"/>
    </row>
    <row r="88" spans="1:9" x14ac:dyDescent="0.3">
      <c r="A88" s="115">
        <v>43382</v>
      </c>
      <c r="B88" s="86">
        <v>19</v>
      </c>
      <c r="C88" s="86">
        <v>43</v>
      </c>
      <c r="D88" s="86">
        <f t="shared" si="2"/>
        <v>24</v>
      </c>
      <c r="E88" s="79" t="str">
        <f t="shared" si="3"/>
        <v>Pass</v>
      </c>
      <c r="F88" s="84">
        <v>1335</v>
      </c>
      <c r="G88" s="80" t="s">
        <v>47</v>
      </c>
      <c r="H88" s="81">
        <v>60</v>
      </c>
      <c r="I88" s="78"/>
    </row>
    <row r="89" spans="1:9" x14ac:dyDescent="0.3">
      <c r="A89" s="115">
        <v>43385</v>
      </c>
      <c r="B89" s="86">
        <v>36</v>
      </c>
      <c r="C89" s="86">
        <v>68</v>
      </c>
      <c r="D89" s="86">
        <f t="shared" si="2"/>
        <v>32</v>
      </c>
      <c r="E89" s="79" t="str">
        <f t="shared" si="3"/>
        <v>Pass</v>
      </c>
      <c r="F89" s="84">
        <v>102</v>
      </c>
      <c r="G89" s="80" t="s">
        <v>47</v>
      </c>
      <c r="H89" s="81">
        <v>60</v>
      </c>
      <c r="I89" s="78"/>
    </row>
    <row r="90" spans="1:9" x14ac:dyDescent="0.3">
      <c r="A90" s="115">
        <v>43388</v>
      </c>
      <c r="B90" s="86">
        <v>13</v>
      </c>
      <c r="C90" s="86">
        <v>82</v>
      </c>
      <c r="D90" s="86">
        <f t="shared" si="2"/>
        <v>69</v>
      </c>
      <c r="E90" s="79" t="str">
        <f t="shared" si="3"/>
        <v>Fail</v>
      </c>
      <c r="F90" s="84">
        <v>1340</v>
      </c>
      <c r="G90" s="80" t="s">
        <v>47</v>
      </c>
      <c r="H90" s="81">
        <v>60</v>
      </c>
      <c r="I90" s="78"/>
    </row>
    <row r="91" spans="1:9" x14ac:dyDescent="0.3">
      <c r="A91" s="115">
        <v>43388</v>
      </c>
      <c r="B91" s="86">
        <v>22</v>
      </c>
      <c r="C91" s="86">
        <v>31</v>
      </c>
      <c r="D91" s="86">
        <f t="shared" si="2"/>
        <v>9</v>
      </c>
      <c r="E91" s="79" t="str">
        <f t="shared" si="3"/>
        <v>Pass</v>
      </c>
      <c r="F91" s="84">
        <v>1340</v>
      </c>
      <c r="G91" s="80" t="s">
        <v>47</v>
      </c>
      <c r="H91" s="81">
        <v>60</v>
      </c>
      <c r="I91" s="78"/>
    </row>
    <row r="92" spans="1:9" x14ac:dyDescent="0.3">
      <c r="A92" s="115">
        <v>43391</v>
      </c>
      <c r="B92" s="78">
        <v>4</v>
      </c>
      <c r="C92" s="78">
        <v>49</v>
      </c>
      <c r="D92" s="78">
        <f t="shared" si="2"/>
        <v>45</v>
      </c>
      <c r="E92" s="79" t="str">
        <f t="shared" si="3"/>
        <v>Pass</v>
      </c>
      <c r="F92" s="85">
        <v>121</v>
      </c>
      <c r="G92" s="80" t="s">
        <v>47</v>
      </c>
      <c r="H92" s="81">
        <v>60</v>
      </c>
      <c r="I92" s="92"/>
    </row>
    <row r="93" spans="1:9" x14ac:dyDescent="0.3">
      <c r="A93" s="115">
        <v>43395</v>
      </c>
      <c r="B93" s="78">
        <v>9</v>
      </c>
      <c r="C93" s="78">
        <v>33</v>
      </c>
      <c r="D93" s="78">
        <f t="shared" si="2"/>
        <v>24</v>
      </c>
      <c r="E93" s="79" t="str">
        <f t="shared" si="3"/>
        <v>Pass</v>
      </c>
      <c r="F93" s="85">
        <v>121</v>
      </c>
      <c r="G93" s="80" t="s">
        <v>47</v>
      </c>
      <c r="H93" s="81">
        <v>60</v>
      </c>
      <c r="I93" s="78"/>
    </row>
    <row r="94" spans="1:9" x14ac:dyDescent="0.3">
      <c r="A94" s="115">
        <v>43398</v>
      </c>
      <c r="B94" s="78">
        <v>36</v>
      </c>
      <c r="C94" s="78">
        <v>165</v>
      </c>
      <c r="D94" s="78">
        <f t="shared" si="2"/>
        <v>129</v>
      </c>
      <c r="E94" s="79" t="str">
        <f t="shared" si="3"/>
        <v>Fail</v>
      </c>
      <c r="F94" s="85">
        <v>121</v>
      </c>
      <c r="G94" s="80" t="s">
        <v>47</v>
      </c>
      <c r="H94" s="81">
        <v>60</v>
      </c>
      <c r="I94" s="78" t="s">
        <v>62</v>
      </c>
    </row>
    <row r="95" spans="1:9" x14ac:dyDescent="0.3">
      <c r="A95" s="115">
        <v>43401</v>
      </c>
      <c r="B95" s="78">
        <v>32</v>
      </c>
      <c r="C95" s="78">
        <v>44</v>
      </c>
      <c r="D95" s="78">
        <f t="shared" si="2"/>
        <v>12</v>
      </c>
      <c r="E95" s="79" t="str">
        <f t="shared" si="3"/>
        <v>Pass</v>
      </c>
      <c r="F95" s="85">
        <v>1340</v>
      </c>
      <c r="G95" s="80" t="s">
        <v>47</v>
      </c>
      <c r="H95" s="81">
        <v>60</v>
      </c>
      <c r="I95" s="78"/>
    </row>
    <row r="96" spans="1:9" x14ac:dyDescent="0.3">
      <c r="A96" s="115">
        <v>43402</v>
      </c>
      <c r="B96" s="78">
        <v>43</v>
      </c>
      <c r="C96" s="78">
        <v>34</v>
      </c>
      <c r="D96" s="78">
        <f t="shared" si="2"/>
        <v>-9</v>
      </c>
      <c r="E96" s="79" t="str">
        <f t="shared" si="3"/>
        <v>Pass</v>
      </c>
      <c r="F96" s="85">
        <v>1428</v>
      </c>
      <c r="G96" s="80" t="s">
        <v>47</v>
      </c>
      <c r="H96" s="81">
        <v>60</v>
      </c>
      <c r="I96" s="78"/>
    </row>
    <row r="97" spans="1:9" x14ac:dyDescent="0.3">
      <c r="A97" s="115">
        <v>43405</v>
      </c>
      <c r="B97" s="78">
        <v>18</v>
      </c>
      <c r="C97" s="78">
        <v>32</v>
      </c>
      <c r="D97" s="78">
        <f t="shared" si="2"/>
        <v>14</v>
      </c>
      <c r="E97" s="79" t="str">
        <f t="shared" si="3"/>
        <v>Pass</v>
      </c>
      <c r="F97" s="85">
        <v>64</v>
      </c>
      <c r="G97" s="80" t="s">
        <v>47</v>
      </c>
      <c r="H97" s="81">
        <v>60</v>
      </c>
      <c r="I97" s="78"/>
    </row>
    <row r="98" spans="1:9" x14ac:dyDescent="0.3">
      <c r="A98" s="115">
        <v>43405</v>
      </c>
      <c r="B98" s="78">
        <v>10</v>
      </c>
      <c r="C98" s="78">
        <v>33</v>
      </c>
      <c r="D98" s="78">
        <f t="shared" si="2"/>
        <v>23</v>
      </c>
      <c r="E98" s="79" t="str">
        <f t="shared" si="3"/>
        <v>Pass</v>
      </c>
      <c r="F98" s="85">
        <v>1335</v>
      </c>
      <c r="G98" s="80" t="s">
        <v>47</v>
      </c>
      <c r="H98" s="81">
        <v>60</v>
      </c>
      <c r="I98" s="78"/>
    </row>
    <row r="99" spans="1:9" x14ac:dyDescent="0.3">
      <c r="A99" s="115">
        <v>43413</v>
      </c>
      <c r="B99" s="78">
        <v>10</v>
      </c>
      <c r="C99" s="78">
        <v>189</v>
      </c>
      <c r="D99" s="78">
        <f t="shared" si="2"/>
        <v>179</v>
      </c>
      <c r="E99" s="79" t="str">
        <f t="shared" si="3"/>
        <v>Fail</v>
      </c>
      <c r="F99" s="85">
        <v>1428</v>
      </c>
      <c r="G99" s="80" t="s">
        <v>47</v>
      </c>
      <c r="H99" s="81">
        <v>60</v>
      </c>
      <c r="I99" s="78"/>
    </row>
    <row r="100" spans="1:9" x14ac:dyDescent="0.3">
      <c r="A100" s="115">
        <v>43415</v>
      </c>
      <c r="B100" s="78">
        <v>13</v>
      </c>
      <c r="C100" s="78">
        <v>40</v>
      </c>
      <c r="D100" s="78">
        <f t="shared" si="2"/>
        <v>27</v>
      </c>
      <c r="E100" s="79" t="str">
        <f t="shared" si="3"/>
        <v>Pass</v>
      </c>
      <c r="F100" s="85">
        <v>1340</v>
      </c>
      <c r="G100" s="80" t="s">
        <v>47</v>
      </c>
      <c r="H100" s="81">
        <v>60</v>
      </c>
      <c r="I100" s="78"/>
    </row>
    <row r="101" spans="1:9" x14ac:dyDescent="0.3">
      <c r="A101" s="115">
        <v>43420</v>
      </c>
      <c r="B101" s="78">
        <v>24</v>
      </c>
      <c r="C101" s="78">
        <v>61</v>
      </c>
      <c r="D101" s="78">
        <f t="shared" si="2"/>
        <v>37</v>
      </c>
      <c r="E101" s="79" t="str">
        <f t="shared" si="3"/>
        <v>Pass</v>
      </c>
      <c r="F101" s="85">
        <v>1428</v>
      </c>
      <c r="G101" s="80" t="s">
        <v>47</v>
      </c>
      <c r="H101" s="81">
        <v>60</v>
      </c>
      <c r="I101" s="78"/>
    </row>
    <row r="102" spans="1:9" x14ac:dyDescent="0.3">
      <c r="A102" s="115">
        <v>43420</v>
      </c>
      <c r="B102" s="78">
        <v>24</v>
      </c>
      <c r="C102" s="78">
        <v>35</v>
      </c>
      <c r="D102" s="78">
        <f t="shared" si="2"/>
        <v>11</v>
      </c>
      <c r="E102" s="79" t="str">
        <f t="shared" si="3"/>
        <v>Pass</v>
      </c>
      <c r="F102" s="85">
        <v>1335</v>
      </c>
      <c r="G102" s="80" t="s">
        <v>47</v>
      </c>
      <c r="H102" s="81">
        <v>60</v>
      </c>
      <c r="I102" s="78"/>
    </row>
    <row r="103" spans="1:9" x14ac:dyDescent="0.3">
      <c r="A103" s="115">
        <v>43438</v>
      </c>
      <c r="B103" s="78">
        <v>27</v>
      </c>
      <c r="C103" s="78">
        <v>40</v>
      </c>
      <c r="D103" s="78">
        <f t="shared" si="2"/>
        <v>13</v>
      </c>
      <c r="E103" s="79" t="str">
        <f t="shared" si="3"/>
        <v>Pass</v>
      </c>
      <c r="F103" s="85">
        <v>1340</v>
      </c>
      <c r="G103" s="80" t="s">
        <v>47</v>
      </c>
      <c r="H103" s="81">
        <v>60</v>
      </c>
      <c r="I103" s="78"/>
    </row>
    <row r="104" spans="1:9" x14ac:dyDescent="0.3">
      <c r="A104" s="115">
        <v>43452</v>
      </c>
      <c r="B104" s="78">
        <v>30</v>
      </c>
      <c r="C104" s="78">
        <v>40</v>
      </c>
      <c r="D104" s="78">
        <f t="shared" si="2"/>
        <v>10</v>
      </c>
      <c r="E104" s="79" t="str">
        <f t="shared" si="3"/>
        <v>Pass</v>
      </c>
      <c r="F104" s="85">
        <v>1340</v>
      </c>
      <c r="G104" s="80" t="s">
        <v>47</v>
      </c>
      <c r="H104" s="81">
        <v>60</v>
      </c>
      <c r="I104" s="78"/>
    </row>
    <row r="105" spans="1:9" x14ac:dyDescent="0.3">
      <c r="A105" s="115">
        <v>43458</v>
      </c>
      <c r="B105" s="78">
        <v>48</v>
      </c>
      <c r="C105" s="78">
        <v>71</v>
      </c>
      <c r="D105" s="78">
        <f t="shared" si="2"/>
        <v>23</v>
      </c>
      <c r="E105" s="79" t="str">
        <f t="shared" si="3"/>
        <v>Pass</v>
      </c>
      <c r="F105" s="85">
        <v>1428</v>
      </c>
      <c r="G105" s="80" t="s">
        <v>47</v>
      </c>
      <c r="H105" s="81">
        <v>60</v>
      </c>
      <c r="I105" s="78"/>
    </row>
    <row r="106" spans="1:9" x14ac:dyDescent="0.3">
      <c r="A106" s="115">
        <v>43462</v>
      </c>
      <c r="B106" s="78">
        <v>26</v>
      </c>
      <c r="C106" s="78">
        <v>48</v>
      </c>
      <c r="D106" s="78">
        <f t="shared" si="2"/>
        <v>22</v>
      </c>
      <c r="E106" s="79" t="str">
        <f t="shared" si="3"/>
        <v>Pass</v>
      </c>
      <c r="F106" s="85">
        <v>1340</v>
      </c>
      <c r="G106" s="80" t="s">
        <v>47</v>
      </c>
      <c r="H106" s="81">
        <v>60</v>
      </c>
      <c r="I106" s="78"/>
    </row>
    <row r="107" spans="1:9" x14ac:dyDescent="0.3">
      <c r="A107" s="115">
        <v>43466</v>
      </c>
      <c r="B107" s="78">
        <v>12</v>
      </c>
      <c r="C107" s="78">
        <v>14</v>
      </c>
      <c r="D107" s="78">
        <f>IF(((C107="")*AND(B107="")),"",(C107-B107))</f>
        <v>2</v>
      </c>
      <c r="E107" s="79" t="str">
        <f>IF(D107="","",IF(D107&lt;60,"Pass","Fail"))</f>
        <v>Pass</v>
      </c>
      <c r="F107" s="85">
        <v>1340</v>
      </c>
      <c r="G107" s="80" t="s">
        <v>47</v>
      </c>
      <c r="H107" s="81">
        <v>60</v>
      </c>
      <c r="I107" s="78"/>
    </row>
    <row r="108" spans="1:9" customFormat="1" ht="12.75" customHeight="1" x14ac:dyDescent="0.3">
      <c r="A108" s="115">
        <v>43476</v>
      </c>
      <c r="B108" s="78">
        <v>21</v>
      </c>
      <c r="C108" s="78">
        <v>255</v>
      </c>
      <c r="D108" s="78">
        <f t="shared" ref="D108:D126" si="4">IF(((C108="")*AND(B108="")),"",(C108-B108))</f>
        <v>234</v>
      </c>
      <c r="E108" s="30" t="str">
        <f t="shared" ref="E108:E142" si="5">IF(D108="","",IF(D108&lt;60,"Pass","Fail"))</f>
        <v>Fail</v>
      </c>
      <c r="F108" s="85">
        <v>121</v>
      </c>
      <c r="G108" s="111" t="s">
        <v>47</v>
      </c>
      <c r="H108" s="81">
        <v>60</v>
      </c>
      <c r="I108" s="78" t="s">
        <v>136</v>
      </c>
    </row>
    <row r="109" spans="1:9" customFormat="1" ht="15.6" x14ac:dyDescent="0.3">
      <c r="A109" s="115">
        <v>43115</v>
      </c>
      <c r="B109" s="78">
        <v>9</v>
      </c>
      <c r="C109" s="78">
        <v>128</v>
      </c>
      <c r="D109" s="78">
        <f t="shared" si="4"/>
        <v>119</v>
      </c>
      <c r="E109" s="30" t="str">
        <f t="shared" si="5"/>
        <v>Fail</v>
      </c>
      <c r="F109" s="85">
        <v>1340</v>
      </c>
      <c r="G109" s="111" t="s">
        <v>47</v>
      </c>
      <c r="H109" s="81">
        <v>60</v>
      </c>
      <c r="I109" s="78" t="s">
        <v>136</v>
      </c>
    </row>
    <row r="110" spans="1:9" customFormat="1" ht="15.6" x14ac:dyDescent="0.3">
      <c r="A110" s="115">
        <v>43115</v>
      </c>
      <c r="B110" s="78">
        <v>11</v>
      </c>
      <c r="C110" s="78">
        <v>36</v>
      </c>
      <c r="D110" s="78">
        <f t="shared" si="4"/>
        <v>25</v>
      </c>
      <c r="E110" s="30" t="str">
        <f t="shared" si="5"/>
        <v>Pass</v>
      </c>
      <c r="F110" s="85" t="s">
        <v>137</v>
      </c>
      <c r="G110" s="111" t="s">
        <v>47</v>
      </c>
      <c r="H110" s="81">
        <v>60</v>
      </c>
      <c r="I110" s="78"/>
    </row>
    <row r="111" spans="1:9" customFormat="1" ht="15.6" x14ac:dyDescent="0.3">
      <c r="A111" s="115">
        <v>43115</v>
      </c>
      <c r="B111" s="78">
        <v>13</v>
      </c>
      <c r="C111" s="78">
        <v>32</v>
      </c>
      <c r="D111" s="78">
        <f t="shared" si="4"/>
        <v>19</v>
      </c>
      <c r="E111" s="30" t="str">
        <f t="shared" si="5"/>
        <v>Pass</v>
      </c>
      <c r="F111" s="85" t="s">
        <v>137</v>
      </c>
      <c r="G111" s="111" t="s">
        <v>47</v>
      </c>
      <c r="H111" s="81">
        <v>60</v>
      </c>
      <c r="I111" s="78"/>
    </row>
    <row r="112" spans="1:9" customFormat="1" ht="15.6" x14ac:dyDescent="0.3">
      <c r="A112" s="115">
        <v>43487</v>
      </c>
      <c r="B112" s="78">
        <v>10</v>
      </c>
      <c r="C112" s="78">
        <v>51</v>
      </c>
      <c r="D112" s="78">
        <f t="shared" si="4"/>
        <v>41</v>
      </c>
      <c r="E112" s="30" t="str">
        <f t="shared" si="5"/>
        <v>Pass</v>
      </c>
      <c r="F112" s="85">
        <v>1335</v>
      </c>
      <c r="G112" s="111" t="s">
        <v>47</v>
      </c>
      <c r="H112" s="81">
        <v>60</v>
      </c>
      <c r="I112" s="78"/>
    </row>
    <row r="113" spans="1:9" customFormat="1" ht="15.6" x14ac:dyDescent="0.3">
      <c r="A113" s="115">
        <v>43493</v>
      </c>
      <c r="B113" s="78">
        <v>13</v>
      </c>
      <c r="C113" s="78">
        <v>30</v>
      </c>
      <c r="D113" s="78">
        <f t="shared" si="4"/>
        <v>17</v>
      </c>
      <c r="E113" s="30" t="str">
        <f t="shared" si="5"/>
        <v>Pass</v>
      </c>
      <c r="F113" s="398" t="s">
        <v>98</v>
      </c>
      <c r="G113" s="111" t="s">
        <v>47</v>
      </c>
      <c r="H113" s="81">
        <v>60</v>
      </c>
      <c r="I113" s="78"/>
    </row>
    <row r="114" spans="1:9" customFormat="1" ht="15.6" x14ac:dyDescent="0.3">
      <c r="A114" s="115">
        <v>43497</v>
      </c>
      <c r="B114" s="78">
        <v>32</v>
      </c>
      <c r="C114" s="78">
        <v>56</v>
      </c>
      <c r="D114" s="78">
        <f t="shared" si="4"/>
        <v>24</v>
      </c>
      <c r="E114" s="30" t="str">
        <f t="shared" si="5"/>
        <v>Pass</v>
      </c>
      <c r="F114" s="120">
        <v>121</v>
      </c>
      <c r="G114" s="78" t="s">
        <v>47</v>
      </c>
      <c r="H114" s="81">
        <v>60</v>
      </c>
      <c r="I114" s="78"/>
    </row>
    <row r="115" spans="1:9" customFormat="1" ht="15.6" x14ac:dyDescent="0.3">
      <c r="A115" s="115">
        <v>43502</v>
      </c>
      <c r="B115" s="78">
        <v>18</v>
      </c>
      <c r="C115" s="78">
        <v>29</v>
      </c>
      <c r="D115" s="78">
        <f t="shared" si="4"/>
        <v>11</v>
      </c>
      <c r="E115" s="30" t="str">
        <f t="shared" si="5"/>
        <v>Pass</v>
      </c>
      <c r="F115" s="120">
        <v>102</v>
      </c>
      <c r="G115" s="78" t="s">
        <v>47</v>
      </c>
      <c r="H115" s="81">
        <v>60</v>
      </c>
      <c r="I115" s="78"/>
    </row>
    <row r="116" spans="1:9" customFormat="1" ht="15.6" x14ac:dyDescent="0.3">
      <c r="A116" s="115">
        <v>43510</v>
      </c>
      <c r="B116" s="78">
        <v>20</v>
      </c>
      <c r="C116" s="78">
        <v>82</v>
      </c>
      <c r="D116" s="78">
        <f t="shared" si="4"/>
        <v>62</v>
      </c>
      <c r="E116" s="30" t="str">
        <f t="shared" si="5"/>
        <v>Fail</v>
      </c>
      <c r="F116" s="85" t="s">
        <v>138</v>
      </c>
      <c r="G116" s="78" t="s">
        <v>47</v>
      </c>
      <c r="H116" s="81">
        <v>60</v>
      </c>
      <c r="I116" s="78"/>
    </row>
    <row r="117" spans="1:9" customFormat="1" ht="15.6" x14ac:dyDescent="0.3">
      <c r="A117" s="115">
        <v>43510</v>
      </c>
      <c r="B117" s="78">
        <v>10</v>
      </c>
      <c r="C117" s="78">
        <v>46</v>
      </c>
      <c r="D117" s="78">
        <f t="shared" si="4"/>
        <v>36</v>
      </c>
      <c r="E117" s="30" t="str">
        <f t="shared" si="5"/>
        <v>Pass</v>
      </c>
      <c r="F117" s="85" t="s">
        <v>138</v>
      </c>
      <c r="G117" s="78" t="s">
        <v>47</v>
      </c>
      <c r="H117" s="81">
        <v>60</v>
      </c>
      <c r="I117" s="78"/>
    </row>
    <row r="118" spans="1:9" customFormat="1" ht="15.6" x14ac:dyDescent="0.3">
      <c r="A118" s="115">
        <v>43510</v>
      </c>
      <c r="B118" s="78">
        <v>19</v>
      </c>
      <c r="C118" s="78">
        <v>38</v>
      </c>
      <c r="D118" s="117">
        <f t="shared" si="4"/>
        <v>19</v>
      </c>
      <c r="E118" s="30" t="str">
        <f t="shared" si="5"/>
        <v>Pass</v>
      </c>
      <c r="F118" s="85" t="s">
        <v>138</v>
      </c>
      <c r="G118" s="78" t="s">
        <v>47</v>
      </c>
      <c r="H118" s="81">
        <v>60</v>
      </c>
      <c r="I118" s="78"/>
    </row>
    <row r="119" spans="1:9" customFormat="1" ht="15.6" x14ac:dyDescent="0.3">
      <c r="A119" s="115">
        <v>43514</v>
      </c>
      <c r="B119" s="78">
        <v>17</v>
      </c>
      <c r="C119" s="78">
        <v>54</v>
      </c>
      <c r="D119" s="117">
        <f t="shared" si="4"/>
        <v>37</v>
      </c>
      <c r="E119" s="30" t="str">
        <f t="shared" si="5"/>
        <v>Pass</v>
      </c>
      <c r="F119" s="85">
        <v>1340</v>
      </c>
      <c r="G119" s="78" t="s">
        <v>47</v>
      </c>
      <c r="H119" s="81">
        <v>60</v>
      </c>
      <c r="I119" s="78"/>
    </row>
    <row r="120" spans="1:9" customFormat="1" ht="15.6" x14ac:dyDescent="0.3">
      <c r="A120" s="115">
        <v>43522</v>
      </c>
      <c r="B120" s="118">
        <v>41</v>
      </c>
      <c r="C120" s="118">
        <v>131</v>
      </c>
      <c r="D120" s="117">
        <f t="shared" si="4"/>
        <v>90</v>
      </c>
      <c r="E120" s="32" t="str">
        <f t="shared" si="5"/>
        <v>Fail</v>
      </c>
      <c r="F120" s="119">
        <v>1340</v>
      </c>
      <c r="G120" s="78" t="s">
        <v>47</v>
      </c>
      <c r="H120" s="81">
        <v>60</v>
      </c>
      <c r="I120" s="78"/>
    </row>
    <row r="121" spans="1:9" customFormat="1" ht="15.6" x14ac:dyDescent="0.3">
      <c r="A121" s="115">
        <v>43522</v>
      </c>
      <c r="B121" s="118">
        <v>41</v>
      </c>
      <c r="C121" s="118">
        <v>64</v>
      </c>
      <c r="D121" s="117">
        <f t="shared" si="4"/>
        <v>23</v>
      </c>
      <c r="E121" s="32" t="str">
        <f t="shared" si="5"/>
        <v>Pass</v>
      </c>
      <c r="F121" s="119">
        <v>1340</v>
      </c>
      <c r="G121" s="78" t="s">
        <v>47</v>
      </c>
      <c r="H121" s="81">
        <v>60</v>
      </c>
      <c r="I121" s="78"/>
    </row>
    <row r="122" spans="1:9" customFormat="1" ht="15.6" x14ac:dyDescent="0.3">
      <c r="A122" s="115">
        <v>43522</v>
      </c>
      <c r="B122" s="78">
        <v>37</v>
      </c>
      <c r="C122" s="78">
        <v>63</v>
      </c>
      <c r="D122" s="82">
        <f t="shared" si="4"/>
        <v>26</v>
      </c>
      <c r="E122" s="30" t="str">
        <f t="shared" si="5"/>
        <v>Pass</v>
      </c>
      <c r="F122" s="85" t="s">
        <v>137</v>
      </c>
      <c r="G122" s="78" t="s">
        <v>47</v>
      </c>
      <c r="H122" s="81">
        <v>60</v>
      </c>
      <c r="I122" s="78"/>
    </row>
    <row r="123" spans="1:9" customFormat="1" ht="15.6" x14ac:dyDescent="0.3">
      <c r="A123" s="115">
        <v>43528</v>
      </c>
      <c r="B123" s="78">
        <v>45</v>
      </c>
      <c r="C123" s="78">
        <v>100</v>
      </c>
      <c r="D123" s="82">
        <f t="shared" si="4"/>
        <v>55</v>
      </c>
      <c r="E123" s="30" t="str">
        <f t="shared" si="5"/>
        <v>Pass</v>
      </c>
      <c r="F123" s="85">
        <v>1159</v>
      </c>
      <c r="G123" s="78" t="s">
        <v>47</v>
      </c>
      <c r="H123" s="81">
        <v>60</v>
      </c>
      <c r="I123" s="78"/>
    </row>
    <row r="124" spans="1:9" customFormat="1" ht="15.6" x14ac:dyDescent="0.3">
      <c r="A124" s="115">
        <v>43546</v>
      </c>
      <c r="B124" s="78">
        <v>15</v>
      </c>
      <c r="C124" s="78">
        <v>36</v>
      </c>
      <c r="D124" s="82">
        <f t="shared" si="4"/>
        <v>21</v>
      </c>
      <c r="E124" s="30" t="str">
        <f t="shared" si="5"/>
        <v>Pass</v>
      </c>
      <c r="F124" s="85">
        <v>1340</v>
      </c>
      <c r="G124" s="78" t="s">
        <v>47</v>
      </c>
      <c r="H124" s="81">
        <v>60</v>
      </c>
      <c r="I124" s="78"/>
    </row>
    <row r="125" spans="1:9" customFormat="1" ht="15.6" x14ac:dyDescent="0.3">
      <c r="A125" s="115">
        <v>43549</v>
      </c>
      <c r="B125" s="78">
        <v>16</v>
      </c>
      <c r="C125" s="78">
        <v>53</v>
      </c>
      <c r="D125" s="82">
        <f t="shared" si="4"/>
        <v>37</v>
      </c>
      <c r="E125" s="30" t="str">
        <f t="shared" si="5"/>
        <v>Pass</v>
      </c>
      <c r="F125" s="85">
        <v>1159</v>
      </c>
      <c r="G125" s="78" t="s">
        <v>47</v>
      </c>
      <c r="H125" s="81">
        <v>60</v>
      </c>
      <c r="I125" s="78"/>
    </row>
    <row r="126" spans="1:9" customFormat="1" ht="15.6" x14ac:dyDescent="0.3">
      <c r="A126" s="115">
        <v>43552</v>
      </c>
      <c r="B126" s="78">
        <v>33</v>
      </c>
      <c r="C126" s="78">
        <v>83</v>
      </c>
      <c r="D126" s="82">
        <f t="shared" si="4"/>
        <v>50</v>
      </c>
      <c r="E126" s="30" t="str">
        <f t="shared" si="5"/>
        <v>Pass</v>
      </c>
      <c r="F126" s="85">
        <v>1159</v>
      </c>
      <c r="G126" s="78" t="s">
        <v>47</v>
      </c>
      <c r="H126" s="81">
        <v>60</v>
      </c>
      <c r="I126" s="78"/>
    </row>
    <row r="127" spans="1:9" customFormat="1" ht="15.6" x14ac:dyDescent="0.3">
      <c r="A127" s="115">
        <v>43558</v>
      </c>
      <c r="B127" s="78">
        <v>17</v>
      </c>
      <c r="C127" s="78">
        <v>34</v>
      </c>
      <c r="D127" s="82">
        <f>IF(((C127="")*AND(B127="")),"",(C127-B127))</f>
        <v>17</v>
      </c>
      <c r="E127" s="30" t="str">
        <f t="shared" si="5"/>
        <v>Pass</v>
      </c>
      <c r="F127" s="85">
        <v>1340</v>
      </c>
      <c r="G127" s="111" t="s">
        <v>47</v>
      </c>
      <c r="H127" s="81">
        <v>60</v>
      </c>
      <c r="I127" s="78"/>
    </row>
    <row r="128" spans="1:9" customFormat="1" ht="15.6" x14ac:dyDescent="0.3">
      <c r="A128" s="115">
        <v>43564</v>
      </c>
      <c r="B128" s="78">
        <v>17</v>
      </c>
      <c r="C128" s="78">
        <v>10</v>
      </c>
      <c r="D128" s="82">
        <f>IF(((C128="")*AND(B128="")),"",(C128-B128))</f>
        <v>-7</v>
      </c>
      <c r="E128" s="30" t="str">
        <f t="shared" si="5"/>
        <v>Pass</v>
      </c>
      <c r="F128" s="85">
        <v>1159</v>
      </c>
      <c r="G128" s="111" t="s">
        <v>47</v>
      </c>
      <c r="H128" s="81">
        <v>60</v>
      </c>
      <c r="I128" s="78"/>
    </row>
    <row r="129" spans="1:9" customFormat="1" ht="15.6" x14ac:dyDescent="0.3">
      <c r="A129" s="115">
        <v>43569</v>
      </c>
      <c r="B129" s="78">
        <v>27</v>
      </c>
      <c r="C129" s="78">
        <v>533</v>
      </c>
      <c r="D129" s="82">
        <f>IF(((C129="")*AND(B129="")),"",(C129-B129))</f>
        <v>506</v>
      </c>
      <c r="E129" s="30" t="str">
        <f t="shared" si="5"/>
        <v>Fail</v>
      </c>
      <c r="F129" s="85">
        <v>102</v>
      </c>
      <c r="G129" s="111" t="s">
        <v>47</v>
      </c>
      <c r="H129" s="81">
        <v>60</v>
      </c>
      <c r="I129" s="78" t="s">
        <v>59</v>
      </c>
    </row>
    <row r="130" spans="1:9" customFormat="1" ht="15.6" x14ac:dyDescent="0.3">
      <c r="A130" s="115">
        <v>43569</v>
      </c>
      <c r="B130" s="78">
        <v>11</v>
      </c>
      <c r="C130" s="78">
        <v>147</v>
      </c>
      <c r="D130" s="82">
        <f>IF(((C130="")*AND(B130="")),"",(C130-B130))</f>
        <v>136</v>
      </c>
      <c r="E130" s="30" t="str">
        <f t="shared" si="5"/>
        <v>Fail</v>
      </c>
      <c r="F130" s="85">
        <v>102</v>
      </c>
      <c r="G130" s="111" t="s">
        <v>47</v>
      </c>
      <c r="H130" s="81">
        <v>60</v>
      </c>
      <c r="I130" s="112" t="s">
        <v>139</v>
      </c>
    </row>
    <row r="131" spans="1:9" customFormat="1" ht="15.6" x14ac:dyDescent="0.3">
      <c r="A131" s="115">
        <v>43570</v>
      </c>
      <c r="B131" s="78">
        <v>11</v>
      </c>
      <c r="C131" s="78">
        <v>48</v>
      </c>
      <c r="D131" s="82">
        <f>IF(((C131="")*AND(B131="")),"",(C131-B131))</f>
        <v>37</v>
      </c>
      <c r="E131" s="30" t="str">
        <f t="shared" si="5"/>
        <v>Pass</v>
      </c>
      <c r="F131" s="85">
        <v>1340</v>
      </c>
      <c r="G131" s="111" t="s">
        <v>47</v>
      </c>
      <c r="H131" s="81">
        <v>60</v>
      </c>
      <c r="I131" s="112" t="s">
        <v>140</v>
      </c>
    </row>
    <row r="132" spans="1:9" customFormat="1" ht="15.6" x14ac:dyDescent="0.3">
      <c r="A132" s="115">
        <v>43577</v>
      </c>
      <c r="B132" s="82">
        <v>31</v>
      </c>
      <c r="C132" s="82">
        <v>37</v>
      </c>
      <c r="D132" s="82">
        <f t="shared" ref="D132:D195" si="6">IF(((C132="")*AND(B132="")),"",(C132-B132))</f>
        <v>6</v>
      </c>
      <c r="E132" s="30" t="str">
        <f t="shared" si="5"/>
        <v>Pass</v>
      </c>
      <c r="F132" s="85">
        <v>1340</v>
      </c>
      <c r="G132" s="111" t="s">
        <v>47</v>
      </c>
      <c r="H132" s="81">
        <v>60</v>
      </c>
      <c r="I132" s="78"/>
    </row>
    <row r="133" spans="1:9" customFormat="1" ht="15.6" x14ac:dyDescent="0.3">
      <c r="A133" s="115">
        <v>43580</v>
      </c>
      <c r="B133" s="82">
        <v>31</v>
      </c>
      <c r="C133" s="82">
        <v>37</v>
      </c>
      <c r="D133" s="82">
        <f t="shared" si="6"/>
        <v>6</v>
      </c>
      <c r="E133" s="30" t="str">
        <f t="shared" si="5"/>
        <v>Pass</v>
      </c>
      <c r="F133" s="85">
        <v>121</v>
      </c>
      <c r="G133" s="111" t="s">
        <v>47</v>
      </c>
      <c r="H133" s="81">
        <v>60</v>
      </c>
      <c r="I133" s="78"/>
    </row>
    <row r="134" spans="1:9" customFormat="1" ht="15.6" x14ac:dyDescent="0.3">
      <c r="A134" s="115">
        <v>43585</v>
      </c>
      <c r="B134" s="82">
        <v>14</v>
      </c>
      <c r="C134" s="82">
        <v>31</v>
      </c>
      <c r="D134" s="82">
        <f t="shared" si="6"/>
        <v>17</v>
      </c>
      <c r="E134" s="30" t="str">
        <f t="shared" si="5"/>
        <v>Pass</v>
      </c>
      <c r="F134" s="85">
        <v>1340</v>
      </c>
      <c r="G134" s="111" t="s">
        <v>47</v>
      </c>
      <c r="H134" s="81">
        <v>60</v>
      </c>
      <c r="I134" s="78"/>
    </row>
    <row r="135" spans="1:9" customFormat="1" ht="15.6" x14ac:dyDescent="0.3">
      <c r="A135" s="115">
        <v>43588</v>
      </c>
      <c r="B135" s="82">
        <v>7</v>
      </c>
      <c r="C135" s="82">
        <v>41</v>
      </c>
      <c r="D135" s="82">
        <f t="shared" si="6"/>
        <v>34</v>
      </c>
      <c r="E135" s="30" t="str">
        <f t="shared" si="5"/>
        <v>Pass</v>
      </c>
      <c r="F135" s="85">
        <v>1340</v>
      </c>
      <c r="G135" s="111" t="s">
        <v>47</v>
      </c>
      <c r="H135" s="81">
        <v>60</v>
      </c>
      <c r="I135" s="78"/>
    </row>
    <row r="136" spans="1:9" customFormat="1" ht="15.6" x14ac:dyDescent="0.3">
      <c r="A136" s="115">
        <v>43591</v>
      </c>
      <c r="B136" s="82">
        <v>17</v>
      </c>
      <c r="C136" s="82">
        <v>34</v>
      </c>
      <c r="D136" s="82">
        <f t="shared" si="6"/>
        <v>17</v>
      </c>
      <c r="E136" s="30" t="str">
        <f t="shared" si="5"/>
        <v>Pass</v>
      </c>
      <c r="F136" s="85">
        <v>1335</v>
      </c>
      <c r="G136" s="111" t="s">
        <v>47</v>
      </c>
      <c r="H136" s="81">
        <v>60</v>
      </c>
      <c r="I136" s="78"/>
    </row>
    <row r="137" spans="1:9" customFormat="1" ht="12.75" customHeight="1" x14ac:dyDescent="0.3">
      <c r="A137" s="115">
        <v>43593</v>
      </c>
      <c r="B137" s="82">
        <v>37</v>
      </c>
      <c r="C137" s="82">
        <v>739</v>
      </c>
      <c r="D137" s="82">
        <f t="shared" si="6"/>
        <v>702</v>
      </c>
      <c r="E137" s="30" t="str">
        <f t="shared" si="5"/>
        <v>Fail</v>
      </c>
      <c r="F137" s="85">
        <v>1428</v>
      </c>
      <c r="G137" s="112" t="s">
        <v>47</v>
      </c>
      <c r="H137" s="81">
        <v>60</v>
      </c>
      <c r="I137" s="121" t="s">
        <v>146</v>
      </c>
    </row>
    <row r="138" spans="1:9" customFormat="1" ht="12.75" customHeight="1" x14ac:dyDescent="0.3">
      <c r="A138" s="115">
        <v>43598</v>
      </c>
      <c r="B138" s="82">
        <v>10</v>
      </c>
      <c r="C138" s="82">
        <v>18</v>
      </c>
      <c r="D138" s="82">
        <f t="shared" si="6"/>
        <v>8</v>
      </c>
      <c r="E138" s="30" t="str">
        <f t="shared" si="5"/>
        <v>Pass</v>
      </c>
      <c r="F138" s="85">
        <v>1335</v>
      </c>
      <c r="G138" s="112" t="s">
        <v>47</v>
      </c>
      <c r="H138" s="81">
        <v>60</v>
      </c>
      <c r="I138" s="78"/>
    </row>
    <row r="139" spans="1:9" customFormat="1" ht="12.75" customHeight="1" x14ac:dyDescent="0.3">
      <c r="A139" s="115">
        <v>43603</v>
      </c>
      <c r="B139" s="82">
        <v>20</v>
      </c>
      <c r="C139" s="82">
        <v>97</v>
      </c>
      <c r="D139" s="82">
        <f t="shared" si="6"/>
        <v>77</v>
      </c>
      <c r="E139" s="30" t="str">
        <f t="shared" si="5"/>
        <v>Fail</v>
      </c>
      <c r="F139" s="85">
        <v>1335</v>
      </c>
      <c r="G139" s="112" t="s">
        <v>47</v>
      </c>
      <c r="H139" s="81">
        <v>60</v>
      </c>
      <c r="I139" s="78"/>
    </row>
    <row r="140" spans="1:9" customFormat="1" ht="12.75" customHeight="1" x14ac:dyDescent="0.3">
      <c r="A140" s="115">
        <v>43603</v>
      </c>
      <c r="B140" s="82">
        <v>26</v>
      </c>
      <c r="C140" s="82">
        <v>334</v>
      </c>
      <c r="D140" s="82">
        <f t="shared" si="6"/>
        <v>308</v>
      </c>
      <c r="E140" s="30" t="str">
        <f t="shared" si="5"/>
        <v>Fail</v>
      </c>
      <c r="F140" s="85">
        <v>1335</v>
      </c>
      <c r="G140" s="112" t="s">
        <v>47</v>
      </c>
      <c r="H140" s="81">
        <v>60</v>
      </c>
      <c r="I140" s="78"/>
    </row>
    <row r="141" spans="1:9" customFormat="1" ht="12.75" customHeight="1" x14ac:dyDescent="0.3">
      <c r="A141" s="115">
        <v>43603</v>
      </c>
      <c r="B141" s="82">
        <v>21</v>
      </c>
      <c r="C141" s="82">
        <v>675</v>
      </c>
      <c r="D141" s="82">
        <f t="shared" si="6"/>
        <v>654</v>
      </c>
      <c r="E141" s="30" t="str">
        <f t="shared" si="5"/>
        <v>Fail</v>
      </c>
      <c r="F141" s="85">
        <v>1335</v>
      </c>
      <c r="G141" s="112" t="s">
        <v>47</v>
      </c>
      <c r="H141" s="81">
        <v>60</v>
      </c>
      <c r="I141" s="78"/>
    </row>
    <row r="142" spans="1:9" customFormat="1" ht="12.75" customHeight="1" x14ac:dyDescent="0.3">
      <c r="A142" s="115">
        <v>43603</v>
      </c>
      <c r="B142" s="78">
        <v>32</v>
      </c>
      <c r="C142" s="78">
        <v>754</v>
      </c>
      <c r="D142" s="82">
        <f t="shared" si="6"/>
        <v>722</v>
      </c>
      <c r="E142" s="30" t="str">
        <f t="shared" si="5"/>
        <v>Fail</v>
      </c>
      <c r="F142" s="85">
        <v>1335</v>
      </c>
      <c r="G142" s="112" t="s">
        <v>47</v>
      </c>
      <c r="H142" s="81">
        <v>60</v>
      </c>
      <c r="I142" s="78"/>
    </row>
    <row r="143" spans="1:9" customFormat="1" ht="12.75" customHeight="1" x14ac:dyDescent="0.3">
      <c r="A143" s="115">
        <v>43605</v>
      </c>
      <c r="B143" s="78">
        <v>6</v>
      </c>
      <c r="C143" s="78">
        <v>21</v>
      </c>
      <c r="D143" s="82">
        <f t="shared" si="6"/>
        <v>15</v>
      </c>
      <c r="E143" s="30" t="str">
        <f>IF(D143="","",IF(D143&lt;60,"Pass","Fail"))</f>
        <v>Pass</v>
      </c>
      <c r="F143" s="85">
        <v>102</v>
      </c>
      <c r="G143" s="112" t="s">
        <v>47</v>
      </c>
      <c r="H143" s="81">
        <v>60</v>
      </c>
      <c r="I143" s="78"/>
    </row>
    <row r="144" spans="1:9" x14ac:dyDescent="0.3">
      <c r="A144" s="115">
        <v>43608</v>
      </c>
      <c r="B144" s="78">
        <v>18</v>
      </c>
      <c r="C144" s="78">
        <v>20</v>
      </c>
      <c r="D144" s="82">
        <f t="shared" si="6"/>
        <v>2</v>
      </c>
      <c r="E144" s="30" t="str">
        <f>IF(D144="","",IF(D144&lt;60,"Pass","Fail"))</f>
        <v>Pass</v>
      </c>
      <c r="F144" s="85">
        <v>1340</v>
      </c>
      <c r="G144" s="112" t="s">
        <v>47</v>
      </c>
      <c r="H144" s="81">
        <v>60</v>
      </c>
      <c r="I144" s="78" t="s">
        <v>168</v>
      </c>
    </row>
    <row r="145" spans="1:9" x14ac:dyDescent="0.3">
      <c r="A145" s="115">
        <v>43612</v>
      </c>
      <c r="B145" s="78">
        <v>29</v>
      </c>
      <c r="C145" s="78">
        <v>141</v>
      </c>
      <c r="D145" s="82">
        <f t="shared" si="6"/>
        <v>112</v>
      </c>
      <c r="E145" s="30" t="str">
        <f t="shared" ref="E145:E208" si="7">IF(D145="","",IF(D145&lt;60,"Pass","Fail"))</f>
        <v>Fail</v>
      </c>
      <c r="F145" s="85">
        <v>74</v>
      </c>
      <c r="G145" s="112" t="s">
        <v>47</v>
      </c>
      <c r="H145" s="81">
        <v>60</v>
      </c>
      <c r="I145" s="78"/>
    </row>
    <row r="146" spans="1:9" x14ac:dyDescent="0.3">
      <c r="A146" s="115">
        <v>43612</v>
      </c>
      <c r="B146" s="78">
        <v>17</v>
      </c>
      <c r="C146" s="78">
        <v>31</v>
      </c>
      <c r="D146" s="78">
        <f t="shared" si="6"/>
        <v>14</v>
      </c>
      <c r="E146" s="30" t="str">
        <f t="shared" si="7"/>
        <v>Pass</v>
      </c>
      <c r="F146" s="85">
        <v>1428</v>
      </c>
      <c r="G146" s="112" t="s">
        <v>47</v>
      </c>
      <c r="H146" s="81">
        <v>60</v>
      </c>
      <c r="I146" s="78"/>
    </row>
    <row r="147" spans="1:9" x14ac:dyDescent="0.3">
      <c r="A147" s="115">
        <v>43616</v>
      </c>
      <c r="B147" s="78">
        <v>24</v>
      </c>
      <c r="C147" s="78">
        <v>297</v>
      </c>
      <c r="D147" s="78">
        <f t="shared" si="6"/>
        <v>273</v>
      </c>
      <c r="E147" s="30" t="str">
        <f t="shared" si="7"/>
        <v>Fail</v>
      </c>
      <c r="F147" s="85">
        <v>1340</v>
      </c>
      <c r="G147" s="112" t="s">
        <v>47</v>
      </c>
      <c r="H147" s="81">
        <v>60</v>
      </c>
      <c r="I147" s="78" t="s">
        <v>175</v>
      </c>
    </row>
    <row r="148" spans="1:9" x14ac:dyDescent="0.3">
      <c r="A148" s="115">
        <v>43616</v>
      </c>
      <c r="B148" s="78">
        <v>21</v>
      </c>
      <c r="C148" s="78">
        <v>48</v>
      </c>
      <c r="D148" s="78">
        <f t="shared" si="6"/>
        <v>27</v>
      </c>
      <c r="E148" s="30" t="str">
        <f t="shared" si="7"/>
        <v>Pass</v>
      </c>
      <c r="F148" s="85">
        <v>1340</v>
      </c>
      <c r="G148" s="112" t="s">
        <v>47</v>
      </c>
      <c r="H148" s="81">
        <v>60</v>
      </c>
      <c r="I148" s="78" t="s">
        <v>172</v>
      </c>
    </row>
    <row r="149" spans="1:9" x14ac:dyDescent="0.3">
      <c r="A149" s="115">
        <v>43616</v>
      </c>
      <c r="B149" s="78">
        <v>20</v>
      </c>
      <c r="C149" s="78">
        <v>30</v>
      </c>
      <c r="D149" s="78">
        <f t="shared" si="6"/>
        <v>10</v>
      </c>
      <c r="E149" s="30" t="str">
        <f t="shared" si="7"/>
        <v>Pass</v>
      </c>
      <c r="F149" s="85">
        <v>1340</v>
      </c>
      <c r="G149" s="112" t="s">
        <v>47</v>
      </c>
      <c r="H149" s="81">
        <v>60</v>
      </c>
      <c r="I149" s="78" t="s">
        <v>173</v>
      </c>
    </row>
    <row r="150" spans="1:9" x14ac:dyDescent="0.3">
      <c r="A150" s="115">
        <v>43619</v>
      </c>
      <c r="B150" s="78">
        <v>17</v>
      </c>
      <c r="C150" s="78">
        <v>236</v>
      </c>
      <c r="D150" s="82">
        <f t="shared" si="6"/>
        <v>219</v>
      </c>
      <c r="E150" s="30" t="str">
        <f t="shared" si="7"/>
        <v>Fail</v>
      </c>
      <c r="F150" s="85">
        <v>1159</v>
      </c>
      <c r="G150" s="112" t="s">
        <v>47</v>
      </c>
      <c r="H150" s="81">
        <v>60</v>
      </c>
      <c r="I150" s="78"/>
    </row>
    <row r="151" spans="1:9" x14ac:dyDescent="0.3">
      <c r="A151" s="115">
        <v>43619</v>
      </c>
      <c r="B151" s="78">
        <v>61</v>
      </c>
      <c r="C151" s="78">
        <v>81</v>
      </c>
      <c r="D151" s="82">
        <f t="shared" si="6"/>
        <v>20</v>
      </c>
      <c r="E151" s="30" t="str">
        <f t="shared" si="7"/>
        <v>Pass</v>
      </c>
      <c r="F151" s="85">
        <v>1428</v>
      </c>
      <c r="G151" s="112" t="s">
        <v>47</v>
      </c>
      <c r="H151" s="81">
        <v>60</v>
      </c>
      <c r="I151" s="171" t="s">
        <v>174</v>
      </c>
    </row>
    <row r="152" spans="1:9" x14ac:dyDescent="0.3">
      <c r="A152" s="115">
        <v>43623</v>
      </c>
      <c r="B152" s="78">
        <v>18</v>
      </c>
      <c r="C152" s="78">
        <v>17</v>
      </c>
      <c r="D152" s="82">
        <f t="shared" si="6"/>
        <v>-1</v>
      </c>
      <c r="E152" s="30" t="str">
        <f t="shared" si="7"/>
        <v>Pass</v>
      </c>
      <c r="F152" s="85">
        <v>1428</v>
      </c>
      <c r="G152" s="112" t="s">
        <v>47</v>
      </c>
      <c r="H152" s="81">
        <v>60</v>
      </c>
      <c r="I152" s="78"/>
    </row>
    <row r="153" spans="1:9" x14ac:dyDescent="0.3">
      <c r="A153" s="115">
        <v>43627</v>
      </c>
      <c r="B153" s="78">
        <v>5</v>
      </c>
      <c r="C153" s="78">
        <v>58</v>
      </c>
      <c r="D153" s="82">
        <f t="shared" si="6"/>
        <v>53</v>
      </c>
      <c r="E153" s="30" t="str">
        <f t="shared" si="7"/>
        <v>Pass</v>
      </c>
      <c r="F153" s="85">
        <v>121</v>
      </c>
      <c r="G153" s="112" t="s">
        <v>47</v>
      </c>
      <c r="H153" s="81">
        <v>60</v>
      </c>
      <c r="I153" s="78"/>
    </row>
    <row r="154" spans="1:9" x14ac:dyDescent="0.3">
      <c r="A154" s="115">
        <v>43633</v>
      </c>
      <c r="B154" s="78">
        <v>53</v>
      </c>
      <c r="C154" s="78">
        <v>654</v>
      </c>
      <c r="D154" s="82">
        <f t="shared" si="6"/>
        <v>601</v>
      </c>
      <c r="E154" s="30" t="str">
        <f t="shared" si="7"/>
        <v>Fail</v>
      </c>
      <c r="F154" s="85">
        <v>1340</v>
      </c>
      <c r="G154" s="112" t="s">
        <v>47</v>
      </c>
      <c r="H154" s="81">
        <v>60</v>
      </c>
      <c r="I154" s="78"/>
    </row>
    <row r="155" spans="1:9" x14ac:dyDescent="0.3">
      <c r="A155" s="115">
        <v>43634</v>
      </c>
      <c r="B155" s="78">
        <v>12</v>
      </c>
      <c r="C155" s="78">
        <v>10</v>
      </c>
      <c r="D155" s="82">
        <f t="shared" si="6"/>
        <v>-2</v>
      </c>
      <c r="E155" s="30" t="str">
        <f t="shared" si="7"/>
        <v>Pass</v>
      </c>
      <c r="F155" s="85" t="s">
        <v>137</v>
      </c>
      <c r="G155" s="112" t="s">
        <v>47</v>
      </c>
      <c r="H155" s="81">
        <v>60</v>
      </c>
      <c r="I155" s="78"/>
    </row>
    <row r="156" spans="1:9" x14ac:dyDescent="0.3">
      <c r="A156" s="115">
        <v>43634</v>
      </c>
      <c r="B156" s="78">
        <v>9</v>
      </c>
      <c r="C156" s="78">
        <v>13</v>
      </c>
      <c r="D156" s="82">
        <f t="shared" si="6"/>
        <v>4</v>
      </c>
      <c r="E156" s="30" t="str">
        <f t="shared" si="7"/>
        <v>Pass</v>
      </c>
      <c r="F156" s="85" t="s">
        <v>137</v>
      </c>
      <c r="G156" s="112" t="s">
        <v>47</v>
      </c>
      <c r="H156" s="81">
        <v>60</v>
      </c>
      <c r="I156" s="78"/>
    </row>
    <row r="157" spans="1:9" x14ac:dyDescent="0.3">
      <c r="A157" s="115">
        <v>43637</v>
      </c>
      <c r="B157" s="78">
        <v>9</v>
      </c>
      <c r="C157" s="78">
        <v>120</v>
      </c>
      <c r="D157" s="82">
        <f t="shared" si="6"/>
        <v>111</v>
      </c>
      <c r="E157" s="30" t="str">
        <f t="shared" si="7"/>
        <v>Fail</v>
      </c>
      <c r="F157" s="85">
        <v>1335</v>
      </c>
      <c r="G157" s="112" t="s">
        <v>47</v>
      </c>
      <c r="H157" s="81">
        <v>60</v>
      </c>
      <c r="I157" s="78"/>
    </row>
    <row r="158" spans="1:9" x14ac:dyDescent="0.3">
      <c r="A158" s="115">
        <v>43637</v>
      </c>
      <c r="B158" s="78">
        <v>10</v>
      </c>
      <c r="C158" s="78">
        <v>13</v>
      </c>
      <c r="D158" s="82">
        <f t="shared" si="6"/>
        <v>3</v>
      </c>
      <c r="E158" s="30" t="str">
        <f t="shared" si="7"/>
        <v>Pass</v>
      </c>
      <c r="F158" s="85">
        <v>1335</v>
      </c>
      <c r="G158" s="112" t="s">
        <v>47</v>
      </c>
      <c r="H158" s="81">
        <v>60</v>
      </c>
      <c r="I158" s="78"/>
    </row>
    <row r="159" spans="1:9" x14ac:dyDescent="0.3">
      <c r="A159" s="115">
        <v>43640</v>
      </c>
      <c r="B159" s="78">
        <v>31</v>
      </c>
      <c r="C159" s="78">
        <v>49</v>
      </c>
      <c r="D159" s="82">
        <f t="shared" si="6"/>
        <v>18</v>
      </c>
      <c r="E159" s="30" t="str">
        <f t="shared" si="7"/>
        <v>Pass</v>
      </c>
      <c r="F159" s="85" t="s">
        <v>183</v>
      </c>
      <c r="G159" s="112" t="s">
        <v>47</v>
      </c>
      <c r="H159" s="81">
        <v>60</v>
      </c>
      <c r="I159" s="78"/>
    </row>
    <row r="160" spans="1:9" x14ac:dyDescent="0.3">
      <c r="A160" s="115">
        <v>43656</v>
      </c>
      <c r="B160" s="78">
        <v>38</v>
      </c>
      <c r="C160" s="78">
        <v>47</v>
      </c>
      <c r="D160" s="82">
        <f t="shared" si="6"/>
        <v>9</v>
      </c>
      <c r="E160" s="30" t="str">
        <f t="shared" si="7"/>
        <v>Pass</v>
      </c>
      <c r="F160" s="85">
        <v>1428</v>
      </c>
      <c r="G160" s="112" t="s">
        <v>47</v>
      </c>
      <c r="H160" s="81">
        <v>60</v>
      </c>
      <c r="I160" s="78"/>
    </row>
    <row r="161" spans="1:9" x14ac:dyDescent="0.3">
      <c r="A161" s="115">
        <v>43661</v>
      </c>
      <c r="B161" s="78">
        <v>8</v>
      </c>
      <c r="C161" s="78">
        <v>26</v>
      </c>
      <c r="D161" s="82">
        <f t="shared" si="6"/>
        <v>18</v>
      </c>
      <c r="E161" s="30" t="str">
        <f t="shared" si="7"/>
        <v>Pass</v>
      </c>
      <c r="F161" s="85">
        <v>1159</v>
      </c>
      <c r="G161" s="112" t="s">
        <v>47</v>
      </c>
      <c r="H161" s="81">
        <v>60</v>
      </c>
      <c r="I161" s="78"/>
    </row>
    <row r="162" spans="1:9" x14ac:dyDescent="0.3">
      <c r="A162" s="115">
        <v>43665</v>
      </c>
      <c r="B162" s="78">
        <v>32</v>
      </c>
      <c r="C162" s="78">
        <v>38</v>
      </c>
      <c r="D162" s="82">
        <f t="shared" si="6"/>
        <v>6</v>
      </c>
      <c r="E162" s="30" t="str">
        <f t="shared" si="7"/>
        <v>Pass</v>
      </c>
      <c r="F162" s="85">
        <v>1159</v>
      </c>
      <c r="G162" s="112" t="s">
        <v>47</v>
      </c>
      <c r="H162" s="81">
        <v>60</v>
      </c>
      <c r="I162" s="171" t="s">
        <v>187</v>
      </c>
    </row>
    <row r="163" spans="1:9" x14ac:dyDescent="0.3">
      <c r="A163" s="115">
        <v>43671</v>
      </c>
      <c r="B163" s="78">
        <v>27</v>
      </c>
      <c r="C163" s="78">
        <v>19</v>
      </c>
      <c r="D163" s="82">
        <f t="shared" si="6"/>
        <v>-8</v>
      </c>
      <c r="E163" s="30" t="str">
        <f t="shared" si="7"/>
        <v>Pass</v>
      </c>
      <c r="F163" s="85">
        <v>1159</v>
      </c>
      <c r="G163" s="112" t="s">
        <v>47</v>
      </c>
      <c r="H163" s="81">
        <v>60</v>
      </c>
      <c r="I163" s="171" t="s">
        <v>188</v>
      </c>
    </row>
    <row r="164" spans="1:9" x14ac:dyDescent="0.3">
      <c r="A164" s="115">
        <v>43674</v>
      </c>
      <c r="B164" s="78">
        <v>16</v>
      </c>
      <c r="C164" s="78">
        <v>17</v>
      </c>
      <c r="D164" s="82">
        <f t="shared" si="6"/>
        <v>1</v>
      </c>
      <c r="E164" s="30" t="str">
        <f t="shared" si="7"/>
        <v>Pass</v>
      </c>
      <c r="F164" s="85">
        <v>1340</v>
      </c>
      <c r="G164" s="112" t="s">
        <v>47</v>
      </c>
      <c r="H164" s="81">
        <v>60</v>
      </c>
      <c r="I164" s="78"/>
    </row>
    <row r="165" spans="1:9" x14ac:dyDescent="0.3">
      <c r="A165" s="115">
        <v>43678</v>
      </c>
      <c r="B165" s="78">
        <v>36</v>
      </c>
      <c r="C165" s="78">
        <v>46</v>
      </c>
      <c r="D165" s="82">
        <f t="shared" si="6"/>
        <v>10</v>
      </c>
      <c r="E165" s="30" t="str">
        <f t="shared" si="7"/>
        <v>Pass</v>
      </c>
      <c r="F165" s="85">
        <v>1159</v>
      </c>
      <c r="G165" s="112" t="s">
        <v>47</v>
      </c>
      <c r="H165" s="81">
        <v>60</v>
      </c>
      <c r="I165" s="78"/>
    </row>
    <row r="166" spans="1:9" x14ac:dyDescent="0.3">
      <c r="A166" s="115">
        <v>43681</v>
      </c>
      <c r="B166" s="78">
        <v>48</v>
      </c>
      <c r="C166" s="78">
        <v>48</v>
      </c>
      <c r="D166" s="82">
        <f t="shared" si="6"/>
        <v>0</v>
      </c>
      <c r="E166" s="30" t="str">
        <f t="shared" si="7"/>
        <v>Pass</v>
      </c>
      <c r="F166" s="85">
        <v>1335</v>
      </c>
      <c r="G166" s="112" t="s">
        <v>47</v>
      </c>
      <c r="H166" s="81">
        <v>60</v>
      </c>
      <c r="I166" s="78"/>
    </row>
    <row r="167" spans="1:9" x14ac:dyDescent="0.3">
      <c r="A167" s="115">
        <v>43685</v>
      </c>
      <c r="B167" s="78">
        <v>18</v>
      </c>
      <c r="C167" s="78">
        <v>240</v>
      </c>
      <c r="D167" s="82">
        <f t="shared" si="6"/>
        <v>222</v>
      </c>
      <c r="E167" s="30" t="str">
        <f t="shared" si="7"/>
        <v>Fail</v>
      </c>
      <c r="F167" s="85">
        <v>121</v>
      </c>
      <c r="G167" s="112" t="s">
        <v>47</v>
      </c>
      <c r="H167" s="81">
        <v>60</v>
      </c>
      <c r="I167" s="78"/>
    </row>
    <row r="168" spans="1:9" x14ac:dyDescent="0.3">
      <c r="A168" s="115">
        <v>43685</v>
      </c>
      <c r="B168" s="78">
        <v>42</v>
      </c>
      <c r="C168" s="78">
        <v>36</v>
      </c>
      <c r="D168" s="82">
        <f t="shared" si="6"/>
        <v>-6</v>
      </c>
      <c r="E168" s="30" t="str">
        <f t="shared" si="7"/>
        <v>Pass</v>
      </c>
      <c r="F168" s="85">
        <v>121</v>
      </c>
      <c r="G168" s="112" t="s">
        <v>47</v>
      </c>
      <c r="H168" s="81">
        <v>60</v>
      </c>
      <c r="I168" s="78"/>
    </row>
    <row r="169" spans="1:9" x14ac:dyDescent="0.3">
      <c r="A169" s="115">
        <v>43685</v>
      </c>
      <c r="B169" s="78">
        <v>23</v>
      </c>
      <c r="C169" s="78">
        <v>44</v>
      </c>
      <c r="D169" s="82">
        <f t="shared" si="6"/>
        <v>21</v>
      </c>
      <c r="E169" s="30" t="str">
        <f t="shared" si="7"/>
        <v>Pass</v>
      </c>
      <c r="F169" s="85">
        <v>121</v>
      </c>
      <c r="G169" s="112" t="s">
        <v>47</v>
      </c>
      <c r="H169" s="81">
        <v>60</v>
      </c>
      <c r="I169" s="78"/>
    </row>
    <row r="170" spans="1:9" x14ac:dyDescent="0.3">
      <c r="A170" s="115">
        <v>43690</v>
      </c>
      <c r="B170" s="78">
        <v>8</v>
      </c>
      <c r="C170" s="78">
        <v>17</v>
      </c>
      <c r="D170" s="82">
        <f t="shared" si="6"/>
        <v>9</v>
      </c>
      <c r="E170" s="30" t="str">
        <f t="shared" si="7"/>
        <v>Pass</v>
      </c>
      <c r="F170" s="85" t="s">
        <v>205</v>
      </c>
      <c r="G170" s="112" t="s">
        <v>47</v>
      </c>
      <c r="H170" s="81">
        <v>60</v>
      </c>
      <c r="I170" s="78"/>
    </row>
    <row r="171" spans="1:9" x14ac:dyDescent="0.3">
      <c r="A171" s="115">
        <v>43694</v>
      </c>
      <c r="B171" s="78">
        <v>21</v>
      </c>
      <c r="C171" s="78">
        <v>549</v>
      </c>
      <c r="D171" s="82">
        <f t="shared" si="6"/>
        <v>528</v>
      </c>
      <c r="E171" s="30" t="str">
        <f t="shared" si="7"/>
        <v>Fail</v>
      </c>
      <c r="F171" s="85">
        <v>64</v>
      </c>
      <c r="G171" s="112" t="s">
        <v>47</v>
      </c>
      <c r="H171" s="81">
        <v>60</v>
      </c>
      <c r="I171" s="78"/>
    </row>
    <row r="172" spans="1:9" x14ac:dyDescent="0.3">
      <c r="A172" s="115">
        <v>43694</v>
      </c>
      <c r="B172" s="78">
        <v>15</v>
      </c>
      <c r="C172" s="78">
        <v>67</v>
      </c>
      <c r="D172" s="82">
        <f t="shared" si="6"/>
        <v>52</v>
      </c>
      <c r="E172" s="30" t="str">
        <f t="shared" si="7"/>
        <v>Pass</v>
      </c>
      <c r="F172" s="85">
        <v>102</v>
      </c>
      <c r="G172" s="112" t="s">
        <v>47</v>
      </c>
      <c r="H172" s="81">
        <v>60</v>
      </c>
      <c r="I172" s="78" t="s">
        <v>207</v>
      </c>
    </row>
    <row r="173" spans="1:9" x14ac:dyDescent="0.3">
      <c r="A173" s="115">
        <v>43697</v>
      </c>
      <c r="B173" s="78">
        <v>11</v>
      </c>
      <c r="C173" s="78">
        <v>45</v>
      </c>
      <c r="D173" s="82">
        <f t="shared" si="6"/>
        <v>34</v>
      </c>
      <c r="E173" s="30" t="str">
        <f t="shared" si="7"/>
        <v>Pass</v>
      </c>
      <c r="F173" s="85">
        <v>1340</v>
      </c>
      <c r="G173" s="112" t="s">
        <v>47</v>
      </c>
      <c r="H173" s="81">
        <v>60</v>
      </c>
      <c r="I173" s="78"/>
    </row>
    <row r="174" spans="1:9" x14ac:dyDescent="0.3">
      <c r="A174" s="115">
        <v>43700</v>
      </c>
      <c r="B174" s="78">
        <v>24</v>
      </c>
      <c r="C174" s="78">
        <v>30</v>
      </c>
      <c r="D174" s="82">
        <f t="shared" si="6"/>
        <v>6</v>
      </c>
      <c r="E174" s="30" t="str">
        <f t="shared" si="7"/>
        <v>Pass</v>
      </c>
      <c r="F174" s="85">
        <v>1340</v>
      </c>
      <c r="G174" s="112" t="s">
        <v>47</v>
      </c>
      <c r="H174" s="81">
        <v>60</v>
      </c>
      <c r="I174" s="78"/>
    </row>
    <row r="175" spans="1:9" x14ac:dyDescent="0.3">
      <c r="A175" s="115">
        <v>43704</v>
      </c>
      <c r="B175" s="78">
        <v>22</v>
      </c>
      <c r="C175" s="78">
        <v>28</v>
      </c>
      <c r="D175" s="82">
        <f t="shared" si="6"/>
        <v>6</v>
      </c>
      <c r="E175" s="30" t="str">
        <f t="shared" si="7"/>
        <v>Pass</v>
      </c>
      <c r="F175" s="85">
        <v>1428</v>
      </c>
      <c r="G175" s="112" t="s">
        <v>47</v>
      </c>
      <c r="H175" s="81">
        <v>60</v>
      </c>
      <c r="I175" s="78"/>
    </row>
    <row r="176" spans="1:9" x14ac:dyDescent="0.3">
      <c r="A176" s="115">
        <v>43710</v>
      </c>
      <c r="B176" s="78">
        <v>21</v>
      </c>
      <c r="C176" s="78">
        <v>34</v>
      </c>
      <c r="D176" s="82">
        <f t="shared" si="6"/>
        <v>13</v>
      </c>
      <c r="E176" s="30" t="str">
        <f t="shared" si="7"/>
        <v>Pass</v>
      </c>
      <c r="F176" s="85">
        <v>1428</v>
      </c>
      <c r="G176" s="112" t="s">
        <v>47</v>
      </c>
      <c r="H176" s="81">
        <v>60</v>
      </c>
      <c r="I176" s="78"/>
    </row>
    <row r="177" spans="1:9" x14ac:dyDescent="0.3">
      <c r="A177" s="115">
        <v>43712</v>
      </c>
      <c r="B177" s="78">
        <v>25</v>
      </c>
      <c r="C177" s="78">
        <v>73</v>
      </c>
      <c r="D177" s="82">
        <f t="shared" si="6"/>
        <v>48</v>
      </c>
      <c r="E177" s="30" t="str">
        <f t="shared" si="7"/>
        <v>Pass</v>
      </c>
      <c r="F177" s="85">
        <v>1428</v>
      </c>
      <c r="G177" s="112" t="s">
        <v>47</v>
      </c>
      <c r="H177" s="81">
        <v>60</v>
      </c>
      <c r="I177" s="78"/>
    </row>
    <row r="178" spans="1:9" x14ac:dyDescent="0.3">
      <c r="A178" s="115">
        <v>43715</v>
      </c>
      <c r="B178" s="78">
        <v>26</v>
      </c>
      <c r="C178" s="78">
        <v>51</v>
      </c>
      <c r="D178" s="82">
        <f t="shared" si="6"/>
        <v>25</v>
      </c>
      <c r="E178" s="30" t="str">
        <f t="shared" si="7"/>
        <v>Pass</v>
      </c>
      <c r="F178" s="85">
        <v>1335</v>
      </c>
      <c r="G178" s="112" t="s">
        <v>47</v>
      </c>
      <c r="H178" s="81">
        <v>60</v>
      </c>
      <c r="I178" s="78"/>
    </row>
    <row r="179" spans="1:9" x14ac:dyDescent="0.3">
      <c r="A179" s="115">
        <v>43719</v>
      </c>
      <c r="B179" s="78">
        <v>32</v>
      </c>
      <c r="C179" s="78">
        <v>41</v>
      </c>
      <c r="D179" s="82">
        <f t="shared" si="6"/>
        <v>9</v>
      </c>
      <c r="E179" s="30" t="str">
        <f t="shared" si="7"/>
        <v>Pass</v>
      </c>
      <c r="F179" s="85">
        <v>74</v>
      </c>
      <c r="G179" s="112" t="s">
        <v>47</v>
      </c>
      <c r="H179" s="81">
        <v>60</v>
      </c>
      <c r="I179" s="78"/>
    </row>
    <row r="180" spans="1:9" x14ac:dyDescent="0.3">
      <c r="A180" s="115">
        <v>43724</v>
      </c>
      <c r="B180" s="78">
        <v>43</v>
      </c>
      <c r="C180" s="78">
        <v>56</v>
      </c>
      <c r="D180" s="82">
        <f t="shared" si="6"/>
        <v>13</v>
      </c>
      <c r="E180" s="30" t="str">
        <f t="shared" si="7"/>
        <v>Pass</v>
      </c>
      <c r="F180" s="85">
        <v>121</v>
      </c>
      <c r="G180" s="112" t="s">
        <v>47</v>
      </c>
      <c r="H180" s="81">
        <v>60</v>
      </c>
      <c r="I180" s="78" t="s">
        <v>215</v>
      </c>
    </row>
    <row r="181" spans="1:9" x14ac:dyDescent="0.3">
      <c r="A181" s="115">
        <v>43727</v>
      </c>
      <c r="B181" s="78">
        <v>24</v>
      </c>
      <c r="C181" s="78">
        <v>36</v>
      </c>
      <c r="D181" s="82">
        <f t="shared" si="6"/>
        <v>12</v>
      </c>
      <c r="E181" s="30" t="str">
        <f t="shared" si="7"/>
        <v>Pass</v>
      </c>
      <c r="F181" s="85">
        <v>1159</v>
      </c>
      <c r="G181" s="112" t="s">
        <v>47</v>
      </c>
      <c r="H181" s="81">
        <v>60</v>
      </c>
      <c r="I181" s="78"/>
    </row>
    <row r="182" spans="1:9" x14ac:dyDescent="0.3">
      <c r="A182" s="115">
        <v>43732</v>
      </c>
      <c r="B182" s="78">
        <v>28</v>
      </c>
      <c r="C182" s="78">
        <v>391</v>
      </c>
      <c r="D182" s="82">
        <f t="shared" si="6"/>
        <v>363</v>
      </c>
      <c r="E182" s="30" t="str">
        <f t="shared" si="7"/>
        <v>Fail</v>
      </c>
      <c r="F182" s="85">
        <v>1335</v>
      </c>
      <c r="G182" s="112" t="s">
        <v>47</v>
      </c>
      <c r="H182" s="81">
        <v>60</v>
      </c>
      <c r="I182" s="78"/>
    </row>
    <row r="183" spans="1:9" x14ac:dyDescent="0.3">
      <c r="A183" s="115">
        <v>43734</v>
      </c>
      <c r="B183" s="78">
        <v>7</v>
      </c>
      <c r="C183" s="78">
        <v>8</v>
      </c>
      <c r="D183" s="82">
        <f t="shared" si="6"/>
        <v>1</v>
      </c>
      <c r="E183" s="30" t="str">
        <f t="shared" si="7"/>
        <v>Pass</v>
      </c>
      <c r="F183" s="85" t="s">
        <v>177</v>
      </c>
      <c r="G183" s="112" t="s">
        <v>47</v>
      </c>
      <c r="H183" s="81">
        <v>60</v>
      </c>
      <c r="I183" s="78"/>
    </row>
    <row r="184" spans="1:9" x14ac:dyDescent="0.3">
      <c r="A184" s="115">
        <v>43738</v>
      </c>
      <c r="B184" s="78">
        <v>9</v>
      </c>
      <c r="C184" s="78">
        <v>627</v>
      </c>
      <c r="D184" s="82">
        <f t="shared" si="6"/>
        <v>618</v>
      </c>
      <c r="E184" s="30" t="str">
        <f t="shared" si="7"/>
        <v>Fail</v>
      </c>
      <c r="F184" s="85">
        <v>121</v>
      </c>
      <c r="G184" s="112" t="s">
        <v>47</v>
      </c>
      <c r="H184" s="81">
        <v>60</v>
      </c>
      <c r="I184" s="78" t="s">
        <v>215</v>
      </c>
    </row>
    <row r="185" spans="1:9" x14ac:dyDescent="0.3">
      <c r="A185" s="115">
        <v>43738</v>
      </c>
      <c r="B185" s="78">
        <v>32</v>
      </c>
      <c r="C185" s="78">
        <v>65</v>
      </c>
      <c r="D185" s="82">
        <f t="shared" si="6"/>
        <v>33</v>
      </c>
      <c r="E185" s="30" t="str">
        <f t="shared" si="7"/>
        <v>Pass</v>
      </c>
      <c r="F185" s="85">
        <v>121</v>
      </c>
      <c r="G185" s="112" t="s">
        <v>47</v>
      </c>
      <c r="H185" s="81">
        <v>60</v>
      </c>
      <c r="I185" s="78"/>
    </row>
    <row r="186" spans="1:9" x14ac:dyDescent="0.3">
      <c r="A186" s="115">
        <v>43752</v>
      </c>
      <c r="B186" s="78">
        <v>25</v>
      </c>
      <c r="C186" s="78">
        <v>24</v>
      </c>
      <c r="D186" s="82">
        <f t="shared" si="6"/>
        <v>-1</v>
      </c>
      <c r="E186" s="30" t="str">
        <f t="shared" si="7"/>
        <v>Pass</v>
      </c>
      <c r="F186" s="85">
        <v>1428</v>
      </c>
      <c r="G186" s="112" t="s">
        <v>47</v>
      </c>
      <c r="H186" s="81">
        <v>60</v>
      </c>
      <c r="I186" s="78"/>
    </row>
    <row r="187" spans="1:9" x14ac:dyDescent="0.3">
      <c r="A187" s="115">
        <v>43756</v>
      </c>
      <c r="B187" s="78">
        <v>13</v>
      </c>
      <c r="C187" s="78">
        <v>365</v>
      </c>
      <c r="D187" s="82">
        <f t="shared" si="6"/>
        <v>352</v>
      </c>
      <c r="E187" s="30" t="str">
        <f t="shared" si="7"/>
        <v>Fail</v>
      </c>
      <c r="F187" s="85">
        <v>1428</v>
      </c>
      <c r="G187" s="112" t="s">
        <v>47</v>
      </c>
      <c r="H187" s="81">
        <v>60</v>
      </c>
      <c r="I187" s="78" t="s">
        <v>242</v>
      </c>
    </row>
    <row r="188" spans="1:9" x14ac:dyDescent="0.3">
      <c r="A188" s="115">
        <v>43756</v>
      </c>
      <c r="B188" s="78">
        <v>56</v>
      </c>
      <c r="C188" s="78">
        <v>42</v>
      </c>
      <c r="D188" s="82">
        <f t="shared" si="6"/>
        <v>-14</v>
      </c>
      <c r="E188" s="30" t="str">
        <f t="shared" si="7"/>
        <v>Pass</v>
      </c>
      <c r="F188" s="85">
        <v>1428</v>
      </c>
      <c r="G188" s="112" t="s">
        <v>47</v>
      </c>
      <c r="H188" s="81">
        <v>60</v>
      </c>
      <c r="I188" s="78"/>
    </row>
    <row r="189" spans="1:9" x14ac:dyDescent="0.3">
      <c r="A189" s="115">
        <v>43760</v>
      </c>
      <c r="B189" s="78">
        <v>46</v>
      </c>
      <c r="C189" s="78">
        <v>33</v>
      </c>
      <c r="D189" s="82">
        <f t="shared" si="6"/>
        <v>-13</v>
      </c>
      <c r="E189" s="30" t="str">
        <f t="shared" si="7"/>
        <v>Pass</v>
      </c>
      <c r="F189" s="85">
        <v>1335</v>
      </c>
      <c r="G189" s="112" t="s">
        <v>47</v>
      </c>
      <c r="H189" s="81">
        <v>60</v>
      </c>
      <c r="I189" s="78"/>
    </row>
    <row r="190" spans="1:9" x14ac:dyDescent="0.3">
      <c r="A190" s="115">
        <v>43766</v>
      </c>
      <c r="B190" s="78">
        <v>35</v>
      </c>
      <c r="C190" s="78">
        <v>128</v>
      </c>
      <c r="D190" s="82">
        <f t="shared" si="6"/>
        <v>93</v>
      </c>
      <c r="E190" s="30" t="str">
        <f t="shared" si="7"/>
        <v>Fail</v>
      </c>
      <c r="F190" s="85">
        <v>1428</v>
      </c>
      <c r="G190" s="112" t="s">
        <v>47</v>
      </c>
      <c r="H190" s="81">
        <v>60</v>
      </c>
      <c r="I190" s="78" t="s">
        <v>243</v>
      </c>
    </row>
    <row r="191" spans="1:9" x14ac:dyDescent="0.3">
      <c r="A191" s="115">
        <v>43766</v>
      </c>
      <c r="B191" s="78">
        <v>22</v>
      </c>
      <c r="C191" s="78">
        <v>26</v>
      </c>
      <c r="D191" s="82">
        <f t="shared" si="6"/>
        <v>4</v>
      </c>
      <c r="E191" s="30" t="str">
        <f t="shared" si="7"/>
        <v>Pass</v>
      </c>
      <c r="F191" s="85">
        <v>1428</v>
      </c>
      <c r="G191" s="112" t="s">
        <v>47</v>
      </c>
      <c r="H191" s="81">
        <v>60</v>
      </c>
      <c r="I191" s="78"/>
    </row>
    <row r="192" spans="1:9" x14ac:dyDescent="0.3">
      <c r="A192" s="115">
        <v>43769</v>
      </c>
      <c r="B192" s="78">
        <v>12</v>
      </c>
      <c r="C192" s="78">
        <v>21</v>
      </c>
      <c r="D192" s="82">
        <f t="shared" si="6"/>
        <v>9</v>
      </c>
      <c r="E192" s="30" t="str">
        <f t="shared" si="7"/>
        <v>Pass</v>
      </c>
      <c r="F192" s="85">
        <v>1428</v>
      </c>
      <c r="G192" s="112" t="s">
        <v>47</v>
      </c>
      <c r="H192" s="81">
        <v>60</v>
      </c>
      <c r="I192" s="78"/>
    </row>
    <row r="193" spans="1:9" x14ac:dyDescent="0.3">
      <c r="A193" s="115">
        <v>43773</v>
      </c>
      <c r="B193" s="78">
        <v>21</v>
      </c>
      <c r="C193" s="78">
        <v>23</v>
      </c>
      <c r="D193" s="82">
        <f t="shared" si="6"/>
        <v>2</v>
      </c>
      <c r="E193" s="30" t="str">
        <f t="shared" si="7"/>
        <v>Pass</v>
      </c>
      <c r="F193" s="85">
        <v>121</v>
      </c>
      <c r="G193" s="112" t="s">
        <v>47</v>
      </c>
      <c r="H193" s="81">
        <v>60</v>
      </c>
      <c r="I193" s="78"/>
    </row>
    <row r="194" spans="1:9" x14ac:dyDescent="0.3">
      <c r="A194" s="115">
        <v>43780</v>
      </c>
      <c r="B194" s="78">
        <v>33</v>
      </c>
      <c r="C194" s="78">
        <v>15</v>
      </c>
      <c r="D194" s="82">
        <f t="shared" si="6"/>
        <v>-18</v>
      </c>
      <c r="E194" s="30" t="str">
        <f t="shared" si="7"/>
        <v>Pass</v>
      </c>
      <c r="F194" s="85">
        <v>1159</v>
      </c>
      <c r="G194" s="112" t="s">
        <v>47</v>
      </c>
      <c r="H194" s="81">
        <v>60</v>
      </c>
      <c r="I194" s="78"/>
    </row>
    <row r="195" spans="1:9" x14ac:dyDescent="0.3">
      <c r="A195" s="115">
        <v>43786</v>
      </c>
      <c r="B195" s="78">
        <v>63</v>
      </c>
      <c r="C195" s="78">
        <v>84</v>
      </c>
      <c r="D195" s="82">
        <f t="shared" si="6"/>
        <v>21</v>
      </c>
      <c r="E195" s="30" t="str">
        <f t="shared" si="7"/>
        <v>Pass</v>
      </c>
      <c r="F195" s="85">
        <v>74</v>
      </c>
      <c r="G195" s="112" t="s">
        <v>47</v>
      </c>
      <c r="H195" s="81">
        <v>60</v>
      </c>
      <c r="I195" s="78"/>
    </row>
    <row r="196" spans="1:9" x14ac:dyDescent="0.3">
      <c r="A196" s="115">
        <v>43789</v>
      </c>
      <c r="B196" s="78">
        <v>0</v>
      </c>
      <c r="C196" s="78">
        <v>15</v>
      </c>
      <c r="D196" s="82">
        <f t="shared" ref="D196:D238" si="8">IF(((C196="")*AND(B196="")),"",(C196-B196))</f>
        <v>15</v>
      </c>
      <c r="E196" s="30" t="str">
        <f t="shared" si="7"/>
        <v>Pass</v>
      </c>
      <c r="F196" s="85">
        <v>74</v>
      </c>
      <c r="G196" s="112" t="s">
        <v>47</v>
      </c>
      <c r="H196" s="81">
        <v>60</v>
      </c>
      <c r="I196" s="78" t="s">
        <v>255</v>
      </c>
    </row>
    <row r="197" spans="1:9" x14ac:dyDescent="0.3">
      <c r="A197" s="115">
        <v>43792</v>
      </c>
      <c r="B197" s="78">
        <v>36</v>
      </c>
      <c r="C197" s="78">
        <v>88</v>
      </c>
      <c r="D197" s="82">
        <f t="shared" si="8"/>
        <v>52</v>
      </c>
      <c r="E197" s="30" t="str">
        <f t="shared" si="7"/>
        <v>Pass</v>
      </c>
      <c r="F197" s="85">
        <v>121</v>
      </c>
      <c r="G197" s="112" t="s">
        <v>47</v>
      </c>
      <c r="H197" s="81">
        <v>60</v>
      </c>
      <c r="I197" s="78"/>
    </row>
    <row r="198" spans="1:9" x14ac:dyDescent="0.3">
      <c r="A198" s="115">
        <v>43795</v>
      </c>
      <c r="B198" s="78">
        <v>21</v>
      </c>
      <c r="C198" s="78">
        <v>173</v>
      </c>
      <c r="D198" s="82">
        <f t="shared" si="8"/>
        <v>152</v>
      </c>
      <c r="E198" s="30" t="str">
        <f t="shared" si="7"/>
        <v>Fail</v>
      </c>
      <c r="F198" s="85">
        <v>1428</v>
      </c>
      <c r="G198" s="112" t="s">
        <v>47</v>
      </c>
      <c r="H198" s="81">
        <v>60</v>
      </c>
      <c r="I198" s="78"/>
    </row>
    <row r="199" spans="1:9" x14ac:dyDescent="0.3">
      <c r="A199" s="115">
        <v>43795</v>
      </c>
      <c r="B199" s="78">
        <v>1</v>
      </c>
      <c r="C199" s="78">
        <v>17</v>
      </c>
      <c r="D199" s="82">
        <f t="shared" si="8"/>
        <v>16</v>
      </c>
      <c r="E199" s="30" t="str">
        <f t="shared" si="7"/>
        <v>Pass</v>
      </c>
      <c r="F199" s="85">
        <v>1340</v>
      </c>
      <c r="G199" s="112" t="s">
        <v>47</v>
      </c>
      <c r="H199" s="81">
        <v>60</v>
      </c>
      <c r="I199" s="78"/>
    </row>
    <row r="200" spans="1:9" x14ac:dyDescent="0.3">
      <c r="A200" s="115"/>
      <c r="B200" s="78"/>
      <c r="C200" s="78"/>
      <c r="D200" s="82" t="str">
        <f t="shared" si="8"/>
        <v/>
      </c>
      <c r="E200" s="30" t="str">
        <f t="shared" si="7"/>
        <v/>
      </c>
      <c r="F200" s="85"/>
      <c r="G200" s="112"/>
      <c r="H200" s="81">
        <v>60</v>
      </c>
      <c r="I200" s="78"/>
    </row>
    <row r="201" spans="1:9" x14ac:dyDescent="0.3">
      <c r="A201" s="115"/>
      <c r="B201" s="78"/>
      <c r="C201" s="78"/>
      <c r="D201" s="82" t="str">
        <f t="shared" si="8"/>
        <v/>
      </c>
      <c r="E201" s="30" t="str">
        <f t="shared" si="7"/>
        <v/>
      </c>
      <c r="F201" s="85"/>
      <c r="G201" s="112"/>
      <c r="H201" s="81">
        <v>60</v>
      </c>
      <c r="I201" s="78"/>
    </row>
    <row r="202" spans="1:9" x14ac:dyDescent="0.3">
      <c r="A202" s="115"/>
      <c r="B202" s="78"/>
      <c r="C202" s="78"/>
      <c r="D202" s="82" t="str">
        <f t="shared" si="8"/>
        <v/>
      </c>
      <c r="E202" s="30" t="str">
        <f t="shared" si="7"/>
        <v/>
      </c>
      <c r="F202" s="85"/>
      <c r="G202" s="112"/>
      <c r="H202" s="81">
        <v>60</v>
      </c>
      <c r="I202" s="78"/>
    </row>
    <row r="203" spans="1:9" x14ac:dyDescent="0.3">
      <c r="A203" s="115"/>
      <c r="B203" s="78"/>
      <c r="C203" s="78"/>
      <c r="D203" s="82" t="str">
        <f t="shared" si="8"/>
        <v/>
      </c>
      <c r="E203" s="30" t="str">
        <f t="shared" si="7"/>
        <v/>
      </c>
      <c r="F203" s="85"/>
      <c r="G203" s="112"/>
      <c r="H203" s="81">
        <v>60</v>
      </c>
      <c r="I203" s="78"/>
    </row>
    <row r="204" spans="1:9" x14ac:dyDescent="0.3">
      <c r="A204" s="115"/>
      <c r="B204" s="78"/>
      <c r="C204" s="78"/>
      <c r="D204" s="82" t="str">
        <f t="shared" si="8"/>
        <v/>
      </c>
      <c r="E204" s="30" t="str">
        <f t="shared" si="7"/>
        <v/>
      </c>
      <c r="F204" s="85"/>
      <c r="G204" s="112"/>
      <c r="H204" s="81">
        <v>60</v>
      </c>
      <c r="I204" s="78"/>
    </row>
    <row r="205" spans="1:9" x14ac:dyDescent="0.3">
      <c r="A205" s="115"/>
      <c r="B205" s="78"/>
      <c r="C205" s="78"/>
      <c r="D205" s="82" t="str">
        <f t="shared" si="8"/>
        <v/>
      </c>
      <c r="E205" s="30" t="str">
        <f t="shared" si="7"/>
        <v/>
      </c>
      <c r="F205" s="85"/>
      <c r="G205" s="112"/>
      <c r="H205" s="81">
        <v>60</v>
      </c>
      <c r="I205" s="78"/>
    </row>
    <row r="206" spans="1:9" x14ac:dyDescent="0.3">
      <c r="A206" s="115"/>
      <c r="B206" s="78"/>
      <c r="C206" s="78"/>
      <c r="D206" s="82" t="str">
        <f t="shared" si="8"/>
        <v/>
      </c>
      <c r="E206" s="30" t="str">
        <f t="shared" si="7"/>
        <v/>
      </c>
      <c r="F206" s="85"/>
      <c r="G206" s="112"/>
      <c r="H206" s="81">
        <v>60</v>
      </c>
      <c r="I206" s="78"/>
    </row>
    <row r="207" spans="1:9" x14ac:dyDescent="0.3">
      <c r="A207" s="115"/>
      <c r="B207" s="78"/>
      <c r="C207" s="78"/>
      <c r="D207" s="82" t="str">
        <f t="shared" si="8"/>
        <v/>
      </c>
      <c r="E207" s="30" t="str">
        <f t="shared" si="7"/>
        <v/>
      </c>
      <c r="F207" s="85"/>
      <c r="G207" s="112"/>
      <c r="H207" s="81">
        <v>60</v>
      </c>
      <c r="I207" s="78"/>
    </row>
    <row r="208" spans="1:9" x14ac:dyDescent="0.3">
      <c r="A208" s="115"/>
      <c r="B208" s="78"/>
      <c r="C208" s="78"/>
      <c r="D208" s="82" t="str">
        <f t="shared" si="8"/>
        <v/>
      </c>
      <c r="E208" s="30" t="str">
        <f t="shared" si="7"/>
        <v/>
      </c>
      <c r="F208" s="85"/>
      <c r="G208" s="112"/>
      <c r="H208" s="81">
        <v>60</v>
      </c>
      <c r="I208" s="78"/>
    </row>
    <row r="209" spans="1:9" x14ac:dyDescent="0.3">
      <c r="A209" s="115"/>
      <c r="B209" s="78"/>
      <c r="C209" s="78"/>
      <c r="D209" s="82" t="str">
        <f t="shared" si="8"/>
        <v/>
      </c>
      <c r="E209" s="30" t="str">
        <f t="shared" ref="E209:E238" si="9">IF(D209="","",IF(D209&lt;60,"Pass","Fail"))</f>
        <v/>
      </c>
      <c r="F209" s="85"/>
      <c r="G209" s="112"/>
      <c r="H209" s="81">
        <v>60</v>
      </c>
      <c r="I209" s="78"/>
    </row>
    <row r="210" spans="1:9" x14ac:dyDescent="0.3">
      <c r="A210" s="115"/>
      <c r="B210" s="78"/>
      <c r="C210" s="78"/>
      <c r="D210" s="82" t="str">
        <f t="shared" si="8"/>
        <v/>
      </c>
      <c r="E210" s="30" t="str">
        <f t="shared" si="9"/>
        <v/>
      </c>
      <c r="F210" s="85"/>
      <c r="G210" s="112"/>
      <c r="H210" s="81">
        <v>60</v>
      </c>
      <c r="I210" s="78"/>
    </row>
    <row r="211" spans="1:9" x14ac:dyDescent="0.3">
      <c r="A211" s="115"/>
      <c r="B211" s="78"/>
      <c r="C211" s="78"/>
      <c r="D211" s="82" t="str">
        <f t="shared" si="8"/>
        <v/>
      </c>
      <c r="E211" s="30" t="str">
        <f t="shared" si="9"/>
        <v/>
      </c>
      <c r="F211" s="85"/>
      <c r="G211" s="112"/>
      <c r="H211" s="81">
        <v>60</v>
      </c>
      <c r="I211" s="78"/>
    </row>
    <row r="212" spans="1:9" x14ac:dyDescent="0.3">
      <c r="A212" s="115"/>
      <c r="B212" s="78"/>
      <c r="C212" s="78"/>
      <c r="D212" s="82" t="str">
        <f t="shared" si="8"/>
        <v/>
      </c>
      <c r="E212" s="30" t="str">
        <f t="shared" si="9"/>
        <v/>
      </c>
      <c r="F212" s="85"/>
      <c r="G212" s="112"/>
      <c r="H212" s="81">
        <v>60</v>
      </c>
      <c r="I212" s="78"/>
    </row>
    <row r="213" spans="1:9" x14ac:dyDescent="0.3">
      <c r="A213" s="115"/>
      <c r="B213" s="78"/>
      <c r="C213" s="78"/>
      <c r="D213" s="82" t="str">
        <f t="shared" si="8"/>
        <v/>
      </c>
      <c r="E213" s="30" t="str">
        <f t="shared" si="9"/>
        <v/>
      </c>
      <c r="F213" s="85"/>
      <c r="G213" s="112"/>
      <c r="H213" s="81">
        <v>60</v>
      </c>
      <c r="I213" s="78"/>
    </row>
    <row r="214" spans="1:9" x14ac:dyDescent="0.3">
      <c r="A214" s="115"/>
      <c r="B214" s="78"/>
      <c r="C214" s="78"/>
      <c r="D214" s="82" t="str">
        <f t="shared" si="8"/>
        <v/>
      </c>
      <c r="E214" s="30" t="str">
        <f t="shared" si="9"/>
        <v/>
      </c>
      <c r="F214" s="85"/>
      <c r="G214" s="112"/>
      <c r="H214" s="81">
        <v>60</v>
      </c>
      <c r="I214" s="78"/>
    </row>
    <row r="215" spans="1:9" x14ac:dyDescent="0.3">
      <c r="A215" s="115"/>
      <c r="B215" s="78"/>
      <c r="C215" s="78"/>
      <c r="D215" s="82" t="str">
        <f t="shared" si="8"/>
        <v/>
      </c>
      <c r="E215" s="30" t="str">
        <f t="shared" si="9"/>
        <v/>
      </c>
      <c r="F215" s="85"/>
      <c r="G215" s="112"/>
      <c r="H215" s="81">
        <v>60</v>
      </c>
      <c r="I215" s="78"/>
    </row>
    <row r="216" spans="1:9" x14ac:dyDescent="0.3">
      <c r="A216" s="115"/>
      <c r="B216" s="78"/>
      <c r="C216" s="78"/>
      <c r="D216" s="82" t="str">
        <f t="shared" si="8"/>
        <v/>
      </c>
      <c r="E216" s="30" t="str">
        <f t="shared" si="9"/>
        <v/>
      </c>
      <c r="F216" s="85"/>
      <c r="G216" s="112"/>
      <c r="H216" s="81">
        <v>60</v>
      </c>
      <c r="I216" s="78"/>
    </row>
    <row r="217" spans="1:9" x14ac:dyDescent="0.3">
      <c r="A217" s="115"/>
      <c r="B217" s="78"/>
      <c r="C217" s="78"/>
      <c r="D217" s="82" t="str">
        <f t="shared" si="8"/>
        <v/>
      </c>
      <c r="E217" s="30" t="str">
        <f t="shared" si="9"/>
        <v/>
      </c>
      <c r="F217" s="85"/>
      <c r="G217" s="112"/>
      <c r="H217" s="81">
        <v>60</v>
      </c>
      <c r="I217" s="78"/>
    </row>
    <row r="218" spans="1:9" x14ac:dyDescent="0.3">
      <c r="A218" s="115"/>
      <c r="B218" s="78"/>
      <c r="C218" s="78"/>
      <c r="D218" s="82" t="str">
        <f t="shared" si="8"/>
        <v/>
      </c>
      <c r="E218" s="30" t="str">
        <f t="shared" si="9"/>
        <v/>
      </c>
      <c r="F218" s="85"/>
      <c r="G218" s="112"/>
      <c r="H218" s="81">
        <v>60</v>
      </c>
      <c r="I218" s="78"/>
    </row>
    <row r="219" spans="1:9" x14ac:dyDescent="0.3">
      <c r="A219" s="115"/>
      <c r="B219" s="78"/>
      <c r="C219" s="78"/>
      <c r="D219" s="82" t="str">
        <f t="shared" si="8"/>
        <v/>
      </c>
      <c r="E219" s="30" t="str">
        <f t="shared" si="9"/>
        <v/>
      </c>
      <c r="F219" s="85"/>
      <c r="G219" s="112"/>
      <c r="H219" s="81">
        <v>60</v>
      </c>
      <c r="I219" s="78"/>
    </row>
    <row r="220" spans="1:9" x14ac:dyDescent="0.3">
      <c r="A220" s="115"/>
      <c r="B220" s="78"/>
      <c r="C220" s="78"/>
      <c r="D220" s="82" t="str">
        <f t="shared" si="8"/>
        <v/>
      </c>
      <c r="E220" s="30" t="str">
        <f t="shared" si="9"/>
        <v/>
      </c>
      <c r="F220" s="85"/>
      <c r="G220" s="112"/>
      <c r="H220" s="81">
        <v>60</v>
      </c>
      <c r="I220" s="78"/>
    </row>
    <row r="221" spans="1:9" x14ac:dyDescent="0.3">
      <c r="A221" s="115"/>
      <c r="B221" s="78"/>
      <c r="C221" s="78"/>
      <c r="D221" s="82" t="str">
        <f t="shared" si="8"/>
        <v/>
      </c>
      <c r="E221" s="30" t="str">
        <f t="shared" si="9"/>
        <v/>
      </c>
      <c r="F221" s="85"/>
      <c r="G221" s="112"/>
      <c r="H221" s="81">
        <v>60</v>
      </c>
      <c r="I221" s="78"/>
    </row>
    <row r="222" spans="1:9" x14ac:dyDescent="0.3">
      <c r="A222" s="115"/>
      <c r="B222" s="78"/>
      <c r="C222" s="78"/>
      <c r="D222" s="82" t="str">
        <f t="shared" si="8"/>
        <v/>
      </c>
      <c r="E222" s="30" t="str">
        <f t="shared" si="9"/>
        <v/>
      </c>
      <c r="F222" s="85"/>
      <c r="G222" s="112"/>
      <c r="H222" s="81">
        <v>60</v>
      </c>
      <c r="I222" s="78"/>
    </row>
    <row r="223" spans="1:9" x14ac:dyDescent="0.3">
      <c r="A223" s="115"/>
      <c r="B223" s="78"/>
      <c r="C223" s="78"/>
      <c r="D223" s="82" t="str">
        <f t="shared" si="8"/>
        <v/>
      </c>
      <c r="E223" s="30" t="str">
        <f t="shared" si="9"/>
        <v/>
      </c>
      <c r="F223" s="85"/>
      <c r="G223" s="112"/>
      <c r="H223" s="81">
        <v>60</v>
      </c>
      <c r="I223" s="78"/>
    </row>
    <row r="224" spans="1:9" x14ac:dyDescent="0.3">
      <c r="A224" s="115"/>
      <c r="B224" s="78"/>
      <c r="C224" s="78"/>
      <c r="D224" s="82" t="str">
        <f t="shared" si="8"/>
        <v/>
      </c>
      <c r="E224" s="30" t="str">
        <f t="shared" si="9"/>
        <v/>
      </c>
      <c r="F224" s="85"/>
      <c r="G224" s="112"/>
      <c r="H224" s="81">
        <v>60</v>
      </c>
      <c r="I224" s="78"/>
    </row>
    <row r="225" spans="1:9" x14ac:dyDescent="0.3">
      <c r="A225" s="115"/>
      <c r="B225" s="78"/>
      <c r="C225" s="78"/>
      <c r="D225" s="82" t="str">
        <f t="shared" si="8"/>
        <v/>
      </c>
      <c r="E225" s="30" t="str">
        <f t="shared" si="9"/>
        <v/>
      </c>
      <c r="F225" s="85"/>
      <c r="G225" s="112"/>
      <c r="H225" s="81">
        <v>60</v>
      </c>
      <c r="I225" s="78"/>
    </row>
    <row r="226" spans="1:9" x14ac:dyDescent="0.3">
      <c r="A226" s="115"/>
      <c r="B226" s="78"/>
      <c r="C226" s="78"/>
      <c r="D226" s="82" t="str">
        <f t="shared" si="8"/>
        <v/>
      </c>
      <c r="E226" s="30" t="str">
        <f t="shared" si="9"/>
        <v/>
      </c>
      <c r="F226" s="85"/>
      <c r="G226" s="112"/>
      <c r="H226" s="81">
        <v>60</v>
      </c>
      <c r="I226" s="78"/>
    </row>
    <row r="227" spans="1:9" x14ac:dyDescent="0.3">
      <c r="A227" s="115"/>
      <c r="B227" s="78"/>
      <c r="C227" s="78"/>
      <c r="D227" s="82" t="str">
        <f t="shared" si="8"/>
        <v/>
      </c>
      <c r="E227" s="30" t="str">
        <f t="shared" si="9"/>
        <v/>
      </c>
      <c r="F227" s="85"/>
      <c r="G227" s="112"/>
      <c r="H227" s="81">
        <v>60</v>
      </c>
      <c r="I227" s="78"/>
    </row>
    <row r="228" spans="1:9" x14ac:dyDescent="0.3">
      <c r="A228" s="115"/>
      <c r="B228" s="78"/>
      <c r="C228" s="78"/>
      <c r="D228" s="82" t="str">
        <f t="shared" si="8"/>
        <v/>
      </c>
      <c r="E228" s="30" t="str">
        <f t="shared" si="9"/>
        <v/>
      </c>
      <c r="F228" s="85"/>
      <c r="G228" s="112"/>
      <c r="H228" s="81">
        <v>60</v>
      </c>
      <c r="I228" s="78"/>
    </row>
    <row r="229" spans="1:9" x14ac:dyDescent="0.3">
      <c r="A229" s="115"/>
      <c r="B229" s="78"/>
      <c r="C229" s="78"/>
      <c r="D229" s="82" t="str">
        <f t="shared" si="8"/>
        <v/>
      </c>
      <c r="E229" s="30" t="str">
        <f t="shared" si="9"/>
        <v/>
      </c>
      <c r="F229" s="85"/>
      <c r="G229" s="112"/>
      <c r="H229" s="81">
        <v>60</v>
      </c>
      <c r="I229" s="78"/>
    </row>
    <row r="230" spans="1:9" x14ac:dyDescent="0.3">
      <c r="A230" s="115"/>
      <c r="B230" s="78"/>
      <c r="C230" s="78"/>
      <c r="D230" s="82" t="str">
        <f t="shared" si="8"/>
        <v/>
      </c>
      <c r="E230" s="30" t="str">
        <f t="shared" si="9"/>
        <v/>
      </c>
      <c r="F230" s="85"/>
      <c r="G230" s="112"/>
      <c r="H230" s="81">
        <v>60</v>
      </c>
      <c r="I230" s="78"/>
    </row>
    <row r="231" spans="1:9" x14ac:dyDescent="0.3">
      <c r="A231" s="115"/>
      <c r="B231" s="78"/>
      <c r="C231" s="78"/>
      <c r="D231" s="82" t="str">
        <f t="shared" si="8"/>
        <v/>
      </c>
      <c r="E231" s="30" t="str">
        <f t="shared" si="9"/>
        <v/>
      </c>
      <c r="F231" s="85"/>
      <c r="G231" s="112"/>
      <c r="H231" s="81">
        <v>60</v>
      </c>
      <c r="I231" s="78"/>
    </row>
    <row r="232" spans="1:9" x14ac:dyDescent="0.3">
      <c r="A232" s="115"/>
      <c r="B232" s="78"/>
      <c r="C232" s="78"/>
      <c r="D232" s="82" t="str">
        <f t="shared" si="8"/>
        <v/>
      </c>
      <c r="E232" s="30" t="str">
        <f t="shared" si="9"/>
        <v/>
      </c>
      <c r="F232" s="85"/>
      <c r="G232" s="112"/>
      <c r="H232" s="81">
        <v>60</v>
      </c>
      <c r="I232" s="78"/>
    </row>
    <row r="233" spans="1:9" x14ac:dyDescent="0.3">
      <c r="A233" s="115"/>
      <c r="B233" s="78"/>
      <c r="C233" s="78"/>
      <c r="D233" s="82" t="str">
        <f t="shared" si="8"/>
        <v/>
      </c>
      <c r="E233" s="30" t="str">
        <f t="shared" si="9"/>
        <v/>
      </c>
      <c r="F233" s="85"/>
      <c r="G233" s="112"/>
      <c r="H233" s="81">
        <v>60</v>
      </c>
      <c r="I233" s="78"/>
    </row>
    <row r="234" spans="1:9" x14ac:dyDescent="0.3">
      <c r="A234" s="115"/>
      <c r="B234" s="78"/>
      <c r="C234" s="78"/>
      <c r="D234" s="82" t="str">
        <f t="shared" si="8"/>
        <v/>
      </c>
      <c r="E234" s="30" t="str">
        <f t="shared" si="9"/>
        <v/>
      </c>
      <c r="F234" s="85"/>
      <c r="G234" s="112"/>
      <c r="H234" s="81">
        <v>60</v>
      </c>
      <c r="I234" s="78"/>
    </row>
    <row r="235" spans="1:9" x14ac:dyDescent="0.3">
      <c r="A235" s="115"/>
      <c r="B235" s="78"/>
      <c r="C235" s="78"/>
      <c r="D235" s="82" t="str">
        <f t="shared" si="8"/>
        <v/>
      </c>
      <c r="E235" s="30" t="str">
        <f t="shared" si="9"/>
        <v/>
      </c>
      <c r="F235" s="85"/>
      <c r="G235" s="112"/>
      <c r="H235" s="81">
        <v>60</v>
      </c>
      <c r="I235" s="78"/>
    </row>
    <row r="236" spans="1:9" x14ac:dyDescent="0.3">
      <c r="A236" s="115"/>
      <c r="B236" s="78"/>
      <c r="C236" s="78"/>
      <c r="D236" s="82" t="str">
        <f t="shared" si="8"/>
        <v/>
      </c>
      <c r="E236" s="30" t="str">
        <f t="shared" si="9"/>
        <v/>
      </c>
      <c r="F236" s="85"/>
      <c r="G236" s="112"/>
      <c r="H236" s="81">
        <v>60</v>
      </c>
      <c r="I236" s="78"/>
    </row>
    <row r="237" spans="1:9" x14ac:dyDescent="0.3">
      <c r="A237" s="115"/>
      <c r="B237" s="78"/>
      <c r="C237" s="78"/>
      <c r="D237" s="82" t="str">
        <f t="shared" si="8"/>
        <v/>
      </c>
      <c r="E237" s="30" t="str">
        <f t="shared" si="9"/>
        <v/>
      </c>
      <c r="F237" s="85"/>
      <c r="G237" s="112"/>
      <c r="H237" s="81">
        <v>60</v>
      </c>
      <c r="I237" s="78"/>
    </row>
    <row r="238" spans="1:9" x14ac:dyDescent="0.3">
      <c r="A238" s="115"/>
      <c r="B238" s="78"/>
      <c r="C238" s="78"/>
      <c r="D238" s="82" t="str">
        <f t="shared" si="8"/>
        <v/>
      </c>
      <c r="E238" s="30" t="str">
        <f t="shared" si="9"/>
        <v/>
      </c>
      <c r="F238" s="85"/>
      <c r="G238" s="112"/>
      <c r="H238" s="81">
        <v>60</v>
      </c>
      <c r="I238" s="78"/>
    </row>
  </sheetData>
  <autoFilter ref="A9:I136" xr:uid="{00000000-0009-0000-0000-000005000000}"/>
  <mergeCells count="2">
    <mergeCell ref="A1:H1"/>
    <mergeCell ref="B8:C8"/>
  </mergeCells>
  <conditionalFormatting sqref="E10:E133">
    <cfRule type="cellIs" dxfId="1719" priority="409" stopIfTrue="1" operator="equal">
      <formula>"Pass"</formula>
    </cfRule>
    <cfRule type="cellIs" dxfId="1718" priority="410" stopIfTrue="1" operator="equal">
      <formula>"Fail"</formula>
    </cfRule>
  </conditionalFormatting>
  <conditionalFormatting sqref="E108:E136">
    <cfRule type="cellIs" dxfId="1717" priority="407" stopIfTrue="1" operator="equal">
      <formula>"Pass"</formula>
    </cfRule>
    <cfRule type="cellIs" dxfId="1716" priority="408" stopIfTrue="1" operator="equal">
      <formula>"Fail"</formula>
    </cfRule>
  </conditionalFormatting>
  <conditionalFormatting sqref="E137:E143">
    <cfRule type="cellIs" dxfId="1715" priority="405" stopIfTrue="1" operator="equal">
      <formula>"Pass"</formula>
    </cfRule>
    <cfRule type="cellIs" dxfId="1714" priority="406" stopIfTrue="1" operator="equal">
      <formula>"Fail"</formula>
    </cfRule>
  </conditionalFormatting>
  <conditionalFormatting sqref="E144:E151">
    <cfRule type="cellIs" dxfId="1713" priority="403" stopIfTrue="1" operator="equal">
      <formula>"Pass"</formula>
    </cfRule>
    <cfRule type="cellIs" dxfId="1712" priority="404" stopIfTrue="1" operator="equal">
      <formula>"Fail"</formula>
    </cfRule>
  </conditionalFormatting>
  <conditionalFormatting sqref="E145:E151">
    <cfRule type="cellIs" dxfId="1711" priority="401" stopIfTrue="1" operator="equal">
      <formula>"Pass"</formula>
    </cfRule>
    <cfRule type="cellIs" dxfId="1710" priority="402" stopIfTrue="1" operator="equal">
      <formula>"Fail"</formula>
    </cfRule>
  </conditionalFormatting>
  <conditionalFormatting sqref="E152">
    <cfRule type="cellIs" dxfId="1709" priority="399" stopIfTrue="1" operator="equal">
      <formula>"Pass"</formula>
    </cfRule>
    <cfRule type="cellIs" dxfId="1708" priority="400" stopIfTrue="1" operator="equal">
      <formula>"Fail"</formula>
    </cfRule>
  </conditionalFormatting>
  <conditionalFormatting sqref="E152">
    <cfRule type="cellIs" dxfId="1707" priority="397" stopIfTrue="1" operator="equal">
      <formula>"Pass"</formula>
    </cfRule>
    <cfRule type="cellIs" dxfId="1706" priority="398" stopIfTrue="1" operator="equal">
      <formula>"Fail"</formula>
    </cfRule>
  </conditionalFormatting>
  <conditionalFormatting sqref="E153">
    <cfRule type="cellIs" dxfId="1705" priority="395" stopIfTrue="1" operator="equal">
      <formula>"Pass"</formula>
    </cfRule>
    <cfRule type="cellIs" dxfId="1704" priority="396" stopIfTrue="1" operator="equal">
      <formula>"Fail"</formula>
    </cfRule>
  </conditionalFormatting>
  <conditionalFormatting sqref="E153">
    <cfRule type="cellIs" dxfId="1703" priority="393" stopIfTrue="1" operator="equal">
      <formula>"Pass"</formula>
    </cfRule>
    <cfRule type="cellIs" dxfId="1702" priority="394" stopIfTrue="1" operator="equal">
      <formula>"Fail"</formula>
    </cfRule>
  </conditionalFormatting>
  <conditionalFormatting sqref="E154">
    <cfRule type="cellIs" dxfId="1701" priority="391" stopIfTrue="1" operator="equal">
      <formula>"Pass"</formula>
    </cfRule>
    <cfRule type="cellIs" dxfId="1700" priority="392" stopIfTrue="1" operator="equal">
      <formula>"Fail"</formula>
    </cfRule>
  </conditionalFormatting>
  <conditionalFormatting sqref="E154">
    <cfRule type="cellIs" dxfId="1699" priority="389" stopIfTrue="1" operator="equal">
      <formula>"Pass"</formula>
    </cfRule>
    <cfRule type="cellIs" dxfId="1698" priority="390" stopIfTrue="1" operator="equal">
      <formula>"Fail"</formula>
    </cfRule>
  </conditionalFormatting>
  <conditionalFormatting sqref="E155">
    <cfRule type="cellIs" dxfId="1697" priority="387" stopIfTrue="1" operator="equal">
      <formula>"Pass"</formula>
    </cfRule>
    <cfRule type="cellIs" dxfId="1696" priority="388" stopIfTrue="1" operator="equal">
      <formula>"Fail"</formula>
    </cfRule>
  </conditionalFormatting>
  <conditionalFormatting sqref="E155">
    <cfRule type="cellIs" dxfId="1695" priority="385" stopIfTrue="1" operator="equal">
      <formula>"Pass"</formula>
    </cfRule>
    <cfRule type="cellIs" dxfId="1694" priority="386" stopIfTrue="1" operator="equal">
      <formula>"Fail"</formula>
    </cfRule>
  </conditionalFormatting>
  <conditionalFormatting sqref="E156">
    <cfRule type="cellIs" dxfId="1693" priority="383" stopIfTrue="1" operator="equal">
      <formula>"Pass"</formula>
    </cfRule>
    <cfRule type="cellIs" dxfId="1692" priority="384" stopIfTrue="1" operator="equal">
      <formula>"Fail"</formula>
    </cfRule>
  </conditionalFormatting>
  <conditionalFormatting sqref="E156">
    <cfRule type="cellIs" dxfId="1691" priority="381" stopIfTrue="1" operator="equal">
      <formula>"Pass"</formula>
    </cfRule>
    <cfRule type="cellIs" dxfId="1690" priority="382" stopIfTrue="1" operator="equal">
      <formula>"Fail"</formula>
    </cfRule>
  </conditionalFormatting>
  <conditionalFormatting sqref="E157">
    <cfRule type="cellIs" dxfId="1689" priority="379" stopIfTrue="1" operator="equal">
      <formula>"Pass"</formula>
    </cfRule>
    <cfRule type="cellIs" dxfId="1688" priority="380" stopIfTrue="1" operator="equal">
      <formula>"Fail"</formula>
    </cfRule>
  </conditionalFormatting>
  <conditionalFormatting sqref="E157">
    <cfRule type="cellIs" dxfId="1687" priority="377" stopIfTrue="1" operator="equal">
      <formula>"Pass"</formula>
    </cfRule>
    <cfRule type="cellIs" dxfId="1686" priority="378" stopIfTrue="1" operator="equal">
      <formula>"Fail"</formula>
    </cfRule>
  </conditionalFormatting>
  <conditionalFormatting sqref="E158">
    <cfRule type="cellIs" dxfId="1685" priority="375" stopIfTrue="1" operator="equal">
      <formula>"Pass"</formula>
    </cfRule>
    <cfRule type="cellIs" dxfId="1684" priority="376" stopIfTrue="1" operator="equal">
      <formula>"Fail"</formula>
    </cfRule>
  </conditionalFormatting>
  <conditionalFormatting sqref="E158">
    <cfRule type="cellIs" dxfId="1683" priority="373" stopIfTrue="1" operator="equal">
      <formula>"Pass"</formula>
    </cfRule>
    <cfRule type="cellIs" dxfId="1682" priority="374" stopIfTrue="1" operator="equal">
      <formula>"Fail"</formula>
    </cfRule>
  </conditionalFormatting>
  <conditionalFormatting sqref="E159">
    <cfRule type="cellIs" dxfId="1681" priority="371" stopIfTrue="1" operator="equal">
      <formula>"Pass"</formula>
    </cfRule>
    <cfRule type="cellIs" dxfId="1680" priority="372" stopIfTrue="1" operator="equal">
      <formula>"Fail"</formula>
    </cfRule>
  </conditionalFormatting>
  <conditionalFormatting sqref="E159">
    <cfRule type="cellIs" dxfId="1679" priority="369" stopIfTrue="1" operator="equal">
      <formula>"Pass"</formula>
    </cfRule>
    <cfRule type="cellIs" dxfId="1678" priority="370" stopIfTrue="1" operator="equal">
      <formula>"Fail"</formula>
    </cfRule>
  </conditionalFormatting>
  <conditionalFormatting sqref="E160">
    <cfRule type="cellIs" dxfId="1677" priority="367" stopIfTrue="1" operator="equal">
      <formula>"Pass"</formula>
    </cfRule>
    <cfRule type="cellIs" dxfId="1676" priority="368" stopIfTrue="1" operator="equal">
      <formula>"Fail"</formula>
    </cfRule>
  </conditionalFormatting>
  <conditionalFormatting sqref="E160">
    <cfRule type="cellIs" dxfId="1675" priority="365" stopIfTrue="1" operator="equal">
      <formula>"Pass"</formula>
    </cfRule>
    <cfRule type="cellIs" dxfId="1674" priority="366" stopIfTrue="1" operator="equal">
      <formula>"Fail"</formula>
    </cfRule>
  </conditionalFormatting>
  <conditionalFormatting sqref="E161">
    <cfRule type="cellIs" dxfId="1673" priority="363" stopIfTrue="1" operator="equal">
      <formula>"Pass"</formula>
    </cfRule>
    <cfRule type="cellIs" dxfId="1672" priority="364" stopIfTrue="1" operator="equal">
      <formula>"Fail"</formula>
    </cfRule>
  </conditionalFormatting>
  <conditionalFormatting sqref="E161">
    <cfRule type="cellIs" dxfId="1671" priority="361" stopIfTrue="1" operator="equal">
      <formula>"Pass"</formula>
    </cfRule>
    <cfRule type="cellIs" dxfId="1670" priority="362" stopIfTrue="1" operator="equal">
      <formula>"Fail"</formula>
    </cfRule>
  </conditionalFormatting>
  <conditionalFormatting sqref="E162">
    <cfRule type="cellIs" dxfId="1669" priority="359" stopIfTrue="1" operator="equal">
      <formula>"Pass"</formula>
    </cfRule>
    <cfRule type="cellIs" dxfId="1668" priority="360" stopIfTrue="1" operator="equal">
      <formula>"Fail"</formula>
    </cfRule>
  </conditionalFormatting>
  <conditionalFormatting sqref="E162">
    <cfRule type="cellIs" dxfId="1667" priority="357" stopIfTrue="1" operator="equal">
      <formula>"Pass"</formula>
    </cfRule>
    <cfRule type="cellIs" dxfId="1666" priority="358" stopIfTrue="1" operator="equal">
      <formula>"Fail"</formula>
    </cfRule>
  </conditionalFormatting>
  <conditionalFormatting sqref="E163">
    <cfRule type="cellIs" dxfId="1665" priority="355" stopIfTrue="1" operator="equal">
      <formula>"Pass"</formula>
    </cfRule>
    <cfRule type="cellIs" dxfId="1664" priority="356" stopIfTrue="1" operator="equal">
      <formula>"Fail"</formula>
    </cfRule>
  </conditionalFormatting>
  <conditionalFormatting sqref="E163">
    <cfRule type="cellIs" dxfId="1663" priority="353" stopIfTrue="1" operator="equal">
      <formula>"Pass"</formula>
    </cfRule>
    <cfRule type="cellIs" dxfId="1662" priority="354" stopIfTrue="1" operator="equal">
      <formula>"Fail"</formula>
    </cfRule>
  </conditionalFormatting>
  <conditionalFormatting sqref="E164">
    <cfRule type="cellIs" dxfId="1661" priority="351" stopIfTrue="1" operator="equal">
      <formula>"Pass"</formula>
    </cfRule>
    <cfRule type="cellIs" dxfId="1660" priority="352" stopIfTrue="1" operator="equal">
      <formula>"Fail"</formula>
    </cfRule>
  </conditionalFormatting>
  <conditionalFormatting sqref="E164">
    <cfRule type="cellIs" dxfId="1659" priority="349" stopIfTrue="1" operator="equal">
      <formula>"Pass"</formula>
    </cfRule>
    <cfRule type="cellIs" dxfId="1658" priority="350" stopIfTrue="1" operator="equal">
      <formula>"Fail"</formula>
    </cfRule>
  </conditionalFormatting>
  <conditionalFormatting sqref="E165">
    <cfRule type="cellIs" dxfId="1657" priority="347" stopIfTrue="1" operator="equal">
      <formula>"Pass"</formula>
    </cfRule>
    <cfRule type="cellIs" dxfId="1656" priority="348" stopIfTrue="1" operator="equal">
      <formula>"Fail"</formula>
    </cfRule>
  </conditionalFormatting>
  <conditionalFormatting sqref="E165">
    <cfRule type="cellIs" dxfId="1655" priority="345" stopIfTrue="1" operator="equal">
      <formula>"Pass"</formula>
    </cfRule>
    <cfRule type="cellIs" dxfId="1654" priority="346" stopIfTrue="1" operator="equal">
      <formula>"Fail"</formula>
    </cfRule>
  </conditionalFormatting>
  <conditionalFormatting sqref="E166">
    <cfRule type="cellIs" dxfId="1653" priority="343" stopIfTrue="1" operator="equal">
      <formula>"Pass"</formula>
    </cfRule>
    <cfRule type="cellIs" dxfId="1652" priority="344" stopIfTrue="1" operator="equal">
      <formula>"Fail"</formula>
    </cfRule>
  </conditionalFormatting>
  <conditionalFormatting sqref="E166">
    <cfRule type="cellIs" dxfId="1651" priority="341" stopIfTrue="1" operator="equal">
      <formula>"Pass"</formula>
    </cfRule>
    <cfRule type="cellIs" dxfId="1650" priority="342" stopIfTrue="1" operator="equal">
      <formula>"Fail"</formula>
    </cfRule>
  </conditionalFormatting>
  <conditionalFormatting sqref="E167">
    <cfRule type="cellIs" dxfId="1649" priority="339" stopIfTrue="1" operator="equal">
      <formula>"Pass"</formula>
    </cfRule>
    <cfRule type="cellIs" dxfId="1648" priority="340" stopIfTrue="1" operator="equal">
      <formula>"Fail"</formula>
    </cfRule>
  </conditionalFormatting>
  <conditionalFormatting sqref="E167">
    <cfRule type="cellIs" dxfId="1647" priority="337" stopIfTrue="1" operator="equal">
      <formula>"Pass"</formula>
    </cfRule>
    <cfRule type="cellIs" dxfId="1646" priority="338" stopIfTrue="1" operator="equal">
      <formula>"Fail"</formula>
    </cfRule>
  </conditionalFormatting>
  <conditionalFormatting sqref="E168">
    <cfRule type="cellIs" dxfId="1645" priority="335" stopIfTrue="1" operator="equal">
      <formula>"Pass"</formula>
    </cfRule>
    <cfRule type="cellIs" dxfId="1644" priority="336" stopIfTrue="1" operator="equal">
      <formula>"Fail"</formula>
    </cfRule>
  </conditionalFormatting>
  <conditionalFormatting sqref="E168">
    <cfRule type="cellIs" dxfId="1643" priority="333" stopIfTrue="1" operator="equal">
      <formula>"Pass"</formula>
    </cfRule>
    <cfRule type="cellIs" dxfId="1642" priority="334" stopIfTrue="1" operator="equal">
      <formula>"Fail"</formula>
    </cfRule>
  </conditionalFormatting>
  <conditionalFormatting sqref="E169">
    <cfRule type="cellIs" dxfId="1641" priority="331" stopIfTrue="1" operator="equal">
      <formula>"Pass"</formula>
    </cfRule>
    <cfRule type="cellIs" dxfId="1640" priority="332" stopIfTrue="1" operator="equal">
      <formula>"Fail"</formula>
    </cfRule>
  </conditionalFormatting>
  <conditionalFormatting sqref="E169">
    <cfRule type="cellIs" dxfId="1639" priority="329" stopIfTrue="1" operator="equal">
      <formula>"Pass"</formula>
    </cfRule>
    <cfRule type="cellIs" dxfId="1638" priority="330" stopIfTrue="1" operator="equal">
      <formula>"Fail"</formula>
    </cfRule>
  </conditionalFormatting>
  <conditionalFormatting sqref="E170">
    <cfRule type="cellIs" dxfId="1637" priority="327" stopIfTrue="1" operator="equal">
      <formula>"Pass"</formula>
    </cfRule>
    <cfRule type="cellIs" dxfId="1636" priority="328" stopIfTrue="1" operator="equal">
      <formula>"Fail"</formula>
    </cfRule>
  </conditionalFormatting>
  <conditionalFormatting sqref="E170">
    <cfRule type="cellIs" dxfId="1635" priority="325" stopIfTrue="1" operator="equal">
      <formula>"Pass"</formula>
    </cfRule>
    <cfRule type="cellIs" dxfId="1634" priority="326" stopIfTrue="1" operator="equal">
      <formula>"Fail"</formula>
    </cfRule>
  </conditionalFormatting>
  <conditionalFormatting sqref="E171">
    <cfRule type="cellIs" dxfId="1633" priority="323" stopIfTrue="1" operator="equal">
      <formula>"Pass"</formula>
    </cfRule>
    <cfRule type="cellIs" dxfId="1632" priority="324" stopIfTrue="1" operator="equal">
      <formula>"Fail"</formula>
    </cfRule>
  </conditionalFormatting>
  <conditionalFormatting sqref="E171">
    <cfRule type="cellIs" dxfId="1631" priority="321" stopIfTrue="1" operator="equal">
      <formula>"Pass"</formula>
    </cfRule>
    <cfRule type="cellIs" dxfId="1630" priority="322" stopIfTrue="1" operator="equal">
      <formula>"Fail"</formula>
    </cfRule>
  </conditionalFormatting>
  <conditionalFormatting sqref="E172">
    <cfRule type="cellIs" dxfId="1629" priority="319" stopIfTrue="1" operator="equal">
      <formula>"Pass"</formula>
    </cfRule>
    <cfRule type="cellIs" dxfId="1628" priority="320" stopIfTrue="1" operator="equal">
      <formula>"Fail"</formula>
    </cfRule>
  </conditionalFormatting>
  <conditionalFormatting sqref="E172">
    <cfRule type="cellIs" dxfId="1627" priority="317" stopIfTrue="1" operator="equal">
      <formula>"Pass"</formula>
    </cfRule>
    <cfRule type="cellIs" dxfId="1626" priority="318" stopIfTrue="1" operator="equal">
      <formula>"Fail"</formula>
    </cfRule>
  </conditionalFormatting>
  <conditionalFormatting sqref="E173">
    <cfRule type="cellIs" dxfId="1625" priority="315" stopIfTrue="1" operator="equal">
      <formula>"Pass"</formula>
    </cfRule>
    <cfRule type="cellIs" dxfId="1624" priority="316" stopIfTrue="1" operator="equal">
      <formula>"Fail"</formula>
    </cfRule>
  </conditionalFormatting>
  <conditionalFormatting sqref="E173">
    <cfRule type="cellIs" dxfId="1623" priority="313" stopIfTrue="1" operator="equal">
      <formula>"Pass"</formula>
    </cfRule>
    <cfRule type="cellIs" dxfId="1622" priority="314" stopIfTrue="1" operator="equal">
      <formula>"Fail"</formula>
    </cfRule>
  </conditionalFormatting>
  <conditionalFormatting sqref="E174">
    <cfRule type="cellIs" dxfId="1621" priority="311" stopIfTrue="1" operator="equal">
      <formula>"Pass"</formula>
    </cfRule>
    <cfRule type="cellIs" dxfId="1620" priority="312" stopIfTrue="1" operator="equal">
      <formula>"Fail"</formula>
    </cfRule>
  </conditionalFormatting>
  <conditionalFormatting sqref="E174">
    <cfRule type="cellIs" dxfId="1619" priority="309" stopIfTrue="1" operator="equal">
      <formula>"Pass"</formula>
    </cfRule>
    <cfRule type="cellIs" dxfId="1618" priority="310" stopIfTrue="1" operator="equal">
      <formula>"Fail"</formula>
    </cfRule>
  </conditionalFormatting>
  <conditionalFormatting sqref="E175">
    <cfRule type="cellIs" dxfId="1617" priority="307" stopIfTrue="1" operator="equal">
      <formula>"Pass"</formula>
    </cfRule>
    <cfRule type="cellIs" dxfId="1616" priority="308" stopIfTrue="1" operator="equal">
      <formula>"Fail"</formula>
    </cfRule>
  </conditionalFormatting>
  <conditionalFormatting sqref="E175">
    <cfRule type="cellIs" dxfId="1615" priority="305" stopIfTrue="1" operator="equal">
      <formula>"Pass"</formula>
    </cfRule>
    <cfRule type="cellIs" dxfId="1614" priority="306" stopIfTrue="1" operator="equal">
      <formula>"Fail"</formula>
    </cfRule>
  </conditionalFormatting>
  <conditionalFormatting sqref="E176">
    <cfRule type="cellIs" dxfId="1613" priority="303" stopIfTrue="1" operator="equal">
      <formula>"Pass"</formula>
    </cfRule>
    <cfRule type="cellIs" dxfId="1612" priority="304" stopIfTrue="1" operator="equal">
      <formula>"Fail"</formula>
    </cfRule>
  </conditionalFormatting>
  <conditionalFormatting sqref="E176">
    <cfRule type="cellIs" dxfId="1611" priority="301" stopIfTrue="1" operator="equal">
      <formula>"Pass"</formula>
    </cfRule>
    <cfRule type="cellIs" dxfId="1610" priority="302" stopIfTrue="1" operator="equal">
      <formula>"Fail"</formula>
    </cfRule>
  </conditionalFormatting>
  <conditionalFormatting sqref="E177">
    <cfRule type="cellIs" dxfId="1609" priority="299" stopIfTrue="1" operator="equal">
      <formula>"Pass"</formula>
    </cfRule>
    <cfRule type="cellIs" dxfId="1608" priority="300" stopIfTrue="1" operator="equal">
      <formula>"Fail"</formula>
    </cfRule>
  </conditionalFormatting>
  <conditionalFormatting sqref="E177">
    <cfRule type="cellIs" dxfId="1607" priority="297" stopIfTrue="1" operator="equal">
      <formula>"Pass"</formula>
    </cfRule>
    <cfRule type="cellIs" dxfId="1606" priority="298" stopIfTrue="1" operator="equal">
      <formula>"Fail"</formula>
    </cfRule>
  </conditionalFormatting>
  <conditionalFormatting sqref="E178:E179">
    <cfRule type="cellIs" dxfId="1605" priority="295" stopIfTrue="1" operator="equal">
      <formula>"Pass"</formula>
    </cfRule>
    <cfRule type="cellIs" dxfId="1604" priority="296" stopIfTrue="1" operator="equal">
      <formula>"Fail"</formula>
    </cfRule>
  </conditionalFormatting>
  <conditionalFormatting sqref="E178:E179">
    <cfRule type="cellIs" dxfId="1603" priority="293" stopIfTrue="1" operator="equal">
      <formula>"Pass"</formula>
    </cfRule>
    <cfRule type="cellIs" dxfId="1602" priority="294" stopIfTrue="1" operator="equal">
      <formula>"Fail"</formula>
    </cfRule>
  </conditionalFormatting>
  <conditionalFormatting sqref="E179">
    <cfRule type="cellIs" dxfId="1601" priority="291" stopIfTrue="1" operator="equal">
      <formula>"Pass"</formula>
    </cfRule>
    <cfRule type="cellIs" dxfId="1600" priority="292" stopIfTrue="1" operator="equal">
      <formula>"Fail"</formula>
    </cfRule>
  </conditionalFormatting>
  <conditionalFormatting sqref="E179">
    <cfRule type="cellIs" dxfId="1599" priority="289" stopIfTrue="1" operator="equal">
      <formula>"Pass"</formula>
    </cfRule>
    <cfRule type="cellIs" dxfId="1598" priority="290" stopIfTrue="1" operator="equal">
      <formula>"Fail"</formula>
    </cfRule>
  </conditionalFormatting>
  <conditionalFormatting sqref="E180">
    <cfRule type="cellIs" dxfId="1597" priority="287" stopIfTrue="1" operator="equal">
      <formula>"Pass"</formula>
    </cfRule>
    <cfRule type="cellIs" dxfId="1596" priority="288" stopIfTrue="1" operator="equal">
      <formula>"Fail"</formula>
    </cfRule>
  </conditionalFormatting>
  <conditionalFormatting sqref="E180">
    <cfRule type="cellIs" dxfId="1595" priority="285" stopIfTrue="1" operator="equal">
      <formula>"Pass"</formula>
    </cfRule>
    <cfRule type="cellIs" dxfId="1594" priority="286" stopIfTrue="1" operator="equal">
      <formula>"Fail"</formula>
    </cfRule>
  </conditionalFormatting>
  <conditionalFormatting sqref="E181">
    <cfRule type="cellIs" dxfId="1593" priority="283" stopIfTrue="1" operator="equal">
      <formula>"Pass"</formula>
    </cfRule>
    <cfRule type="cellIs" dxfId="1592" priority="284" stopIfTrue="1" operator="equal">
      <formula>"Fail"</formula>
    </cfRule>
  </conditionalFormatting>
  <conditionalFormatting sqref="E181">
    <cfRule type="cellIs" dxfId="1591" priority="281" stopIfTrue="1" operator="equal">
      <formula>"Pass"</formula>
    </cfRule>
    <cfRule type="cellIs" dxfId="1590" priority="282" stopIfTrue="1" operator="equal">
      <formula>"Fail"</formula>
    </cfRule>
  </conditionalFormatting>
  <conditionalFormatting sqref="E182">
    <cfRule type="cellIs" dxfId="1589" priority="279" stopIfTrue="1" operator="equal">
      <formula>"Pass"</formula>
    </cfRule>
    <cfRule type="cellIs" dxfId="1588" priority="280" stopIfTrue="1" operator="equal">
      <formula>"Fail"</formula>
    </cfRule>
  </conditionalFormatting>
  <conditionalFormatting sqref="E182">
    <cfRule type="cellIs" dxfId="1587" priority="277" stopIfTrue="1" operator="equal">
      <formula>"Pass"</formula>
    </cfRule>
    <cfRule type="cellIs" dxfId="1586" priority="278" stopIfTrue="1" operator="equal">
      <formula>"Fail"</formula>
    </cfRule>
  </conditionalFormatting>
  <conditionalFormatting sqref="E183">
    <cfRule type="cellIs" dxfId="1585" priority="275" stopIfTrue="1" operator="equal">
      <formula>"Pass"</formula>
    </cfRule>
    <cfRule type="cellIs" dxfId="1584" priority="276" stopIfTrue="1" operator="equal">
      <formula>"Fail"</formula>
    </cfRule>
  </conditionalFormatting>
  <conditionalFormatting sqref="E183">
    <cfRule type="cellIs" dxfId="1583" priority="273" stopIfTrue="1" operator="equal">
      <formula>"Pass"</formula>
    </cfRule>
    <cfRule type="cellIs" dxfId="1582" priority="274" stopIfTrue="1" operator="equal">
      <formula>"Fail"</formula>
    </cfRule>
  </conditionalFormatting>
  <conditionalFormatting sqref="E184">
    <cfRule type="cellIs" dxfId="1581" priority="271" stopIfTrue="1" operator="equal">
      <formula>"Pass"</formula>
    </cfRule>
    <cfRule type="cellIs" dxfId="1580" priority="272" stopIfTrue="1" operator="equal">
      <formula>"Fail"</formula>
    </cfRule>
  </conditionalFormatting>
  <conditionalFormatting sqref="E184">
    <cfRule type="cellIs" dxfId="1579" priority="269" stopIfTrue="1" operator="equal">
      <formula>"Pass"</formula>
    </cfRule>
    <cfRule type="cellIs" dxfId="1578" priority="270" stopIfTrue="1" operator="equal">
      <formula>"Fail"</formula>
    </cfRule>
  </conditionalFormatting>
  <conditionalFormatting sqref="E185">
    <cfRule type="cellIs" dxfId="1577" priority="267" stopIfTrue="1" operator="equal">
      <formula>"Pass"</formula>
    </cfRule>
    <cfRule type="cellIs" dxfId="1576" priority="268" stopIfTrue="1" operator="equal">
      <formula>"Fail"</formula>
    </cfRule>
  </conditionalFormatting>
  <conditionalFormatting sqref="E185">
    <cfRule type="cellIs" dxfId="1575" priority="265" stopIfTrue="1" operator="equal">
      <formula>"Pass"</formula>
    </cfRule>
    <cfRule type="cellIs" dxfId="1574" priority="266" stopIfTrue="1" operator="equal">
      <formula>"Fail"</formula>
    </cfRule>
  </conditionalFormatting>
  <conditionalFormatting sqref="E186">
    <cfRule type="cellIs" dxfId="1573" priority="263" stopIfTrue="1" operator="equal">
      <formula>"Pass"</formula>
    </cfRule>
    <cfRule type="cellIs" dxfId="1572" priority="264" stopIfTrue="1" operator="equal">
      <formula>"Fail"</formula>
    </cfRule>
  </conditionalFormatting>
  <conditionalFormatting sqref="E186">
    <cfRule type="cellIs" dxfId="1571" priority="261" stopIfTrue="1" operator="equal">
      <formula>"Pass"</formula>
    </cfRule>
    <cfRule type="cellIs" dxfId="1570" priority="262" stopIfTrue="1" operator="equal">
      <formula>"Fail"</formula>
    </cfRule>
  </conditionalFormatting>
  <conditionalFormatting sqref="E187">
    <cfRule type="cellIs" dxfId="1569" priority="259" stopIfTrue="1" operator="equal">
      <formula>"Pass"</formula>
    </cfRule>
    <cfRule type="cellIs" dxfId="1568" priority="260" stopIfTrue="1" operator="equal">
      <formula>"Fail"</formula>
    </cfRule>
  </conditionalFormatting>
  <conditionalFormatting sqref="E187">
    <cfRule type="cellIs" dxfId="1567" priority="257" stopIfTrue="1" operator="equal">
      <formula>"Pass"</formula>
    </cfRule>
    <cfRule type="cellIs" dxfId="1566" priority="258" stopIfTrue="1" operator="equal">
      <formula>"Fail"</formula>
    </cfRule>
  </conditionalFormatting>
  <conditionalFormatting sqref="E188">
    <cfRule type="cellIs" dxfId="1565" priority="255" stopIfTrue="1" operator="equal">
      <formula>"Pass"</formula>
    </cfRule>
    <cfRule type="cellIs" dxfId="1564" priority="256" stopIfTrue="1" operator="equal">
      <formula>"Fail"</formula>
    </cfRule>
  </conditionalFormatting>
  <conditionalFormatting sqref="E188">
    <cfRule type="cellIs" dxfId="1563" priority="253" stopIfTrue="1" operator="equal">
      <formula>"Pass"</formula>
    </cfRule>
    <cfRule type="cellIs" dxfId="1562" priority="254" stopIfTrue="1" operator="equal">
      <formula>"Fail"</formula>
    </cfRule>
  </conditionalFormatting>
  <conditionalFormatting sqref="E189">
    <cfRule type="cellIs" dxfId="1561" priority="251" stopIfTrue="1" operator="equal">
      <formula>"Pass"</formula>
    </cfRule>
    <cfRule type="cellIs" dxfId="1560" priority="252" stopIfTrue="1" operator="equal">
      <formula>"Fail"</formula>
    </cfRule>
  </conditionalFormatting>
  <conditionalFormatting sqref="E189">
    <cfRule type="cellIs" dxfId="1559" priority="249" stopIfTrue="1" operator="equal">
      <formula>"Pass"</formula>
    </cfRule>
    <cfRule type="cellIs" dxfId="1558" priority="250" stopIfTrue="1" operator="equal">
      <formula>"Fail"</formula>
    </cfRule>
  </conditionalFormatting>
  <conditionalFormatting sqref="E190">
    <cfRule type="cellIs" dxfId="1557" priority="247" stopIfTrue="1" operator="equal">
      <formula>"Pass"</formula>
    </cfRule>
    <cfRule type="cellIs" dxfId="1556" priority="248" stopIfTrue="1" operator="equal">
      <formula>"Fail"</formula>
    </cfRule>
  </conditionalFormatting>
  <conditionalFormatting sqref="E190">
    <cfRule type="cellIs" dxfId="1555" priority="245" stopIfTrue="1" operator="equal">
      <formula>"Pass"</formula>
    </cfRule>
    <cfRule type="cellIs" dxfId="1554" priority="246" stopIfTrue="1" operator="equal">
      <formula>"Fail"</formula>
    </cfRule>
  </conditionalFormatting>
  <conditionalFormatting sqref="E191">
    <cfRule type="cellIs" dxfId="1553" priority="243" stopIfTrue="1" operator="equal">
      <formula>"Pass"</formula>
    </cfRule>
    <cfRule type="cellIs" dxfId="1552" priority="244" stopIfTrue="1" operator="equal">
      <formula>"Fail"</formula>
    </cfRule>
  </conditionalFormatting>
  <conditionalFormatting sqref="E191">
    <cfRule type="cellIs" dxfId="1551" priority="241" stopIfTrue="1" operator="equal">
      <formula>"Pass"</formula>
    </cfRule>
    <cfRule type="cellIs" dxfId="1550" priority="242" stopIfTrue="1" operator="equal">
      <formula>"Fail"</formula>
    </cfRule>
  </conditionalFormatting>
  <conditionalFormatting sqref="E192">
    <cfRule type="cellIs" dxfId="1549" priority="239" stopIfTrue="1" operator="equal">
      <formula>"Pass"</formula>
    </cfRule>
    <cfRule type="cellIs" dxfId="1548" priority="240" stopIfTrue="1" operator="equal">
      <formula>"Fail"</formula>
    </cfRule>
  </conditionalFormatting>
  <conditionalFormatting sqref="E192">
    <cfRule type="cellIs" dxfId="1547" priority="237" stopIfTrue="1" operator="equal">
      <formula>"Pass"</formula>
    </cfRule>
    <cfRule type="cellIs" dxfId="1546" priority="238" stopIfTrue="1" operator="equal">
      <formula>"Fail"</formula>
    </cfRule>
  </conditionalFormatting>
  <conditionalFormatting sqref="E193">
    <cfRule type="cellIs" dxfId="1545" priority="235" stopIfTrue="1" operator="equal">
      <formula>"Pass"</formula>
    </cfRule>
    <cfRule type="cellIs" dxfId="1544" priority="236" stopIfTrue="1" operator="equal">
      <formula>"Fail"</formula>
    </cfRule>
  </conditionalFormatting>
  <conditionalFormatting sqref="E193">
    <cfRule type="cellIs" dxfId="1543" priority="233" stopIfTrue="1" operator="equal">
      <formula>"Pass"</formula>
    </cfRule>
    <cfRule type="cellIs" dxfId="1542" priority="234" stopIfTrue="1" operator="equal">
      <formula>"Fail"</formula>
    </cfRule>
  </conditionalFormatting>
  <conditionalFormatting sqref="E194:E195">
    <cfRule type="cellIs" dxfId="1541" priority="231" stopIfTrue="1" operator="equal">
      <formula>"Pass"</formula>
    </cfRule>
    <cfRule type="cellIs" dxfId="1540" priority="232" stopIfTrue="1" operator="equal">
      <formula>"Fail"</formula>
    </cfRule>
  </conditionalFormatting>
  <conditionalFormatting sqref="E194:E195">
    <cfRule type="cellIs" dxfId="1539" priority="229" stopIfTrue="1" operator="equal">
      <formula>"Pass"</formula>
    </cfRule>
    <cfRule type="cellIs" dxfId="1538" priority="230" stopIfTrue="1" operator="equal">
      <formula>"Fail"</formula>
    </cfRule>
  </conditionalFormatting>
  <conditionalFormatting sqref="E195">
    <cfRule type="cellIs" dxfId="1537" priority="227" stopIfTrue="1" operator="equal">
      <formula>"Pass"</formula>
    </cfRule>
    <cfRule type="cellIs" dxfId="1536" priority="228" stopIfTrue="1" operator="equal">
      <formula>"Fail"</formula>
    </cfRule>
  </conditionalFormatting>
  <conditionalFormatting sqref="E195">
    <cfRule type="cellIs" dxfId="1535" priority="225" stopIfTrue="1" operator="equal">
      <formula>"Pass"</formula>
    </cfRule>
    <cfRule type="cellIs" dxfId="1534" priority="226" stopIfTrue="1" operator="equal">
      <formula>"Fail"</formula>
    </cfRule>
  </conditionalFormatting>
  <conditionalFormatting sqref="E196">
    <cfRule type="cellIs" dxfId="1533" priority="223" stopIfTrue="1" operator="equal">
      <formula>"Pass"</formula>
    </cfRule>
    <cfRule type="cellIs" dxfId="1532" priority="224" stopIfTrue="1" operator="equal">
      <formula>"Fail"</formula>
    </cfRule>
  </conditionalFormatting>
  <conditionalFormatting sqref="E196">
    <cfRule type="cellIs" dxfId="1531" priority="221" stopIfTrue="1" operator="equal">
      <formula>"Pass"</formula>
    </cfRule>
    <cfRule type="cellIs" dxfId="1530" priority="222" stopIfTrue="1" operator="equal">
      <formula>"Fail"</formula>
    </cfRule>
  </conditionalFormatting>
  <conditionalFormatting sqref="E197">
    <cfRule type="cellIs" dxfId="1529" priority="219" stopIfTrue="1" operator="equal">
      <formula>"Pass"</formula>
    </cfRule>
    <cfRule type="cellIs" dxfId="1528" priority="220" stopIfTrue="1" operator="equal">
      <formula>"Fail"</formula>
    </cfRule>
  </conditionalFormatting>
  <conditionalFormatting sqref="E197">
    <cfRule type="cellIs" dxfId="1527" priority="217" stopIfTrue="1" operator="equal">
      <formula>"Pass"</formula>
    </cfRule>
    <cfRule type="cellIs" dxfId="1526" priority="218" stopIfTrue="1" operator="equal">
      <formula>"Fail"</formula>
    </cfRule>
  </conditionalFormatting>
  <conditionalFormatting sqref="E198:E199">
    <cfRule type="cellIs" dxfId="1525" priority="215" stopIfTrue="1" operator="equal">
      <formula>"Pass"</formula>
    </cfRule>
    <cfRule type="cellIs" dxfId="1524" priority="216" stopIfTrue="1" operator="equal">
      <formula>"Fail"</formula>
    </cfRule>
  </conditionalFormatting>
  <conditionalFormatting sqref="E198:E199">
    <cfRule type="cellIs" dxfId="1523" priority="213" stopIfTrue="1" operator="equal">
      <formula>"Pass"</formula>
    </cfRule>
    <cfRule type="cellIs" dxfId="1522" priority="214" stopIfTrue="1" operator="equal">
      <formula>"Fail"</formula>
    </cfRule>
  </conditionalFormatting>
  <conditionalFormatting sqref="E199">
    <cfRule type="cellIs" dxfId="1521" priority="211" stopIfTrue="1" operator="equal">
      <formula>"Pass"</formula>
    </cfRule>
    <cfRule type="cellIs" dxfId="1520" priority="212" stopIfTrue="1" operator="equal">
      <formula>"Fail"</formula>
    </cfRule>
  </conditionalFormatting>
  <conditionalFormatting sqref="E199">
    <cfRule type="cellIs" dxfId="1519" priority="209" stopIfTrue="1" operator="equal">
      <formula>"Pass"</formula>
    </cfRule>
    <cfRule type="cellIs" dxfId="1518" priority="210" stopIfTrue="1" operator="equal">
      <formula>"Fail"</formula>
    </cfRule>
  </conditionalFormatting>
  <conditionalFormatting sqref="E200">
    <cfRule type="cellIs" dxfId="1517" priority="207" stopIfTrue="1" operator="equal">
      <formula>"Pass"</formula>
    </cfRule>
    <cfRule type="cellIs" dxfId="1516" priority="208" stopIfTrue="1" operator="equal">
      <formula>"Fail"</formula>
    </cfRule>
  </conditionalFormatting>
  <conditionalFormatting sqref="E200">
    <cfRule type="cellIs" dxfId="1515" priority="205" stopIfTrue="1" operator="equal">
      <formula>"Pass"</formula>
    </cfRule>
    <cfRule type="cellIs" dxfId="1514" priority="206" stopIfTrue="1" operator="equal">
      <formula>"Fail"</formula>
    </cfRule>
  </conditionalFormatting>
  <conditionalFormatting sqref="E201">
    <cfRule type="cellIs" dxfId="1513" priority="203" stopIfTrue="1" operator="equal">
      <formula>"Pass"</formula>
    </cfRule>
    <cfRule type="cellIs" dxfId="1512" priority="204" stopIfTrue="1" operator="equal">
      <formula>"Fail"</formula>
    </cfRule>
  </conditionalFormatting>
  <conditionalFormatting sqref="E201">
    <cfRule type="cellIs" dxfId="1511" priority="201" stopIfTrue="1" operator="equal">
      <formula>"Pass"</formula>
    </cfRule>
    <cfRule type="cellIs" dxfId="1510" priority="202" stopIfTrue="1" operator="equal">
      <formula>"Fail"</formula>
    </cfRule>
  </conditionalFormatting>
  <conditionalFormatting sqref="E202">
    <cfRule type="cellIs" dxfId="1509" priority="199" stopIfTrue="1" operator="equal">
      <formula>"Pass"</formula>
    </cfRule>
    <cfRule type="cellIs" dxfId="1508" priority="200" stopIfTrue="1" operator="equal">
      <formula>"Fail"</formula>
    </cfRule>
  </conditionalFormatting>
  <conditionalFormatting sqref="E202">
    <cfRule type="cellIs" dxfId="1507" priority="197" stopIfTrue="1" operator="equal">
      <formula>"Pass"</formula>
    </cfRule>
    <cfRule type="cellIs" dxfId="1506" priority="198" stopIfTrue="1" operator="equal">
      <formula>"Fail"</formula>
    </cfRule>
  </conditionalFormatting>
  <conditionalFormatting sqref="E203">
    <cfRule type="cellIs" dxfId="1505" priority="195" stopIfTrue="1" operator="equal">
      <formula>"Pass"</formula>
    </cfRule>
    <cfRule type="cellIs" dxfId="1504" priority="196" stopIfTrue="1" operator="equal">
      <formula>"Fail"</formula>
    </cfRule>
  </conditionalFormatting>
  <conditionalFormatting sqref="E203">
    <cfRule type="cellIs" dxfId="1503" priority="193" stopIfTrue="1" operator="equal">
      <formula>"Pass"</formula>
    </cfRule>
    <cfRule type="cellIs" dxfId="1502" priority="194" stopIfTrue="1" operator="equal">
      <formula>"Fail"</formula>
    </cfRule>
  </conditionalFormatting>
  <conditionalFormatting sqref="E204">
    <cfRule type="cellIs" dxfId="1501" priority="191" stopIfTrue="1" operator="equal">
      <formula>"Pass"</formula>
    </cfRule>
    <cfRule type="cellIs" dxfId="1500" priority="192" stopIfTrue="1" operator="equal">
      <formula>"Fail"</formula>
    </cfRule>
  </conditionalFormatting>
  <conditionalFormatting sqref="E204">
    <cfRule type="cellIs" dxfId="1499" priority="189" stopIfTrue="1" operator="equal">
      <formula>"Pass"</formula>
    </cfRule>
    <cfRule type="cellIs" dxfId="1498" priority="190" stopIfTrue="1" operator="equal">
      <formula>"Fail"</formula>
    </cfRule>
  </conditionalFormatting>
  <conditionalFormatting sqref="E205">
    <cfRule type="cellIs" dxfId="1497" priority="187" stopIfTrue="1" operator="equal">
      <formula>"Pass"</formula>
    </cfRule>
    <cfRule type="cellIs" dxfId="1496" priority="188" stopIfTrue="1" operator="equal">
      <formula>"Fail"</formula>
    </cfRule>
  </conditionalFormatting>
  <conditionalFormatting sqref="E205">
    <cfRule type="cellIs" dxfId="1495" priority="185" stopIfTrue="1" operator="equal">
      <formula>"Pass"</formula>
    </cfRule>
    <cfRule type="cellIs" dxfId="1494" priority="186" stopIfTrue="1" operator="equal">
      <formula>"Fail"</formula>
    </cfRule>
  </conditionalFormatting>
  <conditionalFormatting sqref="E206">
    <cfRule type="cellIs" dxfId="1493" priority="183" stopIfTrue="1" operator="equal">
      <formula>"Pass"</formula>
    </cfRule>
    <cfRule type="cellIs" dxfId="1492" priority="184" stopIfTrue="1" operator="equal">
      <formula>"Fail"</formula>
    </cfRule>
  </conditionalFormatting>
  <conditionalFormatting sqref="E206">
    <cfRule type="cellIs" dxfId="1491" priority="181" stopIfTrue="1" operator="equal">
      <formula>"Pass"</formula>
    </cfRule>
    <cfRule type="cellIs" dxfId="1490" priority="182" stopIfTrue="1" operator="equal">
      <formula>"Fail"</formula>
    </cfRule>
  </conditionalFormatting>
  <conditionalFormatting sqref="E207">
    <cfRule type="cellIs" dxfId="1489" priority="179" stopIfTrue="1" operator="equal">
      <formula>"Pass"</formula>
    </cfRule>
    <cfRule type="cellIs" dxfId="1488" priority="180" stopIfTrue="1" operator="equal">
      <formula>"Fail"</formula>
    </cfRule>
  </conditionalFormatting>
  <conditionalFormatting sqref="E207">
    <cfRule type="cellIs" dxfId="1487" priority="177" stopIfTrue="1" operator="equal">
      <formula>"Pass"</formula>
    </cfRule>
    <cfRule type="cellIs" dxfId="1486" priority="178" stopIfTrue="1" operator="equal">
      <formula>"Fail"</formula>
    </cfRule>
  </conditionalFormatting>
  <conditionalFormatting sqref="E208">
    <cfRule type="cellIs" dxfId="1485" priority="175" stopIfTrue="1" operator="equal">
      <formula>"Pass"</formula>
    </cfRule>
    <cfRule type="cellIs" dxfId="1484" priority="176" stopIfTrue="1" operator="equal">
      <formula>"Fail"</formula>
    </cfRule>
  </conditionalFormatting>
  <conditionalFormatting sqref="E208">
    <cfRule type="cellIs" dxfId="1483" priority="173" stopIfTrue="1" operator="equal">
      <formula>"Pass"</formula>
    </cfRule>
    <cfRule type="cellIs" dxfId="1482" priority="174" stopIfTrue="1" operator="equal">
      <formula>"Fail"</formula>
    </cfRule>
  </conditionalFormatting>
  <conditionalFormatting sqref="E209">
    <cfRule type="cellIs" dxfId="1481" priority="171" stopIfTrue="1" operator="equal">
      <formula>"Pass"</formula>
    </cfRule>
    <cfRule type="cellIs" dxfId="1480" priority="172" stopIfTrue="1" operator="equal">
      <formula>"Fail"</formula>
    </cfRule>
  </conditionalFormatting>
  <conditionalFormatting sqref="E209">
    <cfRule type="cellIs" dxfId="1479" priority="169" stopIfTrue="1" operator="equal">
      <formula>"Pass"</formula>
    </cfRule>
    <cfRule type="cellIs" dxfId="1478" priority="170" stopIfTrue="1" operator="equal">
      <formula>"Fail"</formula>
    </cfRule>
  </conditionalFormatting>
  <conditionalFormatting sqref="E210">
    <cfRule type="cellIs" dxfId="1477" priority="167" stopIfTrue="1" operator="equal">
      <formula>"Pass"</formula>
    </cfRule>
    <cfRule type="cellIs" dxfId="1476" priority="168" stopIfTrue="1" operator="equal">
      <formula>"Fail"</formula>
    </cfRule>
  </conditionalFormatting>
  <conditionalFormatting sqref="E210">
    <cfRule type="cellIs" dxfId="1475" priority="165" stopIfTrue="1" operator="equal">
      <formula>"Pass"</formula>
    </cfRule>
    <cfRule type="cellIs" dxfId="1474" priority="166" stopIfTrue="1" operator="equal">
      <formula>"Fail"</formula>
    </cfRule>
  </conditionalFormatting>
  <conditionalFormatting sqref="E211">
    <cfRule type="cellIs" dxfId="1473" priority="163" stopIfTrue="1" operator="equal">
      <formula>"Pass"</formula>
    </cfRule>
    <cfRule type="cellIs" dxfId="1472" priority="164" stopIfTrue="1" operator="equal">
      <formula>"Fail"</formula>
    </cfRule>
  </conditionalFormatting>
  <conditionalFormatting sqref="E211">
    <cfRule type="cellIs" dxfId="1471" priority="161" stopIfTrue="1" operator="equal">
      <formula>"Pass"</formula>
    </cfRule>
    <cfRule type="cellIs" dxfId="1470" priority="162" stopIfTrue="1" operator="equal">
      <formula>"Fail"</formula>
    </cfRule>
  </conditionalFormatting>
  <conditionalFormatting sqref="E212">
    <cfRule type="cellIs" dxfId="1469" priority="159" stopIfTrue="1" operator="equal">
      <formula>"Pass"</formula>
    </cfRule>
    <cfRule type="cellIs" dxfId="1468" priority="160" stopIfTrue="1" operator="equal">
      <formula>"Fail"</formula>
    </cfRule>
  </conditionalFormatting>
  <conditionalFormatting sqref="E212">
    <cfRule type="cellIs" dxfId="1467" priority="157" stopIfTrue="1" operator="equal">
      <formula>"Pass"</formula>
    </cfRule>
    <cfRule type="cellIs" dxfId="1466" priority="158" stopIfTrue="1" operator="equal">
      <formula>"Fail"</formula>
    </cfRule>
  </conditionalFormatting>
  <conditionalFormatting sqref="E213">
    <cfRule type="cellIs" dxfId="1465" priority="155" stopIfTrue="1" operator="equal">
      <formula>"Pass"</formula>
    </cfRule>
    <cfRule type="cellIs" dxfId="1464" priority="156" stopIfTrue="1" operator="equal">
      <formula>"Fail"</formula>
    </cfRule>
  </conditionalFormatting>
  <conditionalFormatting sqref="E213">
    <cfRule type="cellIs" dxfId="1463" priority="153" stopIfTrue="1" operator="equal">
      <formula>"Pass"</formula>
    </cfRule>
    <cfRule type="cellIs" dxfId="1462" priority="154" stopIfTrue="1" operator="equal">
      <formula>"Fail"</formula>
    </cfRule>
  </conditionalFormatting>
  <conditionalFormatting sqref="E214">
    <cfRule type="cellIs" dxfId="1461" priority="151" stopIfTrue="1" operator="equal">
      <formula>"Pass"</formula>
    </cfRule>
    <cfRule type="cellIs" dxfId="1460" priority="152" stopIfTrue="1" operator="equal">
      <formula>"Fail"</formula>
    </cfRule>
  </conditionalFormatting>
  <conditionalFormatting sqref="E214">
    <cfRule type="cellIs" dxfId="1459" priority="149" stopIfTrue="1" operator="equal">
      <formula>"Pass"</formula>
    </cfRule>
    <cfRule type="cellIs" dxfId="1458" priority="150" stopIfTrue="1" operator="equal">
      <formula>"Fail"</formula>
    </cfRule>
  </conditionalFormatting>
  <conditionalFormatting sqref="E215">
    <cfRule type="cellIs" dxfId="1457" priority="147" stopIfTrue="1" operator="equal">
      <formula>"Pass"</formula>
    </cfRule>
    <cfRule type="cellIs" dxfId="1456" priority="148" stopIfTrue="1" operator="equal">
      <formula>"Fail"</formula>
    </cfRule>
  </conditionalFormatting>
  <conditionalFormatting sqref="E215">
    <cfRule type="cellIs" dxfId="1455" priority="145" stopIfTrue="1" operator="equal">
      <formula>"Pass"</formula>
    </cfRule>
    <cfRule type="cellIs" dxfId="1454" priority="146" stopIfTrue="1" operator="equal">
      <formula>"Fail"</formula>
    </cfRule>
  </conditionalFormatting>
  <conditionalFormatting sqref="E216">
    <cfRule type="cellIs" dxfId="1453" priority="143" stopIfTrue="1" operator="equal">
      <formula>"Pass"</formula>
    </cfRule>
    <cfRule type="cellIs" dxfId="1452" priority="144" stopIfTrue="1" operator="equal">
      <formula>"Fail"</formula>
    </cfRule>
  </conditionalFormatting>
  <conditionalFormatting sqref="E216">
    <cfRule type="cellIs" dxfId="1451" priority="141" stopIfTrue="1" operator="equal">
      <formula>"Pass"</formula>
    </cfRule>
    <cfRule type="cellIs" dxfId="1450" priority="142" stopIfTrue="1" operator="equal">
      <formula>"Fail"</formula>
    </cfRule>
  </conditionalFormatting>
  <conditionalFormatting sqref="E217">
    <cfRule type="cellIs" dxfId="1449" priority="139" stopIfTrue="1" operator="equal">
      <formula>"Pass"</formula>
    </cfRule>
    <cfRule type="cellIs" dxfId="1448" priority="140" stopIfTrue="1" operator="equal">
      <formula>"Fail"</formula>
    </cfRule>
  </conditionalFormatting>
  <conditionalFormatting sqref="E217">
    <cfRule type="cellIs" dxfId="1447" priority="137" stopIfTrue="1" operator="equal">
      <formula>"Pass"</formula>
    </cfRule>
    <cfRule type="cellIs" dxfId="1446" priority="138" stopIfTrue="1" operator="equal">
      <formula>"Fail"</formula>
    </cfRule>
  </conditionalFormatting>
  <conditionalFormatting sqref="E218">
    <cfRule type="cellIs" dxfId="1445" priority="135" stopIfTrue="1" operator="equal">
      <formula>"Pass"</formula>
    </cfRule>
    <cfRule type="cellIs" dxfId="1444" priority="136" stopIfTrue="1" operator="equal">
      <formula>"Fail"</formula>
    </cfRule>
  </conditionalFormatting>
  <conditionalFormatting sqref="E218">
    <cfRule type="cellIs" dxfId="1443" priority="133" stopIfTrue="1" operator="equal">
      <formula>"Pass"</formula>
    </cfRule>
    <cfRule type="cellIs" dxfId="1442" priority="134" stopIfTrue="1" operator="equal">
      <formula>"Fail"</formula>
    </cfRule>
  </conditionalFormatting>
  <conditionalFormatting sqref="E219">
    <cfRule type="cellIs" dxfId="1441" priority="131" stopIfTrue="1" operator="equal">
      <formula>"Pass"</formula>
    </cfRule>
    <cfRule type="cellIs" dxfId="1440" priority="132" stopIfTrue="1" operator="equal">
      <formula>"Fail"</formula>
    </cfRule>
  </conditionalFormatting>
  <conditionalFormatting sqref="E219">
    <cfRule type="cellIs" dxfId="1439" priority="129" stopIfTrue="1" operator="equal">
      <formula>"Pass"</formula>
    </cfRule>
    <cfRule type="cellIs" dxfId="1438" priority="130" stopIfTrue="1" operator="equal">
      <formula>"Fail"</formula>
    </cfRule>
  </conditionalFormatting>
  <conditionalFormatting sqref="E220">
    <cfRule type="cellIs" dxfId="1437" priority="127" stopIfTrue="1" operator="equal">
      <formula>"Pass"</formula>
    </cfRule>
    <cfRule type="cellIs" dxfId="1436" priority="128" stopIfTrue="1" operator="equal">
      <formula>"Fail"</formula>
    </cfRule>
  </conditionalFormatting>
  <conditionalFormatting sqref="E220">
    <cfRule type="cellIs" dxfId="1435" priority="125" stopIfTrue="1" operator="equal">
      <formula>"Pass"</formula>
    </cfRule>
    <cfRule type="cellIs" dxfId="1434" priority="126" stopIfTrue="1" operator="equal">
      <formula>"Fail"</formula>
    </cfRule>
  </conditionalFormatting>
  <conditionalFormatting sqref="E221">
    <cfRule type="cellIs" dxfId="1433" priority="123" stopIfTrue="1" operator="equal">
      <formula>"Pass"</formula>
    </cfRule>
    <cfRule type="cellIs" dxfId="1432" priority="124" stopIfTrue="1" operator="equal">
      <formula>"Fail"</formula>
    </cfRule>
  </conditionalFormatting>
  <conditionalFormatting sqref="E221">
    <cfRule type="cellIs" dxfId="1431" priority="121" stopIfTrue="1" operator="equal">
      <formula>"Pass"</formula>
    </cfRule>
    <cfRule type="cellIs" dxfId="1430" priority="122" stopIfTrue="1" operator="equal">
      <formula>"Fail"</formula>
    </cfRule>
  </conditionalFormatting>
  <conditionalFormatting sqref="E222">
    <cfRule type="cellIs" dxfId="1429" priority="119" stopIfTrue="1" operator="equal">
      <formula>"Pass"</formula>
    </cfRule>
    <cfRule type="cellIs" dxfId="1428" priority="120" stopIfTrue="1" operator="equal">
      <formula>"Fail"</formula>
    </cfRule>
  </conditionalFormatting>
  <conditionalFormatting sqref="E222">
    <cfRule type="cellIs" dxfId="1427" priority="117" stopIfTrue="1" operator="equal">
      <formula>"Pass"</formula>
    </cfRule>
    <cfRule type="cellIs" dxfId="1426" priority="118" stopIfTrue="1" operator="equal">
      <formula>"Fail"</formula>
    </cfRule>
  </conditionalFormatting>
  <conditionalFormatting sqref="E223">
    <cfRule type="cellIs" dxfId="1425" priority="115" stopIfTrue="1" operator="equal">
      <formula>"Pass"</formula>
    </cfRule>
    <cfRule type="cellIs" dxfId="1424" priority="116" stopIfTrue="1" operator="equal">
      <formula>"Fail"</formula>
    </cfRule>
  </conditionalFormatting>
  <conditionalFormatting sqref="E223">
    <cfRule type="cellIs" dxfId="1423" priority="113" stopIfTrue="1" operator="equal">
      <formula>"Pass"</formula>
    </cfRule>
    <cfRule type="cellIs" dxfId="1422" priority="114" stopIfTrue="1" operator="equal">
      <formula>"Fail"</formula>
    </cfRule>
  </conditionalFormatting>
  <conditionalFormatting sqref="E224">
    <cfRule type="cellIs" dxfId="1421" priority="111" stopIfTrue="1" operator="equal">
      <formula>"Pass"</formula>
    </cfRule>
    <cfRule type="cellIs" dxfId="1420" priority="112" stopIfTrue="1" operator="equal">
      <formula>"Fail"</formula>
    </cfRule>
  </conditionalFormatting>
  <conditionalFormatting sqref="E224">
    <cfRule type="cellIs" dxfId="1419" priority="109" stopIfTrue="1" operator="equal">
      <formula>"Pass"</formula>
    </cfRule>
    <cfRule type="cellIs" dxfId="1418" priority="110" stopIfTrue="1" operator="equal">
      <formula>"Fail"</formula>
    </cfRule>
  </conditionalFormatting>
  <conditionalFormatting sqref="E225">
    <cfRule type="cellIs" dxfId="1417" priority="107" stopIfTrue="1" operator="equal">
      <formula>"Pass"</formula>
    </cfRule>
    <cfRule type="cellIs" dxfId="1416" priority="108" stopIfTrue="1" operator="equal">
      <formula>"Fail"</formula>
    </cfRule>
  </conditionalFormatting>
  <conditionalFormatting sqref="E225">
    <cfRule type="cellIs" dxfId="1415" priority="105" stopIfTrue="1" operator="equal">
      <formula>"Pass"</formula>
    </cfRule>
    <cfRule type="cellIs" dxfId="1414" priority="106" stopIfTrue="1" operator="equal">
      <formula>"Fail"</formula>
    </cfRule>
  </conditionalFormatting>
  <conditionalFormatting sqref="E226">
    <cfRule type="cellIs" dxfId="1413" priority="103" stopIfTrue="1" operator="equal">
      <formula>"Pass"</formula>
    </cfRule>
    <cfRule type="cellIs" dxfId="1412" priority="104" stopIfTrue="1" operator="equal">
      <formula>"Fail"</formula>
    </cfRule>
  </conditionalFormatting>
  <conditionalFormatting sqref="E226">
    <cfRule type="cellIs" dxfId="1411" priority="101" stopIfTrue="1" operator="equal">
      <formula>"Pass"</formula>
    </cfRule>
    <cfRule type="cellIs" dxfId="1410" priority="102" stopIfTrue="1" operator="equal">
      <formula>"Fail"</formula>
    </cfRule>
  </conditionalFormatting>
  <conditionalFormatting sqref="E227">
    <cfRule type="cellIs" dxfId="1409" priority="99" stopIfTrue="1" operator="equal">
      <formula>"Pass"</formula>
    </cfRule>
    <cfRule type="cellIs" dxfId="1408" priority="100" stopIfTrue="1" operator="equal">
      <formula>"Fail"</formula>
    </cfRule>
  </conditionalFormatting>
  <conditionalFormatting sqref="E227">
    <cfRule type="cellIs" dxfId="1407" priority="97" stopIfTrue="1" operator="equal">
      <formula>"Pass"</formula>
    </cfRule>
    <cfRule type="cellIs" dxfId="1406" priority="98" stopIfTrue="1" operator="equal">
      <formula>"Fail"</formula>
    </cfRule>
  </conditionalFormatting>
  <conditionalFormatting sqref="E228">
    <cfRule type="cellIs" dxfId="1405" priority="95" stopIfTrue="1" operator="equal">
      <formula>"Pass"</formula>
    </cfRule>
    <cfRule type="cellIs" dxfId="1404" priority="96" stopIfTrue="1" operator="equal">
      <formula>"Fail"</formula>
    </cfRule>
  </conditionalFormatting>
  <conditionalFormatting sqref="E228">
    <cfRule type="cellIs" dxfId="1403" priority="93" stopIfTrue="1" operator="equal">
      <formula>"Pass"</formula>
    </cfRule>
    <cfRule type="cellIs" dxfId="1402" priority="94" stopIfTrue="1" operator="equal">
      <formula>"Fail"</formula>
    </cfRule>
  </conditionalFormatting>
  <conditionalFormatting sqref="E229">
    <cfRule type="cellIs" dxfId="1401" priority="91" stopIfTrue="1" operator="equal">
      <formula>"Pass"</formula>
    </cfRule>
    <cfRule type="cellIs" dxfId="1400" priority="92" stopIfTrue="1" operator="equal">
      <formula>"Fail"</formula>
    </cfRule>
  </conditionalFormatting>
  <conditionalFormatting sqref="E229">
    <cfRule type="cellIs" dxfId="1399" priority="89" stopIfTrue="1" operator="equal">
      <formula>"Pass"</formula>
    </cfRule>
    <cfRule type="cellIs" dxfId="1398" priority="90" stopIfTrue="1" operator="equal">
      <formula>"Fail"</formula>
    </cfRule>
  </conditionalFormatting>
  <conditionalFormatting sqref="E230">
    <cfRule type="cellIs" dxfId="1397" priority="87" stopIfTrue="1" operator="equal">
      <formula>"Pass"</formula>
    </cfRule>
    <cfRule type="cellIs" dxfId="1396" priority="88" stopIfTrue="1" operator="equal">
      <formula>"Fail"</formula>
    </cfRule>
  </conditionalFormatting>
  <conditionalFormatting sqref="E230">
    <cfRule type="cellIs" dxfId="1395" priority="85" stopIfTrue="1" operator="equal">
      <formula>"Pass"</formula>
    </cfRule>
    <cfRule type="cellIs" dxfId="1394" priority="86" stopIfTrue="1" operator="equal">
      <formula>"Fail"</formula>
    </cfRule>
  </conditionalFormatting>
  <conditionalFormatting sqref="E231">
    <cfRule type="cellIs" dxfId="1393" priority="83" stopIfTrue="1" operator="equal">
      <formula>"Pass"</formula>
    </cfRule>
    <cfRule type="cellIs" dxfId="1392" priority="84" stopIfTrue="1" operator="equal">
      <formula>"Fail"</formula>
    </cfRule>
  </conditionalFormatting>
  <conditionalFormatting sqref="E231">
    <cfRule type="cellIs" dxfId="1391" priority="81" stopIfTrue="1" operator="equal">
      <formula>"Pass"</formula>
    </cfRule>
    <cfRule type="cellIs" dxfId="1390" priority="82" stopIfTrue="1" operator="equal">
      <formula>"Fail"</formula>
    </cfRule>
  </conditionalFormatting>
  <conditionalFormatting sqref="E232">
    <cfRule type="cellIs" dxfId="1389" priority="79" stopIfTrue="1" operator="equal">
      <formula>"Pass"</formula>
    </cfRule>
    <cfRule type="cellIs" dxfId="1388" priority="80" stopIfTrue="1" operator="equal">
      <formula>"Fail"</formula>
    </cfRule>
  </conditionalFormatting>
  <conditionalFormatting sqref="E232">
    <cfRule type="cellIs" dxfId="1387" priority="77" stopIfTrue="1" operator="equal">
      <formula>"Pass"</formula>
    </cfRule>
    <cfRule type="cellIs" dxfId="1386" priority="78" stopIfTrue="1" operator="equal">
      <formula>"Fail"</formula>
    </cfRule>
  </conditionalFormatting>
  <conditionalFormatting sqref="E233">
    <cfRule type="cellIs" dxfId="1385" priority="75" stopIfTrue="1" operator="equal">
      <formula>"Pass"</formula>
    </cfRule>
    <cfRule type="cellIs" dxfId="1384" priority="76" stopIfTrue="1" operator="equal">
      <formula>"Fail"</formula>
    </cfRule>
  </conditionalFormatting>
  <conditionalFormatting sqref="E233">
    <cfRule type="cellIs" dxfId="1383" priority="73" stopIfTrue="1" operator="equal">
      <formula>"Pass"</formula>
    </cfRule>
    <cfRule type="cellIs" dxfId="1382" priority="74" stopIfTrue="1" operator="equal">
      <formula>"Fail"</formula>
    </cfRule>
  </conditionalFormatting>
  <conditionalFormatting sqref="E234">
    <cfRule type="cellIs" dxfId="1381" priority="71" stopIfTrue="1" operator="equal">
      <formula>"Pass"</formula>
    </cfRule>
    <cfRule type="cellIs" dxfId="1380" priority="72" stopIfTrue="1" operator="equal">
      <formula>"Fail"</formula>
    </cfRule>
  </conditionalFormatting>
  <conditionalFormatting sqref="E234">
    <cfRule type="cellIs" dxfId="1379" priority="69" stopIfTrue="1" operator="equal">
      <formula>"Pass"</formula>
    </cfRule>
    <cfRule type="cellIs" dxfId="1378" priority="70" stopIfTrue="1" operator="equal">
      <formula>"Fail"</formula>
    </cfRule>
  </conditionalFormatting>
  <conditionalFormatting sqref="E235">
    <cfRule type="cellIs" dxfId="1377" priority="67" stopIfTrue="1" operator="equal">
      <formula>"Pass"</formula>
    </cfRule>
    <cfRule type="cellIs" dxfId="1376" priority="68" stopIfTrue="1" operator="equal">
      <formula>"Fail"</formula>
    </cfRule>
  </conditionalFormatting>
  <conditionalFormatting sqref="E235">
    <cfRule type="cellIs" dxfId="1375" priority="65" stopIfTrue="1" operator="equal">
      <formula>"Pass"</formula>
    </cfRule>
    <cfRule type="cellIs" dxfId="1374" priority="66" stopIfTrue="1" operator="equal">
      <formula>"Fail"</formula>
    </cfRule>
  </conditionalFormatting>
  <conditionalFormatting sqref="E236">
    <cfRule type="cellIs" dxfId="1373" priority="63" stopIfTrue="1" operator="equal">
      <formula>"Pass"</formula>
    </cfRule>
    <cfRule type="cellIs" dxfId="1372" priority="64" stopIfTrue="1" operator="equal">
      <formula>"Fail"</formula>
    </cfRule>
  </conditionalFormatting>
  <conditionalFormatting sqref="E236">
    <cfRule type="cellIs" dxfId="1371" priority="61" stopIfTrue="1" operator="equal">
      <formula>"Pass"</formula>
    </cfRule>
    <cfRule type="cellIs" dxfId="1370" priority="62" stopIfTrue="1" operator="equal">
      <formula>"Fail"</formula>
    </cfRule>
  </conditionalFormatting>
  <conditionalFormatting sqref="E237">
    <cfRule type="cellIs" dxfId="1369" priority="59" stopIfTrue="1" operator="equal">
      <formula>"Pass"</formula>
    </cfRule>
    <cfRule type="cellIs" dxfId="1368" priority="60" stopIfTrue="1" operator="equal">
      <formula>"Fail"</formula>
    </cfRule>
  </conditionalFormatting>
  <conditionalFormatting sqref="E237">
    <cfRule type="cellIs" dxfId="1367" priority="57" stopIfTrue="1" operator="equal">
      <formula>"Pass"</formula>
    </cfRule>
    <cfRule type="cellIs" dxfId="1366" priority="58" stopIfTrue="1" operator="equal">
      <formula>"Fail"</formula>
    </cfRule>
  </conditionalFormatting>
  <conditionalFormatting sqref="E238">
    <cfRule type="cellIs" dxfId="1365" priority="55" stopIfTrue="1" operator="equal">
      <formula>"Pass"</formula>
    </cfRule>
    <cfRule type="cellIs" dxfId="1364" priority="56" stopIfTrue="1" operator="equal">
      <formula>"Fail"</formula>
    </cfRule>
  </conditionalFormatting>
  <conditionalFormatting sqref="E238">
    <cfRule type="cellIs" dxfId="1363" priority="53" stopIfTrue="1" operator="equal">
      <formula>"Pass"</formula>
    </cfRule>
    <cfRule type="cellIs" dxfId="1362" priority="54" stopIfTrue="1" operator="equal">
      <formula>"Fail"</formula>
    </cfRule>
  </conditionalFormatting>
  <conditionalFormatting sqref="E162">
    <cfRule type="cellIs" dxfId="1361" priority="51" stopIfTrue="1" operator="equal">
      <formula>"Pass"</formula>
    </cfRule>
    <cfRule type="cellIs" dxfId="1360" priority="52" stopIfTrue="1" operator="equal">
      <formula>"Fail"</formula>
    </cfRule>
  </conditionalFormatting>
  <conditionalFormatting sqref="E162">
    <cfRule type="cellIs" dxfId="1359" priority="49" stopIfTrue="1" operator="equal">
      <formula>"Pass"</formula>
    </cfRule>
    <cfRule type="cellIs" dxfId="1358" priority="50" stopIfTrue="1" operator="equal">
      <formula>"Fail"</formula>
    </cfRule>
  </conditionalFormatting>
  <conditionalFormatting sqref="E165">
    <cfRule type="cellIs" dxfId="1357" priority="47" stopIfTrue="1" operator="equal">
      <formula>"Pass"</formula>
    </cfRule>
    <cfRule type="cellIs" dxfId="1356" priority="48" stopIfTrue="1" operator="equal">
      <formula>"Fail"</formula>
    </cfRule>
  </conditionalFormatting>
  <conditionalFormatting sqref="E165">
    <cfRule type="cellIs" dxfId="1355" priority="45" stopIfTrue="1" operator="equal">
      <formula>"Pass"</formula>
    </cfRule>
    <cfRule type="cellIs" dxfId="1354" priority="46" stopIfTrue="1" operator="equal">
      <formula>"Fail"</formula>
    </cfRule>
  </conditionalFormatting>
  <conditionalFormatting sqref="E170">
    <cfRule type="cellIs" dxfId="1353" priority="43" stopIfTrue="1" operator="equal">
      <formula>"Pass"</formula>
    </cfRule>
    <cfRule type="cellIs" dxfId="1352" priority="44" stopIfTrue="1" operator="equal">
      <formula>"Fail"</formula>
    </cfRule>
  </conditionalFormatting>
  <conditionalFormatting sqref="E170">
    <cfRule type="cellIs" dxfId="1351" priority="41" stopIfTrue="1" operator="equal">
      <formula>"Pass"</formula>
    </cfRule>
    <cfRule type="cellIs" dxfId="1350" priority="42" stopIfTrue="1" operator="equal">
      <formula>"Fail"</formula>
    </cfRule>
  </conditionalFormatting>
  <conditionalFormatting sqref="E181">
    <cfRule type="cellIs" dxfId="1349" priority="39" stopIfTrue="1" operator="equal">
      <formula>"Pass"</formula>
    </cfRule>
    <cfRule type="cellIs" dxfId="1348" priority="40" stopIfTrue="1" operator="equal">
      <formula>"Fail"</formula>
    </cfRule>
  </conditionalFormatting>
  <conditionalFormatting sqref="E181">
    <cfRule type="cellIs" dxfId="1347" priority="37" stopIfTrue="1" operator="equal">
      <formula>"Pass"</formula>
    </cfRule>
    <cfRule type="cellIs" dxfId="1346" priority="38" stopIfTrue="1" operator="equal">
      <formula>"Fail"</formula>
    </cfRule>
  </conditionalFormatting>
  <conditionalFormatting sqref="E187">
    <cfRule type="cellIs" dxfId="1345" priority="35" stopIfTrue="1" operator="equal">
      <formula>"Pass"</formula>
    </cfRule>
    <cfRule type="cellIs" dxfId="1344" priority="36" stopIfTrue="1" operator="equal">
      <formula>"Fail"</formula>
    </cfRule>
  </conditionalFormatting>
  <conditionalFormatting sqref="E187">
    <cfRule type="cellIs" dxfId="1343" priority="33" stopIfTrue="1" operator="equal">
      <formula>"Pass"</formula>
    </cfRule>
    <cfRule type="cellIs" dxfId="1342" priority="34" stopIfTrue="1" operator="equal">
      <formula>"Fail"</formula>
    </cfRule>
  </conditionalFormatting>
  <conditionalFormatting sqref="E188">
    <cfRule type="cellIs" dxfId="1341" priority="31" stopIfTrue="1" operator="equal">
      <formula>"Pass"</formula>
    </cfRule>
    <cfRule type="cellIs" dxfId="1340" priority="32" stopIfTrue="1" operator="equal">
      <formula>"Fail"</formula>
    </cfRule>
  </conditionalFormatting>
  <conditionalFormatting sqref="E188">
    <cfRule type="cellIs" dxfId="1339" priority="29" stopIfTrue="1" operator="equal">
      <formula>"Pass"</formula>
    </cfRule>
    <cfRule type="cellIs" dxfId="1338" priority="30" stopIfTrue="1" operator="equal">
      <formula>"Fail"</formula>
    </cfRule>
  </conditionalFormatting>
  <conditionalFormatting sqref="E189">
    <cfRule type="cellIs" dxfId="1337" priority="27" stopIfTrue="1" operator="equal">
      <formula>"Pass"</formula>
    </cfRule>
    <cfRule type="cellIs" dxfId="1336" priority="28" stopIfTrue="1" operator="equal">
      <formula>"Fail"</formula>
    </cfRule>
  </conditionalFormatting>
  <conditionalFormatting sqref="E189">
    <cfRule type="cellIs" dxfId="1335" priority="25" stopIfTrue="1" operator="equal">
      <formula>"Pass"</formula>
    </cfRule>
    <cfRule type="cellIs" dxfId="1334" priority="26" stopIfTrue="1" operator="equal">
      <formula>"Fail"</formula>
    </cfRule>
  </conditionalFormatting>
  <conditionalFormatting sqref="E190">
    <cfRule type="cellIs" dxfId="1333" priority="23" stopIfTrue="1" operator="equal">
      <formula>"Pass"</formula>
    </cfRule>
    <cfRule type="cellIs" dxfId="1332" priority="24" stopIfTrue="1" operator="equal">
      <formula>"Fail"</formula>
    </cfRule>
  </conditionalFormatting>
  <conditionalFormatting sqref="E190">
    <cfRule type="cellIs" dxfId="1331" priority="21" stopIfTrue="1" operator="equal">
      <formula>"Pass"</formula>
    </cfRule>
    <cfRule type="cellIs" dxfId="1330" priority="22" stopIfTrue="1" operator="equal">
      <formula>"Fail"</formula>
    </cfRule>
  </conditionalFormatting>
  <conditionalFormatting sqref="E191">
    <cfRule type="cellIs" dxfId="1329" priority="19" stopIfTrue="1" operator="equal">
      <formula>"Pass"</formula>
    </cfRule>
    <cfRule type="cellIs" dxfId="1328" priority="20" stopIfTrue="1" operator="equal">
      <formula>"Fail"</formula>
    </cfRule>
  </conditionalFormatting>
  <conditionalFormatting sqref="E191">
    <cfRule type="cellIs" dxfId="1327" priority="17" stopIfTrue="1" operator="equal">
      <formula>"Pass"</formula>
    </cfRule>
    <cfRule type="cellIs" dxfId="1326" priority="18" stopIfTrue="1" operator="equal">
      <formula>"Fail"</formula>
    </cfRule>
  </conditionalFormatting>
  <conditionalFormatting sqref="E192">
    <cfRule type="cellIs" dxfId="1325" priority="15" stopIfTrue="1" operator="equal">
      <formula>"Pass"</formula>
    </cfRule>
    <cfRule type="cellIs" dxfId="1324" priority="16" stopIfTrue="1" operator="equal">
      <formula>"Fail"</formula>
    </cfRule>
  </conditionalFormatting>
  <conditionalFormatting sqref="E192">
    <cfRule type="cellIs" dxfId="1323" priority="13" stopIfTrue="1" operator="equal">
      <formula>"Pass"</formula>
    </cfRule>
    <cfRule type="cellIs" dxfId="1322" priority="14" stopIfTrue="1" operator="equal">
      <formula>"Fail"</formula>
    </cfRule>
  </conditionalFormatting>
  <conditionalFormatting sqref="E193">
    <cfRule type="cellIs" dxfId="1321" priority="11" stopIfTrue="1" operator="equal">
      <formula>"Pass"</formula>
    </cfRule>
    <cfRule type="cellIs" dxfId="1320" priority="12" stopIfTrue="1" operator="equal">
      <formula>"Fail"</formula>
    </cfRule>
  </conditionalFormatting>
  <conditionalFormatting sqref="E193">
    <cfRule type="cellIs" dxfId="1319" priority="9" stopIfTrue="1" operator="equal">
      <formula>"Pass"</formula>
    </cfRule>
    <cfRule type="cellIs" dxfId="1318" priority="10" stopIfTrue="1" operator="equal">
      <formula>"Fail"</formula>
    </cfRule>
  </conditionalFormatting>
  <conditionalFormatting sqref="E194:E195">
    <cfRule type="cellIs" dxfId="1317" priority="7" stopIfTrue="1" operator="equal">
      <formula>"Pass"</formula>
    </cfRule>
    <cfRule type="cellIs" dxfId="1316" priority="8" stopIfTrue="1" operator="equal">
      <formula>"Fail"</formula>
    </cfRule>
  </conditionalFormatting>
  <conditionalFormatting sqref="E194:E195">
    <cfRule type="cellIs" dxfId="1315" priority="5" stopIfTrue="1" operator="equal">
      <formula>"Pass"</formula>
    </cfRule>
    <cfRule type="cellIs" dxfId="1314" priority="6" stopIfTrue="1" operator="equal">
      <formula>"Fail"</formula>
    </cfRule>
  </conditionalFormatting>
  <conditionalFormatting sqref="E194:E195">
    <cfRule type="cellIs" dxfId="1313" priority="3" stopIfTrue="1" operator="equal">
      <formula>"Pass"</formula>
    </cfRule>
    <cfRule type="cellIs" dxfId="1312" priority="4" stopIfTrue="1" operator="equal">
      <formula>"Fail"</formula>
    </cfRule>
  </conditionalFormatting>
  <conditionalFormatting sqref="E194:E195">
    <cfRule type="cellIs" dxfId="1311" priority="1" stopIfTrue="1" operator="equal">
      <formula>"Pass"</formula>
    </cfRule>
    <cfRule type="cellIs" dxfId="131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F696"/>
  <sheetViews>
    <sheetView zoomScale="70" zoomScaleNormal="70" workbookViewId="0">
      <pane ySplit="11" topLeftCell="A436" activePane="bottomLeft" state="frozen"/>
      <selection pane="bottomLeft" activeCell="V561" sqref="V561"/>
    </sheetView>
  </sheetViews>
  <sheetFormatPr defaultColWidth="9" defaultRowHeight="15.6" x14ac:dyDescent="0.3"/>
  <cols>
    <col min="1" max="1" width="13.3984375" style="295" customWidth="1"/>
    <col min="2" max="2" width="15.09765625" style="123" customWidth="1"/>
    <col min="3" max="15" width="9" style="123"/>
    <col min="16" max="16" width="10" style="123" customWidth="1"/>
    <col min="17" max="19" width="9" style="123"/>
    <col min="20" max="20" width="11.3984375" style="123" customWidth="1"/>
    <col min="21" max="21" width="11" style="209" customWidth="1"/>
    <col min="22" max="22" width="9" style="123"/>
    <col min="23" max="23" width="10.19921875" style="296" customWidth="1"/>
    <col min="24" max="24" width="18.8984375" style="122" customWidth="1"/>
    <col min="25" max="25" width="28.19921875" style="231" customWidth="1"/>
    <col min="26" max="29" width="9" style="266"/>
    <col min="30" max="31" width="9" style="267"/>
    <col min="32" max="16384" width="9" style="123"/>
  </cols>
  <sheetData>
    <row r="1" spans="1:31" s="182" customFormat="1" x14ac:dyDescent="0.3">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x14ac:dyDescent="0.3">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x14ac:dyDescent="0.3">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x14ac:dyDescent="0.3">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x14ac:dyDescent="0.3">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x14ac:dyDescent="0.3">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x14ac:dyDescent="0.3">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2" thickBot="1" x14ac:dyDescent="0.35">
      <c r="A8" s="208"/>
      <c r="B8" s="410"/>
      <c r="C8" s="410"/>
      <c r="D8" s="428" t="s">
        <v>145</v>
      </c>
      <c r="E8" s="429"/>
      <c r="F8" s="429"/>
      <c r="G8" s="429"/>
      <c r="H8" s="429"/>
      <c r="I8" s="429"/>
      <c r="J8" s="429"/>
      <c r="K8" s="429"/>
      <c r="L8" s="429"/>
      <c r="M8" s="429"/>
      <c r="N8" s="429"/>
      <c r="O8" s="429"/>
      <c r="P8" s="429"/>
      <c r="W8" s="210"/>
      <c r="X8" s="211"/>
      <c r="Y8" s="212"/>
      <c r="Z8" s="213"/>
      <c r="AA8" s="213"/>
      <c r="AB8" s="213"/>
      <c r="AC8" s="213"/>
      <c r="AD8" s="214"/>
      <c r="AE8" s="214"/>
    </row>
    <row r="9" spans="1:31" ht="16.2" thickBot="1" x14ac:dyDescent="0.35">
      <c r="A9" s="403"/>
      <c r="B9" s="401"/>
      <c r="C9" s="401" t="s">
        <v>258</v>
      </c>
      <c r="D9" s="412"/>
      <c r="E9" s="413"/>
      <c r="F9" s="413"/>
      <c r="G9" s="413"/>
      <c r="H9" s="413"/>
      <c r="I9" s="413"/>
      <c r="J9" s="413"/>
      <c r="K9" s="413"/>
      <c r="L9" s="413"/>
      <c r="M9" s="413"/>
      <c r="N9" s="413"/>
      <c r="O9" s="413"/>
      <c r="P9" s="413"/>
      <c r="W9" s="404"/>
      <c r="X9" s="405"/>
      <c r="Y9" s="406"/>
      <c r="Z9" s="407"/>
      <c r="AA9" s="407"/>
      <c r="AB9" s="407"/>
      <c r="AC9" s="407"/>
      <c r="AD9" s="408"/>
      <c r="AE9" s="409"/>
    </row>
    <row r="10" spans="1:31" ht="16.2" thickBot="1" x14ac:dyDescent="0.35">
      <c r="A10" s="403"/>
      <c r="B10" s="401"/>
      <c r="C10" s="401" t="s">
        <v>259</v>
      </c>
      <c r="D10" s="412"/>
      <c r="E10" s="413"/>
      <c r="F10" s="413"/>
      <c r="G10" s="413"/>
      <c r="H10" s="413"/>
      <c r="I10" s="413"/>
      <c r="J10" s="413"/>
      <c r="K10" s="413"/>
      <c r="L10" s="413"/>
      <c r="M10" s="413"/>
      <c r="N10" s="413"/>
      <c r="O10" s="413"/>
      <c r="P10" s="413"/>
      <c r="W10" s="404"/>
      <c r="X10" s="405"/>
      <c r="Y10" s="406"/>
      <c r="Z10" s="407"/>
      <c r="AA10" s="407"/>
      <c r="AB10" s="407"/>
      <c r="AC10" s="407"/>
      <c r="AD10" s="408"/>
      <c r="AE10" s="409"/>
    </row>
    <row r="11" spans="1:31" s="223" customFormat="1" ht="57.75" customHeight="1" thickBot="1" x14ac:dyDescent="0.35">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x14ac:dyDescent="0.3">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x14ac:dyDescent="0.3">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1.8" thickBot="1" x14ac:dyDescent="0.35">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x14ac:dyDescent="0.3">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x14ac:dyDescent="0.3">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1.8" thickBot="1" x14ac:dyDescent="0.35">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x14ac:dyDescent="0.3">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x14ac:dyDescent="0.3">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1.8" thickBot="1" x14ac:dyDescent="0.35">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x14ac:dyDescent="0.3">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x14ac:dyDescent="0.3">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1.8" thickBot="1" x14ac:dyDescent="0.35">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x14ac:dyDescent="0.3">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x14ac:dyDescent="0.3">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1.8" thickBot="1" x14ac:dyDescent="0.35">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x14ac:dyDescent="0.3">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x14ac:dyDescent="0.3">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1.8" thickBot="1" x14ac:dyDescent="0.35">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x14ac:dyDescent="0.3">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x14ac:dyDescent="0.3">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1.8" thickBot="1" x14ac:dyDescent="0.35">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x14ac:dyDescent="0.3">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x14ac:dyDescent="0.3">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1.8" thickBot="1" x14ac:dyDescent="0.35">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x14ac:dyDescent="0.3">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x14ac:dyDescent="0.3">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1.8" thickBot="1" x14ac:dyDescent="0.35">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x14ac:dyDescent="0.3">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x14ac:dyDescent="0.3">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1.8" thickBot="1" x14ac:dyDescent="0.35">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x14ac:dyDescent="0.3">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x14ac:dyDescent="0.3">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1.8" thickBot="1" x14ac:dyDescent="0.35">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x14ac:dyDescent="0.3">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x14ac:dyDescent="0.3">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1.8" thickBot="1" x14ac:dyDescent="0.35">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x14ac:dyDescent="0.3">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x14ac:dyDescent="0.3">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1.8" thickBot="1" x14ac:dyDescent="0.35">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x14ac:dyDescent="0.3">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x14ac:dyDescent="0.3">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1.8" thickBot="1" x14ac:dyDescent="0.35">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x14ac:dyDescent="0.3">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x14ac:dyDescent="0.3">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1.8" thickBot="1" x14ac:dyDescent="0.35">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x14ac:dyDescent="0.35">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2" thickBot="1" x14ac:dyDescent="0.35">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1.8" thickBot="1" x14ac:dyDescent="0.35">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2" thickBot="1" x14ac:dyDescent="0.35">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2" thickBot="1" x14ac:dyDescent="0.35">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1.8" thickBot="1" x14ac:dyDescent="0.35">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2" thickBot="1" x14ac:dyDescent="0.35">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2" thickBot="1" x14ac:dyDescent="0.35">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1.8" thickBot="1" x14ac:dyDescent="0.35">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x14ac:dyDescent="0.35">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2" thickBot="1" x14ac:dyDescent="0.35">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1.8" thickBot="1" x14ac:dyDescent="0.35">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2" thickBot="1" x14ac:dyDescent="0.35">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2" thickBot="1" x14ac:dyDescent="0.35">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1.8" thickBot="1" x14ac:dyDescent="0.35">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2" thickBot="1" x14ac:dyDescent="0.35">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2" thickBot="1" x14ac:dyDescent="0.35">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1.8" thickBot="1" x14ac:dyDescent="0.35">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2" thickBot="1" x14ac:dyDescent="0.35">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2" thickBot="1" x14ac:dyDescent="0.35">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1.8" thickBot="1" x14ac:dyDescent="0.35">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2" thickBot="1" x14ac:dyDescent="0.35">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2" thickBot="1" x14ac:dyDescent="0.35">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1.8" thickBot="1" x14ac:dyDescent="0.35">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2" thickBot="1" x14ac:dyDescent="0.35">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2" thickBot="1" x14ac:dyDescent="0.35">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1.8" thickBot="1" x14ac:dyDescent="0.35">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2" thickBot="1" x14ac:dyDescent="0.35">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2" thickBot="1" x14ac:dyDescent="0.35">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1.8" thickBot="1" x14ac:dyDescent="0.35">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2" thickBot="1" x14ac:dyDescent="0.35">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2" thickBot="1" x14ac:dyDescent="0.35">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1.8" thickBot="1" x14ac:dyDescent="0.35">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2" thickBot="1" x14ac:dyDescent="0.35">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2" thickBot="1" x14ac:dyDescent="0.35">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1.8" thickBot="1" x14ac:dyDescent="0.35">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2" thickBot="1" x14ac:dyDescent="0.35">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2" thickBot="1" x14ac:dyDescent="0.35">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1.8" thickBot="1" x14ac:dyDescent="0.35">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2" thickBot="1" x14ac:dyDescent="0.35">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2" thickBot="1" x14ac:dyDescent="0.35">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1.8" thickBot="1" x14ac:dyDescent="0.35">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2" thickBot="1" x14ac:dyDescent="0.35">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2" thickBot="1" x14ac:dyDescent="0.35">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1.8" thickBot="1" x14ac:dyDescent="0.35">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2" thickBot="1" x14ac:dyDescent="0.35">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2" thickBot="1" x14ac:dyDescent="0.35">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1.8" thickBot="1" x14ac:dyDescent="0.35">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2" thickBot="1" x14ac:dyDescent="0.35">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2" thickBot="1" x14ac:dyDescent="0.35">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1.8" thickBot="1" x14ac:dyDescent="0.35">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2" thickBot="1" x14ac:dyDescent="0.35">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2" thickBot="1" x14ac:dyDescent="0.35">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1.8" thickBot="1" x14ac:dyDescent="0.35">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2" thickBot="1" x14ac:dyDescent="0.35">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2" thickBot="1" x14ac:dyDescent="0.35">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1.8" thickBot="1" x14ac:dyDescent="0.35">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x14ac:dyDescent="0.3">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x14ac:dyDescent="0.3">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1.8" thickBot="1" x14ac:dyDescent="0.35">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x14ac:dyDescent="0.3">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x14ac:dyDescent="0.3">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1.8" thickBot="1" x14ac:dyDescent="0.35">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x14ac:dyDescent="0.3">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x14ac:dyDescent="0.3">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1.8" thickBot="1" x14ac:dyDescent="0.35">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x14ac:dyDescent="0.3">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x14ac:dyDescent="0.3">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1.8" thickBot="1" x14ac:dyDescent="0.35">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x14ac:dyDescent="0.3">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x14ac:dyDescent="0.3">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1.8" thickBot="1" x14ac:dyDescent="0.35">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x14ac:dyDescent="0.3">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x14ac:dyDescent="0.3">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1.8" thickBot="1" x14ac:dyDescent="0.35">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x14ac:dyDescent="0.3">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x14ac:dyDescent="0.3">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1.8" thickBot="1" x14ac:dyDescent="0.35">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x14ac:dyDescent="0.3">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x14ac:dyDescent="0.3">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1.8" thickBot="1" x14ac:dyDescent="0.35">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x14ac:dyDescent="0.3">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x14ac:dyDescent="0.3">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1.8" thickBot="1" x14ac:dyDescent="0.35">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x14ac:dyDescent="0.3">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x14ac:dyDescent="0.3">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1.8" thickBot="1" x14ac:dyDescent="0.35">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x14ac:dyDescent="0.3">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x14ac:dyDescent="0.3">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1.8" thickBot="1" x14ac:dyDescent="0.35">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x14ac:dyDescent="0.3">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x14ac:dyDescent="0.3">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1.8" thickBot="1" x14ac:dyDescent="0.35">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x14ac:dyDescent="0.3">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x14ac:dyDescent="0.3">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1.8" thickBot="1" x14ac:dyDescent="0.35">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x14ac:dyDescent="0.3">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x14ac:dyDescent="0.3">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1.8" thickBot="1" x14ac:dyDescent="0.35">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x14ac:dyDescent="0.3">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x14ac:dyDescent="0.3">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1.8" thickBot="1" x14ac:dyDescent="0.35">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x14ac:dyDescent="0.3">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x14ac:dyDescent="0.3">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1.8" thickBot="1" x14ac:dyDescent="0.35">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x14ac:dyDescent="0.3">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x14ac:dyDescent="0.3">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1.8" thickBot="1" x14ac:dyDescent="0.35">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x14ac:dyDescent="0.3">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x14ac:dyDescent="0.3">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1.8" thickBot="1" x14ac:dyDescent="0.35">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x14ac:dyDescent="0.3">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x14ac:dyDescent="0.3">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1.8" thickBot="1" x14ac:dyDescent="0.35">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x14ac:dyDescent="0.3">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x14ac:dyDescent="0.3">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1.8" thickBot="1" x14ac:dyDescent="0.35">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x14ac:dyDescent="0.3">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x14ac:dyDescent="0.3">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1.8" thickBot="1" x14ac:dyDescent="0.35">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x14ac:dyDescent="0.3">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x14ac:dyDescent="0.3">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1.8" thickBot="1" x14ac:dyDescent="0.35">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399999999999999" customHeight="1" x14ac:dyDescent="0.3">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x14ac:dyDescent="0.3">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1.8" thickBot="1" x14ac:dyDescent="0.35">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x14ac:dyDescent="0.3">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x14ac:dyDescent="0.3">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1.8" thickBot="1" x14ac:dyDescent="0.35">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x14ac:dyDescent="0.3">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x14ac:dyDescent="0.3">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1.8" thickBot="1" x14ac:dyDescent="0.35">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x14ac:dyDescent="0.3">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x14ac:dyDescent="0.3">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1.8" thickBot="1" x14ac:dyDescent="0.35">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x14ac:dyDescent="0.3">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x14ac:dyDescent="0.3">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1.8" thickBot="1" x14ac:dyDescent="0.35">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x14ac:dyDescent="0.3">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x14ac:dyDescent="0.3">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1.8" thickBot="1" x14ac:dyDescent="0.35">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x14ac:dyDescent="0.3">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x14ac:dyDescent="0.3">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1.8" thickBot="1" x14ac:dyDescent="0.35">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x14ac:dyDescent="0.3">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x14ac:dyDescent="0.3">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1.8" thickBot="1" x14ac:dyDescent="0.35">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x14ac:dyDescent="0.3">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x14ac:dyDescent="0.3">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1.8" thickBot="1" x14ac:dyDescent="0.35">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x14ac:dyDescent="0.3">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x14ac:dyDescent="0.3">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1.8" thickBot="1" x14ac:dyDescent="0.35">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x14ac:dyDescent="0.3">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x14ac:dyDescent="0.3">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1.8" thickBot="1" x14ac:dyDescent="0.35">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x14ac:dyDescent="0.3">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x14ac:dyDescent="0.3">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1.8" thickBot="1" x14ac:dyDescent="0.35">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x14ac:dyDescent="0.3">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x14ac:dyDescent="0.3">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1.8" thickBot="1" x14ac:dyDescent="0.35">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x14ac:dyDescent="0.3">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x14ac:dyDescent="0.3">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1.8" thickBot="1" x14ac:dyDescent="0.35">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x14ac:dyDescent="0.3">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x14ac:dyDescent="0.3">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1.8" thickBot="1" x14ac:dyDescent="0.35">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x14ac:dyDescent="0.3">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x14ac:dyDescent="0.3">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1.8" thickBot="1" x14ac:dyDescent="0.35">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x14ac:dyDescent="0.3">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x14ac:dyDescent="0.3">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1.8" thickBot="1" x14ac:dyDescent="0.35">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x14ac:dyDescent="0.3">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x14ac:dyDescent="0.3">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1.8" thickBot="1" x14ac:dyDescent="0.35">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x14ac:dyDescent="0.3">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x14ac:dyDescent="0.3">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1.8" thickBot="1" x14ac:dyDescent="0.35">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x14ac:dyDescent="0.3">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x14ac:dyDescent="0.3">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1.8" thickBot="1" x14ac:dyDescent="0.35">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x14ac:dyDescent="0.3">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x14ac:dyDescent="0.3">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1.8" thickBot="1" x14ac:dyDescent="0.35">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x14ac:dyDescent="0.3">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x14ac:dyDescent="0.3">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1.8" thickBot="1" x14ac:dyDescent="0.35">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x14ac:dyDescent="0.3">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x14ac:dyDescent="0.3">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1.8" thickBot="1" x14ac:dyDescent="0.35">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x14ac:dyDescent="0.3">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x14ac:dyDescent="0.3">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1.8" thickBot="1" x14ac:dyDescent="0.35">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x14ac:dyDescent="0.3">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x14ac:dyDescent="0.3">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1.8" thickBot="1" x14ac:dyDescent="0.35">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x14ac:dyDescent="0.3">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x14ac:dyDescent="0.3">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1.8" thickBot="1" x14ac:dyDescent="0.35">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x14ac:dyDescent="0.3">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x14ac:dyDescent="0.3">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1.8" thickBot="1" x14ac:dyDescent="0.35">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x14ac:dyDescent="0.3">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x14ac:dyDescent="0.3">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1.8" thickBot="1" x14ac:dyDescent="0.35">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x14ac:dyDescent="0.3">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x14ac:dyDescent="0.3">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1.8" thickBot="1" x14ac:dyDescent="0.35">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x14ac:dyDescent="0.3">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x14ac:dyDescent="0.3">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1.8" thickBot="1" x14ac:dyDescent="0.35">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x14ac:dyDescent="0.3">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x14ac:dyDescent="0.3">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1.8" thickBot="1" x14ac:dyDescent="0.35">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x14ac:dyDescent="0.3">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x14ac:dyDescent="0.3">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1.8" thickBot="1" x14ac:dyDescent="0.35">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x14ac:dyDescent="0.3">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x14ac:dyDescent="0.3">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1.8" thickBot="1" x14ac:dyDescent="0.35">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x14ac:dyDescent="0.3">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x14ac:dyDescent="0.3">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1.8" thickBot="1" x14ac:dyDescent="0.35">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x14ac:dyDescent="0.3">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x14ac:dyDescent="0.3">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1.8" thickBot="1" x14ac:dyDescent="0.35">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x14ac:dyDescent="0.3">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x14ac:dyDescent="0.3">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1.8" thickBot="1" x14ac:dyDescent="0.35">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x14ac:dyDescent="0.3">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x14ac:dyDescent="0.3">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1.8" thickBot="1" x14ac:dyDescent="0.35">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x14ac:dyDescent="0.3">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x14ac:dyDescent="0.3">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1.8" thickBot="1" x14ac:dyDescent="0.35">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x14ac:dyDescent="0.3">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x14ac:dyDescent="0.3">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1.8" thickBot="1" x14ac:dyDescent="0.35">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x14ac:dyDescent="0.3">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x14ac:dyDescent="0.3">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1.8" thickBot="1" x14ac:dyDescent="0.35">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x14ac:dyDescent="0.3">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x14ac:dyDescent="0.3">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1.8" thickBot="1" x14ac:dyDescent="0.35">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x14ac:dyDescent="0.3">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x14ac:dyDescent="0.3">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1.8" thickBot="1" x14ac:dyDescent="0.35">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x14ac:dyDescent="0.3">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x14ac:dyDescent="0.3">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1.8" thickBot="1" x14ac:dyDescent="0.35">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x14ac:dyDescent="0.3">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x14ac:dyDescent="0.3">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1.8" thickBot="1" x14ac:dyDescent="0.35">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x14ac:dyDescent="0.3">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x14ac:dyDescent="0.3">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1.8" thickBot="1" x14ac:dyDescent="0.35">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x14ac:dyDescent="0.3">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x14ac:dyDescent="0.3">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1.8" thickBot="1" x14ac:dyDescent="0.35">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x14ac:dyDescent="0.3">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x14ac:dyDescent="0.3">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1.8" thickBot="1" x14ac:dyDescent="0.35">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x14ac:dyDescent="0.3">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x14ac:dyDescent="0.3">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1.8" thickBot="1" x14ac:dyDescent="0.35">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x14ac:dyDescent="0.3">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x14ac:dyDescent="0.3">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1.8" thickBot="1" x14ac:dyDescent="0.35">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x14ac:dyDescent="0.3">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x14ac:dyDescent="0.3">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1.8" thickBot="1" x14ac:dyDescent="0.35">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x14ac:dyDescent="0.3">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x14ac:dyDescent="0.3">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1.8" thickBot="1" x14ac:dyDescent="0.35">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x14ac:dyDescent="0.3">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x14ac:dyDescent="0.3">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1.8" thickBot="1" x14ac:dyDescent="0.35">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x14ac:dyDescent="0.3">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x14ac:dyDescent="0.3">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1.8" thickBot="1" x14ac:dyDescent="0.35">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x14ac:dyDescent="0.3">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x14ac:dyDescent="0.3">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1.8" thickBot="1" x14ac:dyDescent="0.35">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x14ac:dyDescent="0.3">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x14ac:dyDescent="0.3">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1.8" thickBot="1" x14ac:dyDescent="0.35">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x14ac:dyDescent="0.3">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x14ac:dyDescent="0.3">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1.8" thickBot="1" x14ac:dyDescent="0.35">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x14ac:dyDescent="0.3">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x14ac:dyDescent="0.3">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1.8" thickBot="1" x14ac:dyDescent="0.35">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x14ac:dyDescent="0.3">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x14ac:dyDescent="0.3">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1.8" thickBot="1" x14ac:dyDescent="0.35">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x14ac:dyDescent="0.3">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x14ac:dyDescent="0.3">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1.8" thickBot="1" x14ac:dyDescent="0.35">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x14ac:dyDescent="0.3">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x14ac:dyDescent="0.3">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1.8" thickBot="1" x14ac:dyDescent="0.35">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x14ac:dyDescent="0.3">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x14ac:dyDescent="0.3">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1.8" thickBot="1" x14ac:dyDescent="0.35">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x14ac:dyDescent="0.3">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x14ac:dyDescent="0.3">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1.8" thickBot="1" x14ac:dyDescent="0.35">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x14ac:dyDescent="0.3">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x14ac:dyDescent="0.3">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1.8" thickBot="1" x14ac:dyDescent="0.35">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x14ac:dyDescent="0.3">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x14ac:dyDescent="0.3">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1.8" thickBot="1" x14ac:dyDescent="0.35">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x14ac:dyDescent="0.3">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x14ac:dyDescent="0.3">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1.8" thickBot="1" x14ac:dyDescent="0.35">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x14ac:dyDescent="0.3">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x14ac:dyDescent="0.3">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1.8" thickBot="1" x14ac:dyDescent="0.35">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x14ac:dyDescent="0.3">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x14ac:dyDescent="0.3">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1.8" thickBot="1" x14ac:dyDescent="0.35">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x14ac:dyDescent="0.3">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x14ac:dyDescent="0.3">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1.8" thickBot="1" x14ac:dyDescent="0.35">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x14ac:dyDescent="0.3">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x14ac:dyDescent="0.3">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1.8" thickBot="1" x14ac:dyDescent="0.35">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x14ac:dyDescent="0.3">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x14ac:dyDescent="0.3">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1.8" thickBot="1" x14ac:dyDescent="0.35">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x14ac:dyDescent="0.3">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x14ac:dyDescent="0.3">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1.8" thickBot="1" x14ac:dyDescent="0.35">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x14ac:dyDescent="0.3">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x14ac:dyDescent="0.3">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1.8" thickBot="1" x14ac:dyDescent="0.35">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 x14ac:dyDescent="0.3">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x14ac:dyDescent="0.3">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1.8" thickBot="1" x14ac:dyDescent="0.35">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x14ac:dyDescent="0.3">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x14ac:dyDescent="0.3">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1.8" thickBot="1" x14ac:dyDescent="0.35">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x14ac:dyDescent="0.3">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x14ac:dyDescent="0.3">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1.8" thickBot="1" x14ac:dyDescent="0.35">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 x14ac:dyDescent="0.3">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x14ac:dyDescent="0.3">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1.8" thickBot="1" x14ac:dyDescent="0.35">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x14ac:dyDescent="0.3">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x14ac:dyDescent="0.3">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1.8" thickBot="1" x14ac:dyDescent="0.35">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x14ac:dyDescent="0.3">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x14ac:dyDescent="0.3">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1.8" thickBot="1" x14ac:dyDescent="0.35">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x14ac:dyDescent="0.3">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x14ac:dyDescent="0.3">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1.8" thickBot="1" x14ac:dyDescent="0.35">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x14ac:dyDescent="0.3">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x14ac:dyDescent="0.3">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1.8" thickBot="1" x14ac:dyDescent="0.35">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x14ac:dyDescent="0.3">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x14ac:dyDescent="0.3">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1.8" thickBot="1" x14ac:dyDescent="0.35">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x14ac:dyDescent="0.3">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x14ac:dyDescent="0.3">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1.8" thickBot="1" x14ac:dyDescent="0.35">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x14ac:dyDescent="0.3">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x14ac:dyDescent="0.3">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1.8" thickBot="1" x14ac:dyDescent="0.35">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x14ac:dyDescent="0.3">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x14ac:dyDescent="0.3">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1.8" thickBot="1" x14ac:dyDescent="0.35">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x14ac:dyDescent="0.3">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x14ac:dyDescent="0.3">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1.8" thickBot="1" x14ac:dyDescent="0.35">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x14ac:dyDescent="0.3">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x14ac:dyDescent="0.3">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1.8" thickBot="1" x14ac:dyDescent="0.35">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x14ac:dyDescent="0.3">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x14ac:dyDescent="0.3">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1.8" thickBot="1" x14ac:dyDescent="0.35">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x14ac:dyDescent="0.3">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x14ac:dyDescent="0.3">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1.8" thickBot="1" x14ac:dyDescent="0.35">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x14ac:dyDescent="0.3">
      <c r="A444" s="291">
        <v>43795</v>
      </c>
      <c r="B444" s="268" t="s">
        <v>76</v>
      </c>
      <c r="C444" s="269" t="s">
        <v>77</v>
      </c>
      <c r="D444" s="411">
        <v>3078.6</v>
      </c>
      <c r="E444" s="411">
        <v>2995.13</v>
      </c>
      <c r="F444" s="411">
        <v>2960.3</v>
      </c>
      <c r="G444" s="411">
        <v>2951.61</v>
      </c>
      <c r="H444" s="411">
        <v>2977.75</v>
      </c>
      <c r="I444" s="411">
        <v>3037.63</v>
      </c>
      <c r="J444" s="411">
        <v>3131.07</v>
      </c>
      <c r="K444" s="411">
        <v>3061.49</v>
      </c>
      <c r="L444" s="411">
        <v>2998.93</v>
      </c>
      <c r="M444" s="411">
        <v>2960.53</v>
      </c>
      <c r="N444" s="411">
        <v>2964.88</v>
      </c>
      <c r="O444" s="411">
        <v>2996.67</v>
      </c>
      <c r="P444" s="411">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x14ac:dyDescent="0.3">
      <c r="A445" s="293"/>
      <c r="B445" s="276"/>
      <c r="C445" s="276" t="s">
        <v>78</v>
      </c>
      <c r="D445" s="411">
        <v>2107.25</v>
      </c>
      <c r="E445" s="411">
        <v>1994.95</v>
      </c>
      <c r="F445" s="411">
        <v>1954.1</v>
      </c>
      <c r="G445" s="411">
        <v>1948.1</v>
      </c>
      <c r="H445" s="411">
        <v>1984.01</v>
      </c>
      <c r="I445" s="411">
        <v>2048.84</v>
      </c>
      <c r="J445" s="411">
        <v>2201.21</v>
      </c>
      <c r="K445" s="411">
        <v>2087.38</v>
      </c>
      <c r="L445" s="411">
        <v>1995.34</v>
      </c>
      <c r="M445" s="411">
        <v>1957.66</v>
      </c>
      <c r="N445" s="411">
        <v>1959.13</v>
      </c>
      <c r="O445" s="411">
        <v>1997.32</v>
      </c>
      <c r="P445" s="411">
        <v>2091.56</v>
      </c>
      <c r="Q445" s="276"/>
      <c r="R445" s="276"/>
      <c r="S445" s="276"/>
      <c r="T445" s="276"/>
      <c r="U445" s="276"/>
      <c r="V445" s="277"/>
      <c r="W445" s="238"/>
      <c r="Y445" s="271"/>
    </row>
    <row r="446" spans="1:31" ht="31.8" thickBot="1" x14ac:dyDescent="0.35">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x14ac:dyDescent="0.3">
      <c r="A447" s="291"/>
      <c r="B447" s="268" t="s">
        <v>76</v>
      </c>
      <c r="C447" s="269" t="s">
        <v>77</v>
      </c>
      <c r="Q447" s="269" t="str">
        <f>IF((P448=""),"",MAX(D449:P449))</f>
        <v/>
      </c>
      <c r="R447" s="269" t="str">
        <f>IF(P448="","",MIN(D449:P449))</f>
        <v/>
      </c>
      <c r="S447" s="269" t="str">
        <f>IF((P449=""),"",AVERAGE(D449:P449))</f>
        <v/>
      </c>
      <c r="T447" s="269" t="str">
        <f>IF((P448=""),"",STDEV(D449:P449))</f>
        <v/>
      </c>
      <c r="U447" s="269" t="str">
        <f>IF((P448=""),"",((Q447-R447)/(Q447+R447))*100)</f>
        <v/>
      </c>
      <c r="V447" s="228" t="str">
        <f>IF(P448="","",IF(U447&lt;7.2,IF(S447&gt;AB447,IF(S447&lt;AC447,"Pass","Fail"),"Fail"),"Fail"))</f>
        <v/>
      </c>
      <c r="W447" s="284"/>
      <c r="Y447" s="271"/>
      <c r="Z447" s="272">
        <v>1600</v>
      </c>
      <c r="AA447" s="272">
        <v>2600</v>
      </c>
      <c r="AB447" s="273">
        <v>1900</v>
      </c>
      <c r="AC447" s="273">
        <v>2250</v>
      </c>
      <c r="AD447" s="274">
        <v>10</v>
      </c>
      <c r="AE447" s="274">
        <v>3.6</v>
      </c>
    </row>
    <row r="448" spans="1:31" x14ac:dyDescent="0.3">
      <c r="A448" s="293"/>
      <c r="B448" s="276"/>
      <c r="C448" s="276" t="s">
        <v>78</v>
      </c>
      <c r="Q448" s="276"/>
      <c r="R448" s="276"/>
      <c r="S448" s="276"/>
      <c r="T448" s="276"/>
      <c r="U448" s="276"/>
      <c r="V448" s="277"/>
      <c r="W448" s="238"/>
      <c r="Y448" s="271"/>
    </row>
    <row r="449" spans="1:31" ht="31.8" thickBot="1" x14ac:dyDescent="0.35">
      <c r="A449" s="294"/>
      <c r="B449" s="281"/>
      <c r="C449" s="243" t="s">
        <v>221</v>
      </c>
      <c r="D449" s="282" t="str">
        <f t="shared" ref="D449:P449" si="145">IF(((D447="")*AND(D448="")),"",(D447-D448)*2)</f>
        <v/>
      </c>
      <c r="E449" s="282" t="str">
        <f t="shared" si="145"/>
        <v/>
      </c>
      <c r="F449" s="282" t="str">
        <f t="shared" si="145"/>
        <v/>
      </c>
      <c r="G449" s="282" t="str">
        <f t="shared" si="145"/>
        <v/>
      </c>
      <c r="H449" s="282" t="str">
        <f t="shared" si="145"/>
        <v/>
      </c>
      <c r="I449" s="282" t="str">
        <f t="shared" si="145"/>
        <v/>
      </c>
      <c r="J449" s="282" t="str">
        <f t="shared" si="145"/>
        <v/>
      </c>
      <c r="K449" s="282" t="str">
        <f t="shared" si="145"/>
        <v/>
      </c>
      <c r="L449" s="282" t="str">
        <f t="shared" si="145"/>
        <v/>
      </c>
      <c r="M449" s="282" t="str">
        <f t="shared" si="145"/>
        <v/>
      </c>
      <c r="N449" s="282" t="str">
        <f t="shared" si="145"/>
        <v/>
      </c>
      <c r="O449" s="282" t="str">
        <f t="shared" si="145"/>
        <v/>
      </c>
      <c r="P449" s="282" t="str">
        <f t="shared" si="145"/>
        <v/>
      </c>
      <c r="Q449" s="264"/>
      <c r="R449" s="281"/>
      <c r="S449" s="281"/>
      <c r="T449" s="281"/>
      <c r="U449" s="281"/>
      <c r="V449" s="283"/>
      <c r="W449" s="247"/>
      <c r="Y449" s="271"/>
    </row>
    <row r="450" spans="1:31" x14ac:dyDescent="0.3">
      <c r="A450" s="291"/>
      <c r="B450" s="268" t="s">
        <v>76</v>
      </c>
      <c r="C450" s="269" t="s">
        <v>77</v>
      </c>
      <c r="Q450" s="269" t="str">
        <f>IF((P451=""),"",MAX(D452:P452))</f>
        <v/>
      </c>
      <c r="R450" s="269" t="str">
        <f>IF(P451="","",MIN(D452:P452))</f>
        <v/>
      </c>
      <c r="S450" s="269" t="str">
        <f>IF((P452=""),"",AVERAGE(D452:P452))</f>
        <v/>
      </c>
      <c r="T450" s="269" t="str">
        <f>IF((P451=""),"",STDEV(D452:P452))</f>
        <v/>
      </c>
      <c r="U450" s="269" t="str">
        <f>IF((P451=""),"",((Q450-R450)/(Q450+R450))*100)</f>
        <v/>
      </c>
      <c r="V450" s="228" t="str">
        <f>IF(P451="","",IF(U450&lt;7.2,IF(S450&gt;AB450,IF(S450&lt;AC450,"Pass","Fail"),"Fail"),"Fail"))</f>
        <v/>
      </c>
      <c r="W450" s="284"/>
      <c r="Y450" s="271"/>
      <c r="Z450" s="272">
        <v>1600</v>
      </c>
      <c r="AA450" s="272">
        <v>2600</v>
      </c>
      <c r="AB450" s="273">
        <v>1900</v>
      </c>
      <c r="AC450" s="273">
        <v>2250</v>
      </c>
      <c r="AD450" s="274">
        <v>10</v>
      </c>
      <c r="AE450" s="274">
        <v>3.6</v>
      </c>
    </row>
    <row r="451" spans="1:31" x14ac:dyDescent="0.3">
      <c r="A451" s="293"/>
      <c r="B451" s="276"/>
      <c r="C451" s="276" t="s">
        <v>78</v>
      </c>
      <c r="Q451" s="276"/>
      <c r="R451" s="276"/>
      <c r="S451" s="276"/>
      <c r="T451" s="276"/>
      <c r="U451" s="276"/>
      <c r="V451" s="277"/>
      <c r="W451" s="238"/>
      <c r="Y451" s="271"/>
    </row>
    <row r="452" spans="1:31" ht="31.8" thickBot="1" x14ac:dyDescent="0.35">
      <c r="A452" s="294"/>
      <c r="B452" s="281"/>
      <c r="C452" s="243" t="s">
        <v>221</v>
      </c>
      <c r="D452" s="282" t="str">
        <f t="shared" ref="D452:P452" si="146">IF(((D450="")*AND(D451="")),"",(D450-D451)*2)</f>
        <v/>
      </c>
      <c r="E452" s="282" t="str">
        <f t="shared" si="146"/>
        <v/>
      </c>
      <c r="F452" s="282" t="str">
        <f t="shared" si="146"/>
        <v/>
      </c>
      <c r="G452" s="282" t="str">
        <f t="shared" si="146"/>
        <v/>
      </c>
      <c r="H452" s="282" t="str">
        <f t="shared" si="146"/>
        <v/>
      </c>
      <c r="I452" s="282" t="str">
        <f t="shared" si="146"/>
        <v/>
      </c>
      <c r="J452" s="282" t="str">
        <f t="shared" si="146"/>
        <v/>
      </c>
      <c r="K452" s="282" t="str">
        <f t="shared" si="146"/>
        <v/>
      </c>
      <c r="L452" s="282" t="str">
        <f t="shared" si="146"/>
        <v/>
      </c>
      <c r="M452" s="282" t="str">
        <f t="shared" si="146"/>
        <v/>
      </c>
      <c r="N452" s="282" t="str">
        <f t="shared" si="146"/>
        <v/>
      </c>
      <c r="O452" s="282" t="str">
        <f t="shared" si="146"/>
        <v/>
      </c>
      <c r="P452" s="282" t="str">
        <f t="shared" si="146"/>
        <v/>
      </c>
      <c r="Q452" s="264"/>
      <c r="R452" s="281"/>
      <c r="S452" s="281"/>
      <c r="T452" s="281"/>
      <c r="U452" s="281"/>
      <c r="V452" s="283"/>
      <c r="W452" s="247"/>
      <c r="Y452" s="271"/>
    </row>
    <row r="453" spans="1:31" x14ac:dyDescent="0.3">
      <c r="A453" s="291"/>
      <c r="B453" s="268" t="s">
        <v>76</v>
      </c>
      <c r="C453" s="269" t="s">
        <v>77</v>
      </c>
      <c r="Q453" s="269" t="str">
        <f>IF((P454=""),"",MAX(D455:P455))</f>
        <v/>
      </c>
      <c r="R453" s="269" t="str">
        <f>IF(P454="","",MIN(D455:P455))</f>
        <v/>
      </c>
      <c r="S453" s="269" t="str">
        <f>IF((P455=""),"",AVERAGE(D455:P455))</f>
        <v/>
      </c>
      <c r="T453" s="269" t="str">
        <f>IF((P454=""),"",STDEV(D455:P455))</f>
        <v/>
      </c>
      <c r="U453" s="269" t="str">
        <f>IF((P454=""),"",((Q453-R453)/(Q453+R453))*100)</f>
        <v/>
      </c>
      <c r="V453" s="228" t="str">
        <f>IF(P454="","",IF(U453&lt;7.2,IF(S453&gt;AB453,IF(S453&lt;AC453,"Pass","Fail"),"Fail"),"Fail"))</f>
        <v/>
      </c>
      <c r="W453" s="284"/>
      <c r="Y453" s="271"/>
      <c r="Z453" s="272">
        <v>1600</v>
      </c>
      <c r="AA453" s="272">
        <v>2600</v>
      </c>
      <c r="AB453" s="273">
        <v>1900</v>
      </c>
      <c r="AC453" s="273">
        <v>2250</v>
      </c>
      <c r="AD453" s="274">
        <v>10</v>
      </c>
      <c r="AE453" s="274">
        <v>3.6</v>
      </c>
    </row>
    <row r="454" spans="1:31" x14ac:dyDescent="0.3">
      <c r="A454" s="293"/>
      <c r="B454" s="276"/>
      <c r="C454" s="276" t="s">
        <v>78</v>
      </c>
      <c r="Q454" s="276"/>
      <c r="R454" s="276"/>
      <c r="S454" s="276"/>
      <c r="T454" s="276"/>
      <c r="U454" s="276"/>
      <c r="V454" s="277"/>
      <c r="W454" s="238"/>
      <c r="Y454" s="271"/>
    </row>
    <row r="455" spans="1:31" ht="31.8" thickBot="1" x14ac:dyDescent="0.35">
      <c r="A455" s="294"/>
      <c r="B455" s="281"/>
      <c r="C455" s="243" t="s">
        <v>221</v>
      </c>
      <c r="D455" s="282" t="str">
        <f t="shared" ref="D455:P455" si="147">IF(((D453="")*AND(D454="")),"",(D453-D454)*2)</f>
        <v/>
      </c>
      <c r="E455" s="282" t="str">
        <f t="shared" si="147"/>
        <v/>
      </c>
      <c r="F455" s="282" t="str">
        <f t="shared" si="147"/>
        <v/>
      </c>
      <c r="G455" s="282" t="str">
        <f t="shared" si="147"/>
        <v/>
      </c>
      <c r="H455" s="282" t="str">
        <f t="shared" si="147"/>
        <v/>
      </c>
      <c r="I455" s="282" t="str">
        <f t="shared" si="147"/>
        <v/>
      </c>
      <c r="J455" s="282" t="str">
        <f t="shared" si="147"/>
        <v/>
      </c>
      <c r="K455" s="282" t="str">
        <f t="shared" si="147"/>
        <v/>
      </c>
      <c r="L455" s="282" t="str">
        <f t="shared" si="147"/>
        <v/>
      </c>
      <c r="M455" s="282" t="str">
        <f t="shared" si="147"/>
        <v/>
      </c>
      <c r="N455" s="282" t="str">
        <f t="shared" si="147"/>
        <v/>
      </c>
      <c r="O455" s="282" t="str">
        <f t="shared" si="147"/>
        <v/>
      </c>
      <c r="P455" s="282" t="str">
        <f t="shared" si="147"/>
        <v/>
      </c>
      <c r="Q455" s="264"/>
      <c r="R455" s="281"/>
      <c r="S455" s="281"/>
      <c r="T455" s="281"/>
      <c r="U455" s="281"/>
      <c r="V455" s="283"/>
      <c r="W455" s="247"/>
      <c r="Y455" s="271"/>
    </row>
    <row r="456" spans="1:31" x14ac:dyDescent="0.3">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x14ac:dyDescent="0.3">
      <c r="A457" s="293"/>
      <c r="B457" s="276"/>
      <c r="C457" s="276" t="s">
        <v>78</v>
      </c>
      <c r="Q457" s="276"/>
      <c r="R457" s="276"/>
      <c r="S457" s="276"/>
      <c r="T457" s="276"/>
      <c r="U457" s="276"/>
      <c r="V457" s="277"/>
      <c r="W457" s="238"/>
      <c r="Y457" s="271"/>
    </row>
    <row r="458" spans="1:31" ht="31.8" thickBot="1" x14ac:dyDescent="0.35">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x14ac:dyDescent="0.3">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x14ac:dyDescent="0.3">
      <c r="A460" s="293"/>
      <c r="B460" s="276"/>
      <c r="C460" s="276" t="s">
        <v>78</v>
      </c>
      <c r="Q460" s="276"/>
      <c r="R460" s="276"/>
      <c r="S460" s="276"/>
      <c r="T460" s="276"/>
      <c r="U460" s="276"/>
      <c r="V460" s="277"/>
      <c r="W460" s="238"/>
      <c r="Y460" s="271"/>
    </row>
    <row r="461" spans="1:31" ht="31.8" thickBot="1" x14ac:dyDescent="0.35">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x14ac:dyDescent="0.3">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x14ac:dyDescent="0.3">
      <c r="A463" s="293"/>
      <c r="B463" s="276"/>
      <c r="C463" s="276" t="s">
        <v>78</v>
      </c>
      <c r="Q463" s="276"/>
      <c r="R463" s="276"/>
      <c r="S463" s="276"/>
      <c r="T463" s="276"/>
      <c r="U463" s="276"/>
      <c r="V463" s="277"/>
      <c r="W463" s="238"/>
      <c r="Y463" s="271"/>
    </row>
    <row r="464" spans="1:31" ht="31.8" thickBot="1" x14ac:dyDescent="0.35">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x14ac:dyDescent="0.3">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x14ac:dyDescent="0.3">
      <c r="A466" s="293"/>
      <c r="B466" s="276"/>
      <c r="C466" s="276" t="s">
        <v>78</v>
      </c>
      <c r="Q466" s="276"/>
      <c r="R466" s="276"/>
      <c r="S466" s="276"/>
      <c r="T466" s="276"/>
      <c r="U466" s="276"/>
      <c r="V466" s="277"/>
      <c r="W466" s="238"/>
      <c r="Y466" s="271"/>
    </row>
    <row r="467" spans="1:31" ht="31.8" thickBot="1" x14ac:dyDescent="0.35">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x14ac:dyDescent="0.3">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x14ac:dyDescent="0.3">
      <c r="A469" s="293"/>
      <c r="B469" s="276"/>
      <c r="C469" s="276" t="s">
        <v>78</v>
      </c>
      <c r="Q469" s="276"/>
      <c r="R469" s="276"/>
      <c r="S469" s="276"/>
      <c r="T469" s="276"/>
      <c r="U469" s="276"/>
      <c r="V469" s="277"/>
      <c r="W469" s="238"/>
      <c r="Y469" s="271"/>
    </row>
    <row r="470" spans="1:31" ht="31.8" thickBot="1" x14ac:dyDescent="0.35">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x14ac:dyDescent="0.3">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x14ac:dyDescent="0.3">
      <c r="A472" s="293"/>
      <c r="B472" s="276"/>
      <c r="C472" s="276" t="s">
        <v>78</v>
      </c>
      <c r="Q472" s="276"/>
      <c r="R472" s="276"/>
      <c r="S472" s="276"/>
      <c r="T472" s="276"/>
      <c r="U472" s="276"/>
      <c r="V472" s="277"/>
      <c r="W472" s="238"/>
      <c r="Y472" s="271"/>
    </row>
    <row r="473" spans="1:31" ht="31.8" thickBot="1" x14ac:dyDescent="0.35">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x14ac:dyDescent="0.3">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x14ac:dyDescent="0.3">
      <c r="A475" s="293"/>
      <c r="B475" s="276"/>
      <c r="C475" s="276" t="s">
        <v>78</v>
      </c>
      <c r="Q475" s="276"/>
      <c r="R475" s="276"/>
      <c r="S475" s="276"/>
      <c r="T475" s="276"/>
      <c r="U475" s="276"/>
      <c r="V475" s="277"/>
      <c r="W475" s="238"/>
      <c r="Y475" s="271"/>
    </row>
    <row r="476" spans="1:31" ht="31.8" thickBot="1" x14ac:dyDescent="0.35">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x14ac:dyDescent="0.3">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x14ac:dyDescent="0.3">
      <c r="A478" s="293"/>
      <c r="B478" s="276"/>
      <c r="C478" s="276" t="s">
        <v>78</v>
      </c>
      <c r="Q478" s="276"/>
      <c r="R478" s="276"/>
      <c r="S478" s="276"/>
      <c r="T478" s="276"/>
      <c r="U478" s="276"/>
      <c r="V478" s="277"/>
      <c r="W478" s="238"/>
      <c r="Y478" s="271"/>
    </row>
    <row r="479" spans="1:31" ht="31.8" thickBot="1" x14ac:dyDescent="0.35">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x14ac:dyDescent="0.3">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x14ac:dyDescent="0.3">
      <c r="A481" s="293"/>
      <c r="B481" s="276"/>
      <c r="C481" s="276" t="s">
        <v>78</v>
      </c>
      <c r="Q481" s="276"/>
      <c r="R481" s="276"/>
      <c r="S481" s="276"/>
      <c r="T481" s="276"/>
      <c r="U481" s="276"/>
      <c r="V481" s="277"/>
      <c r="W481" s="238"/>
      <c r="Y481" s="271"/>
    </row>
    <row r="482" spans="1:31" ht="31.8" thickBot="1" x14ac:dyDescent="0.35">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x14ac:dyDescent="0.3">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x14ac:dyDescent="0.3">
      <c r="A484" s="293"/>
      <c r="B484" s="276"/>
      <c r="C484" s="276" t="s">
        <v>78</v>
      </c>
      <c r="Q484" s="276"/>
      <c r="R484" s="276"/>
      <c r="S484" s="276"/>
      <c r="T484" s="276"/>
      <c r="U484" s="276"/>
      <c r="V484" s="277"/>
      <c r="W484" s="238"/>
      <c r="Y484" s="271"/>
    </row>
    <row r="485" spans="1:31" ht="31.8" thickBot="1" x14ac:dyDescent="0.35">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x14ac:dyDescent="0.3">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x14ac:dyDescent="0.3">
      <c r="A487" s="293"/>
      <c r="B487" s="276"/>
      <c r="C487" s="276" t="s">
        <v>78</v>
      </c>
      <c r="Q487" s="276"/>
      <c r="R487" s="276"/>
      <c r="S487" s="276"/>
      <c r="T487" s="276"/>
      <c r="U487" s="276"/>
      <c r="V487" s="277"/>
      <c r="W487" s="238"/>
      <c r="Y487" s="271"/>
    </row>
    <row r="488" spans="1:31" ht="31.8" thickBot="1" x14ac:dyDescent="0.35">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x14ac:dyDescent="0.3">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x14ac:dyDescent="0.3">
      <c r="A490" s="293"/>
      <c r="B490" s="276"/>
      <c r="C490" s="276" t="s">
        <v>78</v>
      </c>
      <c r="Q490" s="276"/>
      <c r="R490" s="276"/>
      <c r="S490" s="276"/>
      <c r="T490" s="276"/>
      <c r="U490" s="276"/>
      <c r="V490" s="277"/>
      <c r="W490" s="238"/>
      <c r="Y490" s="271"/>
    </row>
    <row r="491" spans="1:31" ht="31.8" thickBot="1" x14ac:dyDescent="0.35">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x14ac:dyDescent="0.3">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x14ac:dyDescent="0.3">
      <c r="A493" s="293"/>
      <c r="B493" s="276"/>
      <c r="C493" s="276" t="s">
        <v>78</v>
      </c>
      <c r="Q493" s="276"/>
      <c r="R493" s="276"/>
      <c r="S493" s="276"/>
      <c r="T493" s="276"/>
      <c r="U493" s="276"/>
      <c r="V493" s="277"/>
      <c r="W493" s="238"/>
      <c r="Y493" s="271"/>
    </row>
    <row r="494" spans="1:31" ht="31.8" thickBot="1" x14ac:dyDescent="0.35">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x14ac:dyDescent="0.3">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x14ac:dyDescent="0.3">
      <c r="A496" s="293"/>
      <c r="B496" s="276"/>
      <c r="C496" s="276" t="s">
        <v>78</v>
      </c>
      <c r="Q496" s="276"/>
      <c r="R496" s="276"/>
      <c r="S496" s="276"/>
      <c r="T496" s="276"/>
      <c r="U496" s="276"/>
      <c r="V496" s="277"/>
      <c r="W496" s="238"/>
      <c r="Y496" s="271"/>
    </row>
    <row r="497" spans="1:31" ht="31.8" thickBot="1" x14ac:dyDescent="0.35">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x14ac:dyDescent="0.3">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x14ac:dyDescent="0.3">
      <c r="A499" s="293"/>
      <c r="B499" s="276"/>
      <c r="C499" s="276" t="s">
        <v>78</v>
      </c>
      <c r="Q499" s="276"/>
      <c r="R499" s="276"/>
      <c r="S499" s="276"/>
      <c r="T499" s="276"/>
      <c r="U499" s="276"/>
      <c r="V499" s="277"/>
      <c r="W499" s="238"/>
      <c r="Y499" s="271"/>
    </row>
    <row r="500" spans="1:31" ht="31.8" thickBot="1" x14ac:dyDescent="0.35">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x14ac:dyDescent="0.3">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x14ac:dyDescent="0.3">
      <c r="A502" s="293"/>
      <c r="B502" s="276"/>
      <c r="C502" s="276" t="s">
        <v>78</v>
      </c>
      <c r="Q502" s="276"/>
      <c r="R502" s="276"/>
      <c r="S502" s="276"/>
      <c r="T502" s="276"/>
      <c r="U502" s="276"/>
      <c r="V502" s="277"/>
      <c r="W502" s="238"/>
      <c r="Y502" s="271"/>
    </row>
    <row r="503" spans="1:31" ht="31.8" thickBot="1" x14ac:dyDescent="0.35">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x14ac:dyDescent="0.3">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x14ac:dyDescent="0.3">
      <c r="A505" s="293"/>
      <c r="B505" s="276"/>
      <c r="C505" s="276" t="s">
        <v>78</v>
      </c>
      <c r="Q505" s="276"/>
      <c r="R505" s="276"/>
      <c r="S505" s="276"/>
      <c r="T505" s="276"/>
      <c r="U505" s="276"/>
      <c r="V505" s="277"/>
      <c r="W505" s="238"/>
      <c r="Y505" s="271"/>
    </row>
    <row r="506" spans="1:31" ht="31.8" thickBot="1" x14ac:dyDescent="0.35">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x14ac:dyDescent="0.3">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x14ac:dyDescent="0.3">
      <c r="A508" s="293"/>
      <c r="B508" s="276"/>
      <c r="C508" s="276" t="s">
        <v>78</v>
      </c>
      <c r="Q508" s="276"/>
      <c r="R508" s="276"/>
      <c r="S508" s="276"/>
      <c r="T508" s="276"/>
      <c r="U508" s="276"/>
      <c r="V508" s="277"/>
      <c r="W508" s="238"/>
      <c r="Y508" s="271"/>
    </row>
    <row r="509" spans="1:31" ht="31.8" thickBot="1" x14ac:dyDescent="0.35">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x14ac:dyDescent="0.3">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x14ac:dyDescent="0.3">
      <c r="A511" s="293"/>
      <c r="B511" s="276"/>
      <c r="C511" s="276" t="s">
        <v>78</v>
      </c>
      <c r="Q511" s="276"/>
      <c r="R511" s="276"/>
      <c r="S511" s="276"/>
      <c r="T511" s="276"/>
      <c r="U511" s="276"/>
      <c r="V511" s="277"/>
      <c r="W511" s="238"/>
      <c r="Y511" s="271"/>
    </row>
    <row r="512" spans="1:31" ht="31.8" thickBot="1" x14ac:dyDescent="0.35">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x14ac:dyDescent="0.3">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x14ac:dyDescent="0.3">
      <c r="A514" s="293"/>
      <c r="B514" s="276"/>
      <c r="C514" s="276" t="s">
        <v>78</v>
      </c>
      <c r="Q514" s="276"/>
      <c r="R514" s="276"/>
      <c r="S514" s="276"/>
      <c r="T514" s="276"/>
      <c r="U514" s="276"/>
      <c r="V514" s="277"/>
      <c r="W514" s="238"/>
      <c r="Y514" s="271"/>
    </row>
    <row r="515" spans="1:31" ht="31.8" thickBot="1" x14ac:dyDescent="0.35">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x14ac:dyDescent="0.3">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x14ac:dyDescent="0.3">
      <c r="A517" s="293"/>
      <c r="B517" s="276"/>
      <c r="C517" s="276" t="s">
        <v>78</v>
      </c>
      <c r="Q517" s="276"/>
      <c r="R517" s="276"/>
      <c r="S517" s="276"/>
      <c r="T517" s="276"/>
      <c r="U517" s="276"/>
      <c r="V517" s="277"/>
      <c r="W517" s="238"/>
      <c r="Y517" s="271"/>
    </row>
    <row r="518" spans="1:31" ht="31.8" thickBot="1" x14ac:dyDescent="0.35">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x14ac:dyDescent="0.3">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x14ac:dyDescent="0.3">
      <c r="A520" s="293"/>
      <c r="B520" s="276"/>
      <c r="C520" s="276" t="s">
        <v>78</v>
      </c>
      <c r="Q520" s="276"/>
      <c r="R520" s="276"/>
      <c r="S520" s="276"/>
      <c r="T520" s="276"/>
      <c r="U520" s="276"/>
      <c r="V520" s="277"/>
      <c r="W520" s="238"/>
      <c r="Y520" s="271"/>
    </row>
    <row r="521" spans="1:31" ht="31.8" thickBot="1" x14ac:dyDescent="0.35">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x14ac:dyDescent="0.3">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x14ac:dyDescent="0.3">
      <c r="A523" s="293"/>
      <c r="B523" s="276"/>
      <c r="C523" s="276" t="s">
        <v>78</v>
      </c>
      <c r="Q523" s="276"/>
      <c r="R523" s="276"/>
      <c r="S523" s="276"/>
      <c r="T523" s="276"/>
      <c r="U523" s="276"/>
      <c r="V523" s="277"/>
      <c r="W523" s="238"/>
      <c r="Y523" s="271"/>
    </row>
    <row r="524" spans="1:31" ht="31.8" thickBot="1" x14ac:dyDescent="0.35">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x14ac:dyDescent="0.3">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x14ac:dyDescent="0.3">
      <c r="A526" s="293"/>
      <c r="B526" s="276"/>
      <c r="C526" s="276" t="s">
        <v>78</v>
      </c>
      <c r="Q526" s="276"/>
      <c r="R526" s="276"/>
      <c r="S526" s="276"/>
      <c r="T526" s="276"/>
      <c r="U526" s="276"/>
      <c r="V526" s="277"/>
      <c r="W526" s="238"/>
      <c r="Y526" s="271"/>
    </row>
    <row r="527" spans="1:31" ht="31.8" thickBot="1" x14ac:dyDescent="0.35">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x14ac:dyDescent="0.3">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x14ac:dyDescent="0.3">
      <c r="A529" s="293"/>
      <c r="B529" s="276"/>
      <c r="C529" s="276" t="s">
        <v>78</v>
      </c>
      <c r="Q529" s="276"/>
      <c r="R529" s="276"/>
      <c r="S529" s="276"/>
      <c r="T529" s="276"/>
      <c r="U529" s="276"/>
      <c r="V529" s="277"/>
      <c r="W529" s="238"/>
      <c r="Y529" s="271"/>
    </row>
    <row r="530" spans="1:31" ht="31.8" thickBot="1" x14ac:dyDescent="0.35">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x14ac:dyDescent="0.3">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x14ac:dyDescent="0.3">
      <c r="A532" s="293"/>
      <c r="B532" s="276"/>
      <c r="C532" s="276" t="s">
        <v>78</v>
      </c>
      <c r="Q532" s="276"/>
      <c r="R532" s="276"/>
      <c r="S532" s="276"/>
      <c r="T532" s="276"/>
      <c r="U532" s="276"/>
      <c r="V532" s="277"/>
      <c r="W532" s="238"/>
      <c r="Y532" s="271"/>
    </row>
    <row r="533" spans="1:31" ht="31.8" thickBot="1" x14ac:dyDescent="0.35">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x14ac:dyDescent="0.3">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x14ac:dyDescent="0.3">
      <c r="A535" s="293"/>
      <c r="B535" s="276"/>
      <c r="C535" s="276" t="s">
        <v>78</v>
      </c>
      <c r="Q535" s="276"/>
      <c r="R535" s="276"/>
      <c r="S535" s="276"/>
      <c r="T535" s="276"/>
      <c r="U535" s="276"/>
      <c r="V535" s="277"/>
      <c r="W535" s="238"/>
      <c r="Y535" s="271"/>
    </row>
    <row r="536" spans="1:31" ht="31.8" thickBot="1" x14ac:dyDescent="0.35">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x14ac:dyDescent="0.3">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x14ac:dyDescent="0.3">
      <c r="A538" s="293"/>
      <c r="B538" s="276"/>
      <c r="C538" s="276" t="s">
        <v>78</v>
      </c>
      <c r="Q538" s="276"/>
      <c r="R538" s="276"/>
      <c r="S538" s="276"/>
      <c r="T538" s="276"/>
      <c r="U538" s="276"/>
      <c r="V538" s="277"/>
      <c r="W538" s="238"/>
      <c r="Y538" s="271"/>
    </row>
    <row r="539" spans="1:31" ht="31.8" thickBot="1" x14ac:dyDescent="0.35">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x14ac:dyDescent="0.3">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x14ac:dyDescent="0.3">
      <c r="A541" s="293"/>
      <c r="B541" s="276"/>
      <c r="C541" s="276" t="s">
        <v>78</v>
      </c>
      <c r="Q541" s="276"/>
      <c r="R541" s="276"/>
      <c r="S541" s="276"/>
      <c r="T541" s="276"/>
      <c r="U541" s="276"/>
      <c r="V541" s="277"/>
      <c r="W541" s="238"/>
      <c r="Y541" s="271"/>
    </row>
    <row r="542" spans="1:31" ht="31.8" thickBot="1" x14ac:dyDescent="0.35">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x14ac:dyDescent="0.3">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x14ac:dyDescent="0.3">
      <c r="A544" s="293"/>
      <c r="B544" s="276"/>
      <c r="C544" s="276" t="s">
        <v>78</v>
      </c>
      <c r="Q544" s="276"/>
      <c r="R544" s="276"/>
      <c r="S544" s="276"/>
      <c r="T544" s="276"/>
      <c r="U544" s="276"/>
      <c r="V544" s="277"/>
      <c r="W544" s="238"/>
      <c r="Y544" s="271"/>
    </row>
    <row r="545" spans="1:31" ht="31.8" thickBot="1" x14ac:dyDescent="0.35">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x14ac:dyDescent="0.3">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x14ac:dyDescent="0.3">
      <c r="A547" s="293"/>
      <c r="B547" s="276"/>
      <c r="C547" s="276" t="s">
        <v>78</v>
      </c>
      <c r="Q547" s="276"/>
      <c r="R547" s="276"/>
      <c r="S547" s="276"/>
      <c r="T547" s="276"/>
      <c r="U547" s="276"/>
      <c r="V547" s="277"/>
      <c r="W547" s="238"/>
      <c r="Y547" s="271"/>
    </row>
    <row r="548" spans="1:31" ht="31.8" thickBot="1" x14ac:dyDescent="0.35">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x14ac:dyDescent="0.3">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x14ac:dyDescent="0.3">
      <c r="A550" s="293"/>
      <c r="B550" s="276"/>
      <c r="C550" s="276" t="s">
        <v>78</v>
      </c>
      <c r="Q550" s="276"/>
      <c r="R550" s="276"/>
      <c r="S550" s="276"/>
      <c r="T550" s="276"/>
      <c r="U550" s="276"/>
      <c r="V550" s="277"/>
      <c r="W550" s="238"/>
      <c r="Y550" s="271"/>
    </row>
    <row r="551" spans="1:31" ht="31.8" thickBot="1" x14ac:dyDescent="0.35">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x14ac:dyDescent="0.3">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x14ac:dyDescent="0.3">
      <c r="A553" s="293"/>
      <c r="B553" s="276"/>
      <c r="C553" s="276" t="s">
        <v>78</v>
      </c>
      <c r="Q553" s="276"/>
      <c r="R553" s="276"/>
      <c r="S553" s="276"/>
      <c r="T553" s="276"/>
      <c r="U553" s="276"/>
      <c r="V553" s="277"/>
      <c r="W553" s="238"/>
      <c r="Y553" s="271"/>
    </row>
    <row r="554" spans="1:31" ht="31.8" thickBot="1" x14ac:dyDescent="0.35">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x14ac:dyDescent="0.3">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x14ac:dyDescent="0.3">
      <c r="A556" s="293"/>
      <c r="B556" s="276"/>
      <c r="C556" s="276" t="s">
        <v>78</v>
      </c>
      <c r="Q556" s="276"/>
      <c r="R556" s="276"/>
      <c r="S556" s="276"/>
      <c r="T556" s="276"/>
      <c r="U556" s="276"/>
      <c r="V556" s="277"/>
      <c r="W556" s="238"/>
      <c r="Y556" s="271"/>
    </row>
    <row r="557" spans="1:31" ht="31.8" thickBot="1" x14ac:dyDescent="0.35">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x14ac:dyDescent="0.3">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x14ac:dyDescent="0.3">
      <c r="A559" s="293"/>
      <c r="B559" s="276"/>
      <c r="C559" s="276" t="s">
        <v>78</v>
      </c>
      <c r="Q559" s="276"/>
      <c r="R559" s="276"/>
      <c r="S559" s="276"/>
      <c r="T559" s="276"/>
      <c r="U559" s="276"/>
      <c r="V559" s="277"/>
      <c r="W559" s="238"/>
      <c r="Y559" s="271"/>
    </row>
    <row r="560" spans="1:31" ht="31.8" thickBot="1" x14ac:dyDescent="0.35">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x14ac:dyDescent="0.3">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x14ac:dyDescent="0.3">
      <c r="A562" s="293"/>
      <c r="B562" s="276"/>
      <c r="C562" s="276" t="s">
        <v>78</v>
      </c>
      <c r="Q562" s="276"/>
      <c r="R562" s="276"/>
      <c r="S562" s="276"/>
      <c r="T562" s="276"/>
      <c r="U562" s="276"/>
      <c r="V562" s="277"/>
      <c r="W562" s="238"/>
      <c r="Y562" s="271"/>
    </row>
    <row r="563" spans="1:31" ht="31.8" thickBot="1" x14ac:dyDescent="0.35">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x14ac:dyDescent="0.3">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x14ac:dyDescent="0.3">
      <c r="A565" s="293"/>
      <c r="B565" s="276"/>
      <c r="C565" s="276" t="s">
        <v>78</v>
      </c>
      <c r="Q565" s="276"/>
      <c r="R565" s="276"/>
      <c r="S565" s="276"/>
      <c r="T565" s="276"/>
      <c r="U565" s="276"/>
      <c r="V565" s="277"/>
      <c r="W565" s="238"/>
      <c r="Y565" s="271"/>
    </row>
    <row r="566" spans="1:31" ht="31.8" thickBot="1" x14ac:dyDescent="0.35">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x14ac:dyDescent="0.3">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x14ac:dyDescent="0.3">
      <c r="A568" s="293"/>
      <c r="B568" s="276"/>
      <c r="C568" s="276" t="s">
        <v>78</v>
      </c>
      <c r="Q568" s="276"/>
      <c r="R568" s="276"/>
      <c r="S568" s="276"/>
      <c r="T568" s="276"/>
      <c r="U568" s="276"/>
      <c r="V568" s="277"/>
      <c r="W568" s="238"/>
      <c r="Y568" s="271"/>
    </row>
    <row r="569" spans="1:31" ht="31.8" thickBot="1" x14ac:dyDescent="0.35">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x14ac:dyDescent="0.3">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x14ac:dyDescent="0.3">
      <c r="A571" s="293"/>
      <c r="B571" s="276"/>
      <c r="C571" s="276" t="s">
        <v>78</v>
      </c>
      <c r="Q571" s="276"/>
      <c r="R571" s="276"/>
      <c r="S571" s="276"/>
      <c r="T571" s="276"/>
      <c r="U571" s="276"/>
      <c r="V571" s="277"/>
      <c r="W571" s="238"/>
      <c r="Y571" s="271"/>
    </row>
    <row r="572" spans="1:31" ht="31.8" thickBot="1" x14ac:dyDescent="0.35">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x14ac:dyDescent="0.3">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x14ac:dyDescent="0.3">
      <c r="A574" s="293"/>
      <c r="B574" s="276"/>
      <c r="C574" s="276" t="s">
        <v>78</v>
      </c>
      <c r="Q574" s="276"/>
      <c r="R574" s="276"/>
      <c r="S574" s="276"/>
      <c r="T574" s="276"/>
      <c r="U574" s="276"/>
      <c r="V574" s="277"/>
      <c r="W574" s="238"/>
      <c r="Y574" s="271"/>
    </row>
    <row r="575" spans="1:31" ht="31.8" thickBot="1" x14ac:dyDescent="0.35">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x14ac:dyDescent="0.3">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x14ac:dyDescent="0.3">
      <c r="A577" s="293"/>
      <c r="B577" s="276"/>
      <c r="C577" s="276" t="s">
        <v>78</v>
      </c>
      <c r="Q577" s="276"/>
      <c r="R577" s="276"/>
      <c r="S577" s="276"/>
      <c r="T577" s="276"/>
      <c r="U577" s="276"/>
      <c r="V577" s="277"/>
      <c r="W577" s="238"/>
      <c r="Y577" s="271"/>
    </row>
    <row r="578" spans="1:31" ht="31.8" thickBot="1" x14ac:dyDescent="0.35">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x14ac:dyDescent="0.3">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x14ac:dyDescent="0.3">
      <c r="A580" s="293"/>
      <c r="B580" s="276"/>
      <c r="C580" s="276" t="s">
        <v>78</v>
      </c>
      <c r="Q580" s="276"/>
      <c r="R580" s="276"/>
      <c r="S580" s="276"/>
      <c r="T580" s="276"/>
      <c r="U580" s="276"/>
      <c r="V580" s="277"/>
      <c r="W580" s="238"/>
      <c r="Y580" s="271"/>
    </row>
    <row r="581" spans="1:31" ht="31.8" thickBot="1" x14ac:dyDescent="0.35">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x14ac:dyDescent="0.3">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x14ac:dyDescent="0.3">
      <c r="A583" s="293"/>
      <c r="B583" s="276"/>
      <c r="C583" s="276" t="s">
        <v>78</v>
      </c>
      <c r="Q583" s="276"/>
      <c r="R583" s="276"/>
      <c r="S583" s="276"/>
      <c r="T583" s="276"/>
      <c r="U583" s="276"/>
      <c r="V583" s="277"/>
      <c r="W583" s="238"/>
      <c r="Y583" s="271"/>
    </row>
    <row r="584" spans="1:31" ht="31.8" thickBot="1" x14ac:dyDescent="0.35">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x14ac:dyDescent="0.3">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x14ac:dyDescent="0.3">
      <c r="A586" s="293"/>
      <c r="B586" s="276"/>
      <c r="C586" s="276" t="s">
        <v>78</v>
      </c>
      <c r="Q586" s="276"/>
      <c r="R586" s="276"/>
      <c r="S586" s="276"/>
      <c r="T586" s="276"/>
      <c r="U586" s="276"/>
      <c r="V586" s="277"/>
      <c r="W586" s="238"/>
      <c r="Y586" s="271"/>
    </row>
    <row r="587" spans="1:31" ht="31.8" thickBot="1" x14ac:dyDescent="0.35">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x14ac:dyDescent="0.3">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x14ac:dyDescent="0.3">
      <c r="A589" s="293"/>
      <c r="B589" s="276"/>
      <c r="C589" s="276" t="s">
        <v>78</v>
      </c>
      <c r="Q589" s="276"/>
      <c r="R589" s="276"/>
      <c r="S589" s="276"/>
      <c r="T589" s="276"/>
      <c r="U589" s="276"/>
      <c r="V589" s="277"/>
      <c r="W589" s="238"/>
      <c r="Y589" s="271"/>
    </row>
    <row r="590" spans="1:31" ht="31.8" thickBot="1" x14ac:dyDescent="0.35">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x14ac:dyDescent="0.3">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x14ac:dyDescent="0.3">
      <c r="A592" s="293"/>
      <c r="B592" s="276"/>
      <c r="C592" s="276" t="s">
        <v>78</v>
      </c>
      <c r="Q592" s="276"/>
      <c r="R592" s="276"/>
      <c r="S592" s="276"/>
      <c r="T592" s="276"/>
      <c r="U592" s="276"/>
      <c r="V592" s="277"/>
      <c r="W592" s="238"/>
      <c r="Y592" s="271"/>
    </row>
    <row r="593" spans="1:31" ht="31.8" thickBot="1" x14ac:dyDescent="0.35">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x14ac:dyDescent="0.3">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x14ac:dyDescent="0.3">
      <c r="A595" s="293"/>
      <c r="B595" s="276"/>
      <c r="C595" s="276" t="s">
        <v>78</v>
      </c>
      <c r="Q595" s="276"/>
      <c r="R595" s="276"/>
      <c r="S595" s="276"/>
      <c r="T595" s="276"/>
      <c r="U595" s="276"/>
      <c r="V595" s="277"/>
      <c r="W595" s="238"/>
      <c r="Y595" s="271"/>
    </row>
    <row r="596" spans="1:31" ht="31.8" thickBot="1" x14ac:dyDescent="0.35">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x14ac:dyDescent="0.3">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x14ac:dyDescent="0.3">
      <c r="A598" s="293"/>
      <c r="B598" s="276"/>
      <c r="C598" s="276" t="s">
        <v>78</v>
      </c>
      <c r="Q598" s="276"/>
      <c r="R598" s="276"/>
      <c r="S598" s="276"/>
      <c r="T598" s="276"/>
      <c r="U598" s="276"/>
      <c r="V598" s="277"/>
      <c r="W598" s="238"/>
      <c r="Y598" s="271"/>
    </row>
    <row r="599" spans="1:31" ht="31.8" thickBot="1" x14ac:dyDescent="0.35">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x14ac:dyDescent="0.3">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x14ac:dyDescent="0.3">
      <c r="A601" s="293"/>
      <c r="B601" s="276"/>
      <c r="C601" s="276" t="s">
        <v>78</v>
      </c>
      <c r="Q601" s="276"/>
      <c r="R601" s="276"/>
      <c r="S601" s="276"/>
      <c r="T601" s="276"/>
      <c r="U601" s="276"/>
      <c r="V601" s="277"/>
      <c r="W601" s="238"/>
      <c r="Y601" s="271"/>
    </row>
    <row r="602" spans="1:31" ht="31.8" thickBot="1" x14ac:dyDescent="0.35">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x14ac:dyDescent="0.3">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x14ac:dyDescent="0.3">
      <c r="A604" s="293"/>
      <c r="B604" s="276"/>
      <c r="C604" s="276" t="s">
        <v>78</v>
      </c>
      <c r="Q604" s="276"/>
      <c r="R604" s="276"/>
      <c r="S604" s="276"/>
      <c r="T604" s="276"/>
      <c r="U604" s="276"/>
      <c r="V604" s="277"/>
      <c r="W604" s="238"/>
      <c r="Y604" s="271"/>
    </row>
    <row r="605" spans="1:31" ht="31.8" thickBot="1" x14ac:dyDescent="0.35">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x14ac:dyDescent="0.3">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x14ac:dyDescent="0.3">
      <c r="A607" s="293"/>
      <c r="B607" s="276"/>
      <c r="C607" s="276" t="s">
        <v>78</v>
      </c>
      <c r="Q607" s="276"/>
      <c r="R607" s="276"/>
      <c r="S607" s="276"/>
      <c r="T607" s="276"/>
      <c r="U607" s="276"/>
      <c r="V607" s="277"/>
      <c r="W607" s="238"/>
      <c r="Y607" s="271"/>
    </row>
    <row r="608" spans="1:31" ht="31.8" thickBot="1" x14ac:dyDescent="0.35">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x14ac:dyDescent="0.3">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x14ac:dyDescent="0.3">
      <c r="A610" s="293"/>
      <c r="B610" s="276"/>
      <c r="C610" s="276" t="s">
        <v>78</v>
      </c>
      <c r="Q610" s="276"/>
      <c r="R610" s="276"/>
      <c r="S610" s="276"/>
      <c r="T610" s="276"/>
      <c r="U610" s="276"/>
      <c r="V610" s="277"/>
      <c r="W610" s="238"/>
      <c r="Y610" s="271"/>
    </row>
    <row r="611" spans="1:31" ht="31.8" thickBot="1" x14ac:dyDescent="0.35">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x14ac:dyDescent="0.3">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x14ac:dyDescent="0.3">
      <c r="A613" s="293"/>
      <c r="B613" s="276"/>
      <c r="C613" s="276" t="s">
        <v>78</v>
      </c>
      <c r="Q613" s="276"/>
      <c r="R613" s="276"/>
      <c r="S613" s="276"/>
      <c r="T613" s="276"/>
      <c r="U613" s="276"/>
      <c r="V613" s="277"/>
      <c r="W613" s="238"/>
      <c r="Y613" s="271"/>
    </row>
    <row r="614" spans="1:31" ht="31.8" thickBot="1" x14ac:dyDescent="0.35">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x14ac:dyDescent="0.3">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x14ac:dyDescent="0.3">
      <c r="A616" s="293"/>
      <c r="B616" s="276"/>
      <c r="C616" s="276" t="s">
        <v>78</v>
      </c>
      <c r="Q616" s="276"/>
      <c r="R616" s="276"/>
      <c r="S616" s="276"/>
      <c r="T616" s="276"/>
      <c r="U616" s="276"/>
      <c r="V616" s="277"/>
      <c r="W616" s="238"/>
      <c r="Y616" s="271"/>
    </row>
    <row r="617" spans="1:31" ht="31.8" thickBot="1" x14ac:dyDescent="0.35">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x14ac:dyDescent="0.3">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x14ac:dyDescent="0.3">
      <c r="A619" s="293"/>
      <c r="B619" s="276"/>
      <c r="C619" s="276" t="s">
        <v>78</v>
      </c>
      <c r="Q619" s="276"/>
      <c r="R619" s="276"/>
      <c r="S619" s="276"/>
      <c r="T619" s="276"/>
      <c r="U619" s="276"/>
      <c r="V619" s="277"/>
      <c r="W619" s="238"/>
      <c r="Y619" s="271"/>
    </row>
    <row r="620" spans="1:31" ht="31.8" thickBot="1" x14ac:dyDescent="0.35">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x14ac:dyDescent="0.3">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x14ac:dyDescent="0.3">
      <c r="A622" s="293"/>
      <c r="B622" s="276"/>
      <c r="C622" s="276" t="s">
        <v>78</v>
      </c>
      <c r="Q622" s="276"/>
      <c r="R622" s="276"/>
      <c r="S622" s="276"/>
      <c r="T622" s="276"/>
      <c r="U622" s="276"/>
      <c r="V622" s="277"/>
      <c r="W622" s="238"/>
      <c r="Y622" s="271"/>
    </row>
    <row r="623" spans="1:31" ht="31.8" thickBot="1" x14ac:dyDescent="0.35">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x14ac:dyDescent="0.3">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x14ac:dyDescent="0.3">
      <c r="A625" s="293"/>
      <c r="B625" s="276"/>
      <c r="C625" s="276" t="s">
        <v>78</v>
      </c>
      <c r="Q625" s="276"/>
      <c r="R625" s="276"/>
      <c r="S625" s="276"/>
      <c r="T625" s="276"/>
      <c r="U625" s="276"/>
      <c r="V625" s="277"/>
      <c r="W625" s="238"/>
      <c r="Y625" s="271"/>
    </row>
    <row r="626" spans="1:31" ht="31.8" thickBot="1" x14ac:dyDescent="0.35">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x14ac:dyDescent="0.3">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x14ac:dyDescent="0.3">
      <c r="A628" s="293"/>
      <c r="B628" s="276"/>
      <c r="C628" s="276" t="s">
        <v>78</v>
      </c>
      <c r="Q628" s="276"/>
      <c r="R628" s="276"/>
      <c r="S628" s="276"/>
      <c r="T628" s="276"/>
      <c r="U628" s="276"/>
      <c r="V628" s="277"/>
      <c r="W628" s="238"/>
      <c r="Y628" s="271"/>
    </row>
    <row r="629" spans="1:31" ht="31.8" thickBot="1" x14ac:dyDescent="0.35">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x14ac:dyDescent="0.3">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x14ac:dyDescent="0.3">
      <c r="A631" s="293"/>
      <c r="B631" s="276"/>
      <c r="C631" s="276" t="s">
        <v>78</v>
      </c>
      <c r="Q631" s="276"/>
      <c r="R631" s="276"/>
      <c r="S631" s="276"/>
      <c r="T631" s="276"/>
      <c r="U631" s="276"/>
      <c r="V631" s="277"/>
      <c r="W631" s="238"/>
      <c r="Y631" s="271"/>
    </row>
    <row r="632" spans="1:31" ht="31.8" thickBot="1" x14ac:dyDescent="0.35">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x14ac:dyDescent="0.3">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x14ac:dyDescent="0.3">
      <c r="A634" s="293"/>
      <c r="B634" s="276"/>
      <c r="C634" s="276" t="s">
        <v>78</v>
      </c>
      <c r="Q634" s="276"/>
      <c r="R634" s="276"/>
      <c r="S634" s="276"/>
      <c r="T634" s="276"/>
      <c r="U634" s="276"/>
      <c r="V634" s="277"/>
      <c r="W634" s="238"/>
      <c r="Y634" s="271"/>
    </row>
    <row r="635" spans="1:31" ht="31.8" thickBot="1" x14ac:dyDescent="0.35">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x14ac:dyDescent="0.3">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x14ac:dyDescent="0.3">
      <c r="A637" s="293"/>
      <c r="B637" s="276"/>
      <c r="C637" s="276" t="s">
        <v>78</v>
      </c>
      <c r="Q637" s="276"/>
      <c r="R637" s="276"/>
      <c r="S637" s="276"/>
      <c r="T637" s="276"/>
      <c r="U637" s="276"/>
      <c r="V637" s="277"/>
      <c r="W637" s="238"/>
      <c r="Y637" s="271"/>
    </row>
    <row r="638" spans="1:31" ht="31.8" thickBot="1" x14ac:dyDescent="0.35">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x14ac:dyDescent="0.3">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x14ac:dyDescent="0.3">
      <c r="A640" s="293"/>
      <c r="B640" s="276"/>
      <c r="C640" s="276" t="s">
        <v>78</v>
      </c>
      <c r="Q640" s="276"/>
      <c r="R640" s="276"/>
      <c r="S640" s="276"/>
      <c r="T640" s="276"/>
      <c r="U640" s="276"/>
      <c r="V640" s="277"/>
      <c r="W640" s="238"/>
      <c r="Y640" s="271"/>
    </row>
    <row r="641" spans="1:31" ht="31.8" thickBot="1" x14ac:dyDescent="0.35">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x14ac:dyDescent="0.3">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x14ac:dyDescent="0.3">
      <c r="A643" s="293"/>
      <c r="B643" s="276"/>
      <c r="C643" s="276" t="s">
        <v>78</v>
      </c>
      <c r="Q643" s="276"/>
      <c r="R643" s="276"/>
      <c r="S643" s="276"/>
      <c r="T643" s="276"/>
      <c r="U643" s="276"/>
      <c r="V643" s="277"/>
      <c r="W643" s="238"/>
      <c r="Y643" s="271"/>
    </row>
    <row r="644" spans="1:31" ht="31.8" thickBot="1" x14ac:dyDescent="0.35">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x14ac:dyDescent="0.3">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x14ac:dyDescent="0.3">
      <c r="A646" s="293"/>
      <c r="B646" s="276"/>
      <c r="C646" s="276" t="s">
        <v>78</v>
      </c>
      <c r="Q646" s="276"/>
      <c r="R646" s="276"/>
      <c r="S646" s="276"/>
      <c r="T646" s="276"/>
      <c r="U646" s="276"/>
      <c r="V646" s="277"/>
      <c r="W646" s="238"/>
      <c r="Y646" s="271"/>
    </row>
    <row r="647" spans="1:31" ht="31.8" thickBot="1" x14ac:dyDescent="0.35">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x14ac:dyDescent="0.3">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x14ac:dyDescent="0.3">
      <c r="A649" s="293"/>
      <c r="B649" s="276"/>
      <c r="C649" s="276" t="s">
        <v>78</v>
      </c>
      <c r="Q649" s="276"/>
      <c r="R649" s="276"/>
      <c r="S649" s="276"/>
      <c r="T649" s="276"/>
      <c r="U649" s="276"/>
      <c r="V649" s="277"/>
      <c r="W649" s="238"/>
      <c r="Y649" s="271"/>
    </row>
    <row r="650" spans="1:31" ht="31.8" thickBot="1" x14ac:dyDescent="0.35">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x14ac:dyDescent="0.3">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x14ac:dyDescent="0.3">
      <c r="A652" s="293"/>
      <c r="B652" s="276"/>
      <c r="C652" s="276" t="s">
        <v>78</v>
      </c>
      <c r="Q652" s="276"/>
      <c r="R652" s="276"/>
      <c r="S652" s="276"/>
      <c r="T652" s="276"/>
      <c r="U652" s="276"/>
      <c r="V652" s="277"/>
      <c r="W652" s="238"/>
      <c r="Y652" s="271"/>
    </row>
    <row r="653" spans="1:31" ht="31.8" thickBot="1" x14ac:dyDescent="0.35">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x14ac:dyDescent="0.3">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x14ac:dyDescent="0.3">
      <c r="A655" s="293"/>
      <c r="B655" s="276"/>
      <c r="C655" s="276" t="s">
        <v>78</v>
      </c>
      <c r="Q655" s="276"/>
      <c r="R655" s="276"/>
      <c r="S655" s="276"/>
      <c r="T655" s="276"/>
      <c r="U655" s="276"/>
      <c r="V655" s="277"/>
      <c r="W655" s="238"/>
      <c r="Y655" s="271"/>
    </row>
    <row r="656" spans="1:31" ht="31.8" thickBot="1" x14ac:dyDescent="0.35">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x14ac:dyDescent="0.3">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x14ac:dyDescent="0.3">
      <c r="A658" s="293"/>
      <c r="B658" s="276"/>
      <c r="C658" s="276" t="s">
        <v>78</v>
      </c>
      <c r="Q658" s="276"/>
      <c r="R658" s="276"/>
      <c r="S658" s="276"/>
      <c r="T658" s="276"/>
      <c r="U658" s="276"/>
      <c r="V658" s="277"/>
      <c r="W658" s="238"/>
      <c r="Y658" s="271"/>
    </row>
    <row r="659" spans="1:31" ht="31.8" thickBot="1" x14ac:dyDescent="0.35">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x14ac:dyDescent="0.3">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x14ac:dyDescent="0.3">
      <c r="A661" s="293"/>
      <c r="B661" s="276"/>
      <c r="C661" s="276" t="s">
        <v>78</v>
      </c>
      <c r="Q661" s="276"/>
      <c r="R661" s="276"/>
      <c r="S661" s="276"/>
      <c r="T661" s="276"/>
      <c r="U661" s="276"/>
      <c r="V661" s="277"/>
      <c r="W661" s="238"/>
      <c r="Y661" s="271"/>
    </row>
    <row r="662" spans="1:31" ht="31.8" thickBot="1" x14ac:dyDescent="0.35">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x14ac:dyDescent="0.3">
      <c r="AB663" s="273"/>
      <c r="AC663" s="273"/>
    </row>
    <row r="666" spans="1:31" x14ac:dyDescent="0.3">
      <c r="AB666" s="266">
        <v>1841.2269554684542</v>
      </c>
      <c r="AC666" s="266">
        <v>2379.5389932494945</v>
      </c>
    </row>
    <row r="669" spans="1:31" x14ac:dyDescent="0.3">
      <c r="AB669" s="266">
        <v>1841.2269554684542</v>
      </c>
      <c r="AC669" s="266">
        <v>2379.5389932494945</v>
      </c>
    </row>
    <row r="672" spans="1:31" x14ac:dyDescent="0.3">
      <c r="AB672" s="266">
        <v>1841.2269554684542</v>
      </c>
      <c r="AC672" s="266">
        <v>2379.5389932494945</v>
      </c>
    </row>
    <row r="675" spans="28:29" x14ac:dyDescent="0.3">
      <c r="AB675" s="266">
        <v>1841.2269554684542</v>
      </c>
      <c r="AC675" s="266">
        <v>2379.5389932494945</v>
      </c>
    </row>
    <row r="678" spans="28:29" x14ac:dyDescent="0.3">
      <c r="AB678" s="266">
        <v>1841.2269554684542</v>
      </c>
      <c r="AC678" s="266">
        <v>2379.5389932494945</v>
      </c>
    </row>
    <row r="681" spans="28:29" x14ac:dyDescent="0.3">
      <c r="AB681" s="266">
        <v>1841.2269554684542</v>
      </c>
      <c r="AC681" s="266">
        <v>2379.5389932494945</v>
      </c>
    </row>
    <row r="684" spans="28:29" x14ac:dyDescent="0.3">
      <c r="AB684" s="266">
        <v>1841.2269554684542</v>
      </c>
      <c r="AC684" s="266">
        <v>2379.5389932494945</v>
      </c>
    </row>
    <row r="687" spans="28:29" x14ac:dyDescent="0.3">
      <c r="AB687" s="266">
        <v>1841.2269554684542</v>
      </c>
      <c r="AC687" s="266">
        <v>2379.5389932494945</v>
      </c>
    </row>
    <row r="690" spans="28:29" x14ac:dyDescent="0.3">
      <c r="AB690" s="266">
        <v>1841.2269554684542</v>
      </c>
      <c r="AC690" s="266">
        <v>2379.5389932494945</v>
      </c>
    </row>
    <row r="693" spans="28:29" x14ac:dyDescent="0.3">
      <c r="AB693" s="266">
        <v>1841.2269554684542</v>
      </c>
      <c r="AC693" s="266">
        <v>2379.5389932494945</v>
      </c>
    </row>
    <row r="696" spans="28:29" x14ac:dyDescent="0.3">
      <c r="AB696" s="266">
        <v>1841.2269554684542</v>
      </c>
      <c r="AC696" s="266">
        <v>2379.5389932494945</v>
      </c>
    </row>
  </sheetData>
  <autoFilter ref="A11:AE662" xr:uid="{00000000-0009-0000-0000-000006000000}"/>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09" priority="163" stopIfTrue="1" operator="equal">
      <formula>"Fail"</formula>
    </cfRule>
    <cfRule type="cellIs" dxfId="1308" priority="164"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07" priority="161" stopIfTrue="1" operator="equal">
      <formula>"Fail"</formula>
    </cfRule>
    <cfRule type="cellIs" dxfId="1306" priority="162" stopIfTrue="1" operator="equal">
      <formula>"Pass"</formula>
    </cfRule>
  </conditionalFormatting>
  <conditionalFormatting sqref="U426 V426:V428">
    <cfRule type="cellIs" dxfId="1305" priority="159" stopIfTrue="1" operator="equal">
      <formula>"Fail"</formula>
    </cfRule>
    <cfRule type="cellIs" dxfId="1304" priority="160" stopIfTrue="1" operator="equal">
      <formula>"Pass"</formula>
    </cfRule>
  </conditionalFormatting>
  <conditionalFormatting sqref="U429 V429:V431">
    <cfRule type="cellIs" dxfId="1303" priority="157" stopIfTrue="1" operator="equal">
      <formula>"Fail"</formula>
    </cfRule>
    <cfRule type="cellIs" dxfId="1302" priority="158" stopIfTrue="1" operator="equal">
      <formula>"Pass"</formula>
    </cfRule>
  </conditionalFormatting>
  <conditionalFormatting sqref="U432 V432:V434">
    <cfRule type="cellIs" dxfId="1301" priority="155" stopIfTrue="1" operator="equal">
      <formula>"Fail"</formula>
    </cfRule>
    <cfRule type="cellIs" dxfId="1300" priority="156" stopIfTrue="1" operator="equal">
      <formula>"Pass"</formula>
    </cfRule>
  </conditionalFormatting>
  <conditionalFormatting sqref="U435 V435:V437">
    <cfRule type="cellIs" dxfId="1299" priority="153" stopIfTrue="1" operator="equal">
      <formula>"Fail"</formula>
    </cfRule>
    <cfRule type="cellIs" dxfId="1298" priority="154" stopIfTrue="1" operator="equal">
      <formula>"Pass"</formula>
    </cfRule>
  </conditionalFormatting>
  <conditionalFormatting sqref="U438 V438:V440">
    <cfRule type="cellIs" dxfId="1297" priority="151" stopIfTrue="1" operator="equal">
      <formula>"Fail"</formula>
    </cfRule>
    <cfRule type="cellIs" dxfId="1296" priority="152" stopIfTrue="1" operator="equal">
      <formula>"Pass"</formula>
    </cfRule>
  </conditionalFormatting>
  <conditionalFormatting sqref="U441 V441:V443">
    <cfRule type="cellIs" dxfId="1295" priority="149" stopIfTrue="1" operator="equal">
      <formula>"Fail"</formula>
    </cfRule>
    <cfRule type="cellIs" dxfId="1294" priority="150" stopIfTrue="1" operator="equal">
      <formula>"Pass"</formula>
    </cfRule>
  </conditionalFormatting>
  <conditionalFormatting sqref="U444 V444:V446">
    <cfRule type="cellIs" dxfId="1293" priority="147" stopIfTrue="1" operator="equal">
      <formula>"Fail"</formula>
    </cfRule>
    <cfRule type="cellIs" dxfId="1292" priority="148" stopIfTrue="1" operator="equal">
      <formula>"Pass"</formula>
    </cfRule>
  </conditionalFormatting>
  <conditionalFormatting sqref="U447 V447:V449">
    <cfRule type="cellIs" dxfId="1291" priority="145" stopIfTrue="1" operator="equal">
      <formula>"Fail"</formula>
    </cfRule>
    <cfRule type="cellIs" dxfId="1290" priority="146" stopIfTrue="1" operator="equal">
      <formula>"Pass"</formula>
    </cfRule>
  </conditionalFormatting>
  <conditionalFormatting sqref="U450 V450:V452">
    <cfRule type="cellIs" dxfId="1289" priority="143" stopIfTrue="1" operator="equal">
      <formula>"Fail"</formula>
    </cfRule>
    <cfRule type="cellIs" dxfId="1288" priority="144" stopIfTrue="1" operator="equal">
      <formula>"Pass"</formula>
    </cfRule>
  </conditionalFormatting>
  <conditionalFormatting sqref="U453 V453:V455">
    <cfRule type="cellIs" dxfId="1287" priority="141" stopIfTrue="1" operator="equal">
      <formula>"Fail"</formula>
    </cfRule>
    <cfRule type="cellIs" dxfId="1286" priority="142" stopIfTrue="1" operator="equal">
      <formula>"Pass"</formula>
    </cfRule>
  </conditionalFormatting>
  <conditionalFormatting sqref="U456 V456:V458">
    <cfRule type="cellIs" dxfId="1285" priority="139" stopIfTrue="1" operator="equal">
      <formula>"Fail"</formula>
    </cfRule>
    <cfRule type="cellIs" dxfId="1284" priority="140" stopIfTrue="1" operator="equal">
      <formula>"Pass"</formula>
    </cfRule>
  </conditionalFormatting>
  <conditionalFormatting sqref="U459 V459:V461">
    <cfRule type="cellIs" dxfId="1283" priority="137" stopIfTrue="1" operator="equal">
      <formula>"Fail"</formula>
    </cfRule>
    <cfRule type="cellIs" dxfId="1282" priority="138" stopIfTrue="1" operator="equal">
      <formula>"Pass"</formula>
    </cfRule>
  </conditionalFormatting>
  <conditionalFormatting sqref="U462 V462:V464">
    <cfRule type="cellIs" dxfId="1281" priority="135" stopIfTrue="1" operator="equal">
      <formula>"Fail"</formula>
    </cfRule>
    <cfRule type="cellIs" dxfId="1280" priority="136" stopIfTrue="1" operator="equal">
      <formula>"Pass"</formula>
    </cfRule>
  </conditionalFormatting>
  <conditionalFormatting sqref="U465 V465:V467">
    <cfRule type="cellIs" dxfId="1279" priority="133" stopIfTrue="1" operator="equal">
      <formula>"Fail"</formula>
    </cfRule>
    <cfRule type="cellIs" dxfId="1278" priority="134" stopIfTrue="1" operator="equal">
      <formula>"Pass"</formula>
    </cfRule>
  </conditionalFormatting>
  <conditionalFormatting sqref="U468 V468:V470">
    <cfRule type="cellIs" dxfId="1277" priority="131" stopIfTrue="1" operator="equal">
      <formula>"Fail"</formula>
    </cfRule>
    <cfRule type="cellIs" dxfId="1276" priority="132" stopIfTrue="1" operator="equal">
      <formula>"Pass"</formula>
    </cfRule>
  </conditionalFormatting>
  <conditionalFormatting sqref="U471 V471:V473">
    <cfRule type="cellIs" dxfId="1275" priority="129" stopIfTrue="1" operator="equal">
      <formula>"Fail"</formula>
    </cfRule>
    <cfRule type="cellIs" dxfId="1274" priority="130" stopIfTrue="1" operator="equal">
      <formula>"Pass"</formula>
    </cfRule>
  </conditionalFormatting>
  <conditionalFormatting sqref="U474 V474:V476">
    <cfRule type="cellIs" dxfId="1273" priority="127" stopIfTrue="1" operator="equal">
      <formula>"Fail"</formula>
    </cfRule>
    <cfRule type="cellIs" dxfId="1272" priority="128" stopIfTrue="1" operator="equal">
      <formula>"Pass"</formula>
    </cfRule>
  </conditionalFormatting>
  <conditionalFormatting sqref="U477 V477:V479">
    <cfRule type="cellIs" dxfId="1271" priority="125" stopIfTrue="1" operator="equal">
      <formula>"Fail"</formula>
    </cfRule>
    <cfRule type="cellIs" dxfId="1270" priority="126" stopIfTrue="1" operator="equal">
      <formula>"Pass"</formula>
    </cfRule>
  </conditionalFormatting>
  <conditionalFormatting sqref="U480 V480:V482">
    <cfRule type="cellIs" dxfId="1269" priority="123" stopIfTrue="1" operator="equal">
      <formula>"Fail"</formula>
    </cfRule>
    <cfRule type="cellIs" dxfId="1268" priority="124" stopIfTrue="1" operator="equal">
      <formula>"Pass"</formula>
    </cfRule>
  </conditionalFormatting>
  <conditionalFormatting sqref="U483 V483:V485">
    <cfRule type="cellIs" dxfId="1267" priority="121" stopIfTrue="1" operator="equal">
      <formula>"Fail"</formula>
    </cfRule>
    <cfRule type="cellIs" dxfId="1266" priority="122" stopIfTrue="1" operator="equal">
      <formula>"Pass"</formula>
    </cfRule>
  </conditionalFormatting>
  <conditionalFormatting sqref="U486 V486:V488">
    <cfRule type="cellIs" dxfId="1265" priority="119" stopIfTrue="1" operator="equal">
      <formula>"Fail"</formula>
    </cfRule>
    <cfRule type="cellIs" dxfId="1264" priority="120" stopIfTrue="1" operator="equal">
      <formula>"Pass"</formula>
    </cfRule>
  </conditionalFormatting>
  <conditionalFormatting sqref="U489 V489:V491">
    <cfRule type="cellIs" dxfId="1263" priority="117" stopIfTrue="1" operator="equal">
      <formula>"Fail"</formula>
    </cfRule>
    <cfRule type="cellIs" dxfId="1262" priority="118" stopIfTrue="1" operator="equal">
      <formula>"Pass"</formula>
    </cfRule>
  </conditionalFormatting>
  <conditionalFormatting sqref="U492 V492:V494">
    <cfRule type="cellIs" dxfId="1261" priority="115" stopIfTrue="1" operator="equal">
      <formula>"Fail"</formula>
    </cfRule>
    <cfRule type="cellIs" dxfId="1260" priority="116" stopIfTrue="1" operator="equal">
      <formula>"Pass"</formula>
    </cfRule>
  </conditionalFormatting>
  <conditionalFormatting sqref="U495 V495:V497">
    <cfRule type="cellIs" dxfId="1259" priority="113" stopIfTrue="1" operator="equal">
      <formula>"Fail"</formula>
    </cfRule>
    <cfRule type="cellIs" dxfId="1258" priority="114" stopIfTrue="1" operator="equal">
      <formula>"Pass"</formula>
    </cfRule>
  </conditionalFormatting>
  <conditionalFormatting sqref="U498 V498:V500">
    <cfRule type="cellIs" dxfId="1257" priority="111" stopIfTrue="1" operator="equal">
      <formula>"Fail"</formula>
    </cfRule>
    <cfRule type="cellIs" dxfId="1256" priority="112" stopIfTrue="1" operator="equal">
      <formula>"Pass"</formula>
    </cfRule>
  </conditionalFormatting>
  <conditionalFormatting sqref="U501 V501:V503">
    <cfRule type="cellIs" dxfId="1255" priority="109" stopIfTrue="1" operator="equal">
      <formula>"Fail"</formula>
    </cfRule>
    <cfRule type="cellIs" dxfId="1254" priority="110" stopIfTrue="1" operator="equal">
      <formula>"Pass"</formula>
    </cfRule>
  </conditionalFormatting>
  <conditionalFormatting sqref="U504 V504:V506">
    <cfRule type="cellIs" dxfId="1253" priority="107" stopIfTrue="1" operator="equal">
      <formula>"Fail"</formula>
    </cfRule>
    <cfRule type="cellIs" dxfId="1252" priority="108" stopIfTrue="1" operator="equal">
      <formula>"Pass"</formula>
    </cfRule>
  </conditionalFormatting>
  <conditionalFormatting sqref="U507 V507:V509">
    <cfRule type="cellIs" dxfId="1251" priority="105" stopIfTrue="1" operator="equal">
      <formula>"Fail"</formula>
    </cfRule>
    <cfRule type="cellIs" dxfId="1250" priority="106" stopIfTrue="1" operator="equal">
      <formula>"Pass"</formula>
    </cfRule>
  </conditionalFormatting>
  <conditionalFormatting sqref="U510 V510:V512">
    <cfRule type="cellIs" dxfId="1249" priority="103" stopIfTrue="1" operator="equal">
      <formula>"Fail"</formula>
    </cfRule>
    <cfRule type="cellIs" dxfId="1248" priority="104" stopIfTrue="1" operator="equal">
      <formula>"Pass"</formula>
    </cfRule>
  </conditionalFormatting>
  <conditionalFormatting sqref="U513 V513:V515">
    <cfRule type="cellIs" dxfId="1247" priority="101" stopIfTrue="1" operator="equal">
      <formula>"Fail"</formula>
    </cfRule>
    <cfRule type="cellIs" dxfId="1246" priority="102" stopIfTrue="1" operator="equal">
      <formula>"Pass"</formula>
    </cfRule>
  </conditionalFormatting>
  <conditionalFormatting sqref="U516 V516:V518">
    <cfRule type="cellIs" dxfId="1245" priority="99" stopIfTrue="1" operator="equal">
      <formula>"Fail"</formula>
    </cfRule>
    <cfRule type="cellIs" dxfId="1244" priority="100" stopIfTrue="1" operator="equal">
      <formula>"Pass"</formula>
    </cfRule>
  </conditionalFormatting>
  <conditionalFormatting sqref="U519 V519:V521">
    <cfRule type="cellIs" dxfId="1243" priority="97" stopIfTrue="1" operator="equal">
      <formula>"Fail"</formula>
    </cfRule>
    <cfRule type="cellIs" dxfId="1242" priority="98" stopIfTrue="1" operator="equal">
      <formula>"Pass"</formula>
    </cfRule>
  </conditionalFormatting>
  <conditionalFormatting sqref="U522 V522:V524">
    <cfRule type="cellIs" dxfId="1241" priority="95" stopIfTrue="1" operator="equal">
      <formula>"Fail"</formula>
    </cfRule>
    <cfRule type="cellIs" dxfId="1240" priority="96" stopIfTrue="1" operator="equal">
      <formula>"Pass"</formula>
    </cfRule>
  </conditionalFormatting>
  <conditionalFormatting sqref="U525 V525:V527">
    <cfRule type="cellIs" dxfId="1239" priority="93" stopIfTrue="1" operator="equal">
      <formula>"Fail"</formula>
    </cfRule>
    <cfRule type="cellIs" dxfId="1238" priority="94" stopIfTrue="1" operator="equal">
      <formula>"Pass"</formula>
    </cfRule>
  </conditionalFormatting>
  <conditionalFormatting sqref="U528 V528:V530">
    <cfRule type="cellIs" dxfId="1237" priority="91" stopIfTrue="1" operator="equal">
      <formula>"Fail"</formula>
    </cfRule>
    <cfRule type="cellIs" dxfId="1236" priority="92" stopIfTrue="1" operator="equal">
      <formula>"Pass"</formula>
    </cfRule>
  </conditionalFormatting>
  <conditionalFormatting sqref="U531 V531:V533">
    <cfRule type="cellIs" dxfId="1235" priority="89" stopIfTrue="1" operator="equal">
      <formula>"Fail"</formula>
    </cfRule>
    <cfRule type="cellIs" dxfId="1234" priority="90" stopIfTrue="1" operator="equal">
      <formula>"Pass"</formula>
    </cfRule>
  </conditionalFormatting>
  <conditionalFormatting sqref="U534 V534:V536">
    <cfRule type="cellIs" dxfId="1233" priority="87" stopIfTrue="1" operator="equal">
      <formula>"Fail"</formula>
    </cfRule>
    <cfRule type="cellIs" dxfId="1232" priority="88" stopIfTrue="1" operator="equal">
      <formula>"Pass"</formula>
    </cfRule>
  </conditionalFormatting>
  <conditionalFormatting sqref="U537 V537:V539">
    <cfRule type="cellIs" dxfId="1231" priority="85" stopIfTrue="1" operator="equal">
      <formula>"Fail"</formula>
    </cfRule>
    <cfRule type="cellIs" dxfId="1230" priority="86" stopIfTrue="1" operator="equal">
      <formula>"Pass"</formula>
    </cfRule>
  </conditionalFormatting>
  <conditionalFormatting sqref="U540 V540:V542">
    <cfRule type="cellIs" dxfId="1229" priority="83" stopIfTrue="1" operator="equal">
      <formula>"Fail"</formula>
    </cfRule>
    <cfRule type="cellIs" dxfId="1228" priority="84" stopIfTrue="1" operator="equal">
      <formula>"Pass"</formula>
    </cfRule>
  </conditionalFormatting>
  <conditionalFormatting sqref="U543 V543:V545">
    <cfRule type="cellIs" dxfId="1227" priority="81" stopIfTrue="1" operator="equal">
      <formula>"Fail"</formula>
    </cfRule>
    <cfRule type="cellIs" dxfId="1226" priority="82" stopIfTrue="1" operator="equal">
      <formula>"Pass"</formula>
    </cfRule>
  </conditionalFormatting>
  <conditionalFormatting sqref="U546 V546:V548">
    <cfRule type="cellIs" dxfId="1225" priority="79" stopIfTrue="1" operator="equal">
      <formula>"Fail"</formula>
    </cfRule>
    <cfRule type="cellIs" dxfId="1224" priority="80" stopIfTrue="1" operator="equal">
      <formula>"Pass"</formula>
    </cfRule>
  </conditionalFormatting>
  <conditionalFormatting sqref="U549 V549:V551">
    <cfRule type="cellIs" dxfId="1223" priority="77" stopIfTrue="1" operator="equal">
      <formula>"Fail"</formula>
    </cfRule>
    <cfRule type="cellIs" dxfId="1222" priority="78" stopIfTrue="1" operator="equal">
      <formula>"Pass"</formula>
    </cfRule>
  </conditionalFormatting>
  <conditionalFormatting sqref="U552 V552:V554">
    <cfRule type="cellIs" dxfId="1221" priority="75" stopIfTrue="1" operator="equal">
      <formula>"Fail"</formula>
    </cfRule>
    <cfRule type="cellIs" dxfId="1220" priority="76" stopIfTrue="1" operator="equal">
      <formula>"Pass"</formula>
    </cfRule>
  </conditionalFormatting>
  <conditionalFormatting sqref="U555 V555:V557">
    <cfRule type="cellIs" dxfId="1219" priority="73" stopIfTrue="1" operator="equal">
      <formula>"Fail"</formula>
    </cfRule>
    <cfRule type="cellIs" dxfId="1218" priority="74" stopIfTrue="1" operator="equal">
      <formula>"Pass"</formula>
    </cfRule>
  </conditionalFormatting>
  <conditionalFormatting sqref="U558 V558:V560">
    <cfRule type="cellIs" dxfId="1217" priority="71" stopIfTrue="1" operator="equal">
      <formula>"Fail"</formula>
    </cfRule>
    <cfRule type="cellIs" dxfId="1216" priority="72" stopIfTrue="1" operator="equal">
      <formula>"Pass"</formula>
    </cfRule>
  </conditionalFormatting>
  <conditionalFormatting sqref="U561 V561:V563">
    <cfRule type="cellIs" dxfId="1215" priority="69" stopIfTrue="1" operator="equal">
      <formula>"Fail"</formula>
    </cfRule>
    <cfRule type="cellIs" dxfId="1214" priority="70" stopIfTrue="1" operator="equal">
      <formula>"Pass"</formula>
    </cfRule>
  </conditionalFormatting>
  <conditionalFormatting sqref="U564 V564:V566">
    <cfRule type="cellIs" dxfId="1213" priority="67" stopIfTrue="1" operator="equal">
      <formula>"Fail"</formula>
    </cfRule>
    <cfRule type="cellIs" dxfId="1212" priority="68" stopIfTrue="1" operator="equal">
      <formula>"Pass"</formula>
    </cfRule>
  </conditionalFormatting>
  <conditionalFormatting sqref="U567 V567:V569">
    <cfRule type="cellIs" dxfId="1211" priority="65" stopIfTrue="1" operator="equal">
      <formula>"Fail"</formula>
    </cfRule>
    <cfRule type="cellIs" dxfId="1210" priority="66" stopIfTrue="1" operator="equal">
      <formula>"Pass"</formula>
    </cfRule>
  </conditionalFormatting>
  <conditionalFormatting sqref="U570 V570:V572">
    <cfRule type="cellIs" dxfId="1209" priority="63" stopIfTrue="1" operator="equal">
      <formula>"Fail"</formula>
    </cfRule>
    <cfRule type="cellIs" dxfId="1208" priority="64" stopIfTrue="1" operator="equal">
      <formula>"Pass"</formula>
    </cfRule>
  </conditionalFormatting>
  <conditionalFormatting sqref="U573 V573:V575">
    <cfRule type="cellIs" dxfId="1207" priority="61" stopIfTrue="1" operator="equal">
      <formula>"Fail"</formula>
    </cfRule>
    <cfRule type="cellIs" dxfId="1206" priority="62" stopIfTrue="1" operator="equal">
      <formula>"Pass"</formula>
    </cfRule>
  </conditionalFormatting>
  <conditionalFormatting sqref="U576 V576:V578">
    <cfRule type="cellIs" dxfId="1205" priority="59" stopIfTrue="1" operator="equal">
      <formula>"Fail"</formula>
    </cfRule>
    <cfRule type="cellIs" dxfId="1204" priority="60" stopIfTrue="1" operator="equal">
      <formula>"Pass"</formula>
    </cfRule>
  </conditionalFormatting>
  <conditionalFormatting sqref="U579 V579:V581">
    <cfRule type="cellIs" dxfId="1203" priority="57" stopIfTrue="1" operator="equal">
      <formula>"Fail"</formula>
    </cfRule>
    <cfRule type="cellIs" dxfId="1202" priority="58" stopIfTrue="1" operator="equal">
      <formula>"Pass"</formula>
    </cfRule>
  </conditionalFormatting>
  <conditionalFormatting sqref="U582 V582:V584">
    <cfRule type="cellIs" dxfId="1201" priority="55" stopIfTrue="1" operator="equal">
      <formula>"Fail"</formula>
    </cfRule>
    <cfRule type="cellIs" dxfId="1200" priority="56" stopIfTrue="1" operator="equal">
      <formula>"Pass"</formula>
    </cfRule>
  </conditionalFormatting>
  <conditionalFormatting sqref="U585 V585:V587">
    <cfRule type="cellIs" dxfId="1199" priority="53" stopIfTrue="1" operator="equal">
      <formula>"Fail"</formula>
    </cfRule>
    <cfRule type="cellIs" dxfId="1198" priority="54" stopIfTrue="1" operator="equal">
      <formula>"Pass"</formula>
    </cfRule>
  </conditionalFormatting>
  <conditionalFormatting sqref="U588 V588:V590">
    <cfRule type="cellIs" dxfId="1197" priority="51" stopIfTrue="1" operator="equal">
      <formula>"Fail"</formula>
    </cfRule>
    <cfRule type="cellIs" dxfId="1196" priority="52" stopIfTrue="1" operator="equal">
      <formula>"Pass"</formula>
    </cfRule>
  </conditionalFormatting>
  <conditionalFormatting sqref="U591 V591:V593">
    <cfRule type="cellIs" dxfId="1195" priority="49" stopIfTrue="1" operator="equal">
      <formula>"Fail"</formula>
    </cfRule>
    <cfRule type="cellIs" dxfId="1194" priority="50" stopIfTrue="1" operator="equal">
      <formula>"Pass"</formula>
    </cfRule>
  </conditionalFormatting>
  <conditionalFormatting sqref="U594 V594:V596">
    <cfRule type="cellIs" dxfId="1193" priority="47" stopIfTrue="1" operator="equal">
      <formula>"Fail"</formula>
    </cfRule>
    <cfRule type="cellIs" dxfId="1192" priority="48" stopIfTrue="1" operator="equal">
      <formula>"Pass"</formula>
    </cfRule>
  </conditionalFormatting>
  <conditionalFormatting sqref="U597 V597:V599">
    <cfRule type="cellIs" dxfId="1191" priority="45" stopIfTrue="1" operator="equal">
      <formula>"Fail"</formula>
    </cfRule>
    <cfRule type="cellIs" dxfId="1190" priority="46" stopIfTrue="1" operator="equal">
      <formula>"Pass"</formula>
    </cfRule>
  </conditionalFormatting>
  <conditionalFormatting sqref="U600 V600:V602">
    <cfRule type="cellIs" dxfId="1189" priority="43" stopIfTrue="1" operator="equal">
      <formula>"Fail"</formula>
    </cfRule>
    <cfRule type="cellIs" dxfId="1188" priority="44" stopIfTrue="1" operator="equal">
      <formula>"Pass"</formula>
    </cfRule>
  </conditionalFormatting>
  <conditionalFormatting sqref="U603 V603:V605">
    <cfRule type="cellIs" dxfId="1187" priority="41" stopIfTrue="1" operator="equal">
      <formula>"Fail"</formula>
    </cfRule>
    <cfRule type="cellIs" dxfId="1186" priority="42" stopIfTrue="1" operator="equal">
      <formula>"Pass"</formula>
    </cfRule>
  </conditionalFormatting>
  <conditionalFormatting sqref="U606 V606:V608">
    <cfRule type="cellIs" dxfId="1185" priority="39" stopIfTrue="1" operator="equal">
      <formula>"Fail"</formula>
    </cfRule>
    <cfRule type="cellIs" dxfId="1184" priority="40" stopIfTrue="1" operator="equal">
      <formula>"Pass"</formula>
    </cfRule>
  </conditionalFormatting>
  <conditionalFormatting sqref="U609 V609:V611">
    <cfRule type="cellIs" dxfId="1183" priority="37" stopIfTrue="1" operator="equal">
      <formula>"Fail"</formula>
    </cfRule>
    <cfRule type="cellIs" dxfId="1182" priority="38" stopIfTrue="1" operator="equal">
      <formula>"Pass"</formula>
    </cfRule>
  </conditionalFormatting>
  <conditionalFormatting sqref="U612 V612:V614">
    <cfRule type="cellIs" dxfId="1181" priority="35" stopIfTrue="1" operator="equal">
      <formula>"Fail"</formula>
    </cfRule>
    <cfRule type="cellIs" dxfId="1180" priority="36" stopIfTrue="1" operator="equal">
      <formula>"Pass"</formula>
    </cfRule>
  </conditionalFormatting>
  <conditionalFormatting sqref="U615 V615:V617">
    <cfRule type="cellIs" dxfId="1179" priority="33" stopIfTrue="1" operator="equal">
      <formula>"Fail"</formula>
    </cfRule>
    <cfRule type="cellIs" dxfId="1178" priority="34" stopIfTrue="1" operator="equal">
      <formula>"Pass"</formula>
    </cfRule>
  </conditionalFormatting>
  <conditionalFormatting sqref="U618 V618:V620">
    <cfRule type="cellIs" dxfId="1177" priority="31" stopIfTrue="1" operator="equal">
      <formula>"Fail"</formula>
    </cfRule>
    <cfRule type="cellIs" dxfId="1176" priority="32" stopIfTrue="1" operator="equal">
      <formula>"Pass"</formula>
    </cfRule>
  </conditionalFormatting>
  <conditionalFormatting sqref="U621 V621:V623">
    <cfRule type="cellIs" dxfId="1175" priority="29" stopIfTrue="1" operator="equal">
      <formula>"Fail"</formula>
    </cfRule>
    <cfRule type="cellIs" dxfId="1174" priority="30" stopIfTrue="1" operator="equal">
      <formula>"Pass"</formula>
    </cfRule>
  </conditionalFormatting>
  <conditionalFormatting sqref="U624 V624:V626">
    <cfRule type="cellIs" dxfId="1173" priority="27" stopIfTrue="1" operator="equal">
      <formula>"Fail"</formula>
    </cfRule>
    <cfRule type="cellIs" dxfId="1172" priority="28" stopIfTrue="1" operator="equal">
      <formula>"Pass"</formula>
    </cfRule>
  </conditionalFormatting>
  <conditionalFormatting sqref="U627 V627:V629">
    <cfRule type="cellIs" dxfId="1171" priority="25" stopIfTrue="1" operator="equal">
      <formula>"Fail"</formula>
    </cfRule>
    <cfRule type="cellIs" dxfId="1170" priority="26" stopIfTrue="1" operator="equal">
      <formula>"Pass"</formula>
    </cfRule>
  </conditionalFormatting>
  <conditionalFormatting sqref="U630 V630:V632">
    <cfRule type="cellIs" dxfId="1169" priority="23" stopIfTrue="1" operator="equal">
      <formula>"Fail"</formula>
    </cfRule>
    <cfRule type="cellIs" dxfId="1168" priority="24" stopIfTrue="1" operator="equal">
      <formula>"Pass"</formula>
    </cfRule>
  </conditionalFormatting>
  <conditionalFormatting sqref="U633 V633:V635">
    <cfRule type="cellIs" dxfId="1167" priority="21" stopIfTrue="1" operator="equal">
      <formula>"Fail"</formula>
    </cfRule>
    <cfRule type="cellIs" dxfId="1166" priority="22" stopIfTrue="1" operator="equal">
      <formula>"Pass"</formula>
    </cfRule>
  </conditionalFormatting>
  <conditionalFormatting sqref="U636 V636:V638">
    <cfRule type="cellIs" dxfId="1165" priority="19" stopIfTrue="1" operator="equal">
      <formula>"Fail"</formula>
    </cfRule>
    <cfRule type="cellIs" dxfId="1164" priority="20" stopIfTrue="1" operator="equal">
      <formula>"Pass"</formula>
    </cfRule>
  </conditionalFormatting>
  <conditionalFormatting sqref="U639 V639:V641">
    <cfRule type="cellIs" dxfId="1163" priority="17" stopIfTrue="1" operator="equal">
      <formula>"Fail"</formula>
    </cfRule>
    <cfRule type="cellIs" dxfId="1162" priority="18" stopIfTrue="1" operator="equal">
      <formula>"Pass"</formula>
    </cfRule>
  </conditionalFormatting>
  <conditionalFormatting sqref="U642 V642:V644">
    <cfRule type="cellIs" dxfId="1161" priority="15" stopIfTrue="1" operator="equal">
      <formula>"Fail"</formula>
    </cfRule>
    <cfRule type="cellIs" dxfId="1160" priority="16" stopIfTrue="1" operator="equal">
      <formula>"Pass"</formula>
    </cfRule>
  </conditionalFormatting>
  <conditionalFormatting sqref="U645 V645:V647">
    <cfRule type="cellIs" dxfId="1159" priority="13" stopIfTrue="1" operator="equal">
      <formula>"Fail"</formula>
    </cfRule>
    <cfRule type="cellIs" dxfId="1158" priority="14" stopIfTrue="1" operator="equal">
      <formula>"Pass"</formula>
    </cfRule>
  </conditionalFormatting>
  <conditionalFormatting sqref="U648 V648:V650">
    <cfRule type="cellIs" dxfId="1157" priority="11" stopIfTrue="1" operator="equal">
      <formula>"Fail"</formula>
    </cfRule>
    <cfRule type="cellIs" dxfId="1156" priority="12" stopIfTrue="1" operator="equal">
      <formula>"Pass"</formula>
    </cfRule>
  </conditionalFormatting>
  <conditionalFormatting sqref="U651 V651:V653">
    <cfRule type="cellIs" dxfId="1155" priority="9" stopIfTrue="1" operator="equal">
      <formula>"Fail"</formula>
    </cfRule>
    <cfRule type="cellIs" dxfId="1154" priority="10" stopIfTrue="1" operator="equal">
      <formula>"Pass"</formula>
    </cfRule>
  </conditionalFormatting>
  <conditionalFormatting sqref="U654 V654:V656">
    <cfRule type="cellIs" dxfId="1153" priority="7" stopIfTrue="1" operator="equal">
      <formula>"Fail"</formula>
    </cfRule>
    <cfRule type="cellIs" dxfId="1152" priority="8" stopIfTrue="1" operator="equal">
      <formula>"Pass"</formula>
    </cfRule>
  </conditionalFormatting>
  <conditionalFormatting sqref="U657 V657:V659">
    <cfRule type="cellIs" dxfId="1151" priority="5" stopIfTrue="1" operator="equal">
      <formula>"Fail"</formula>
    </cfRule>
    <cfRule type="cellIs" dxfId="1150" priority="6" stopIfTrue="1" operator="equal">
      <formula>"Pass"</formula>
    </cfRule>
  </conditionalFormatting>
  <conditionalFormatting sqref="U660 V660:V662">
    <cfRule type="cellIs" dxfId="1149" priority="3" stopIfTrue="1" operator="equal">
      <formula>"Fail"</formula>
    </cfRule>
    <cfRule type="cellIs" dxfId="1148" priority="4" stopIfTrue="1" operator="equal">
      <formula>"Pass"</formula>
    </cfRule>
  </conditionalFormatting>
  <conditionalFormatting sqref="U432 V432:V434">
    <cfRule type="cellIs" dxfId="1147" priority="1" stopIfTrue="1" operator="equal">
      <formula>"Fail"</formula>
    </cfRule>
    <cfRule type="cellIs" dxfId="114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K665"/>
  <sheetViews>
    <sheetView zoomScale="70" zoomScaleNormal="70" workbookViewId="0">
      <pane ySplit="11" topLeftCell="A12" activePane="bottomLeft" state="frozen"/>
      <selection pane="bottomLeft" activeCell="E26" sqref="E26"/>
    </sheetView>
  </sheetViews>
  <sheetFormatPr defaultColWidth="9" defaultRowHeight="15.6" x14ac:dyDescent="0.3"/>
  <cols>
    <col min="1" max="1" width="13.69921875" style="378" customWidth="1"/>
    <col min="2" max="2" width="15.097656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984375" style="323" customWidth="1"/>
    <col min="30" max="33" width="9" style="302"/>
    <col min="34" max="34" width="9" style="122" customWidth="1"/>
    <col min="35" max="35" width="9" style="122"/>
    <col min="36" max="16384" width="9" style="123"/>
  </cols>
  <sheetData>
    <row r="1" spans="1:35" s="182" customFormat="1" x14ac:dyDescent="0.3">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x14ac:dyDescent="0.3">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x14ac:dyDescent="0.3">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x14ac:dyDescent="0.3">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x14ac:dyDescent="0.3">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x14ac:dyDescent="0.3">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x14ac:dyDescent="0.3">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2" thickBot="1" x14ac:dyDescent="0.35">
      <c r="A8" s="321"/>
      <c r="B8" s="401"/>
      <c r="C8" s="410"/>
      <c r="D8" s="430" t="s">
        <v>145</v>
      </c>
      <c r="E8" s="431"/>
      <c r="F8" s="431"/>
      <c r="G8" s="431"/>
      <c r="H8" s="431"/>
      <c r="I8" s="431"/>
      <c r="J8" s="431"/>
      <c r="K8" s="431"/>
      <c r="L8" s="431"/>
      <c r="M8" s="431"/>
      <c r="N8" s="431"/>
      <c r="O8" s="431"/>
      <c r="P8" s="431"/>
      <c r="Q8" s="431"/>
      <c r="R8" s="431"/>
      <c r="S8" s="431"/>
      <c r="T8" s="432"/>
      <c r="X8" s="322"/>
      <c r="AA8" s="123"/>
      <c r="AB8" s="123"/>
      <c r="AD8" s="123"/>
      <c r="AE8" s="123"/>
      <c r="AF8" s="123"/>
      <c r="AG8" s="123"/>
      <c r="AH8" s="123"/>
      <c r="AI8" s="123"/>
    </row>
    <row r="9" spans="1:35" x14ac:dyDescent="0.3">
      <c r="A9" s="400"/>
      <c r="B9" s="401"/>
      <c r="C9" s="401" t="s">
        <v>258</v>
      </c>
      <c r="D9" s="414">
        <v>0</v>
      </c>
      <c r="E9" s="414">
        <v>0</v>
      </c>
      <c r="F9" s="414">
        <v>0</v>
      </c>
      <c r="G9" s="414">
        <v>0</v>
      </c>
      <c r="H9" s="414">
        <v>0</v>
      </c>
      <c r="I9" s="414">
        <v>0</v>
      </c>
      <c r="J9" s="414">
        <v>0</v>
      </c>
      <c r="K9" s="414">
        <v>0</v>
      </c>
      <c r="L9" s="414">
        <v>0</v>
      </c>
      <c r="M9" s="414">
        <v>-90</v>
      </c>
      <c r="N9" s="414">
        <v>-67.5</v>
      </c>
      <c r="O9" s="414">
        <v>-45</v>
      </c>
      <c r="P9" s="414">
        <v>-22.5</v>
      </c>
      <c r="Q9" s="414">
        <v>22.5</v>
      </c>
      <c r="R9" s="414">
        <v>45</v>
      </c>
      <c r="S9" s="414">
        <v>67.5</v>
      </c>
      <c r="T9" s="414">
        <v>90</v>
      </c>
      <c r="X9" s="402"/>
      <c r="AA9" s="123"/>
      <c r="AB9" s="123"/>
      <c r="AD9" s="123"/>
      <c r="AE9" s="123"/>
      <c r="AF9" s="123"/>
      <c r="AG9" s="123"/>
      <c r="AH9" s="123"/>
      <c r="AI9" s="123"/>
    </row>
    <row r="10" spans="1:35" ht="16.2" thickBot="1" x14ac:dyDescent="0.35">
      <c r="A10" s="400"/>
      <c r="B10" s="401"/>
      <c r="C10" s="401" t="s">
        <v>259</v>
      </c>
      <c r="D10" s="414">
        <v>90</v>
      </c>
      <c r="E10" s="414">
        <v>67.5</v>
      </c>
      <c r="F10" s="414">
        <v>45</v>
      </c>
      <c r="G10" s="414">
        <v>22.5</v>
      </c>
      <c r="H10" s="414">
        <v>0</v>
      </c>
      <c r="I10" s="414">
        <v>-22.5</v>
      </c>
      <c r="J10" s="414">
        <v>-45</v>
      </c>
      <c r="K10" s="414">
        <v>-67.5</v>
      </c>
      <c r="L10" s="414">
        <v>-90</v>
      </c>
      <c r="M10" s="414">
        <v>0</v>
      </c>
      <c r="N10" s="414">
        <v>0</v>
      </c>
      <c r="O10" s="414">
        <v>0</v>
      </c>
      <c r="P10" s="414">
        <v>0</v>
      </c>
      <c r="Q10" s="414">
        <v>0</v>
      </c>
      <c r="R10" s="414">
        <v>0</v>
      </c>
      <c r="S10" s="414">
        <v>0</v>
      </c>
      <c r="T10" s="414">
        <v>0</v>
      </c>
      <c r="X10" s="402"/>
      <c r="AA10" s="123"/>
      <c r="AB10" s="123"/>
      <c r="AD10" s="123"/>
      <c r="AE10" s="123"/>
      <c r="AF10" s="123"/>
      <c r="AG10" s="123"/>
      <c r="AH10" s="123"/>
      <c r="AI10" s="123"/>
    </row>
    <row r="11" spans="1:35" s="223" customFormat="1" ht="42" customHeight="1" thickBot="1" x14ac:dyDescent="0.35">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x14ac:dyDescent="0.3">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x14ac:dyDescent="0.3">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1.8" thickBot="1" x14ac:dyDescent="0.35">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x14ac:dyDescent="0.3">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x14ac:dyDescent="0.3">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1.8" thickBot="1" x14ac:dyDescent="0.35">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x14ac:dyDescent="0.3">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x14ac:dyDescent="0.3">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1.8" thickBot="1" x14ac:dyDescent="0.35">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x14ac:dyDescent="0.3">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x14ac:dyDescent="0.3">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1.8" thickBot="1" x14ac:dyDescent="0.35">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x14ac:dyDescent="0.3">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x14ac:dyDescent="0.3">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1.8" thickBot="1" x14ac:dyDescent="0.35">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x14ac:dyDescent="0.3">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x14ac:dyDescent="0.3">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1.8" thickBot="1" x14ac:dyDescent="0.35">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x14ac:dyDescent="0.3">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x14ac:dyDescent="0.3">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1.8" thickBot="1" x14ac:dyDescent="0.35">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x14ac:dyDescent="0.3">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x14ac:dyDescent="0.3">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1.8" thickBot="1" x14ac:dyDescent="0.35">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x14ac:dyDescent="0.3">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x14ac:dyDescent="0.3">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1.8" thickBot="1" x14ac:dyDescent="0.35">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x14ac:dyDescent="0.3">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x14ac:dyDescent="0.3">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1.8" thickBot="1" x14ac:dyDescent="0.35">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x14ac:dyDescent="0.3">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x14ac:dyDescent="0.3">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1.8" thickBot="1" x14ac:dyDescent="0.35">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x14ac:dyDescent="0.3">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x14ac:dyDescent="0.3">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1.8" thickBot="1" x14ac:dyDescent="0.35">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x14ac:dyDescent="0.3">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x14ac:dyDescent="0.3">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1.8" thickBot="1" x14ac:dyDescent="0.35">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x14ac:dyDescent="0.3">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x14ac:dyDescent="0.3">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1.8" thickBot="1" x14ac:dyDescent="0.35">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x14ac:dyDescent="0.3">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x14ac:dyDescent="0.3">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1.8" thickBot="1" x14ac:dyDescent="0.35">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x14ac:dyDescent="0.3">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x14ac:dyDescent="0.3">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1.8" thickBot="1" x14ac:dyDescent="0.35">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x14ac:dyDescent="0.3">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x14ac:dyDescent="0.3">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1.8" thickBot="1" x14ac:dyDescent="0.35">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x14ac:dyDescent="0.3">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x14ac:dyDescent="0.3">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1.8" thickBot="1" x14ac:dyDescent="0.35">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x14ac:dyDescent="0.3">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x14ac:dyDescent="0.3">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1.8" thickBot="1" x14ac:dyDescent="0.35">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x14ac:dyDescent="0.3">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x14ac:dyDescent="0.3">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1.8" thickBot="1" x14ac:dyDescent="0.35">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x14ac:dyDescent="0.3">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x14ac:dyDescent="0.3">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1.8" thickBot="1" x14ac:dyDescent="0.35">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x14ac:dyDescent="0.3">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x14ac:dyDescent="0.3">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1.8" thickBot="1" x14ac:dyDescent="0.35">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x14ac:dyDescent="0.3">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x14ac:dyDescent="0.3">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1.8" thickBot="1" x14ac:dyDescent="0.35">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x14ac:dyDescent="0.3">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x14ac:dyDescent="0.3">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1.8" thickBot="1" x14ac:dyDescent="0.35">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x14ac:dyDescent="0.3">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x14ac:dyDescent="0.3">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1.8" thickBot="1" x14ac:dyDescent="0.35">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x14ac:dyDescent="0.3">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x14ac:dyDescent="0.3">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1.8" thickBot="1" x14ac:dyDescent="0.35">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x14ac:dyDescent="0.3">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x14ac:dyDescent="0.3">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1.8" thickBot="1" x14ac:dyDescent="0.35">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x14ac:dyDescent="0.3">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x14ac:dyDescent="0.3">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1.8" thickBot="1" x14ac:dyDescent="0.35">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x14ac:dyDescent="0.3">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x14ac:dyDescent="0.3">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1.8" thickBot="1" x14ac:dyDescent="0.35">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x14ac:dyDescent="0.3">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x14ac:dyDescent="0.3">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1.8" thickBot="1" x14ac:dyDescent="0.35">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x14ac:dyDescent="0.3">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x14ac:dyDescent="0.3">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1.8" thickBot="1" x14ac:dyDescent="0.35">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x14ac:dyDescent="0.3">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x14ac:dyDescent="0.3">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1.8" thickBot="1" x14ac:dyDescent="0.35">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x14ac:dyDescent="0.3">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x14ac:dyDescent="0.3">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1.8" thickBot="1" x14ac:dyDescent="0.35">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x14ac:dyDescent="0.3">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x14ac:dyDescent="0.3">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1.8" thickBot="1" x14ac:dyDescent="0.35">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x14ac:dyDescent="0.3">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x14ac:dyDescent="0.3">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1.8" thickBot="1" x14ac:dyDescent="0.35">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x14ac:dyDescent="0.3">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x14ac:dyDescent="0.3">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1.8" thickBot="1" x14ac:dyDescent="0.35">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x14ac:dyDescent="0.3">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x14ac:dyDescent="0.3">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1.8" thickBot="1" x14ac:dyDescent="0.35">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x14ac:dyDescent="0.3">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x14ac:dyDescent="0.3">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1.8" thickBot="1" x14ac:dyDescent="0.35">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x14ac:dyDescent="0.3">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x14ac:dyDescent="0.3">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1.8" thickBot="1" x14ac:dyDescent="0.35">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x14ac:dyDescent="0.3">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x14ac:dyDescent="0.3">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1.8" thickBot="1" x14ac:dyDescent="0.35">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x14ac:dyDescent="0.3">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x14ac:dyDescent="0.3">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1.8" thickBot="1" x14ac:dyDescent="0.35">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x14ac:dyDescent="0.3">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x14ac:dyDescent="0.3">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1.8" thickBot="1" x14ac:dyDescent="0.35">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x14ac:dyDescent="0.3">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x14ac:dyDescent="0.3">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1.8" thickBot="1" x14ac:dyDescent="0.35">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x14ac:dyDescent="0.3">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x14ac:dyDescent="0.3">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1.8" thickBot="1" x14ac:dyDescent="0.35">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x14ac:dyDescent="0.3">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x14ac:dyDescent="0.3">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1.8" thickBot="1" x14ac:dyDescent="0.35">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x14ac:dyDescent="0.3">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x14ac:dyDescent="0.3">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1.8" thickBot="1" x14ac:dyDescent="0.35">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x14ac:dyDescent="0.3">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x14ac:dyDescent="0.3">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1.8" thickBot="1" x14ac:dyDescent="0.35">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x14ac:dyDescent="0.3">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x14ac:dyDescent="0.3">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1.8" thickBot="1" x14ac:dyDescent="0.35">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x14ac:dyDescent="0.3">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x14ac:dyDescent="0.3">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1.8" thickBot="1" x14ac:dyDescent="0.35">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x14ac:dyDescent="0.3">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x14ac:dyDescent="0.3">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1.8" thickBot="1" x14ac:dyDescent="0.35">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x14ac:dyDescent="0.3">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x14ac:dyDescent="0.3">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1.8" thickBot="1" x14ac:dyDescent="0.35">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x14ac:dyDescent="0.3">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x14ac:dyDescent="0.3">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1.8" thickBot="1" x14ac:dyDescent="0.35">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x14ac:dyDescent="0.3">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x14ac:dyDescent="0.3">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1.8" thickBot="1" x14ac:dyDescent="0.35">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x14ac:dyDescent="0.3">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x14ac:dyDescent="0.3">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1.8" thickBot="1" x14ac:dyDescent="0.35">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x14ac:dyDescent="0.3">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x14ac:dyDescent="0.3">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1.8" thickBot="1" x14ac:dyDescent="0.35">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x14ac:dyDescent="0.3">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x14ac:dyDescent="0.3">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1.8" thickBot="1" x14ac:dyDescent="0.35">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x14ac:dyDescent="0.3">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x14ac:dyDescent="0.3">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1.8" thickBot="1" x14ac:dyDescent="0.35">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x14ac:dyDescent="0.3">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x14ac:dyDescent="0.3">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1.8" thickBot="1" x14ac:dyDescent="0.35">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x14ac:dyDescent="0.3">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x14ac:dyDescent="0.3">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1.8" thickBot="1" x14ac:dyDescent="0.35">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x14ac:dyDescent="0.3">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x14ac:dyDescent="0.3">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1.8" thickBot="1" x14ac:dyDescent="0.35">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x14ac:dyDescent="0.3">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x14ac:dyDescent="0.3">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1.8" thickBot="1" x14ac:dyDescent="0.35">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x14ac:dyDescent="0.3">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x14ac:dyDescent="0.3">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1.8" thickBot="1" x14ac:dyDescent="0.35">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x14ac:dyDescent="0.3">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x14ac:dyDescent="0.3">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1.8" thickBot="1" x14ac:dyDescent="0.35">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x14ac:dyDescent="0.3">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x14ac:dyDescent="0.3">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1.8" thickBot="1" x14ac:dyDescent="0.35">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x14ac:dyDescent="0.3">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x14ac:dyDescent="0.3">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1.8" thickBot="1" x14ac:dyDescent="0.35">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x14ac:dyDescent="0.3">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x14ac:dyDescent="0.3">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1.8" thickBot="1" x14ac:dyDescent="0.35">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x14ac:dyDescent="0.3">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x14ac:dyDescent="0.3">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1.8" thickBot="1" x14ac:dyDescent="0.35">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x14ac:dyDescent="0.3">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x14ac:dyDescent="0.3">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1.8" thickBot="1" x14ac:dyDescent="0.35">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x14ac:dyDescent="0.3">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x14ac:dyDescent="0.3">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1.8" thickBot="1" x14ac:dyDescent="0.35">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x14ac:dyDescent="0.3">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x14ac:dyDescent="0.3">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1.8" thickBot="1" x14ac:dyDescent="0.35">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x14ac:dyDescent="0.3">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x14ac:dyDescent="0.3">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1.8" thickBot="1" x14ac:dyDescent="0.35">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x14ac:dyDescent="0.3">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x14ac:dyDescent="0.3">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1.8" thickBot="1" x14ac:dyDescent="0.35">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x14ac:dyDescent="0.3">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x14ac:dyDescent="0.3">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1.8" thickBot="1" x14ac:dyDescent="0.35">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x14ac:dyDescent="0.3">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x14ac:dyDescent="0.3">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1.8" thickBot="1" x14ac:dyDescent="0.35">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x14ac:dyDescent="0.3">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x14ac:dyDescent="0.3">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1.8" thickBot="1" x14ac:dyDescent="0.35">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x14ac:dyDescent="0.3">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x14ac:dyDescent="0.3">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1.8" thickBot="1" x14ac:dyDescent="0.35">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x14ac:dyDescent="0.3">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x14ac:dyDescent="0.3">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1.8" thickBot="1" x14ac:dyDescent="0.35">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x14ac:dyDescent="0.3">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x14ac:dyDescent="0.3">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1.8" thickBot="1" x14ac:dyDescent="0.35">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x14ac:dyDescent="0.3">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x14ac:dyDescent="0.3">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1.8" thickBot="1" x14ac:dyDescent="0.35">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x14ac:dyDescent="0.3">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x14ac:dyDescent="0.3">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1.8" thickBot="1" x14ac:dyDescent="0.35">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x14ac:dyDescent="0.3">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x14ac:dyDescent="0.3">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1.8" thickBot="1" x14ac:dyDescent="0.35">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x14ac:dyDescent="0.3">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x14ac:dyDescent="0.3">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1.8" thickBot="1" x14ac:dyDescent="0.35">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x14ac:dyDescent="0.3">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x14ac:dyDescent="0.3">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1.8" thickBot="1" x14ac:dyDescent="0.35">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x14ac:dyDescent="0.3">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x14ac:dyDescent="0.3">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1.8" thickBot="1" x14ac:dyDescent="0.35">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x14ac:dyDescent="0.3">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x14ac:dyDescent="0.3">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1.8" thickBot="1" x14ac:dyDescent="0.35">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x14ac:dyDescent="0.3">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x14ac:dyDescent="0.3">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1.8" thickBot="1" x14ac:dyDescent="0.35">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x14ac:dyDescent="0.3">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x14ac:dyDescent="0.3">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1.8" thickBot="1" x14ac:dyDescent="0.35">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x14ac:dyDescent="0.3">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x14ac:dyDescent="0.3">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1.8" thickBot="1" x14ac:dyDescent="0.35">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x14ac:dyDescent="0.3">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x14ac:dyDescent="0.3">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1.8" thickBot="1" x14ac:dyDescent="0.35">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x14ac:dyDescent="0.3">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x14ac:dyDescent="0.3">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1.8" thickBot="1" x14ac:dyDescent="0.35">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x14ac:dyDescent="0.3">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x14ac:dyDescent="0.3">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1.8" thickBot="1" x14ac:dyDescent="0.35">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x14ac:dyDescent="0.3">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x14ac:dyDescent="0.3">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1.8" thickBot="1" x14ac:dyDescent="0.35">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x14ac:dyDescent="0.3">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x14ac:dyDescent="0.3">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1.8" thickBot="1" x14ac:dyDescent="0.35">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x14ac:dyDescent="0.3">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x14ac:dyDescent="0.3">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1.8" thickBot="1" x14ac:dyDescent="0.35">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x14ac:dyDescent="0.3">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x14ac:dyDescent="0.3">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1.8" thickBot="1" x14ac:dyDescent="0.35">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x14ac:dyDescent="0.3">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x14ac:dyDescent="0.3">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1.8" thickBot="1" x14ac:dyDescent="0.35">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x14ac:dyDescent="0.3">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x14ac:dyDescent="0.3">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1.8" thickBot="1" x14ac:dyDescent="0.35">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x14ac:dyDescent="0.3">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x14ac:dyDescent="0.3">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1.8" thickBot="1" x14ac:dyDescent="0.35">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x14ac:dyDescent="0.3">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x14ac:dyDescent="0.3">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1.8" thickBot="1" x14ac:dyDescent="0.35">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x14ac:dyDescent="0.3">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x14ac:dyDescent="0.3">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1.8" thickBot="1" x14ac:dyDescent="0.35">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x14ac:dyDescent="0.3">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x14ac:dyDescent="0.3">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1.8" thickBot="1" x14ac:dyDescent="0.35">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x14ac:dyDescent="0.3">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x14ac:dyDescent="0.3">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1.8" thickBot="1" x14ac:dyDescent="0.35">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x14ac:dyDescent="0.3">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x14ac:dyDescent="0.3">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1.8" thickBot="1" x14ac:dyDescent="0.35">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x14ac:dyDescent="0.3">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x14ac:dyDescent="0.3">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1.8" thickBot="1" x14ac:dyDescent="0.35">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x14ac:dyDescent="0.3">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x14ac:dyDescent="0.3">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1.8" thickBot="1" x14ac:dyDescent="0.35">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x14ac:dyDescent="0.3">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x14ac:dyDescent="0.3">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1.8" thickBot="1" x14ac:dyDescent="0.35">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x14ac:dyDescent="0.3">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x14ac:dyDescent="0.3">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1.8" thickBot="1" x14ac:dyDescent="0.35">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x14ac:dyDescent="0.3">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x14ac:dyDescent="0.3">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1.8" thickBot="1" x14ac:dyDescent="0.35">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x14ac:dyDescent="0.3">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x14ac:dyDescent="0.3">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1.8" thickBot="1" x14ac:dyDescent="0.35">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x14ac:dyDescent="0.3">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x14ac:dyDescent="0.3">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1.8" thickBot="1" x14ac:dyDescent="0.35">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x14ac:dyDescent="0.3">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x14ac:dyDescent="0.3">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1.8" thickBot="1" x14ac:dyDescent="0.35">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x14ac:dyDescent="0.3">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x14ac:dyDescent="0.3">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1.8" thickBot="1" x14ac:dyDescent="0.35">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x14ac:dyDescent="0.3">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x14ac:dyDescent="0.3">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1.8" thickBot="1" x14ac:dyDescent="0.35">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x14ac:dyDescent="0.3">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x14ac:dyDescent="0.3">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1.8" thickBot="1" x14ac:dyDescent="0.35">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x14ac:dyDescent="0.3">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x14ac:dyDescent="0.3">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1.8" thickBot="1" x14ac:dyDescent="0.35">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x14ac:dyDescent="0.3">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x14ac:dyDescent="0.3">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1.8" thickBot="1" x14ac:dyDescent="0.35">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x14ac:dyDescent="0.3">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x14ac:dyDescent="0.3">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1.8" thickBot="1" x14ac:dyDescent="0.35">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x14ac:dyDescent="0.3">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x14ac:dyDescent="0.3">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1.8" thickBot="1" x14ac:dyDescent="0.35">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x14ac:dyDescent="0.3">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x14ac:dyDescent="0.3">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1.8" thickBot="1" x14ac:dyDescent="0.35">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x14ac:dyDescent="0.3">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x14ac:dyDescent="0.3">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1.8" thickBot="1" x14ac:dyDescent="0.35">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x14ac:dyDescent="0.3">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x14ac:dyDescent="0.3">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1.8" thickBot="1" x14ac:dyDescent="0.35">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x14ac:dyDescent="0.3">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x14ac:dyDescent="0.3">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1.8" thickBot="1" x14ac:dyDescent="0.35">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x14ac:dyDescent="0.3">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x14ac:dyDescent="0.3">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1.8" thickBot="1" x14ac:dyDescent="0.35">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x14ac:dyDescent="0.3">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x14ac:dyDescent="0.3">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1.8" thickBot="1" x14ac:dyDescent="0.35">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x14ac:dyDescent="0.3">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x14ac:dyDescent="0.3">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1.8" thickBot="1" x14ac:dyDescent="0.35">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x14ac:dyDescent="0.3">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x14ac:dyDescent="0.3">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1.8" thickBot="1" x14ac:dyDescent="0.35">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x14ac:dyDescent="0.3">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x14ac:dyDescent="0.3">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1.8" thickBot="1" x14ac:dyDescent="0.35">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x14ac:dyDescent="0.3">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x14ac:dyDescent="0.3">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1.8" thickBot="1" x14ac:dyDescent="0.35">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x14ac:dyDescent="0.3">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x14ac:dyDescent="0.3">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1.8" thickBot="1" x14ac:dyDescent="0.35">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x14ac:dyDescent="0.3">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x14ac:dyDescent="0.3">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1.8" thickBot="1" x14ac:dyDescent="0.35">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x14ac:dyDescent="0.3">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x14ac:dyDescent="0.3">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1.8" thickBot="1" x14ac:dyDescent="0.35">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x14ac:dyDescent="0.3">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x14ac:dyDescent="0.3">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1.8" thickBot="1" x14ac:dyDescent="0.35">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 x14ac:dyDescent="0.3">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x14ac:dyDescent="0.3">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1.8" thickBot="1" x14ac:dyDescent="0.35">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x14ac:dyDescent="0.3">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x14ac:dyDescent="0.3">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1.8" thickBot="1" x14ac:dyDescent="0.35">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x14ac:dyDescent="0.3">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x14ac:dyDescent="0.3">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1.8" thickBot="1" x14ac:dyDescent="0.35">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x14ac:dyDescent="0.3">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x14ac:dyDescent="0.3">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1.8" thickBot="1" x14ac:dyDescent="0.35">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x14ac:dyDescent="0.3">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x14ac:dyDescent="0.3">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1.8" thickBot="1" x14ac:dyDescent="0.35">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x14ac:dyDescent="0.3">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x14ac:dyDescent="0.3">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1.8" thickBot="1" x14ac:dyDescent="0.35">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x14ac:dyDescent="0.3">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x14ac:dyDescent="0.3">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1.8" thickBot="1" x14ac:dyDescent="0.35">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x14ac:dyDescent="0.3">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x14ac:dyDescent="0.3">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1.8" thickBot="1" x14ac:dyDescent="0.35">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x14ac:dyDescent="0.3">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x14ac:dyDescent="0.3">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1.8" thickBot="1" x14ac:dyDescent="0.35">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x14ac:dyDescent="0.3">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x14ac:dyDescent="0.3">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1.8" thickBot="1" x14ac:dyDescent="0.35">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x14ac:dyDescent="0.3">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x14ac:dyDescent="0.3">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1.8" thickBot="1" x14ac:dyDescent="0.35">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x14ac:dyDescent="0.3">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x14ac:dyDescent="0.3">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1.8" thickBot="1" x14ac:dyDescent="0.35">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x14ac:dyDescent="0.3">
      <c r="A444" s="248">
        <v>43795</v>
      </c>
      <c r="B444" s="268" t="s">
        <v>76</v>
      </c>
      <c r="C444" s="235" t="s">
        <v>77</v>
      </c>
      <c r="D444" s="411">
        <v>2022.84</v>
      </c>
      <c r="E444" s="411">
        <v>2014.73</v>
      </c>
      <c r="F444" s="411">
        <v>2023.01</v>
      </c>
      <c r="G444" s="411">
        <v>2022.84</v>
      </c>
      <c r="H444" s="411">
        <v>2014.73</v>
      </c>
      <c r="I444" s="411">
        <v>2023.01</v>
      </c>
      <c r="J444" s="411">
        <v>2022.84</v>
      </c>
      <c r="K444" s="411">
        <v>2014.73</v>
      </c>
      <c r="L444" s="411">
        <v>2023.01</v>
      </c>
      <c r="M444" s="411">
        <v>2022.84</v>
      </c>
      <c r="N444" s="411">
        <v>2014.73</v>
      </c>
      <c r="O444" s="411">
        <v>2023.01</v>
      </c>
      <c r="P444" s="411">
        <v>2022.84</v>
      </c>
      <c r="Q444" s="411">
        <v>2014.73</v>
      </c>
      <c r="R444" s="411">
        <v>2022.84</v>
      </c>
      <c r="S444" s="411">
        <v>2014.73</v>
      </c>
      <c r="T444" s="411">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x14ac:dyDescent="0.3">
      <c r="A445" s="371"/>
      <c r="B445" s="276"/>
      <c r="C445" s="235" t="s">
        <v>78</v>
      </c>
      <c r="D445" s="411">
        <v>980.07</v>
      </c>
      <c r="E445" s="411">
        <v>977.57</v>
      </c>
      <c r="F445" s="411">
        <v>977.18</v>
      </c>
      <c r="G445" s="411">
        <v>980.07</v>
      </c>
      <c r="H445" s="411">
        <v>977.57</v>
      </c>
      <c r="I445" s="411">
        <v>977.18</v>
      </c>
      <c r="J445" s="411">
        <v>980.07</v>
      </c>
      <c r="K445" s="411">
        <v>977.57</v>
      </c>
      <c r="L445" s="411">
        <v>977.18</v>
      </c>
      <c r="M445" s="411">
        <v>980.07</v>
      </c>
      <c r="N445" s="411">
        <v>977.57</v>
      </c>
      <c r="O445" s="411">
        <v>977.18</v>
      </c>
      <c r="P445" s="411">
        <v>980.07</v>
      </c>
      <c r="Q445" s="411">
        <v>977.57</v>
      </c>
      <c r="R445" s="411">
        <v>980.07</v>
      </c>
      <c r="S445" s="411">
        <v>977.57</v>
      </c>
      <c r="T445" s="411">
        <v>977.18</v>
      </c>
      <c r="U445" s="337"/>
      <c r="V445" s="337"/>
      <c r="W445" s="337"/>
      <c r="X445" s="359"/>
      <c r="Y445" s="337"/>
      <c r="Z445" s="337"/>
      <c r="AA445" s="339"/>
    </row>
    <row r="446" spans="1:35" ht="31.8" thickBot="1" x14ac:dyDescent="0.35">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x14ac:dyDescent="0.3">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x14ac:dyDescent="0.3">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1.8" thickBot="1" x14ac:dyDescent="0.35">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x14ac:dyDescent="0.3">
      <c r="A450" s="248"/>
      <c r="B450" s="268" t="s">
        <v>76</v>
      </c>
      <c r="C450" s="235" t="s">
        <v>77</v>
      </c>
      <c r="U450" s="235" t="str">
        <f>IF((T451=""),"",MAX(D452:T452))</f>
        <v/>
      </c>
      <c r="V450" s="235" t="str">
        <f>IF(T451="","",MIN(D452:T452))</f>
        <v/>
      </c>
      <c r="W450" s="235" t="str">
        <f>IF((T452=""),"",AVERAGE(D452:T452))</f>
        <v/>
      </c>
      <c r="X450" s="359" t="e">
        <f>STDEV(D452:T452)</f>
        <v>#DIV/0!</v>
      </c>
      <c r="Y450" s="235" t="str">
        <f>IF((T451=""),"",((U450-V450)/(U450+V450))*100)</f>
        <v/>
      </c>
      <c r="Z450" s="228" t="str">
        <f>IF(T451="","",IF(Y450&lt;15,IF(W450&gt;AF450,IF(W450&lt;AG450,"Pass","Fail"),"Fail"),"Fail"))</f>
        <v/>
      </c>
      <c r="AA450" s="373"/>
      <c r="AD450" s="302">
        <v>1600</v>
      </c>
      <c r="AE450" s="302">
        <v>2600</v>
      </c>
      <c r="AF450" s="334">
        <v>1690</v>
      </c>
      <c r="AG450" s="334">
        <v>2210</v>
      </c>
      <c r="AH450" s="335">
        <v>15</v>
      </c>
      <c r="AI450" s="335">
        <v>15</v>
      </c>
    </row>
    <row r="451" spans="1:35" x14ac:dyDescent="0.3">
      <c r="A451" s="371"/>
      <c r="B451" s="276"/>
      <c r="C451" s="235" t="s">
        <v>78</v>
      </c>
      <c r="U451" s="337"/>
      <c r="V451" s="337"/>
      <c r="W451" s="337"/>
      <c r="X451" s="359"/>
      <c r="Y451" s="337"/>
      <c r="Z451" s="337"/>
      <c r="AA451" s="339"/>
    </row>
    <row r="452" spans="1:35" ht="31.8" thickBot="1" x14ac:dyDescent="0.35">
      <c r="A452" s="372"/>
      <c r="B452" s="281"/>
      <c r="C452" s="243" t="s">
        <v>221</v>
      </c>
      <c r="D452" s="337" t="str">
        <f t="shared" ref="D452:I452" si="206">IF(((D450="")*AND(D451="")),"",(D450-D451)*2)</f>
        <v/>
      </c>
      <c r="E452" s="337" t="str">
        <f t="shared" si="206"/>
        <v/>
      </c>
      <c r="F452" s="337" t="str">
        <f t="shared" si="206"/>
        <v/>
      </c>
      <c r="G452" s="337" t="str">
        <f t="shared" si="206"/>
        <v/>
      </c>
      <c r="H452" s="337" t="str">
        <f t="shared" si="206"/>
        <v/>
      </c>
      <c r="I452" s="337" t="str">
        <f t="shared" si="206"/>
        <v/>
      </c>
      <c r="J452" s="337" t="str">
        <f>IF(((J450="")*AND(J451="")),"",(J450-J451)*2)</f>
        <v/>
      </c>
      <c r="K452" s="337" t="str">
        <f>IF(((K450="")*AND(K451="")),"",(K450-K451)*2)</f>
        <v/>
      </c>
      <c r="L452" s="337" t="str">
        <f>IF(((L450="")*AND(L451="")),"",(L450-L451)*2)</f>
        <v/>
      </c>
      <c r="M452" s="337" t="str">
        <f>IF(((M450="")*AND(M451="")),"",(M450-M451)*2)</f>
        <v/>
      </c>
      <c r="N452" s="337" t="str">
        <f t="shared" ref="N452:T452" si="207">IF(((N450="")*AND(N451="")),"",(N450-N451)*2)</f>
        <v/>
      </c>
      <c r="O452" s="337" t="str">
        <f t="shared" si="207"/>
        <v/>
      </c>
      <c r="P452" s="337" t="str">
        <f t="shared" si="207"/>
        <v/>
      </c>
      <c r="Q452" s="337" t="str">
        <f t="shared" si="207"/>
        <v/>
      </c>
      <c r="R452" s="337" t="str">
        <f t="shared" si="207"/>
        <v/>
      </c>
      <c r="S452" s="337" t="str">
        <f t="shared" si="207"/>
        <v/>
      </c>
      <c r="T452" s="337" t="str">
        <f t="shared" si="207"/>
        <v/>
      </c>
      <c r="U452" s="337"/>
      <c r="V452" s="337"/>
      <c r="W452" s="337"/>
      <c r="X452" s="366"/>
      <c r="Y452" s="337"/>
      <c r="Z452" s="337"/>
      <c r="AA452" s="339"/>
    </row>
    <row r="453" spans="1:35" x14ac:dyDescent="0.3">
      <c r="A453" s="248"/>
      <c r="B453" s="268" t="s">
        <v>76</v>
      </c>
      <c r="C453" s="235" t="s">
        <v>77</v>
      </c>
      <c r="U453" s="235" t="str">
        <f>IF((T454=""),"",MAX(D455:T455))</f>
        <v/>
      </c>
      <c r="V453" s="235" t="str">
        <f>IF(T454="","",MIN(D455:T455))</f>
        <v/>
      </c>
      <c r="W453" s="235" t="str">
        <f>IF((T455=""),"",AVERAGE(D455:T455))</f>
        <v/>
      </c>
      <c r="X453" s="359" t="e">
        <f>STDEV(D455:T455)</f>
        <v>#DIV/0!</v>
      </c>
      <c r="Y453" s="235" t="str">
        <f>IF((T454=""),"",((U453-V453)/(U453+V453))*100)</f>
        <v/>
      </c>
      <c r="Z453" s="228" t="str">
        <f>IF(T454="","",IF(Y453&lt;15,IF(W453&gt;AF453,IF(W453&lt;AG453,"Pass","Fail"),"Fail"),"Fail"))</f>
        <v/>
      </c>
      <c r="AA453" s="373"/>
      <c r="AD453" s="302">
        <v>1600</v>
      </c>
      <c r="AE453" s="302">
        <v>2600</v>
      </c>
      <c r="AF453" s="334">
        <v>1690</v>
      </c>
      <c r="AG453" s="334">
        <v>2210</v>
      </c>
      <c r="AH453" s="335">
        <v>15</v>
      </c>
      <c r="AI453" s="335">
        <v>15</v>
      </c>
    </row>
    <row r="454" spans="1:35" x14ac:dyDescent="0.3">
      <c r="A454" s="371"/>
      <c r="B454" s="276"/>
      <c r="C454" s="235" t="s">
        <v>78</v>
      </c>
      <c r="U454" s="337"/>
      <c r="V454" s="337"/>
      <c r="W454" s="337"/>
      <c r="X454" s="359"/>
      <c r="Y454" s="337"/>
      <c r="Z454" s="337"/>
      <c r="AA454" s="339"/>
    </row>
    <row r="455" spans="1:35" ht="31.8" thickBot="1" x14ac:dyDescent="0.35">
      <c r="A455" s="372"/>
      <c r="B455" s="281"/>
      <c r="C455" s="243" t="s">
        <v>221</v>
      </c>
      <c r="D455" s="337" t="str">
        <f t="shared" ref="D455:I455" si="208">IF(((D453="")*AND(D454="")),"",(D453-D454)*2)</f>
        <v/>
      </c>
      <c r="E455" s="337" t="str">
        <f t="shared" si="208"/>
        <v/>
      </c>
      <c r="F455" s="337" t="str">
        <f t="shared" si="208"/>
        <v/>
      </c>
      <c r="G455" s="337" t="str">
        <f t="shared" si="208"/>
        <v/>
      </c>
      <c r="H455" s="337" t="str">
        <f t="shared" si="208"/>
        <v/>
      </c>
      <c r="I455" s="337" t="str">
        <f t="shared" si="208"/>
        <v/>
      </c>
      <c r="J455" s="337" t="str">
        <f>IF(((J453="")*AND(J454="")),"",(J453-J454)*2)</f>
        <v/>
      </c>
      <c r="K455" s="337" t="str">
        <f>IF(((K453="")*AND(K454="")),"",(K453-K454)*2)</f>
        <v/>
      </c>
      <c r="L455" s="337" t="str">
        <f>IF(((L453="")*AND(L454="")),"",(L453-L454)*2)</f>
        <v/>
      </c>
      <c r="M455" s="337" t="str">
        <f>IF(((M453="")*AND(M454="")),"",(M453-M454)*2)</f>
        <v/>
      </c>
      <c r="N455" s="337" t="str">
        <f t="shared" ref="N455:T455" si="209">IF(((N453="")*AND(N454="")),"",(N453-N454)*2)</f>
        <v/>
      </c>
      <c r="O455" s="337" t="str">
        <f t="shared" si="209"/>
        <v/>
      </c>
      <c r="P455" s="337" t="str">
        <f t="shared" si="209"/>
        <v/>
      </c>
      <c r="Q455" s="337" t="str">
        <f t="shared" si="209"/>
        <v/>
      </c>
      <c r="R455" s="337" t="str">
        <f t="shared" si="209"/>
        <v/>
      </c>
      <c r="S455" s="337" t="str">
        <f t="shared" si="209"/>
        <v/>
      </c>
      <c r="T455" s="337" t="str">
        <f t="shared" si="209"/>
        <v/>
      </c>
      <c r="U455" s="337"/>
      <c r="V455" s="337"/>
      <c r="W455" s="337"/>
      <c r="X455" s="366"/>
      <c r="Y455" s="337"/>
      <c r="Z455" s="337"/>
      <c r="AA455" s="339"/>
    </row>
    <row r="456" spans="1:35" x14ac:dyDescent="0.3">
      <c r="A456" s="248"/>
      <c r="B456" s="268" t="s">
        <v>76</v>
      </c>
      <c r="C456" s="235" t="s">
        <v>77</v>
      </c>
      <c r="U456" s="235" t="str">
        <f>IF((T457=""),"",MAX(D458:T458))</f>
        <v/>
      </c>
      <c r="V456" s="235" t="str">
        <f>IF(T457="","",MIN(D458:T458))</f>
        <v/>
      </c>
      <c r="W456" s="235" t="str">
        <f>IF((T458=""),"",AVERAGE(D458:T458))</f>
        <v/>
      </c>
      <c r="X456" s="359" t="e">
        <f>STDEV(D458:T458)</f>
        <v>#DIV/0!</v>
      </c>
      <c r="Y456" s="235" t="str">
        <f>IF((T457=""),"",((U456-V456)/(U456+V456))*100)</f>
        <v/>
      </c>
      <c r="Z456" s="228" t="str">
        <f>IF(T457="","",IF(Y456&lt;15,IF(W456&gt;AF456,IF(W456&lt;AG456,"Pass","Fail"),"Fail"),"Fail"))</f>
        <v/>
      </c>
      <c r="AA456" s="373"/>
      <c r="AD456" s="302">
        <v>1600</v>
      </c>
      <c r="AE456" s="302">
        <v>2600</v>
      </c>
      <c r="AF456" s="334">
        <v>1690</v>
      </c>
      <c r="AG456" s="334">
        <v>2210</v>
      </c>
      <c r="AH456" s="335">
        <v>15</v>
      </c>
      <c r="AI456" s="335">
        <v>15</v>
      </c>
    </row>
    <row r="457" spans="1:35" x14ac:dyDescent="0.3">
      <c r="A457" s="371"/>
      <c r="B457" s="276"/>
      <c r="C457" s="235" t="s">
        <v>78</v>
      </c>
      <c r="U457" s="337"/>
      <c r="V457" s="337"/>
      <c r="W457" s="337"/>
      <c r="X457" s="359"/>
      <c r="Y457" s="337"/>
      <c r="Z457" s="337"/>
      <c r="AA457" s="339"/>
    </row>
    <row r="458" spans="1:35" ht="31.8" thickBot="1" x14ac:dyDescent="0.35">
      <c r="A458" s="372"/>
      <c r="B458" s="281"/>
      <c r="C458" s="243" t="s">
        <v>221</v>
      </c>
      <c r="D458" s="337" t="str">
        <f t="shared" ref="D458:I458" si="210">IF(((D456="")*AND(D457="")),"",(D456-D457)*2)</f>
        <v/>
      </c>
      <c r="E458" s="337" t="str">
        <f t="shared" si="210"/>
        <v/>
      </c>
      <c r="F458" s="337" t="str">
        <f t="shared" si="210"/>
        <v/>
      </c>
      <c r="G458" s="337" t="str">
        <f t="shared" si="210"/>
        <v/>
      </c>
      <c r="H458" s="337" t="str">
        <f t="shared" si="210"/>
        <v/>
      </c>
      <c r="I458" s="337" t="str">
        <f t="shared" si="210"/>
        <v/>
      </c>
      <c r="J458" s="337" t="str">
        <f>IF(((J456="")*AND(J457="")),"",(J456-J457)*2)</f>
        <v/>
      </c>
      <c r="K458" s="337" t="str">
        <f>IF(((K456="")*AND(K457="")),"",(K456-K457)*2)</f>
        <v/>
      </c>
      <c r="L458" s="337" t="str">
        <f>IF(((L456="")*AND(L457="")),"",(L456-L457)*2)</f>
        <v/>
      </c>
      <c r="M458" s="337" t="str">
        <f>IF(((M456="")*AND(M457="")),"",(M456-M457)*2)</f>
        <v/>
      </c>
      <c r="N458" s="337" t="str">
        <f t="shared" ref="N458:T458" si="211">IF(((N456="")*AND(N457="")),"",(N456-N457)*2)</f>
        <v/>
      </c>
      <c r="O458" s="337" t="str">
        <f t="shared" si="211"/>
        <v/>
      </c>
      <c r="P458" s="337" t="str">
        <f t="shared" si="211"/>
        <v/>
      </c>
      <c r="Q458" s="337" t="str">
        <f t="shared" si="211"/>
        <v/>
      </c>
      <c r="R458" s="337" t="str">
        <f t="shared" si="211"/>
        <v/>
      </c>
      <c r="S458" s="337" t="str">
        <f t="shared" si="211"/>
        <v/>
      </c>
      <c r="T458" s="337" t="str">
        <f t="shared" si="211"/>
        <v/>
      </c>
      <c r="U458" s="337"/>
      <c r="V458" s="337"/>
      <c r="W458" s="337"/>
      <c r="X458" s="366"/>
      <c r="Y458" s="337"/>
      <c r="Z458" s="337"/>
      <c r="AA458" s="339"/>
    </row>
    <row r="459" spans="1:35" x14ac:dyDescent="0.3">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x14ac:dyDescent="0.3">
      <c r="A460" s="371"/>
      <c r="B460" s="276"/>
      <c r="C460" s="235" t="s">
        <v>78</v>
      </c>
      <c r="U460" s="337"/>
      <c r="V460" s="337"/>
      <c r="W460" s="337"/>
      <c r="X460" s="359"/>
      <c r="Y460" s="337"/>
      <c r="Z460" s="337"/>
      <c r="AA460" s="339"/>
    </row>
    <row r="461" spans="1:35" ht="31.8" thickBot="1" x14ac:dyDescent="0.35">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x14ac:dyDescent="0.3">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x14ac:dyDescent="0.3">
      <c r="A463" s="371"/>
      <c r="B463" s="276"/>
      <c r="C463" s="235" t="s">
        <v>78</v>
      </c>
      <c r="U463" s="337"/>
      <c r="V463" s="337"/>
      <c r="W463" s="337"/>
      <c r="X463" s="359"/>
      <c r="Y463" s="337"/>
      <c r="Z463" s="337"/>
      <c r="AA463" s="339"/>
    </row>
    <row r="464" spans="1:35" ht="31.8" thickBot="1" x14ac:dyDescent="0.35">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x14ac:dyDescent="0.3">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x14ac:dyDescent="0.3">
      <c r="A466" s="371"/>
      <c r="B466" s="276"/>
      <c r="C466" s="235" t="s">
        <v>78</v>
      </c>
      <c r="U466" s="337"/>
      <c r="V466" s="337"/>
      <c r="W466" s="337"/>
      <c r="X466" s="359"/>
      <c r="Y466" s="337"/>
      <c r="Z466" s="337"/>
      <c r="AA466" s="339"/>
    </row>
    <row r="467" spans="1:35" ht="31.8" thickBot="1" x14ac:dyDescent="0.35">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x14ac:dyDescent="0.3">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x14ac:dyDescent="0.3">
      <c r="A469" s="371"/>
      <c r="B469" s="276"/>
      <c r="C469" s="235" t="s">
        <v>78</v>
      </c>
      <c r="U469" s="337"/>
      <c r="V469" s="337"/>
      <c r="W469" s="337"/>
      <c r="X469" s="359"/>
      <c r="Y469" s="337"/>
      <c r="Z469" s="337"/>
      <c r="AA469" s="339"/>
    </row>
    <row r="470" spans="1:35" ht="31.8" thickBot="1" x14ac:dyDescent="0.35">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x14ac:dyDescent="0.3">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x14ac:dyDescent="0.3">
      <c r="A472" s="371"/>
      <c r="B472" s="276"/>
      <c r="C472" s="235" t="s">
        <v>78</v>
      </c>
      <c r="U472" s="337"/>
      <c r="V472" s="337"/>
      <c r="W472" s="337"/>
      <c r="X472" s="359"/>
      <c r="Y472" s="337"/>
      <c r="Z472" s="337"/>
      <c r="AA472" s="339"/>
    </row>
    <row r="473" spans="1:35" ht="31.8" thickBot="1" x14ac:dyDescent="0.35">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x14ac:dyDescent="0.3">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x14ac:dyDescent="0.3">
      <c r="A475" s="371"/>
      <c r="B475" s="276"/>
      <c r="C475" s="235" t="s">
        <v>78</v>
      </c>
      <c r="U475" s="337"/>
      <c r="V475" s="337"/>
      <c r="W475" s="337"/>
      <c r="X475" s="359"/>
      <c r="Y475" s="337"/>
      <c r="Z475" s="337"/>
      <c r="AA475" s="339"/>
    </row>
    <row r="476" spans="1:35" ht="31.8" thickBot="1" x14ac:dyDescent="0.35">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x14ac:dyDescent="0.3">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x14ac:dyDescent="0.3">
      <c r="A478" s="371"/>
      <c r="B478" s="276"/>
      <c r="C478" s="235" t="s">
        <v>78</v>
      </c>
      <c r="U478" s="337"/>
      <c r="V478" s="337"/>
      <c r="W478" s="337"/>
      <c r="X478" s="359"/>
      <c r="Y478" s="337"/>
      <c r="Z478" s="337"/>
      <c r="AA478" s="339"/>
    </row>
    <row r="479" spans="1:35" ht="31.8" thickBot="1" x14ac:dyDescent="0.35">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x14ac:dyDescent="0.3">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x14ac:dyDescent="0.3">
      <c r="A481" s="371"/>
      <c r="B481" s="276"/>
      <c r="C481" s="235" t="s">
        <v>78</v>
      </c>
      <c r="U481" s="337"/>
      <c r="V481" s="337"/>
      <c r="W481" s="337"/>
      <c r="X481" s="359"/>
      <c r="Y481" s="337"/>
      <c r="Z481" s="337"/>
      <c r="AA481" s="339"/>
    </row>
    <row r="482" spans="1:35" ht="31.8" thickBot="1" x14ac:dyDescent="0.35">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x14ac:dyDescent="0.3">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x14ac:dyDescent="0.3">
      <c r="A484" s="371"/>
      <c r="B484" s="276"/>
      <c r="C484" s="235" t="s">
        <v>78</v>
      </c>
      <c r="U484" s="337"/>
      <c r="V484" s="337"/>
      <c r="W484" s="337"/>
      <c r="X484" s="359"/>
      <c r="Y484" s="337"/>
      <c r="Z484" s="337"/>
      <c r="AA484" s="339"/>
    </row>
    <row r="485" spans="1:35" ht="31.8" thickBot="1" x14ac:dyDescent="0.35">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x14ac:dyDescent="0.3">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x14ac:dyDescent="0.3">
      <c r="A487" s="371"/>
      <c r="B487" s="276"/>
      <c r="C487" s="235" t="s">
        <v>78</v>
      </c>
      <c r="U487" s="337"/>
      <c r="V487" s="337"/>
      <c r="W487" s="337"/>
      <c r="X487" s="359"/>
      <c r="Y487" s="337"/>
      <c r="Z487" s="337"/>
      <c r="AA487" s="339"/>
    </row>
    <row r="488" spans="1:35" ht="31.8" thickBot="1" x14ac:dyDescent="0.35">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x14ac:dyDescent="0.3">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x14ac:dyDescent="0.3">
      <c r="A490" s="371"/>
      <c r="B490" s="276"/>
      <c r="C490" s="235" t="s">
        <v>78</v>
      </c>
      <c r="U490" s="337"/>
      <c r="V490" s="337"/>
      <c r="W490" s="337"/>
      <c r="X490" s="359"/>
      <c r="Y490" s="337"/>
      <c r="Z490" s="337"/>
      <c r="AA490" s="339"/>
    </row>
    <row r="491" spans="1:35" ht="31.8" thickBot="1" x14ac:dyDescent="0.35">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x14ac:dyDescent="0.3">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x14ac:dyDescent="0.3">
      <c r="A493" s="371"/>
      <c r="B493" s="276"/>
      <c r="C493" s="235" t="s">
        <v>78</v>
      </c>
      <c r="U493" s="337"/>
      <c r="V493" s="337"/>
      <c r="W493" s="337"/>
      <c r="X493" s="359"/>
      <c r="Y493" s="337"/>
      <c r="Z493" s="337"/>
      <c r="AA493" s="339"/>
    </row>
    <row r="494" spans="1:35" ht="31.8" thickBot="1" x14ac:dyDescent="0.35">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x14ac:dyDescent="0.3">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x14ac:dyDescent="0.3">
      <c r="A496" s="371"/>
      <c r="B496" s="276"/>
      <c r="C496" s="235" t="s">
        <v>78</v>
      </c>
      <c r="U496" s="337"/>
      <c r="V496" s="337"/>
      <c r="W496" s="337"/>
      <c r="X496" s="359"/>
      <c r="Y496" s="337"/>
      <c r="Z496" s="337"/>
      <c r="AA496" s="339"/>
    </row>
    <row r="497" spans="1:35" ht="31.8" thickBot="1" x14ac:dyDescent="0.35">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x14ac:dyDescent="0.3">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x14ac:dyDescent="0.3">
      <c r="A499" s="371"/>
      <c r="B499" s="276"/>
      <c r="C499" s="235" t="s">
        <v>78</v>
      </c>
      <c r="U499" s="337"/>
      <c r="V499" s="337"/>
      <c r="W499" s="337"/>
      <c r="X499" s="359"/>
      <c r="Y499" s="337"/>
      <c r="Z499" s="337"/>
      <c r="AA499" s="339"/>
    </row>
    <row r="500" spans="1:35" ht="31.8" thickBot="1" x14ac:dyDescent="0.35">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x14ac:dyDescent="0.3">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x14ac:dyDescent="0.3">
      <c r="A502" s="371"/>
      <c r="B502" s="276"/>
      <c r="C502" s="235" t="s">
        <v>78</v>
      </c>
      <c r="U502" s="337"/>
      <c r="V502" s="337"/>
      <c r="W502" s="337"/>
      <c r="X502" s="359"/>
      <c r="Y502" s="337"/>
      <c r="Z502" s="337"/>
      <c r="AA502" s="339"/>
    </row>
    <row r="503" spans="1:35" ht="31.8" thickBot="1" x14ac:dyDescent="0.35">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x14ac:dyDescent="0.3">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x14ac:dyDescent="0.3">
      <c r="A505" s="371"/>
      <c r="B505" s="276"/>
      <c r="C505" s="235" t="s">
        <v>78</v>
      </c>
      <c r="U505" s="337"/>
      <c r="V505" s="337"/>
      <c r="W505" s="337"/>
      <c r="X505" s="359"/>
      <c r="Y505" s="337"/>
      <c r="Z505" s="337"/>
      <c r="AA505" s="339"/>
    </row>
    <row r="506" spans="1:35" ht="31.8" thickBot="1" x14ac:dyDescent="0.35">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x14ac:dyDescent="0.3">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x14ac:dyDescent="0.3">
      <c r="A508" s="371"/>
      <c r="B508" s="276"/>
      <c r="C508" s="235" t="s">
        <v>78</v>
      </c>
      <c r="U508" s="337"/>
      <c r="V508" s="337"/>
      <c r="W508" s="337"/>
      <c r="X508" s="359"/>
      <c r="Y508" s="337"/>
      <c r="Z508" s="337"/>
      <c r="AA508" s="339"/>
    </row>
    <row r="509" spans="1:35" ht="31.8" thickBot="1" x14ac:dyDescent="0.35">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x14ac:dyDescent="0.3">
      <c r="B510" s="268" t="s">
        <v>76</v>
      </c>
    </row>
    <row r="511" spans="1:35" x14ac:dyDescent="0.3">
      <c r="B511" s="276"/>
    </row>
    <row r="512" spans="1:35" ht="16.2" thickBot="1" x14ac:dyDescent="0.35">
      <c r="B512" s="281"/>
    </row>
    <row r="513" spans="2:2" x14ac:dyDescent="0.3">
      <c r="B513" s="268" t="s">
        <v>76</v>
      </c>
    </row>
    <row r="514" spans="2:2" x14ac:dyDescent="0.3">
      <c r="B514" s="276"/>
    </row>
    <row r="515" spans="2:2" ht="16.2" thickBot="1" x14ac:dyDescent="0.35">
      <c r="B515" s="281"/>
    </row>
    <row r="516" spans="2:2" x14ac:dyDescent="0.3">
      <c r="B516" s="268" t="s">
        <v>76</v>
      </c>
    </row>
    <row r="517" spans="2:2" x14ac:dyDescent="0.3">
      <c r="B517" s="276"/>
    </row>
    <row r="518" spans="2:2" ht="16.2" thickBot="1" x14ac:dyDescent="0.35">
      <c r="B518" s="281"/>
    </row>
    <row r="519" spans="2:2" x14ac:dyDescent="0.3">
      <c r="B519" s="268" t="s">
        <v>76</v>
      </c>
    </row>
    <row r="520" spans="2:2" x14ac:dyDescent="0.3">
      <c r="B520" s="276"/>
    </row>
    <row r="521" spans="2:2" ht="16.2" thickBot="1" x14ac:dyDescent="0.35">
      <c r="B521" s="281"/>
    </row>
    <row r="522" spans="2:2" x14ac:dyDescent="0.3">
      <c r="B522" s="268" t="s">
        <v>76</v>
      </c>
    </row>
    <row r="523" spans="2:2" x14ac:dyDescent="0.3">
      <c r="B523" s="276"/>
    </row>
    <row r="524" spans="2:2" ht="16.2" thickBot="1" x14ac:dyDescent="0.35">
      <c r="B524" s="281"/>
    </row>
    <row r="525" spans="2:2" x14ac:dyDescent="0.3">
      <c r="B525" s="268" t="s">
        <v>76</v>
      </c>
    </row>
    <row r="526" spans="2:2" x14ac:dyDescent="0.3">
      <c r="B526" s="276"/>
    </row>
    <row r="527" spans="2:2" ht="16.2" thickBot="1" x14ac:dyDescent="0.35">
      <c r="B527" s="281"/>
    </row>
    <row r="528" spans="2:2" x14ac:dyDescent="0.3">
      <c r="B528" s="268" t="s">
        <v>76</v>
      </c>
    </row>
    <row r="529" spans="2:2" x14ac:dyDescent="0.3">
      <c r="B529" s="276"/>
    </row>
    <row r="530" spans="2:2" ht="16.2" thickBot="1" x14ac:dyDescent="0.35">
      <c r="B530" s="281"/>
    </row>
    <row r="531" spans="2:2" x14ac:dyDescent="0.3">
      <c r="B531" s="268" t="s">
        <v>76</v>
      </c>
    </row>
    <row r="532" spans="2:2" x14ac:dyDescent="0.3">
      <c r="B532" s="276"/>
    </row>
    <row r="533" spans="2:2" ht="16.2" thickBot="1" x14ac:dyDescent="0.35">
      <c r="B533" s="281"/>
    </row>
    <row r="534" spans="2:2" x14ac:dyDescent="0.3">
      <c r="B534" s="268" t="s">
        <v>76</v>
      </c>
    </row>
    <row r="535" spans="2:2" x14ac:dyDescent="0.3">
      <c r="B535" s="276"/>
    </row>
    <row r="536" spans="2:2" ht="16.2" thickBot="1" x14ac:dyDescent="0.35">
      <c r="B536" s="281"/>
    </row>
    <row r="537" spans="2:2" x14ac:dyDescent="0.3">
      <c r="B537" s="268" t="s">
        <v>76</v>
      </c>
    </row>
    <row r="538" spans="2:2" x14ac:dyDescent="0.3">
      <c r="B538" s="276"/>
    </row>
    <row r="539" spans="2:2" ht="16.2" thickBot="1" x14ac:dyDescent="0.35">
      <c r="B539" s="281"/>
    </row>
    <row r="540" spans="2:2" x14ac:dyDescent="0.3">
      <c r="B540" s="268" t="s">
        <v>76</v>
      </c>
    </row>
    <row r="541" spans="2:2" x14ac:dyDescent="0.3">
      <c r="B541" s="276"/>
    </row>
    <row r="542" spans="2:2" ht="16.2" thickBot="1" x14ac:dyDescent="0.35">
      <c r="B542" s="281"/>
    </row>
    <row r="543" spans="2:2" x14ac:dyDescent="0.3">
      <c r="B543" s="268" t="s">
        <v>76</v>
      </c>
    </row>
    <row r="544" spans="2:2" x14ac:dyDescent="0.3">
      <c r="B544" s="276"/>
    </row>
    <row r="545" spans="2:2" ht="16.2" thickBot="1" x14ac:dyDescent="0.35">
      <c r="B545" s="281"/>
    </row>
    <row r="546" spans="2:2" x14ac:dyDescent="0.3">
      <c r="B546" s="268" t="s">
        <v>76</v>
      </c>
    </row>
    <row r="547" spans="2:2" x14ac:dyDescent="0.3">
      <c r="B547" s="276"/>
    </row>
    <row r="548" spans="2:2" ht="16.2" thickBot="1" x14ac:dyDescent="0.35">
      <c r="B548" s="281"/>
    </row>
    <row r="549" spans="2:2" x14ac:dyDescent="0.3">
      <c r="B549" s="268" t="s">
        <v>76</v>
      </c>
    </row>
    <row r="550" spans="2:2" x14ac:dyDescent="0.3">
      <c r="B550" s="276"/>
    </row>
    <row r="551" spans="2:2" ht="16.2" thickBot="1" x14ac:dyDescent="0.35">
      <c r="B551" s="281"/>
    </row>
    <row r="552" spans="2:2" x14ac:dyDescent="0.3">
      <c r="B552" s="268" t="s">
        <v>76</v>
      </c>
    </row>
    <row r="553" spans="2:2" x14ac:dyDescent="0.3">
      <c r="B553" s="276"/>
    </row>
    <row r="554" spans="2:2" ht="16.2" thickBot="1" x14ac:dyDescent="0.35">
      <c r="B554" s="281"/>
    </row>
    <row r="555" spans="2:2" x14ac:dyDescent="0.3">
      <c r="B555" s="268" t="s">
        <v>76</v>
      </c>
    </row>
    <row r="556" spans="2:2" x14ac:dyDescent="0.3">
      <c r="B556" s="276"/>
    </row>
    <row r="557" spans="2:2" ht="16.2" thickBot="1" x14ac:dyDescent="0.35">
      <c r="B557" s="281"/>
    </row>
    <row r="558" spans="2:2" x14ac:dyDescent="0.3">
      <c r="B558" s="268" t="s">
        <v>76</v>
      </c>
    </row>
    <row r="559" spans="2:2" x14ac:dyDescent="0.3">
      <c r="B559" s="276"/>
    </row>
    <row r="560" spans="2:2" ht="16.2" thickBot="1" x14ac:dyDescent="0.35">
      <c r="B560" s="281"/>
    </row>
    <row r="561" spans="2:2" x14ac:dyDescent="0.3">
      <c r="B561" s="268" t="s">
        <v>76</v>
      </c>
    </row>
    <row r="562" spans="2:2" x14ac:dyDescent="0.3">
      <c r="B562" s="276"/>
    </row>
    <row r="563" spans="2:2" ht="16.2" thickBot="1" x14ac:dyDescent="0.35">
      <c r="B563" s="281"/>
    </row>
    <row r="564" spans="2:2" x14ac:dyDescent="0.3">
      <c r="B564" s="268" t="s">
        <v>76</v>
      </c>
    </row>
    <row r="565" spans="2:2" x14ac:dyDescent="0.3">
      <c r="B565" s="276"/>
    </row>
    <row r="566" spans="2:2" ht="16.2" thickBot="1" x14ac:dyDescent="0.35">
      <c r="B566" s="281"/>
    </row>
    <row r="567" spans="2:2" x14ac:dyDescent="0.3">
      <c r="B567" s="268" t="s">
        <v>76</v>
      </c>
    </row>
    <row r="568" spans="2:2" x14ac:dyDescent="0.3">
      <c r="B568" s="276"/>
    </row>
    <row r="569" spans="2:2" ht="16.2" thickBot="1" x14ac:dyDescent="0.35">
      <c r="B569" s="281"/>
    </row>
    <row r="570" spans="2:2" x14ac:dyDescent="0.3">
      <c r="B570" s="268" t="s">
        <v>76</v>
      </c>
    </row>
    <row r="571" spans="2:2" x14ac:dyDescent="0.3">
      <c r="B571" s="276"/>
    </row>
    <row r="572" spans="2:2" ht="16.2" thickBot="1" x14ac:dyDescent="0.35">
      <c r="B572" s="281"/>
    </row>
    <row r="573" spans="2:2" x14ac:dyDescent="0.3">
      <c r="B573" s="268" t="s">
        <v>76</v>
      </c>
    </row>
    <row r="574" spans="2:2" x14ac:dyDescent="0.3">
      <c r="B574" s="276"/>
    </row>
    <row r="575" spans="2:2" ht="16.2" thickBot="1" x14ac:dyDescent="0.35">
      <c r="B575" s="281"/>
    </row>
    <row r="576" spans="2:2" x14ac:dyDescent="0.3">
      <c r="B576" s="268" t="s">
        <v>76</v>
      </c>
    </row>
    <row r="577" spans="2:2" x14ac:dyDescent="0.3">
      <c r="B577" s="276"/>
    </row>
    <row r="578" spans="2:2" ht="16.2" thickBot="1" x14ac:dyDescent="0.35">
      <c r="B578" s="281"/>
    </row>
    <row r="579" spans="2:2" x14ac:dyDescent="0.3">
      <c r="B579" s="268" t="s">
        <v>76</v>
      </c>
    </row>
    <row r="580" spans="2:2" x14ac:dyDescent="0.3">
      <c r="B580" s="276"/>
    </row>
    <row r="581" spans="2:2" ht="16.2" thickBot="1" x14ac:dyDescent="0.35">
      <c r="B581" s="281"/>
    </row>
    <row r="582" spans="2:2" x14ac:dyDescent="0.3">
      <c r="B582" s="268" t="s">
        <v>76</v>
      </c>
    </row>
    <row r="583" spans="2:2" x14ac:dyDescent="0.3">
      <c r="B583" s="276"/>
    </row>
    <row r="584" spans="2:2" ht="16.2" thickBot="1" x14ac:dyDescent="0.35">
      <c r="B584" s="281"/>
    </row>
    <row r="585" spans="2:2" x14ac:dyDescent="0.3">
      <c r="B585" s="268" t="s">
        <v>76</v>
      </c>
    </row>
    <row r="586" spans="2:2" x14ac:dyDescent="0.3">
      <c r="B586" s="276"/>
    </row>
    <row r="587" spans="2:2" ht="16.2" thickBot="1" x14ac:dyDescent="0.35">
      <c r="B587" s="281"/>
    </row>
    <row r="588" spans="2:2" x14ac:dyDescent="0.3">
      <c r="B588" s="268" t="s">
        <v>76</v>
      </c>
    </row>
    <row r="589" spans="2:2" x14ac:dyDescent="0.3">
      <c r="B589" s="276"/>
    </row>
    <row r="590" spans="2:2" ht="16.2" thickBot="1" x14ac:dyDescent="0.35">
      <c r="B590" s="281"/>
    </row>
    <row r="591" spans="2:2" x14ac:dyDescent="0.3">
      <c r="B591" s="268" t="s">
        <v>76</v>
      </c>
    </row>
    <row r="592" spans="2:2" x14ac:dyDescent="0.3">
      <c r="B592" s="276"/>
    </row>
    <row r="593" spans="2:2" ht="16.2" thickBot="1" x14ac:dyDescent="0.35">
      <c r="B593" s="281"/>
    </row>
    <row r="594" spans="2:2" x14ac:dyDescent="0.3">
      <c r="B594" s="268" t="s">
        <v>76</v>
      </c>
    </row>
    <row r="595" spans="2:2" x14ac:dyDescent="0.3">
      <c r="B595" s="276"/>
    </row>
    <row r="596" spans="2:2" ht="16.2" thickBot="1" x14ac:dyDescent="0.35">
      <c r="B596" s="281"/>
    </row>
    <row r="597" spans="2:2" x14ac:dyDescent="0.3">
      <c r="B597" s="268" t="s">
        <v>76</v>
      </c>
    </row>
    <row r="598" spans="2:2" x14ac:dyDescent="0.3">
      <c r="B598" s="276"/>
    </row>
    <row r="599" spans="2:2" ht="16.2" thickBot="1" x14ac:dyDescent="0.35">
      <c r="B599" s="281"/>
    </row>
    <row r="600" spans="2:2" x14ac:dyDescent="0.3">
      <c r="B600" s="268" t="s">
        <v>76</v>
      </c>
    </row>
    <row r="601" spans="2:2" x14ac:dyDescent="0.3">
      <c r="B601" s="276"/>
    </row>
    <row r="602" spans="2:2" ht="16.2" thickBot="1" x14ac:dyDescent="0.35">
      <c r="B602" s="281"/>
    </row>
    <row r="603" spans="2:2" x14ac:dyDescent="0.3">
      <c r="B603" s="268" t="s">
        <v>76</v>
      </c>
    </row>
    <row r="604" spans="2:2" x14ac:dyDescent="0.3">
      <c r="B604" s="276"/>
    </row>
    <row r="605" spans="2:2" ht="16.2" thickBot="1" x14ac:dyDescent="0.35">
      <c r="B605" s="281"/>
    </row>
    <row r="606" spans="2:2" x14ac:dyDescent="0.3">
      <c r="B606" s="268" t="s">
        <v>76</v>
      </c>
    </row>
    <row r="607" spans="2:2" x14ac:dyDescent="0.3">
      <c r="B607" s="276"/>
    </row>
    <row r="608" spans="2:2" ht="16.2" thickBot="1" x14ac:dyDescent="0.35">
      <c r="B608" s="281"/>
    </row>
    <row r="609" spans="2:2" x14ac:dyDescent="0.3">
      <c r="B609" s="268" t="s">
        <v>76</v>
      </c>
    </row>
    <row r="610" spans="2:2" x14ac:dyDescent="0.3">
      <c r="B610" s="276"/>
    </row>
    <row r="611" spans="2:2" ht="16.2" thickBot="1" x14ac:dyDescent="0.35">
      <c r="B611" s="281"/>
    </row>
    <row r="612" spans="2:2" x14ac:dyDescent="0.3">
      <c r="B612" s="268" t="s">
        <v>76</v>
      </c>
    </row>
    <row r="613" spans="2:2" x14ac:dyDescent="0.3">
      <c r="B613" s="276"/>
    </row>
    <row r="614" spans="2:2" ht="16.2" thickBot="1" x14ac:dyDescent="0.35">
      <c r="B614" s="281"/>
    </row>
    <row r="615" spans="2:2" x14ac:dyDescent="0.3">
      <c r="B615" s="268" t="s">
        <v>76</v>
      </c>
    </row>
    <row r="616" spans="2:2" x14ac:dyDescent="0.3">
      <c r="B616" s="276"/>
    </row>
    <row r="617" spans="2:2" ht="16.2" thickBot="1" x14ac:dyDescent="0.35">
      <c r="B617" s="281"/>
    </row>
    <row r="618" spans="2:2" x14ac:dyDescent="0.3">
      <c r="B618" s="268" t="s">
        <v>76</v>
      </c>
    </row>
    <row r="619" spans="2:2" x14ac:dyDescent="0.3">
      <c r="B619" s="276"/>
    </row>
    <row r="620" spans="2:2" ht="16.2" thickBot="1" x14ac:dyDescent="0.35">
      <c r="B620" s="281"/>
    </row>
    <row r="621" spans="2:2" x14ac:dyDescent="0.3">
      <c r="B621" s="268" t="s">
        <v>76</v>
      </c>
    </row>
    <row r="622" spans="2:2" x14ac:dyDescent="0.3">
      <c r="B622" s="276"/>
    </row>
    <row r="623" spans="2:2" ht="16.2" thickBot="1" x14ac:dyDescent="0.35">
      <c r="B623" s="281"/>
    </row>
    <row r="624" spans="2:2" x14ac:dyDescent="0.3">
      <c r="B624" s="268" t="s">
        <v>76</v>
      </c>
    </row>
    <row r="625" spans="2:2" x14ac:dyDescent="0.3">
      <c r="B625" s="276"/>
    </row>
    <row r="626" spans="2:2" ht="16.2" thickBot="1" x14ac:dyDescent="0.35">
      <c r="B626" s="281"/>
    </row>
    <row r="627" spans="2:2" x14ac:dyDescent="0.3">
      <c r="B627" s="268" t="s">
        <v>76</v>
      </c>
    </row>
    <row r="628" spans="2:2" x14ac:dyDescent="0.3">
      <c r="B628" s="276"/>
    </row>
    <row r="629" spans="2:2" ht="16.2" thickBot="1" x14ac:dyDescent="0.35">
      <c r="B629" s="281"/>
    </row>
    <row r="630" spans="2:2" x14ac:dyDescent="0.3">
      <c r="B630" s="268" t="s">
        <v>76</v>
      </c>
    </row>
    <row r="631" spans="2:2" x14ac:dyDescent="0.3">
      <c r="B631" s="276"/>
    </row>
    <row r="632" spans="2:2" ht="16.2" thickBot="1" x14ac:dyDescent="0.35">
      <c r="B632" s="281"/>
    </row>
    <row r="633" spans="2:2" x14ac:dyDescent="0.3">
      <c r="B633" s="268" t="s">
        <v>76</v>
      </c>
    </row>
    <row r="634" spans="2:2" x14ac:dyDescent="0.3">
      <c r="B634" s="276"/>
    </row>
    <row r="635" spans="2:2" ht="16.2" thickBot="1" x14ac:dyDescent="0.35">
      <c r="B635" s="281"/>
    </row>
    <row r="636" spans="2:2" x14ac:dyDescent="0.3">
      <c r="B636" s="268" t="s">
        <v>76</v>
      </c>
    </row>
    <row r="637" spans="2:2" x14ac:dyDescent="0.3">
      <c r="B637" s="276"/>
    </row>
    <row r="638" spans="2:2" ht="16.2" thickBot="1" x14ac:dyDescent="0.35">
      <c r="B638" s="281"/>
    </row>
    <row r="639" spans="2:2" x14ac:dyDescent="0.3">
      <c r="B639" s="268" t="s">
        <v>76</v>
      </c>
    </row>
    <row r="640" spans="2:2" x14ac:dyDescent="0.3">
      <c r="B640" s="276"/>
    </row>
    <row r="641" spans="2:2" ht="16.2" thickBot="1" x14ac:dyDescent="0.35">
      <c r="B641" s="281"/>
    </row>
    <row r="642" spans="2:2" x14ac:dyDescent="0.3">
      <c r="B642" s="268" t="s">
        <v>76</v>
      </c>
    </row>
    <row r="643" spans="2:2" x14ac:dyDescent="0.3">
      <c r="B643" s="276"/>
    </row>
    <row r="644" spans="2:2" ht="16.2" thickBot="1" x14ac:dyDescent="0.35">
      <c r="B644" s="281"/>
    </row>
    <row r="645" spans="2:2" x14ac:dyDescent="0.3">
      <c r="B645" s="268" t="s">
        <v>76</v>
      </c>
    </row>
    <row r="646" spans="2:2" x14ac:dyDescent="0.3">
      <c r="B646" s="276"/>
    </row>
    <row r="647" spans="2:2" ht="16.2" thickBot="1" x14ac:dyDescent="0.35">
      <c r="B647" s="281"/>
    </row>
    <row r="648" spans="2:2" x14ac:dyDescent="0.3">
      <c r="B648" s="268" t="s">
        <v>76</v>
      </c>
    </row>
    <row r="649" spans="2:2" x14ac:dyDescent="0.3">
      <c r="B649" s="276"/>
    </row>
    <row r="650" spans="2:2" ht="16.2" thickBot="1" x14ac:dyDescent="0.35">
      <c r="B650" s="281"/>
    </row>
    <row r="651" spans="2:2" x14ac:dyDescent="0.3">
      <c r="B651" s="268" t="s">
        <v>76</v>
      </c>
    </row>
    <row r="652" spans="2:2" x14ac:dyDescent="0.3">
      <c r="B652" s="276"/>
    </row>
    <row r="653" spans="2:2" ht="16.2" thickBot="1" x14ac:dyDescent="0.35">
      <c r="B653" s="281"/>
    </row>
    <row r="654" spans="2:2" x14ac:dyDescent="0.3">
      <c r="B654" s="268" t="s">
        <v>76</v>
      </c>
    </row>
    <row r="655" spans="2:2" x14ac:dyDescent="0.3">
      <c r="B655" s="276"/>
    </row>
    <row r="656" spans="2:2" ht="16.2" thickBot="1" x14ac:dyDescent="0.35">
      <c r="B656" s="281"/>
    </row>
    <row r="657" spans="2:2" x14ac:dyDescent="0.3">
      <c r="B657" s="268" t="s">
        <v>76</v>
      </c>
    </row>
    <row r="658" spans="2:2" x14ac:dyDescent="0.3">
      <c r="B658" s="276"/>
    </row>
    <row r="659" spans="2:2" ht="16.2" thickBot="1" x14ac:dyDescent="0.35">
      <c r="B659" s="281"/>
    </row>
    <row r="660" spans="2:2" x14ac:dyDescent="0.3">
      <c r="B660" s="268" t="s">
        <v>76</v>
      </c>
    </row>
    <row r="661" spans="2:2" x14ac:dyDescent="0.3">
      <c r="B661" s="276"/>
    </row>
    <row r="662" spans="2:2" ht="16.2" thickBot="1" x14ac:dyDescent="0.35">
      <c r="B662" s="281"/>
    </row>
    <row r="663" spans="2:2" x14ac:dyDescent="0.3">
      <c r="B663" s="268" t="s">
        <v>76</v>
      </c>
    </row>
    <row r="664" spans="2:2" x14ac:dyDescent="0.3">
      <c r="B664" s="276"/>
    </row>
    <row r="665" spans="2:2" ht="16.2" thickBot="1" x14ac:dyDescent="0.35">
      <c r="B665" s="281"/>
    </row>
  </sheetData>
  <autoFilter ref="A11:AI510" xr:uid="{00000000-0009-0000-0000-00000700000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5" priority="5" stopIfTrue="1" operator="equal">
      <formula>"Fail"</formula>
    </cfRule>
    <cfRule type="cellIs" dxfId="1144" priority="6" stopIfTrue="1" operator="equal">
      <formula>"Pass"</formula>
    </cfRule>
  </conditionalFormatting>
  <conditionalFormatting sqref="Z417 Z420 Z423 Z426">
    <cfRule type="cellIs" dxfId="1143" priority="3" stopIfTrue="1" operator="equal">
      <formula>"Fail"</formula>
    </cfRule>
    <cfRule type="cellIs" dxfId="1142" priority="4" stopIfTrue="1" operator="equal">
      <formula>"Pass"</formula>
    </cfRule>
  </conditionalFormatting>
  <conditionalFormatting sqref="Z429">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2:FP279"/>
  <sheetViews>
    <sheetView tabSelected="1" zoomScale="85" zoomScaleNormal="85" workbookViewId="0">
      <selection activeCell="K23" sqref="K23"/>
    </sheetView>
  </sheetViews>
  <sheetFormatPr defaultRowHeight="15.6" x14ac:dyDescent="0.3"/>
  <cols>
    <col min="1" max="1" width="18" bestFit="1" customWidth="1"/>
    <col min="10" max="10" width="13.09765625" customWidth="1"/>
    <col min="13" max="13" width="12.69921875" bestFit="1" customWidth="1"/>
    <col min="21" max="21" width="10.09765625" bestFit="1" customWidth="1"/>
  </cols>
  <sheetData>
    <row r="2" spans="1:172" ht="18.600000000000001" thickBot="1" x14ac:dyDescent="0.4">
      <c r="G2" s="447" t="s">
        <v>252</v>
      </c>
      <c r="H2" s="448"/>
      <c r="I2" s="448"/>
      <c r="J2" s="448"/>
      <c r="K2" s="448"/>
      <c r="L2" s="448"/>
      <c r="M2" s="448"/>
      <c r="N2" s="448"/>
      <c r="O2" s="448"/>
      <c r="P2" s="448"/>
      <c r="Q2" s="448"/>
    </row>
    <row r="3" spans="1:172" ht="24" thickBot="1" x14ac:dyDescent="0.5">
      <c r="J3" s="397" t="s">
        <v>240</v>
      </c>
      <c r="K3" s="433" t="s">
        <v>241</v>
      </c>
      <c r="L3" s="434"/>
      <c r="R3" s="438" t="s">
        <v>254</v>
      </c>
      <c r="S3" s="439"/>
      <c r="T3" s="440"/>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2" ht="16.2" thickBot="1" x14ac:dyDescent="0.35">
      <c r="J4" s="394" t="s">
        <v>222</v>
      </c>
      <c r="K4" s="395" t="s">
        <v>71</v>
      </c>
      <c r="L4" s="396" t="s">
        <v>72</v>
      </c>
      <c r="R4" s="441"/>
      <c r="S4" s="442"/>
      <c r="T4" s="443"/>
    </row>
    <row r="5" spans="1:172" ht="16.2" thickBot="1" x14ac:dyDescent="0.35">
      <c r="J5" s="391">
        <v>43782</v>
      </c>
      <c r="K5" s="389">
        <v>1868.1004530115333</v>
      </c>
      <c r="L5" s="390">
        <v>2393.9719572448766</v>
      </c>
      <c r="M5" t="s">
        <v>249</v>
      </c>
      <c r="N5">
        <f>30*13</f>
        <v>390</v>
      </c>
      <c r="R5" s="441"/>
      <c r="S5" s="442"/>
      <c r="T5" s="443"/>
      <c r="U5" s="33"/>
      <c r="V5" s="33"/>
      <c r="W5" s="33"/>
      <c r="X5" s="33"/>
      <c r="Y5" s="33"/>
      <c r="Z5" s="33"/>
      <c r="AA5" s="33">
        <v>43101</v>
      </c>
      <c r="AB5" s="33">
        <v>43104</v>
      </c>
      <c r="AC5" s="33">
        <v>43112</v>
      </c>
      <c r="AD5" s="33">
        <v>43116</v>
      </c>
      <c r="AE5" s="33">
        <v>43119</v>
      </c>
      <c r="AF5" s="33">
        <v>43125</v>
      </c>
      <c r="AG5" s="33">
        <v>43129</v>
      </c>
      <c r="AH5" s="33">
        <v>43102</v>
      </c>
      <c r="AI5" s="33">
        <v>43137</v>
      </c>
      <c r="AJ5" s="33">
        <v>43146</v>
      </c>
      <c r="AK5" s="33">
        <v>43151</v>
      </c>
      <c r="AL5" s="33">
        <v>43156</v>
      </c>
      <c r="AM5" s="33">
        <v>43178</v>
      </c>
      <c r="AN5" s="33">
        <v>43182</v>
      </c>
      <c r="AO5" s="33">
        <v>43199</v>
      </c>
      <c r="AP5" s="33">
        <v>43203</v>
      </c>
      <c r="AQ5" s="33">
        <v>43206</v>
      </c>
      <c r="AR5" s="33">
        <v>43214</v>
      </c>
      <c r="AS5" s="33">
        <v>43221</v>
      </c>
      <c r="AT5" s="33">
        <v>43234</v>
      </c>
      <c r="AU5" s="33">
        <v>43238</v>
      </c>
      <c r="AV5" s="33">
        <v>43242</v>
      </c>
      <c r="AW5" s="33">
        <v>43243</v>
      </c>
      <c r="AX5" s="33">
        <v>43248</v>
      </c>
      <c r="AY5" s="33">
        <v>43251</v>
      </c>
      <c r="AZ5" s="33">
        <v>43255</v>
      </c>
      <c r="BA5" s="33">
        <v>43258</v>
      </c>
      <c r="BB5" s="33">
        <v>43262</v>
      </c>
      <c r="BC5" s="33">
        <v>43272</v>
      </c>
      <c r="BD5" s="33">
        <v>43283</v>
      </c>
      <c r="BE5" s="33">
        <v>43287</v>
      </c>
      <c r="BF5" s="33">
        <v>43294</v>
      </c>
      <c r="BG5" s="33">
        <v>43305</v>
      </c>
      <c r="BH5" s="33">
        <v>43308</v>
      </c>
      <c r="BI5" s="33">
        <v>43314</v>
      </c>
      <c r="BJ5" s="33">
        <v>43318</v>
      </c>
      <c r="BK5" s="33">
        <v>43321</v>
      </c>
      <c r="BL5" s="33">
        <v>43325</v>
      </c>
      <c r="BM5" s="33">
        <v>43336</v>
      </c>
      <c r="BN5" s="33">
        <v>43340</v>
      </c>
      <c r="BO5" s="33">
        <v>43344</v>
      </c>
      <c r="BP5" s="33">
        <v>43348</v>
      </c>
      <c r="BQ5" s="33">
        <v>43352</v>
      </c>
      <c r="BR5" s="33">
        <v>43357</v>
      </c>
      <c r="BS5" s="33">
        <v>43362</v>
      </c>
      <c r="BT5" s="33">
        <v>43367</v>
      </c>
      <c r="BU5" s="33">
        <v>43370</v>
      </c>
      <c r="BV5" s="33">
        <v>43370</v>
      </c>
      <c r="BW5" s="33">
        <v>43378</v>
      </c>
      <c r="BX5" s="33">
        <v>43382</v>
      </c>
      <c r="BY5" s="33">
        <v>43385</v>
      </c>
      <c r="BZ5" s="33">
        <v>43388</v>
      </c>
      <c r="CA5" s="33">
        <v>43391</v>
      </c>
      <c r="CB5" s="33">
        <v>43395</v>
      </c>
      <c r="CC5" s="33">
        <v>43398</v>
      </c>
      <c r="CD5" s="33">
        <v>43401</v>
      </c>
      <c r="CE5" s="33">
        <v>43402</v>
      </c>
      <c r="CF5" s="33">
        <v>43404</v>
      </c>
      <c r="CG5" s="33">
        <v>43409</v>
      </c>
      <c r="CH5" s="33">
        <v>43413</v>
      </c>
      <c r="CI5" s="33">
        <v>43424</v>
      </c>
      <c r="CJ5" s="33">
        <v>43430</v>
      </c>
      <c r="CK5" s="33">
        <v>43438</v>
      </c>
      <c r="CL5" s="33">
        <v>43452</v>
      </c>
      <c r="CM5" s="33">
        <v>43452</v>
      </c>
      <c r="CN5" s="33">
        <v>43458</v>
      </c>
      <c r="CO5" s="33">
        <v>43462</v>
      </c>
      <c r="CP5" s="33">
        <v>43466</v>
      </c>
      <c r="CQ5" s="33">
        <v>43480</v>
      </c>
      <c r="CR5" s="33">
        <v>43487</v>
      </c>
      <c r="CS5" s="33">
        <v>43493</v>
      </c>
      <c r="CT5" s="33">
        <v>43497</v>
      </c>
      <c r="CU5" s="33">
        <v>43502</v>
      </c>
      <c r="CV5" s="33">
        <v>43507</v>
      </c>
      <c r="CW5" s="33">
        <v>43510</v>
      </c>
      <c r="CX5" s="33">
        <v>43514</v>
      </c>
      <c r="CY5" s="33">
        <v>43522</v>
      </c>
      <c r="CZ5" s="33">
        <v>43528</v>
      </c>
      <c r="DA5" s="33">
        <v>43544</v>
      </c>
      <c r="DB5" s="33">
        <v>43546</v>
      </c>
      <c r="DC5" s="33">
        <v>43549</v>
      </c>
      <c r="DD5" s="33">
        <v>43552</v>
      </c>
      <c r="DE5" s="33">
        <v>43558</v>
      </c>
      <c r="DF5" s="33">
        <v>43564</v>
      </c>
      <c r="DG5" s="33">
        <v>43569</v>
      </c>
      <c r="DH5" s="33">
        <v>43577</v>
      </c>
      <c r="DI5" s="33">
        <v>43580</v>
      </c>
      <c r="DJ5" s="33">
        <v>43585</v>
      </c>
      <c r="DK5" s="33">
        <v>43588</v>
      </c>
      <c r="DL5" s="33">
        <v>43591</v>
      </c>
      <c r="DM5" s="33">
        <v>43598</v>
      </c>
      <c r="DN5" s="33">
        <v>43601</v>
      </c>
      <c r="DO5" s="33">
        <v>43603</v>
      </c>
      <c r="DP5" s="33">
        <v>43605</v>
      </c>
      <c r="DQ5" s="33">
        <v>43608</v>
      </c>
      <c r="DR5" s="33">
        <v>43612</v>
      </c>
      <c r="DS5" s="33">
        <v>43616</v>
      </c>
      <c r="DT5" s="33">
        <v>43619</v>
      </c>
      <c r="DU5" s="33">
        <v>43623</v>
      </c>
      <c r="DV5" s="33">
        <v>43627</v>
      </c>
      <c r="DW5" s="33">
        <v>43633</v>
      </c>
      <c r="DX5" s="33">
        <v>43637</v>
      </c>
      <c r="DY5" s="33">
        <v>43640</v>
      </c>
      <c r="DZ5" s="33">
        <v>43656</v>
      </c>
      <c r="EA5" s="33">
        <v>43661</v>
      </c>
      <c r="EB5" s="33">
        <v>43667</v>
      </c>
      <c r="EC5" s="33">
        <v>43671</v>
      </c>
      <c r="ED5" s="33">
        <v>43674</v>
      </c>
      <c r="EE5" s="33">
        <v>43678</v>
      </c>
      <c r="EF5" s="33">
        <v>43681</v>
      </c>
      <c r="EG5" s="33">
        <v>43685</v>
      </c>
      <c r="EH5" s="33">
        <v>43690</v>
      </c>
      <c r="EI5" s="33">
        <v>43694</v>
      </c>
      <c r="EJ5" s="33">
        <v>43697</v>
      </c>
      <c r="EK5" s="33">
        <v>43700</v>
      </c>
      <c r="EL5" s="33">
        <v>43704</v>
      </c>
      <c r="EM5" s="33">
        <v>43710</v>
      </c>
      <c r="EN5" s="33">
        <v>43712</v>
      </c>
      <c r="EO5" s="33">
        <v>43715</v>
      </c>
      <c r="EP5" s="33">
        <v>43719</v>
      </c>
      <c r="EQ5" s="33">
        <v>43724</v>
      </c>
      <c r="ER5" s="33">
        <v>43727</v>
      </c>
      <c r="ES5" s="33">
        <v>43732</v>
      </c>
      <c r="ET5" s="33">
        <v>43734</v>
      </c>
      <c r="EU5" s="33">
        <v>43738</v>
      </c>
      <c r="EV5" s="33">
        <v>43756</v>
      </c>
      <c r="EW5" s="33">
        <v>43760</v>
      </c>
      <c r="EX5" s="33">
        <v>43766</v>
      </c>
      <c r="EY5" s="33">
        <v>43773</v>
      </c>
      <c r="EZ5" s="33">
        <v>43782</v>
      </c>
      <c r="FA5" s="33">
        <v>43786</v>
      </c>
      <c r="FB5" s="33">
        <v>43787</v>
      </c>
      <c r="FC5" s="33">
        <v>43787</v>
      </c>
      <c r="FD5" s="33">
        <v>43789</v>
      </c>
      <c r="FE5" s="33">
        <v>43792</v>
      </c>
      <c r="FF5" s="33">
        <v>43795</v>
      </c>
      <c r="FG5" s="33"/>
      <c r="FH5" s="33"/>
      <c r="FI5" s="33"/>
      <c r="FJ5" s="33"/>
      <c r="FK5" s="33"/>
      <c r="FL5" s="33"/>
      <c r="FM5" s="33"/>
      <c r="FN5" s="33"/>
      <c r="FO5" s="33"/>
    </row>
    <row r="6" spans="1:172" x14ac:dyDescent="0.3">
      <c r="J6" s="415"/>
      <c r="K6" s="393"/>
      <c r="L6" s="392"/>
      <c r="M6" t="s">
        <v>250</v>
      </c>
      <c r="N6">
        <f>30</f>
        <v>30</v>
      </c>
      <c r="R6" s="441"/>
      <c r="S6" s="442"/>
      <c r="T6" s="443"/>
    </row>
    <row r="7" spans="1:172" x14ac:dyDescent="0.3">
      <c r="R7" s="441"/>
      <c r="S7" s="442"/>
      <c r="T7" s="443"/>
    </row>
    <row r="8" spans="1:172" x14ac:dyDescent="0.3">
      <c r="R8" s="441"/>
      <c r="S8" s="442"/>
      <c r="T8" s="44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2" x14ac:dyDescent="0.3">
      <c r="R9" s="441"/>
      <c r="S9" s="442"/>
      <c r="T9" s="443"/>
    </row>
    <row r="10" spans="1:172" x14ac:dyDescent="0.3">
      <c r="R10" s="441"/>
      <c r="S10" s="442"/>
      <c r="T10" s="44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2" ht="16.2" thickBot="1" x14ac:dyDescent="0.35">
      <c r="R11" s="441"/>
      <c r="S11" s="442"/>
      <c r="T11" s="443"/>
    </row>
    <row r="12" spans="1:172" ht="18.600000000000001" thickBot="1" x14ac:dyDescent="0.4">
      <c r="D12" s="388"/>
      <c r="G12" s="435" t="s">
        <v>251</v>
      </c>
      <c r="H12" s="436"/>
      <c r="I12" s="436"/>
      <c r="J12" s="436"/>
      <c r="K12" s="436"/>
      <c r="L12" s="436"/>
      <c r="M12" s="436"/>
      <c r="N12" s="436"/>
      <c r="O12" s="436"/>
      <c r="P12" s="437"/>
      <c r="R12" s="441"/>
      <c r="S12" s="442"/>
      <c r="T12" s="443"/>
    </row>
    <row r="13" spans="1:172" ht="24" thickBot="1" x14ac:dyDescent="0.5">
      <c r="A13" s="33"/>
      <c r="J13" s="397" t="s">
        <v>240</v>
      </c>
      <c r="K13" s="433" t="s">
        <v>241</v>
      </c>
      <c r="L13" s="434"/>
      <c r="R13" s="441"/>
      <c r="S13" s="442"/>
      <c r="T13" s="443"/>
    </row>
    <row r="14" spans="1:172" ht="16.2" thickBot="1" x14ac:dyDescent="0.35">
      <c r="A14" s="33"/>
      <c r="J14" s="394" t="s">
        <v>222</v>
      </c>
      <c r="K14" s="395" t="s">
        <v>71</v>
      </c>
      <c r="L14" s="396" t="s">
        <v>72</v>
      </c>
      <c r="R14" s="441"/>
      <c r="S14" s="442"/>
      <c r="T14" s="443"/>
    </row>
    <row r="15" spans="1:172" ht="16.2" thickBot="1" x14ac:dyDescent="0.35">
      <c r="A15" s="33"/>
      <c r="J15" s="391">
        <v>43795</v>
      </c>
      <c r="K15" s="389">
        <v>1904.5858180700041</v>
      </c>
      <c r="L15" s="390">
        <v>2147.81614271431</v>
      </c>
      <c r="M15" t="s">
        <v>249</v>
      </c>
      <c r="N15">
        <f>30*17</f>
        <v>510</v>
      </c>
      <c r="R15" s="441"/>
      <c r="S15" s="442"/>
      <c r="T15" s="443"/>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row>
    <row r="16" spans="1:172" ht="16.2" thickBot="1" x14ac:dyDescent="0.35">
      <c r="A16" s="33"/>
      <c r="J16" s="415">
        <v>1</v>
      </c>
      <c r="K16" s="393"/>
      <c r="L16" s="392"/>
      <c r="M16" t="s">
        <v>250</v>
      </c>
      <c r="N16">
        <f>30</f>
        <v>30</v>
      </c>
      <c r="R16" s="444"/>
      <c r="S16" s="445"/>
      <c r="T16" s="446"/>
    </row>
    <row r="17" spans="1:22" x14ac:dyDescent="0.3">
      <c r="A17" s="33"/>
    </row>
    <row r="18" spans="1:22" x14ac:dyDescent="0.3">
      <c r="A18" s="33"/>
    </row>
    <row r="19" spans="1:22" x14ac:dyDescent="0.3">
      <c r="A19" s="33"/>
    </row>
    <row r="20" spans="1:22" x14ac:dyDescent="0.3">
      <c r="A20" s="33"/>
      <c r="R20" s="33"/>
      <c r="S20" s="387"/>
      <c r="U20" s="33"/>
      <c r="V20" s="387"/>
    </row>
    <row r="21" spans="1:22" x14ac:dyDescent="0.3">
      <c r="A21" s="33"/>
      <c r="U21" s="33"/>
      <c r="V21" s="387"/>
    </row>
    <row r="22" spans="1:22" x14ac:dyDescent="0.3">
      <c r="U22" s="33"/>
      <c r="V22" s="387"/>
    </row>
    <row r="23" spans="1:22" x14ac:dyDescent="0.3">
      <c r="A23" s="33"/>
      <c r="U23" s="33"/>
      <c r="V23" s="387"/>
    </row>
    <row r="24" spans="1:22" x14ac:dyDescent="0.3">
      <c r="A24" s="33"/>
      <c r="U24" s="33"/>
      <c r="V24" s="387"/>
    </row>
    <row r="25" spans="1:22" x14ac:dyDescent="0.3">
      <c r="U25" s="33"/>
      <c r="V25" s="387"/>
    </row>
    <row r="26" spans="1:22" x14ac:dyDescent="0.3">
      <c r="A26" s="33"/>
      <c r="U26" s="33"/>
      <c r="V26" s="387"/>
    </row>
    <row r="27" spans="1:22" x14ac:dyDescent="0.3">
      <c r="A27" s="33"/>
      <c r="U27" s="33"/>
      <c r="V27" s="387"/>
    </row>
    <row r="28" spans="1:22" x14ac:dyDescent="0.3">
      <c r="U28" s="33"/>
      <c r="V28" s="387"/>
    </row>
    <row r="29" spans="1:22" x14ac:dyDescent="0.3">
      <c r="A29" s="33"/>
    </row>
    <row r="30" spans="1:22" x14ac:dyDescent="0.3">
      <c r="A30" s="33"/>
    </row>
    <row r="32" spans="1:22" x14ac:dyDescent="0.3">
      <c r="A32" s="33"/>
    </row>
    <row r="33" spans="1:1" x14ac:dyDescent="0.3">
      <c r="A33" s="33"/>
    </row>
    <row r="35" spans="1:1" x14ac:dyDescent="0.3">
      <c r="A35" s="33"/>
    </row>
    <row r="36" spans="1:1" x14ac:dyDescent="0.3">
      <c r="A36" s="33"/>
    </row>
    <row r="38" spans="1:1" x14ac:dyDescent="0.3">
      <c r="A38" s="33"/>
    </row>
    <row r="39" spans="1:1" x14ac:dyDescent="0.3">
      <c r="A39" s="33"/>
    </row>
    <row r="41" spans="1:1" x14ac:dyDescent="0.3">
      <c r="A41" s="33"/>
    </row>
    <row r="42" spans="1:1" x14ac:dyDescent="0.3">
      <c r="A42" s="33"/>
    </row>
    <row r="44" spans="1:1" x14ac:dyDescent="0.3">
      <c r="A44" s="33"/>
    </row>
    <row r="45" spans="1:1" x14ac:dyDescent="0.3">
      <c r="A45" s="33"/>
    </row>
    <row r="47" spans="1:1" x14ac:dyDescent="0.3">
      <c r="A47" s="33"/>
    </row>
    <row r="48" spans="1:1" x14ac:dyDescent="0.3">
      <c r="A48" s="33"/>
    </row>
    <row r="50" spans="1:1" x14ac:dyDescent="0.3">
      <c r="A50" s="33"/>
    </row>
    <row r="51" spans="1:1" x14ac:dyDescent="0.3">
      <c r="A51" s="33"/>
    </row>
    <row r="53" spans="1:1" x14ac:dyDescent="0.3">
      <c r="A53" s="33"/>
    </row>
    <row r="54" spans="1:1" x14ac:dyDescent="0.3">
      <c r="A54" s="33"/>
    </row>
    <row r="56" spans="1:1" x14ac:dyDescent="0.3">
      <c r="A56" s="33"/>
    </row>
    <row r="57" spans="1:1" x14ac:dyDescent="0.3">
      <c r="A57" s="33"/>
    </row>
    <row r="59" spans="1:1" x14ac:dyDescent="0.3">
      <c r="A59" s="33"/>
    </row>
    <row r="60" spans="1:1" x14ac:dyDescent="0.3">
      <c r="A60" s="33"/>
    </row>
    <row r="62" spans="1:1" x14ac:dyDescent="0.3">
      <c r="A62" s="33"/>
    </row>
    <row r="63" spans="1:1" x14ac:dyDescent="0.3">
      <c r="A63" s="33"/>
    </row>
    <row r="65" spans="1:1" x14ac:dyDescent="0.3">
      <c r="A65" s="33"/>
    </row>
    <row r="66" spans="1:1" x14ac:dyDescent="0.3">
      <c r="A66" s="33"/>
    </row>
    <row r="68" spans="1:1" x14ac:dyDescent="0.3">
      <c r="A68" s="33"/>
    </row>
    <row r="69" spans="1:1" x14ac:dyDescent="0.3">
      <c r="A69" s="33"/>
    </row>
    <row r="71" spans="1:1" x14ac:dyDescent="0.3">
      <c r="A71" s="33"/>
    </row>
    <row r="72" spans="1:1" x14ac:dyDescent="0.3">
      <c r="A72" s="33"/>
    </row>
    <row r="74" spans="1:1" x14ac:dyDescent="0.3">
      <c r="A74" s="33"/>
    </row>
    <row r="75" spans="1:1" x14ac:dyDescent="0.3">
      <c r="A75" s="33"/>
    </row>
    <row r="77" spans="1:1" x14ac:dyDescent="0.3">
      <c r="A77" s="33"/>
    </row>
    <row r="78" spans="1:1" x14ac:dyDescent="0.3">
      <c r="A78" s="33"/>
    </row>
    <row r="80" spans="1:1" x14ac:dyDescent="0.3">
      <c r="A80" s="33"/>
    </row>
    <row r="81" spans="1:1" x14ac:dyDescent="0.3">
      <c r="A81" s="33"/>
    </row>
    <row r="83" spans="1:1" x14ac:dyDescent="0.3">
      <c r="A83" s="33"/>
    </row>
    <row r="84" spans="1:1" x14ac:dyDescent="0.3">
      <c r="A84" s="33"/>
    </row>
    <row r="86" spans="1:1" x14ac:dyDescent="0.3">
      <c r="A86" s="33"/>
    </row>
    <row r="87" spans="1:1" x14ac:dyDescent="0.3">
      <c r="A87" s="33"/>
    </row>
    <row r="89" spans="1:1" x14ac:dyDescent="0.3">
      <c r="A89" s="33"/>
    </row>
    <row r="90" spans="1:1" x14ac:dyDescent="0.3">
      <c r="A90" s="33"/>
    </row>
    <row r="92" spans="1:1" x14ac:dyDescent="0.3">
      <c r="A92" s="33"/>
    </row>
    <row r="93" spans="1:1" x14ac:dyDescent="0.3">
      <c r="A93" s="33"/>
    </row>
    <row r="95" spans="1:1" x14ac:dyDescent="0.3">
      <c r="A95" s="33"/>
    </row>
    <row r="96" spans="1:1" x14ac:dyDescent="0.3">
      <c r="A96" s="33"/>
    </row>
    <row r="98" spans="1:1" x14ac:dyDescent="0.3">
      <c r="A98" s="33"/>
    </row>
    <row r="99" spans="1:1" x14ac:dyDescent="0.3">
      <c r="A99" s="33"/>
    </row>
    <row r="101" spans="1:1" x14ac:dyDescent="0.3">
      <c r="A101" s="33"/>
    </row>
    <row r="102" spans="1:1" x14ac:dyDescent="0.3">
      <c r="A102" s="33"/>
    </row>
    <row r="104" spans="1:1" x14ac:dyDescent="0.3">
      <c r="A104" s="33"/>
    </row>
    <row r="105" spans="1:1" x14ac:dyDescent="0.3">
      <c r="A105" s="33"/>
    </row>
    <row r="107" spans="1:1" x14ac:dyDescent="0.3">
      <c r="A107" s="33"/>
    </row>
    <row r="108" spans="1:1" x14ac:dyDescent="0.3">
      <c r="A108" s="33"/>
    </row>
    <row r="110" spans="1:1" x14ac:dyDescent="0.3">
      <c r="A110" s="33"/>
    </row>
    <row r="111" spans="1:1" x14ac:dyDescent="0.3">
      <c r="A111" s="33"/>
    </row>
    <row r="113" spans="1:1" x14ac:dyDescent="0.3">
      <c r="A113" s="33"/>
    </row>
    <row r="114" spans="1:1" x14ac:dyDescent="0.3">
      <c r="A114" s="33"/>
    </row>
    <row r="116" spans="1:1" x14ac:dyDescent="0.3">
      <c r="A116" s="33"/>
    </row>
    <row r="117" spans="1:1" x14ac:dyDescent="0.3">
      <c r="A117" s="33"/>
    </row>
    <row r="119" spans="1:1" x14ac:dyDescent="0.3">
      <c r="A119" s="33"/>
    </row>
    <row r="120" spans="1:1" x14ac:dyDescent="0.3">
      <c r="A120" s="33"/>
    </row>
    <row r="122" spans="1:1" x14ac:dyDescent="0.3">
      <c r="A122" s="33"/>
    </row>
    <row r="123" spans="1:1" x14ac:dyDescent="0.3">
      <c r="A123" s="33"/>
    </row>
    <row r="125" spans="1:1" x14ac:dyDescent="0.3">
      <c r="A125" s="33"/>
    </row>
    <row r="126" spans="1:1" x14ac:dyDescent="0.3">
      <c r="A126" s="33"/>
    </row>
    <row r="128" spans="1:1" x14ac:dyDescent="0.3">
      <c r="A128" s="33"/>
    </row>
    <row r="129" spans="1:1" x14ac:dyDescent="0.3">
      <c r="A129" s="33"/>
    </row>
    <row r="131" spans="1:1" x14ac:dyDescent="0.3">
      <c r="A131" s="33"/>
    </row>
    <row r="132" spans="1:1" x14ac:dyDescent="0.3">
      <c r="A132" s="33"/>
    </row>
    <row r="134" spans="1:1" x14ac:dyDescent="0.3">
      <c r="A134" s="33"/>
    </row>
    <row r="135" spans="1:1" x14ac:dyDescent="0.3">
      <c r="A135" s="33"/>
    </row>
    <row r="137" spans="1:1" x14ac:dyDescent="0.3">
      <c r="A137" s="33"/>
    </row>
    <row r="138" spans="1:1" x14ac:dyDescent="0.3">
      <c r="A138" s="33"/>
    </row>
    <row r="140" spans="1:1" x14ac:dyDescent="0.3">
      <c r="A140" s="33"/>
    </row>
    <row r="141" spans="1:1" x14ac:dyDescent="0.3">
      <c r="A141" s="33"/>
    </row>
    <row r="143" spans="1:1" x14ac:dyDescent="0.3">
      <c r="A143" s="33"/>
    </row>
    <row r="144" spans="1:1" x14ac:dyDescent="0.3">
      <c r="A144" s="33"/>
    </row>
    <row r="146" spans="1:1" x14ac:dyDescent="0.3">
      <c r="A146" s="33"/>
    </row>
    <row r="147" spans="1:1" x14ac:dyDescent="0.3">
      <c r="A147" s="33"/>
    </row>
    <row r="149" spans="1:1" x14ac:dyDescent="0.3">
      <c r="A149" s="33"/>
    </row>
    <row r="150" spans="1:1" x14ac:dyDescent="0.3">
      <c r="A150" s="33"/>
    </row>
    <row r="152" spans="1:1" x14ac:dyDescent="0.3">
      <c r="A152" s="33"/>
    </row>
    <row r="153" spans="1:1" x14ac:dyDescent="0.3">
      <c r="A153" s="33"/>
    </row>
    <row r="155" spans="1:1" x14ac:dyDescent="0.3">
      <c r="A155" s="33"/>
    </row>
    <row r="156" spans="1:1" x14ac:dyDescent="0.3">
      <c r="A156" s="33"/>
    </row>
    <row r="158" spans="1:1" x14ac:dyDescent="0.3">
      <c r="A158" s="33"/>
    </row>
    <row r="159" spans="1:1" x14ac:dyDescent="0.3">
      <c r="A159" s="33"/>
    </row>
    <row r="161" spans="1:1" x14ac:dyDescent="0.3">
      <c r="A161" s="33"/>
    </row>
    <row r="162" spans="1:1" x14ac:dyDescent="0.3">
      <c r="A162" s="33"/>
    </row>
    <row r="164" spans="1:1" x14ac:dyDescent="0.3">
      <c r="A164" s="33"/>
    </row>
    <row r="165" spans="1:1" x14ac:dyDescent="0.3">
      <c r="A165" s="33"/>
    </row>
    <row r="167" spans="1:1" x14ac:dyDescent="0.3">
      <c r="A167" s="33"/>
    </row>
    <row r="168" spans="1:1" x14ac:dyDescent="0.3">
      <c r="A168" s="33"/>
    </row>
    <row r="170" spans="1:1" x14ac:dyDescent="0.3">
      <c r="A170" s="33"/>
    </row>
    <row r="171" spans="1:1" x14ac:dyDescent="0.3">
      <c r="A171" s="33"/>
    </row>
    <row r="173" spans="1:1" x14ac:dyDescent="0.3">
      <c r="A173" s="33"/>
    </row>
    <row r="174" spans="1:1" x14ac:dyDescent="0.3">
      <c r="A174" s="33"/>
    </row>
    <row r="176" spans="1:1" x14ac:dyDescent="0.3">
      <c r="A176" s="33"/>
    </row>
    <row r="177" spans="1:1" x14ac:dyDescent="0.3">
      <c r="A177" s="33"/>
    </row>
    <row r="179" spans="1:1" x14ac:dyDescent="0.3">
      <c r="A179" s="33"/>
    </row>
    <row r="180" spans="1:1" x14ac:dyDescent="0.3">
      <c r="A180" s="33"/>
    </row>
    <row r="183" spans="1:1" x14ac:dyDescent="0.3">
      <c r="A183" s="33"/>
    </row>
    <row r="186" spans="1:1" x14ac:dyDescent="0.3">
      <c r="A186" s="33"/>
    </row>
    <row r="189" spans="1:1" x14ac:dyDescent="0.3">
      <c r="A189" s="33"/>
    </row>
    <row r="192" spans="1:1" x14ac:dyDescent="0.3">
      <c r="A192" s="33"/>
    </row>
    <row r="195" spans="1:1" x14ac:dyDescent="0.3">
      <c r="A195" s="33"/>
    </row>
    <row r="198" spans="1:1" x14ac:dyDescent="0.3">
      <c r="A198" s="33"/>
    </row>
    <row r="201" spans="1:1" x14ac:dyDescent="0.3">
      <c r="A201" s="33"/>
    </row>
    <row r="204" spans="1:1" x14ac:dyDescent="0.3">
      <c r="A204" s="33"/>
    </row>
    <row r="207" spans="1:1" x14ac:dyDescent="0.3">
      <c r="A207" s="33"/>
    </row>
    <row r="210" spans="1:1" x14ac:dyDescent="0.3">
      <c r="A210" s="33"/>
    </row>
    <row r="213" spans="1:1" x14ac:dyDescent="0.3">
      <c r="A213" s="33"/>
    </row>
    <row r="216" spans="1:1" x14ac:dyDescent="0.3">
      <c r="A216" s="33"/>
    </row>
    <row r="219" spans="1:1" x14ac:dyDescent="0.3">
      <c r="A219" s="33"/>
    </row>
    <row r="222" spans="1:1" x14ac:dyDescent="0.3">
      <c r="A222" s="33"/>
    </row>
    <row r="225" spans="1:1" x14ac:dyDescent="0.3">
      <c r="A225" s="33"/>
    </row>
    <row r="228" spans="1:1" x14ac:dyDescent="0.3">
      <c r="A228" s="33"/>
    </row>
    <row r="231" spans="1:1" x14ac:dyDescent="0.3">
      <c r="A231" s="33"/>
    </row>
    <row r="234" spans="1:1" x14ac:dyDescent="0.3">
      <c r="A234" s="33"/>
    </row>
    <row r="237" spans="1:1" x14ac:dyDescent="0.3">
      <c r="A237" s="33"/>
    </row>
    <row r="240" spans="1:1" x14ac:dyDescent="0.3">
      <c r="A240" s="33"/>
    </row>
    <row r="243" spans="1:1" x14ac:dyDescent="0.3">
      <c r="A243" s="33"/>
    </row>
    <row r="246" spans="1:1" x14ac:dyDescent="0.3">
      <c r="A246" s="33"/>
    </row>
    <row r="249" spans="1:1" x14ac:dyDescent="0.3">
      <c r="A249" s="33"/>
    </row>
    <row r="252" spans="1:1" x14ac:dyDescent="0.3">
      <c r="A252" s="33"/>
    </row>
    <row r="255" spans="1:1" x14ac:dyDescent="0.3">
      <c r="A255" s="33"/>
    </row>
    <row r="258" spans="1:1" x14ac:dyDescent="0.3">
      <c r="A258" s="33"/>
    </row>
    <row r="261" spans="1:1" x14ac:dyDescent="0.3">
      <c r="A261" s="33"/>
    </row>
    <row r="264" spans="1:1" x14ac:dyDescent="0.3">
      <c r="A264" s="33"/>
    </row>
    <row r="267" spans="1:1" x14ac:dyDescent="0.3">
      <c r="A267" s="33"/>
    </row>
    <row r="270" spans="1:1" x14ac:dyDescent="0.3">
      <c r="A270" s="33"/>
    </row>
    <row r="273" spans="1:1" x14ac:dyDescent="0.3">
      <c r="A273" s="33"/>
    </row>
    <row r="276" spans="1:1" x14ac:dyDescent="0.3">
      <c r="A276" s="33"/>
    </row>
    <row r="279" spans="1:1" x14ac:dyDescent="0.3">
      <c r="A279" s="33"/>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xr:uid="{00000000-0002-0000-0800-000000000000}">
      <formula1>$AA$15:$EKS$15</formula1>
    </dataValidation>
    <dataValidation type="list" allowBlank="1" showInputMessage="1" showErrorMessage="1" promptTitle="Enter Date" prompt="Please select the date from fetched dates" sqref="J5" xr:uid="{00000000-0002-0000-0800-000001000000}">
      <formula1>$AA$5:$EKP$5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3</xdr:col>
                    <xdr:colOff>68580</xdr:colOff>
                    <xdr:row>4</xdr:row>
                    <xdr:rowOff>152400</xdr:rowOff>
                  </from>
                  <to>
                    <xdr:col>5</xdr:col>
                    <xdr:colOff>411480</xdr:colOff>
                    <xdr:row>8</xdr:row>
                    <xdr:rowOff>137160</xdr:rowOff>
                  </to>
                </anchor>
              </controlPr>
            </control>
          </mc:Choice>
        </mc:AlternateContent>
        <mc:AlternateContent xmlns:mc="http://schemas.openxmlformats.org/markup-compatibility/2006">
          <mc:Choice Requires="x14">
            <control shapeId="1027" r:id="rId5" name="Button 3">
              <controlPr defaultSize="0" print="0" autoFill="0" autoPict="0" macro="[0]!calc_control_limit_nit_Click">
                <anchor moveWithCells="1" sizeWithCells="1">
                  <from>
                    <xdr:col>7</xdr:col>
                    <xdr:colOff>205740</xdr:colOff>
                    <xdr:row>4</xdr:row>
                    <xdr:rowOff>144780</xdr:rowOff>
                  </from>
                  <to>
                    <xdr:col>9</xdr:col>
                    <xdr:colOff>0</xdr:colOff>
                    <xdr:row>7</xdr:row>
                    <xdr:rowOff>91440</xdr:rowOff>
                  </to>
                </anchor>
              </controlPr>
            </control>
          </mc:Choice>
        </mc:AlternateContent>
        <mc:AlternateContent xmlns:mc="http://schemas.openxmlformats.org/markup-compatibility/2006">
          <mc:Choice Requires="x14">
            <control shapeId="1032" r:id="rId6" name="Button 8">
              <controlPr defaultSize="0" print="0" autoFill="0" autoPict="0" macro="[0]!clear_nit_Click">
                <anchor moveWithCells="1" sizeWithCells="1">
                  <from>
                    <xdr:col>8</xdr:col>
                    <xdr:colOff>15240</xdr:colOff>
                    <xdr:row>2</xdr:row>
                    <xdr:rowOff>22860</xdr:rowOff>
                  </from>
                  <to>
                    <xdr:col>8</xdr:col>
                    <xdr:colOff>662940</xdr:colOff>
                    <xdr:row>3</xdr:row>
                    <xdr:rowOff>22860</xdr:rowOff>
                  </to>
                </anchor>
              </controlPr>
            </control>
          </mc:Choice>
        </mc:AlternateContent>
        <mc:AlternateContent xmlns:mc="http://schemas.openxmlformats.org/markup-compatibility/2006">
          <mc:Choice Requires="x14">
            <control shapeId="1035" r:id="rId7" name="Button 11">
              <controlPr defaultSize="0" print="0" autoFill="0" autoPict="0" macro="[0]!clear_poly_Click">
                <anchor moveWithCells="1" sizeWithCells="1">
                  <from>
                    <xdr:col>8</xdr:col>
                    <xdr:colOff>15240</xdr:colOff>
                    <xdr:row>11</xdr:row>
                    <xdr:rowOff>236220</xdr:rowOff>
                  </from>
                  <to>
                    <xdr:col>8</xdr:col>
                    <xdr:colOff>662940</xdr:colOff>
                    <xdr:row>12</xdr:row>
                    <xdr:rowOff>289560</xdr:rowOff>
                  </to>
                </anchor>
              </controlPr>
            </control>
          </mc:Choice>
        </mc:AlternateContent>
        <mc:AlternateContent xmlns:mc="http://schemas.openxmlformats.org/markup-compatibility/2006">
          <mc:Choice Requires="x14">
            <control shapeId="1036" r:id="rId8" name="Button 12">
              <controlPr defaultSize="0" print="0" autoFill="0" autoPict="0" macro="[0]!calc_control_limit_poly_Click">
                <anchor moveWithCells="1" sizeWithCells="1">
                  <from>
                    <xdr:col>7</xdr:col>
                    <xdr:colOff>198120</xdr:colOff>
                    <xdr:row>14</xdr:row>
                    <xdr:rowOff>114300</xdr:rowOff>
                  </from>
                  <to>
                    <xdr:col>9</xdr:col>
                    <xdr:colOff>7620</xdr:colOff>
                    <xdr:row>17</xdr:row>
                    <xdr:rowOff>76200</xdr:rowOff>
                  </to>
                </anchor>
              </controlPr>
            </control>
          </mc:Choice>
        </mc:AlternateContent>
        <mc:AlternateContent xmlns:mc="http://schemas.openxmlformats.org/markup-compatibility/2006">
          <mc:Choice Requires="x14">
            <control shapeId="1037" r:id="rId9" name="Button 13">
              <controlPr defaultSize="0" print="0" autoFill="0" autoPict="0" macro="[0]!fetch_date_nit_pass_Click">
                <anchor moveWithCells="1" sizeWithCells="1">
                  <from>
                    <xdr:col>6</xdr:col>
                    <xdr:colOff>396240</xdr:colOff>
                    <xdr:row>3</xdr:row>
                    <xdr:rowOff>30480</xdr:rowOff>
                  </from>
                  <to>
                    <xdr:col>9</xdr:col>
                    <xdr:colOff>0</xdr:colOff>
                    <xdr:row>4</xdr:row>
                    <xdr:rowOff>137160</xdr:rowOff>
                  </to>
                </anchor>
              </controlPr>
            </control>
          </mc:Choice>
        </mc:AlternateContent>
        <mc:AlternateContent xmlns:mc="http://schemas.openxmlformats.org/markup-compatibility/2006">
          <mc:Choice Requires="x14">
            <control shapeId="1042" r:id="rId10" name="Button 18">
              <controlPr defaultSize="0" print="0" autoFill="0" autoPict="0" macro="[0]!change_control_limit_nit_Click">
                <anchor moveWithCells="1" sizeWithCells="1">
                  <from>
                    <xdr:col>12</xdr:col>
                    <xdr:colOff>7620</xdr:colOff>
                    <xdr:row>2</xdr:row>
                    <xdr:rowOff>0</xdr:rowOff>
                  </from>
                  <to>
                    <xdr:col>13</xdr:col>
                    <xdr:colOff>152400</xdr:colOff>
                    <xdr:row>3</xdr:row>
                    <xdr:rowOff>198120</xdr:rowOff>
                  </to>
                </anchor>
              </controlPr>
            </control>
          </mc:Choice>
        </mc:AlternateContent>
        <mc:AlternateContent xmlns:mc="http://schemas.openxmlformats.org/markup-compatibility/2006">
          <mc:Choice Requires="x14">
            <control shapeId="1043" r:id="rId11" name="Button 19">
              <controlPr defaultSize="0" print="0" autoFill="0" autoPict="0" macro="[0]!change_control_limit_poly_Click">
                <anchor moveWithCells="1" sizeWithCells="1">
                  <from>
                    <xdr:col>12</xdr:col>
                    <xdr:colOff>7620</xdr:colOff>
                    <xdr:row>12</xdr:row>
                    <xdr:rowOff>7620</xdr:rowOff>
                  </from>
                  <to>
                    <xdr:col>13</xdr:col>
                    <xdr:colOff>160020</xdr:colOff>
                    <xdr:row>14</xdr:row>
                    <xdr:rowOff>0</xdr:rowOff>
                  </to>
                </anchor>
              </controlPr>
            </control>
          </mc:Choice>
        </mc:AlternateContent>
        <mc:AlternateContent xmlns:mc="http://schemas.openxmlformats.org/markup-compatibility/2006">
          <mc:Choice Requires="x14">
            <control shapeId="1044" r:id="rId12" name="Button 20">
              <controlPr defaultSize="0" print="0" autoFill="0" autoPict="0" macro="[0]!plot_wafermap_poly_Click">
                <anchor moveWithCells="1" sizeWithCells="1">
                  <from>
                    <xdr:col>14</xdr:col>
                    <xdr:colOff>7620</xdr:colOff>
                    <xdr:row>14</xdr:row>
                    <xdr:rowOff>7620</xdr:rowOff>
                  </from>
                  <to>
                    <xdr:col>15</xdr:col>
                    <xdr:colOff>335280</xdr:colOff>
                    <xdr:row>16</xdr:row>
                    <xdr:rowOff>76200</xdr:rowOff>
                  </to>
                </anchor>
              </controlPr>
            </control>
          </mc:Choice>
        </mc:AlternateContent>
        <mc:AlternateContent xmlns:mc="http://schemas.openxmlformats.org/markup-compatibility/2006">
          <mc:Choice Requires="x14">
            <control shapeId="1052" r:id="rId13" name="Button 28">
              <controlPr defaultSize="0" print="0" autoFill="0" autoPict="0" macro="[0]!fetch_date_nit_all_Click">
                <anchor moveWithCells="1" sizeWithCells="1">
                  <from>
                    <xdr:col>14</xdr:col>
                    <xdr:colOff>7620</xdr:colOff>
                    <xdr:row>2</xdr:row>
                    <xdr:rowOff>0</xdr:rowOff>
                  </from>
                  <to>
                    <xdr:col>15</xdr:col>
                    <xdr:colOff>335280</xdr:colOff>
                    <xdr:row>3</xdr:row>
                    <xdr:rowOff>160020</xdr:rowOff>
                  </to>
                </anchor>
              </controlPr>
            </control>
          </mc:Choice>
        </mc:AlternateContent>
        <mc:AlternateContent xmlns:mc="http://schemas.openxmlformats.org/markup-compatibility/2006">
          <mc:Choice Requires="x14">
            <control shapeId="1056" r:id="rId14" name="Button 32">
              <controlPr defaultSize="0" print="0" autoFill="0" autoPict="0" macro="[0]!fetch_date_poly_pass_Click">
                <anchor moveWithCells="1" sizeWithCells="1">
                  <from>
                    <xdr:col>6</xdr:col>
                    <xdr:colOff>396240</xdr:colOff>
                    <xdr:row>13</xdr:row>
                    <xdr:rowOff>0</xdr:rowOff>
                  </from>
                  <to>
                    <xdr:col>9</xdr:col>
                    <xdr:colOff>0</xdr:colOff>
                    <xdr:row>14</xdr:row>
                    <xdr:rowOff>106680</xdr:rowOff>
                  </to>
                </anchor>
              </controlPr>
            </control>
          </mc:Choice>
        </mc:AlternateContent>
        <mc:AlternateContent xmlns:mc="http://schemas.openxmlformats.org/markup-compatibility/2006">
          <mc:Choice Requires="x14">
            <control shapeId="1057" r:id="rId15" name="Button 33">
              <controlPr defaultSize="0" print="0" autoFill="0" autoPict="0" macro="[0]!fetch_date_poly_all_Click">
                <anchor moveWithCells="1" sizeWithCells="1">
                  <from>
                    <xdr:col>14</xdr:col>
                    <xdr:colOff>7620</xdr:colOff>
                    <xdr:row>12</xdr:row>
                    <xdr:rowOff>0</xdr:rowOff>
                  </from>
                  <to>
                    <xdr:col>15</xdr:col>
                    <xdr:colOff>335280</xdr:colOff>
                    <xdr:row>13</xdr:row>
                    <xdr:rowOff>160020</xdr:rowOff>
                  </to>
                </anchor>
              </controlPr>
            </control>
          </mc:Choice>
        </mc:AlternateContent>
        <mc:AlternateContent xmlns:mc="http://schemas.openxmlformats.org/markup-compatibility/2006">
          <mc:Choice Requires="x14">
            <control shapeId="1059" r:id="rId16" name="Button 35">
              <controlPr defaultSize="0" print="0" autoFill="0" autoPict="0" macro="[0]!plot_wafermap_nit_Click">
                <anchor moveWithCells="1" sizeWithCells="1">
                  <from>
                    <xdr:col>14</xdr:col>
                    <xdr:colOff>7620</xdr:colOff>
                    <xdr:row>4</xdr:row>
                    <xdr:rowOff>7620</xdr:rowOff>
                  </from>
                  <to>
                    <xdr:col>15</xdr:col>
                    <xdr:colOff>335280</xdr:colOff>
                    <xdr:row>6</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257"/>
  <sheetViews>
    <sheetView workbookViewId="0">
      <selection activeCell="H27" sqref="H27"/>
    </sheetView>
  </sheetViews>
  <sheetFormatPr defaultRowHeight="13.2" x14ac:dyDescent="0.2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22.8" x14ac:dyDescent="0.25">
      <c r="A1" s="130" t="s">
        <v>119</v>
      </c>
      <c r="B1" s="449" t="s">
        <v>40</v>
      </c>
      <c r="C1" s="450"/>
      <c r="D1" s="131" t="s">
        <v>120</v>
      </c>
      <c r="E1" s="131" t="s">
        <v>29</v>
      </c>
      <c r="F1" s="132" t="s">
        <v>41</v>
      </c>
      <c r="G1" s="133"/>
      <c r="H1" s="134"/>
    </row>
    <row r="2" spans="1:10" x14ac:dyDescent="0.25">
      <c r="A2" s="130"/>
      <c r="B2" s="135" t="s">
        <v>44</v>
      </c>
      <c r="C2" s="135" t="s">
        <v>45</v>
      </c>
      <c r="D2" s="136"/>
      <c r="E2" s="136"/>
      <c r="F2" s="132"/>
      <c r="G2" s="133"/>
      <c r="H2" s="134"/>
    </row>
    <row r="3" spans="1:10" x14ac:dyDescent="0.25">
      <c r="A3" s="137">
        <v>43304</v>
      </c>
      <c r="B3" s="138">
        <v>9</v>
      </c>
      <c r="C3" s="138">
        <v>15</v>
      </c>
      <c r="D3" s="139">
        <f>IF(((C3="")*AND(B3="")),"",(C3-B3))</f>
        <v>6</v>
      </c>
      <c r="E3" s="140" t="str">
        <f>IF(D3="","",IF(D3&lt;60,"Pass","Fail"))</f>
        <v>Pass</v>
      </c>
      <c r="F3" s="141">
        <v>1340</v>
      </c>
      <c r="G3" s="142"/>
      <c r="H3" s="134"/>
    </row>
    <row r="4" spans="1:10" x14ac:dyDescent="0.25">
      <c r="A4" s="137">
        <v>43305</v>
      </c>
      <c r="B4" s="138">
        <v>13</v>
      </c>
      <c r="C4" s="138">
        <v>63</v>
      </c>
      <c r="D4" s="139">
        <f t="shared" ref="D4:D49" si="0">IF(((C4="")*AND(B4="")),"",(C4-B4))</f>
        <v>50</v>
      </c>
      <c r="E4" s="140" t="str">
        <f t="shared" ref="E4:E49" si="1">IF(D4="","",IF(D4&lt;60,"Pass","Fail"))</f>
        <v>Pass</v>
      </c>
      <c r="F4" s="141">
        <v>1340</v>
      </c>
      <c r="G4" s="142"/>
      <c r="H4" s="134"/>
      <c r="I4" s="143"/>
      <c r="J4" s="143"/>
    </row>
    <row r="5" spans="1:10" x14ac:dyDescent="0.25">
      <c r="A5" s="137">
        <v>43306</v>
      </c>
      <c r="B5" s="138">
        <v>21</v>
      </c>
      <c r="C5" s="138">
        <v>23</v>
      </c>
      <c r="D5" s="139">
        <f t="shared" si="0"/>
        <v>2</v>
      </c>
      <c r="E5" s="140" t="str">
        <f t="shared" si="1"/>
        <v>Pass</v>
      </c>
      <c r="F5" s="141">
        <v>121</v>
      </c>
      <c r="G5" s="142"/>
      <c r="H5" s="134"/>
      <c r="I5" s="143"/>
      <c r="J5" s="143"/>
    </row>
    <row r="6" spans="1:10" x14ac:dyDescent="0.25">
      <c r="A6" s="137">
        <v>43308</v>
      </c>
      <c r="B6" s="144">
        <v>14</v>
      </c>
      <c r="C6" s="144">
        <v>39</v>
      </c>
      <c r="D6" s="144">
        <f>IF(((C6="")*AND(B6="")),"",(C6-B6))</f>
        <v>25</v>
      </c>
      <c r="E6" s="145" t="str">
        <f>IF(D6="","",IF(D6&lt;60,"Pass","Fail"))</f>
        <v>Pass</v>
      </c>
      <c r="F6" s="146">
        <v>1340</v>
      </c>
      <c r="G6" s="142"/>
      <c r="H6" s="134"/>
    </row>
    <row r="7" spans="1:10" x14ac:dyDescent="0.25">
      <c r="A7" s="137">
        <v>43311</v>
      </c>
      <c r="B7" s="138">
        <v>29</v>
      </c>
      <c r="C7" s="138">
        <v>38</v>
      </c>
      <c r="D7" s="139">
        <f t="shared" si="0"/>
        <v>9</v>
      </c>
      <c r="E7" s="140" t="str">
        <f t="shared" si="1"/>
        <v>Pass</v>
      </c>
      <c r="F7" s="141">
        <v>1340</v>
      </c>
      <c r="G7" s="142"/>
      <c r="H7" s="134"/>
    </row>
    <row r="8" spans="1:10" x14ac:dyDescent="0.25">
      <c r="A8" s="137">
        <v>43313</v>
      </c>
      <c r="B8" s="144">
        <v>8</v>
      </c>
      <c r="C8" s="144">
        <v>24</v>
      </c>
      <c r="D8" s="144">
        <f>IF(((C8="")*AND(B8="")),"",(C8-B8))</f>
        <v>16</v>
      </c>
      <c r="E8" s="145" t="str">
        <f>IF(D8="","",IF(D8&lt;60,"Pass","Fail"))</f>
        <v>Pass</v>
      </c>
      <c r="F8" s="146">
        <v>74</v>
      </c>
      <c r="G8" s="142"/>
      <c r="H8" s="134"/>
    </row>
    <row r="9" spans="1:10" x14ac:dyDescent="0.25">
      <c r="A9" s="137">
        <v>43318</v>
      </c>
      <c r="B9" s="138">
        <v>6</v>
      </c>
      <c r="C9" s="138">
        <v>9</v>
      </c>
      <c r="D9" s="139">
        <f>IF(((C9="")*AND(B9="")),"",(C9-B9))</f>
        <v>3</v>
      </c>
      <c r="E9" s="140" t="str">
        <f>IF(D9="","",IF(D9&lt;60,"Pass","Fail"))</f>
        <v>Pass</v>
      </c>
      <c r="F9" s="141">
        <v>1340</v>
      </c>
      <c r="G9" s="142"/>
      <c r="H9" s="134"/>
    </row>
    <row r="10" spans="1:10" x14ac:dyDescent="0.25">
      <c r="A10" s="137">
        <v>43320</v>
      </c>
      <c r="B10" s="147">
        <v>6</v>
      </c>
      <c r="C10" s="147">
        <v>8</v>
      </c>
      <c r="D10" s="147">
        <f>IF(((C10="")*AND(B10="")),"",(C10-B10))</f>
        <v>2</v>
      </c>
      <c r="E10" s="140" t="str">
        <f>IF(D10="","",IF(D10&lt;60,"Pass","Fail"))</f>
        <v>Pass</v>
      </c>
      <c r="F10" s="148">
        <v>1519</v>
      </c>
      <c r="G10" s="142"/>
      <c r="H10" s="134"/>
    </row>
    <row r="11" spans="1:10" x14ac:dyDescent="0.25">
      <c r="A11" s="137">
        <v>43321</v>
      </c>
      <c r="B11" s="144">
        <v>8</v>
      </c>
      <c r="C11" s="144">
        <v>19</v>
      </c>
      <c r="D11" s="144">
        <f>IF(((C11="")*AND(B11="")),"",(C11-B11))</f>
        <v>11</v>
      </c>
      <c r="E11" s="145" t="str">
        <f>IF(D11="","",IF(D11&lt;60,"Pass","Fail"))</f>
        <v>Pass</v>
      </c>
      <c r="F11" s="146">
        <v>1428</v>
      </c>
      <c r="G11" s="142"/>
      <c r="H11" s="134"/>
    </row>
    <row r="12" spans="1:10" x14ac:dyDescent="0.25">
      <c r="A12" s="137"/>
      <c r="B12" s="138"/>
      <c r="C12" s="138"/>
      <c r="D12" s="139" t="str">
        <f t="shared" si="0"/>
        <v/>
      </c>
      <c r="E12" s="140" t="str">
        <f t="shared" si="1"/>
        <v/>
      </c>
      <c r="F12" s="141"/>
      <c r="G12" s="142"/>
      <c r="H12" s="134"/>
    </row>
    <row r="13" spans="1:10" x14ac:dyDescent="0.25">
      <c r="A13" s="137"/>
      <c r="B13" s="138"/>
      <c r="C13" s="138"/>
      <c r="D13" s="139" t="str">
        <f t="shared" si="0"/>
        <v/>
      </c>
      <c r="E13" s="140" t="str">
        <f t="shared" si="1"/>
        <v/>
      </c>
      <c r="F13" s="141"/>
      <c r="G13" s="142"/>
      <c r="H13" s="134"/>
    </row>
    <row r="14" spans="1:10" x14ac:dyDescent="0.25">
      <c r="A14" s="137"/>
      <c r="B14" s="138"/>
      <c r="C14" s="138"/>
      <c r="D14" s="139" t="str">
        <f t="shared" si="0"/>
        <v/>
      </c>
      <c r="E14" s="140" t="str">
        <f t="shared" si="1"/>
        <v/>
      </c>
      <c r="F14" s="141"/>
      <c r="G14" s="142"/>
      <c r="H14" s="134"/>
    </row>
    <row r="15" spans="1:10" x14ac:dyDescent="0.25">
      <c r="A15" s="137"/>
      <c r="B15" s="138"/>
      <c r="C15" s="138"/>
      <c r="D15" s="139" t="str">
        <f t="shared" si="0"/>
        <v/>
      </c>
      <c r="E15" s="140" t="str">
        <f t="shared" si="1"/>
        <v/>
      </c>
      <c r="F15" s="141"/>
      <c r="G15" s="142"/>
      <c r="H15" s="134"/>
    </row>
    <row r="16" spans="1:10" x14ac:dyDescent="0.25">
      <c r="A16" s="137"/>
      <c r="B16" s="138"/>
      <c r="C16" s="138"/>
      <c r="D16" s="139" t="str">
        <f t="shared" si="0"/>
        <v/>
      </c>
      <c r="E16" s="140" t="str">
        <f t="shared" si="1"/>
        <v/>
      </c>
      <c r="F16" s="141"/>
      <c r="G16" s="142"/>
      <c r="H16" s="134"/>
    </row>
    <row r="17" spans="1:8" x14ac:dyDescent="0.25">
      <c r="A17" s="137"/>
      <c r="B17" s="138"/>
      <c r="C17" s="138"/>
      <c r="D17" s="139" t="str">
        <f t="shared" si="0"/>
        <v/>
      </c>
      <c r="E17" s="140" t="str">
        <f t="shared" si="1"/>
        <v/>
      </c>
      <c r="F17" s="141"/>
      <c r="G17" s="142"/>
      <c r="H17" s="134"/>
    </row>
    <row r="18" spans="1:8" x14ac:dyDescent="0.25">
      <c r="A18" s="137"/>
      <c r="B18" s="138"/>
      <c r="C18" s="138"/>
      <c r="D18" s="139" t="str">
        <f t="shared" si="0"/>
        <v/>
      </c>
      <c r="E18" s="140" t="str">
        <f t="shared" si="1"/>
        <v/>
      </c>
      <c r="F18" s="141"/>
      <c r="G18" s="142"/>
      <c r="H18" s="134"/>
    </row>
    <row r="19" spans="1:8" x14ac:dyDescent="0.25">
      <c r="A19" s="137"/>
      <c r="B19" s="138"/>
      <c r="C19" s="138"/>
      <c r="D19" s="139" t="str">
        <f t="shared" si="0"/>
        <v/>
      </c>
      <c r="E19" s="140" t="str">
        <f t="shared" si="1"/>
        <v/>
      </c>
      <c r="F19" s="141"/>
      <c r="G19" s="142"/>
      <c r="H19" s="134"/>
    </row>
    <row r="20" spans="1:8" x14ac:dyDescent="0.25">
      <c r="A20" s="137"/>
      <c r="B20" s="138"/>
      <c r="C20" s="138"/>
      <c r="D20" s="139" t="str">
        <f t="shared" si="0"/>
        <v/>
      </c>
      <c r="E20" s="140" t="str">
        <f t="shared" si="1"/>
        <v/>
      </c>
      <c r="F20" s="141"/>
      <c r="G20" s="142"/>
      <c r="H20" s="134"/>
    </row>
    <row r="21" spans="1:8" x14ac:dyDescent="0.25">
      <c r="A21" s="137"/>
      <c r="B21" s="138"/>
      <c r="C21" s="138"/>
      <c r="D21" s="139" t="str">
        <f t="shared" si="0"/>
        <v/>
      </c>
      <c r="E21" s="140" t="str">
        <f t="shared" si="1"/>
        <v/>
      </c>
      <c r="F21" s="141"/>
      <c r="G21" s="142"/>
      <c r="H21" s="134"/>
    </row>
    <row r="22" spans="1:8" x14ac:dyDescent="0.25">
      <c r="A22" s="137"/>
      <c r="B22" s="138"/>
      <c r="C22" s="138"/>
      <c r="D22" s="139" t="str">
        <f t="shared" si="0"/>
        <v/>
      </c>
      <c r="E22" s="140" t="str">
        <f t="shared" si="1"/>
        <v/>
      </c>
      <c r="F22" s="141"/>
      <c r="G22" s="142"/>
      <c r="H22" s="134"/>
    </row>
    <row r="23" spans="1:8" x14ac:dyDescent="0.25">
      <c r="A23" s="137"/>
      <c r="B23" s="138"/>
      <c r="C23" s="138"/>
      <c r="D23" s="139" t="str">
        <f t="shared" si="0"/>
        <v/>
      </c>
      <c r="E23" s="140" t="str">
        <f t="shared" si="1"/>
        <v/>
      </c>
      <c r="F23" s="141"/>
      <c r="G23" s="142"/>
      <c r="H23" s="134"/>
    </row>
    <row r="24" spans="1:8" x14ac:dyDescent="0.25">
      <c r="A24" s="137"/>
      <c r="B24" s="138"/>
      <c r="C24" s="138"/>
      <c r="D24" s="139" t="str">
        <f t="shared" si="0"/>
        <v/>
      </c>
      <c r="E24" s="140" t="str">
        <f t="shared" si="1"/>
        <v/>
      </c>
      <c r="F24" s="141"/>
      <c r="G24" s="142"/>
      <c r="H24" s="134"/>
    </row>
    <row r="25" spans="1:8" x14ac:dyDescent="0.25">
      <c r="A25" s="137"/>
      <c r="B25" s="138"/>
      <c r="C25" s="138"/>
      <c r="D25" s="139" t="str">
        <f>IF(((C25="")*AND(B25="")),"",(C25-B25))</f>
        <v/>
      </c>
      <c r="E25" s="140" t="str">
        <f>IF(D25="","",IF(D25&lt;60,"Pass","Fail"))</f>
        <v/>
      </c>
      <c r="F25" s="141"/>
      <c r="G25" s="142"/>
      <c r="H25" s="134"/>
    </row>
    <row r="26" spans="1:8" x14ac:dyDescent="0.25">
      <c r="A26" s="137"/>
      <c r="B26" s="138"/>
      <c r="C26" s="138"/>
      <c r="D26" s="139" t="str">
        <f t="shared" si="0"/>
        <v/>
      </c>
      <c r="E26" s="140" t="str">
        <f t="shared" si="1"/>
        <v/>
      </c>
      <c r="F26" s="141"/>
      <c r="G26" s="142"/>
      <c r="H26" s="134"/>
    </row>
    <row r="27" spans="1:8" x14ac:dyDescent="0.25">
      <c r="A27" s="137"/>
      <c r="B27" s="138"/>
      <c r="C27" s="138"/>
      <c r="D27" s="139" t="str">
        <f>IF(((C27="")*AND(B27="")),"",(C27-B27))</f>
        <v/>
      </c>
      <c r="E27" s="140" t="str">
        <f>IF(D27="","",IF(D27&lt;60,"Pass","Fail"))</f>
        <v/>
      </c>
      <c r="F27" s="141"/>
      <c r="G27" s="142"/>
      <c r="H27" s="134"/>
    </row>
    <row r="28" spans="1:8" x14ac:dyDescent="0.25">
      <c r="A28" s="137"/>
      <c r="B28" s="138"/>
      <c r="C28" s="138"/>
      <c r="D28" s="139" t="str">
        <f t="shared" si="0"/>
        <v/>
      </c>
      <c r="E28" s="140" t="str">
        <f t="shared" si="1"/>
        <v/>
      </c>
      <c r="F28" s="141"/>
      <c r="G28" s="142"/>
      <c r="H28" s="134"/>
    </row>
    <row r="29" spans="1:8" x14ac:dyDescent="0.25">
      <c r="A29" s="137"/>
      <c r="B29" s="138"/>
      <c r="C29" s="138"/>
      <c r="D29" s="139" t="str">
        <f t="shared" si="0"/>
        <v/>
      </c>
      <c r="E29" s="140" t="str">
        <f t="shared" si="1"/>
        <v/>
      </c>
      <c r="F29" s="141"/>
      <c r="G29" s="142"/>
      <c r="H29" s="134"/>
    </row>
    <row r="30" spans="1:8" x14ac:dyDescent="0.25">
      <c r="A30" s="137"/>
      <c r="B30" s="138"/>
      <c r="C30" s="138"/>
      <c r="D30" s="139" t="str">
        <f>IF(((C30="")*AND(B30="")),"",(C30-B30))</f>
        <v/>
      </c>
      <c r="E30" s="140" t="str">
        <f>IF(D30="","",IF(D30&lt;60,"Pass","Fail"))</f>
        <v/>
      </c>
      <c r="F30" s="141"/>
      <c r="G30" s="142"/>
      <c r="H30" s="134"/>
    </row>
    <row r="31" spans="1:8" x14ac:dyDescent="0.25">
      <c r="A31" s="137"/>
      <c r="B31" s="138"/>
      <c r="C31" s="138"/>
      <c r="D31" s="139" t="str">
        <f>IF(((C31="")*AND(B31="")),"",(C31-B31))</f>
        <v/>
      </c>
      <c r="E31" s="140" t="str">
        <f>IF(D31="","",IF(D31&lt;60,"Pass","Fail"))</f>
        <v/>
      </c>
      <c r="F31" s="141"/>
      <c r="G31" s="142"/>
      <c r="H31" s="134"/>
    </row>
    <row r="32" spans="1:8" x14ac:dyDescent="0.25">
      <c r="A32" s="137"/>
      <c r="B32" s="138"/>
      <c r="C32" s="138"/>
      <c r="D32" s="139" t="str">
        <f t="shared" si="0"/>
        <v/>
      </c>
      <c r="E32" s="140" t="str">
        <f t="shared" si="1"/>
        <v/>
      </c>
      <c r="F32" s="141"/>
      <c r="G32" s="142"/>
      <c r="H32" s="134"/>
    </row>
    <row r="33" spans="1:8" x14ac:dyDescent="0.25">
      <c r="A33" s="137"/>
      <c r="B33" s="138"/>
      <c r="C33" s="138"/>
      <c r="D33" s="139" t="str">
        <f t="shared" si="0"/>
        <v/>
      </c>
      <c r="E33" s="140" t="str">
        <f t="shared" si="1"/>
        <v/>
      </c>
      <c r="F33" s="141"/>
      <c r="G33" s="142"/>
      <c r="H33" s="134"/>
    </row>
    <row r="34" spans="1:8" x14ac:dyDescent="0.25">
      <c r="A34" s="137"/>
      <c r="B34" s="138"/>
      <c r="C34" s="138"/>
      <c r="D34" s="139" t="str">
        <f t="shared" si="0"/>
        <v/>
      </c>
      <c r="E34" s="140" t="str">
        <f t="shared" si="1"/>
        <v/>
      </c>
      <c r="F34" s="141"/>
      <c r="G34" s="142"/>
      <c r="H34" s="134"/>
    </row>
    <row r="35" spans="1:8" x14ac:dyDescent="0.25">
      <c r="A35" s="137"/>
      <c r="B35" s="138"/>
      <c r="C35" s="138"/>
      <c r="D35" s="139" t="str">
        <f t="shared" si="0"/>
        <v/>
      </c>
      <c r="E35" s="140" t="str">
        <f t="shared" si="1"/>
        <v/>
      </c>
      <c r="F35" s="141"/>
      <c r="G35" s="142"/>
      <c r="H35" s="134"/>
    </row>
    <row r="36" spans="1:8" x14ac:dyDescent="0.25">
      <c r="A36" s="137"/>
      <c r="B36" s="138"/>
      <c r="C36" s="138"/>
      <c r="D36" s="139" t="str">
        <f t="shared" si="0"/>
        <v/>
      </c>
      <c r="E36" s="140" t="str">
        <f t="shared" si="1"/>
        <v/>
      </c>
      <c r="F36" s="141"/>
      <c r="G36" s="142"/>
      <c r="H36" s="134"/>
    </row>
    <row r="37" spans="1:8" x14ac:dyDescent="0.25">
      <c r="A37" s="137"/>
      <c r="B37" s="138"/>
      <c r="C37" s="138"/>
      <c r="D37" s="139" t="str">
        <f t="shared" si="0"/>
        <v/>
      </c>
      <c r="E37" s="140" t="str">
        <f t="shared" si="1"/>
        <v/>
      </c>
      <c r="F37" s="141"/>
      <c r="G37" s="142"/>
      <c r="H37" s="134"/>
    </row>
    <row r="38" spans="1:8" x14ac:dyDescent="0.25">
      <c r="A38" s="137"/>
      <c r="B38" s="138"/>
      <c r="C38" s="138"/>
      <c r="D38" s="139" t="str">
        <f t="shared" si="0"/>
        <v/>
      </c>
      <c r="E38" s="140" t="str">
        <f t="shared" si="1"/>
        <v/>
      </c>
      <c r="F38" s="141"/>
      <c r="G38" s="142"/>
      <c r="H38" s="134"/>
    </row>
    <row r="39" spans="1:8" x14ac:dyDescent="0.25">
      <c r="A39" s="137"/>
      <c r="B39" s="138"/>
      <c r="C39" s="138"/>
      <c r="D39" s="139" t="str">
        <f t="shared" si="0"/>
        <v/>
      </c>
      <c r="E39" s="140" t="str">
        <f t="shared" si="1"/>
        <v/>
      </c>
      <c r="F39" s="141"/>
      <c r="G39" s="142"/>
      <c r="H39" s="134"/>
    </row>
    <row r="40" spans="1:8" x14ac:dyDescent="0.25">
      <c r="A40" s="149"/>
      <c r="B40" s="150"/>
      <c r="C40" s="150"/>
      <c r="D40" s="139" t="str">
        <f t="shared" si="0"/>
        <v/>
      </c>
      <c r="E40" s="140" t="str">
        <f t="shared" si="1"/>
        <v/>
      </c>
      <c r="F40" s="151"/>
      <c r="G40" s="142"/>
      <c r="H40" s="134"/>
    </row>
    <row r="41" spans="1:8" x14ac:dyDescent="0.25">
      <c r="A41" s="137"/>
      <c r="B41" s="138"/>
      <c r="C41" s="138"/>
      <c r="D41" s="139" t="str">
        <f t="shared" si="0"/>
        <v/>
      </c>
      <c r="E41" s="140" t="str">
        <f t="shared" si="1"/>
        <v/>
      </c>
      <c r="F41" s="141"/>
      <c r="G41" s="142"/>
      <c r="H41" s="134"/>
    </row>
    <row r="42" spans="1:8" x14ac:dyDescent="0.25">
      <c r="A42" s="137"/>
      <c r="B42" s="138"/>
      <c r="C42" s="138"/>
      <c r="D42" s="139" t="str">
        <f t="shared" si="0"/>
        <v/>
      </c>
      <c r="E42" s="140" t="str">
        <f t="shared" si="1"/>
        <v/>
      </c>
      <c r="F42" s="141"/>
      <c r="G42" s="142"/>
      <c r="H42" s="134"/>
    </row>
    <row r="43" spans="1:8" x14ac:dyDescent="0.25">
      <c r="A43" s="149"/>
      <c r="B43" s="150"/>
      <c r="C43" s="150"/>
      <c r="D43" s="139" t="str">
        <f t="shared" si="0"/>
        <v/>
      </c>
      <c r="E43" s="140" t="str">
        <f t="shared" si="1"/>
        <v/>
      </c>
      <c r="F43" s="151"/>
      <c r="G43" s="142"/>
      <c r="H43" s="134"/>
    </row>
    <row r="44" spans="1:8" x14ac:dyDescent="0.25">
      <c r="A44" s="149"/>
      <c r="B44" s="150"/>
      <c r="C44" s="150"/>
      <c r="D44" s="139" t="str">
        <f t="shared" si="0"/>
        <v/>
      </c>
      <c r="E44" s="140" t="str">
        <f t="shared" si="1"/>
        <v/>
      </c>
      <c r="F44" s="151"/>
      <c r="G44" s="142"/>
      <c r="H44" s="134"/>
    </row>
    <row r="45" spans="1:8" x14ac:dyDescent="0.25">
      <c r="A45" s="149"/>
      <c r="B45" s="150"/>
      <c r="C45" s="150"/>
      <c r="D45" s="139" t="str">
        <f t="shared" si="0"/>
        <v/>
      </c>
      <c r="E45" s="140" t="str">
        <f t="shared" si="1"/>
        <v/>
      </c>
      <c r="F45" s="152"/>
      <c r="G45" s="142"/>
      <c r="H45" s="134"/>
    </row>
    <row r="46" spans="1:8" x14ac:dyDescent="0.25">
      <c r="A46" s="137"/>
      <c r="B46" s="138"/>
      <c r="C46" s="138"/>
      <c r="D46" s="139" t="str">
        <f t="shared" si="0"/>
        <v/>
      </c>
      <c r="E46" s="140" t="str">
        <f t="shared" si="1"/>
        <v/>
      </c>
      <c r="F46" s="141"/>
      <c r="G46" s="142"/>
      <c r="H46" s="134"/>
    </row>
    <row r="47" spans="1:8" x14ac:dyDescent="0.25">
      <c r="A47" s="137"/>
      <c r="B47" s="138"/>
      <c r="C47" s="138"/>
      <c r="D47" s="139" t="str">
        <f t="shared" si="0"/>
        <v/>
      </c>
      <c r="E47" s="140" t="str">
        <f t="shared" si="1"/>
        <v/>
      </c>
      <c r="F47" s="141"/>
      <c r="G47" s="142"/>
      <c r="H47" s="134"/>
    </row>
    <row r="48" spans="1:8" x14ac:dyDescent="0.25">
      <c r="A48" s="149"/>
      <c r="B48" s="150"/>
      <c r="C48" s="150"/>
      <c r="D48" s="139" t="str">
        <f>IF(((C48="")*AND(B48="")),"",(C48-B48))</f>
        <v/>
      </c>
      <c r="E48" s="140" t="str">
        <f>IF(D48="","",IF(D48&lt;60,"Pass","Fail"))</f>
        <v/>
      </c>
      <c r="F48" s="152"/>
      <c r="G48" s="142"/>
      <c r="H48" s="134"/>
    </row>
    <row r="49" spans="1:8" x14ac:dyDescent="0.25">
      <c r="A49" s="149"/>
      <c r="B49" s="150"/>
      <c r="C49" s="150"/>
      <c r="D49" s="139" t="str">
        <f t="shared" si="0"/>
        <v/>
      </c>
      <c r="E49" s="140" t="str">
        <f t="shared" si="1"/>
        <v/>
      </c>
      <c r="F49" s="152"/>
      <c r="G49" s="142"/>
      <c r="H49" s="134"/>
    </row>
    <row r="50" spans="1:8" x14ac:dyDescent="0.25">
      <c r="A50" s="137"/>
      <c r="B50" s="138"/>
      <c r="C50" s="138"/>
      <c r="D50" s="139" t="str">
        <f>IF(((C50="")*AND(B50="")),"",(C50-B50))</f>
        <v/>
      </c>
      <c r="E50" s="140" t="str">
        <f>IF(D50="","",IF(D50&lt;60,"Pass","Fail"))</f>
        <v/>
      </c>
      <c r="F50" s="141"/>
      <c r="G50" s="142"/>
      <c r="H50" s="134"/>
    </row>
    <row r="51" spans="1:8" x14ac:dyDescent="0.25">
      <c r="A51" s="137"/>
      <c r="B51" s="138"/>
      <c r="C51" s="138"/>
      <c r="D51" s="139" t="str">
        <f>IF(((C51="")*AND(B51="")),"",(C51-B51))</f>
        <v/>
      </c>
      <c r="E51" s="140" t="str">
        <f>IF(D51="","",IF(D51&lt;60,"Pass","Fail"))</f>
        <v/>
      </c>
      <c r="F51" s="141"/>
      <c r="G51" s="142"/>
      <c r="H51" s="134"/>
    </row>
    <row r="52" spans="1:8" x14ac:dyDescent="0.25">
      <c r="A52" s="137"/>
      <c r="B52" s="138"/>
      <c r="C52" s="138"/>
      <c r="D52" s="139" t="str">
        <f t="shared" ref="D52:D84" si="2">IF(((C52="")*AND(B52="")),"",(C52-B52))</f>
        <v/>
      </c>
      <c r="E52" s="140" t="str">
        <f t="shared" ref="E52:E84" si="3">IF(D52="","",IF(D52&lt;60,"Pass","Fail"))</f>
        <v/>
      </c>
      <c r="F52" s="141"/>
      <c r="G52" s="142"/>
      <c r="H52" s="134"/>
    </row>
    <row r="53" spans="1:8" x14ac:dyDescent="0.25">
      <c r="A53" s="137"/>
      <c r="B53" s="138"/>
      <c r="C53" s="138"/>
      <c r="D53" s="139" t="str">
        <f t="shared" si="2"/>
        <v/>
      </c>
      <c r="E53" s="140" t="str">
        <f t="shared" si="3"/>
        <v/>
      </c>
      <c r="F53" s="141"/>
      <c r="G53" s="142"/>
      <c r="H53" s="134"/>
    </row>
    <row r="54" spans="1:8" x14ac:dyDescent="0.25">
      <c r="A54" s="137"/>
      <c r="B54" s="138"/>
      <c r="C54" s="138"/>
      <c r="D54" s="139" t="str">
        <f t="shared" si="2"/>
        <v/>
      </c>
      <c r="E54" s="140" t="str">
        <f t="shared" si="3"/>
        <v/>
      </c>
      <c r="F54" s="141"/>
      <c r="G54" s="142"/>
      <c r="H54" s="134"/>
    </row>
    <row r="55" spans="1:8" x14ac:dyDescent="0.25">
      <c r="A55" s="137"/>
      <c r="B55" s="138"/>
      <c r="C55" s="138"/>
      <c r="D55" s="139" t="str">
        <f t="shared" si="2"/>
        <v/>
      </c>
      <c r="E55" s="140" t="str">
        <f t="shared" si="3"/>
        <v/>
      </c>
      <c r="F55" s="141"/>
      <c r="G55" s="142"/>
      <c r="H55" s="134"/>
    </row>
    <row r="56" spans="1:8" x14ac:dyDescent="0.25">
      <c r="A56" s="137"/>
      <c r="B56" s="138"/>
      <c r="C56" s="138"/>
      <c r="D56" s="139" t="str">
        <f t="shared" si="2"/>
        <v/>
      </c>
      <c r="E56" s="140" t="str">
        <f t="shared" si="3"/>
        <v/>
      </c>
      <c r="F56" s="141"/>
      <c r="G56" s="142"/>
      <c r="H56" s="134"/>
    </row>
    <row r="57" spans="1:8" x14ac:dyDescent="0.25">
      <c r="A57" s="137"/>
      <c r="B57" s="138"/>
      <c r="C57" s="138"/>
      <c r="D57" s="139" t="str">
        <f t="shared" si="2"/>
        <v/>
      </c>
      <c r="E57" s="140" t="str">
        <f t="shared" si="3"/>
        <v/>
      </c>
      <c r="F57" s="141"/>
      <c r="G57" s="142"/>
      <c r="H57" s="134"/>
    </row>
    <row r="58" spans="1:8" x14ac:dyDescent="0.25">
      <c r="A58" s="137"/>
      <c r="B58" s="138"/>
      <c r="C58" s="138"/>
      <c r="D58" s="139" t="str">
        <f t="shared" si="2"/>
        <v/>
      </c>
      <c r="E58" s="140" t="str">
        <f t="shared" si="3"/>
        <v/>
      </c>
      <c r="F58" s="141"/>
      <c r="G58" s="142"/>
      <c r="H58" s="134"/>
    </row>
    <row r="59" spans="1:8" x14ac:dyDescent="0.25">
      <c r="A59" s="137"/>
      <c r="B59" s="138"/>
      <c r="C59" s="138"/>
      <c r="D59" s="139" t="str">
        <f t="shared" si="2"/>
        <v/>
      </c>
      <c r="E59" s="140" t="str">
        <f t="shared" si="3"/>
        <v/>
      </c>
      <c r="F59" s="141"/>
      <c r="G59" s="142"/>
      <c r="H59" s="134"/>
    </row>
    <row r="60" spans="1:8" x14ac:dyDescent="0.25">
      <c r="A60" s="153"/>
      <c r="B60" s="150"/>
      <c r="C60" s="150"/>
      <c r="D60" s="139" t="str">
        <f t="shared" si="2"/>
        <v/>
      </c>
      <c r="E60" s="140" t="str">
        <f t="shared" si="3"/>
        <v/>
      </c>
      <c r="F60" s="152"/>
      <c r="G60" s="154"/>
      <c r="H60" s="134"/>
    </row>
    <row r="61" spans="1:8" x14ac:dyDescent="0.25">
      <c r="A61" s="153"/>
      <c r="B61" s="150"/>
      <c r="C61" s="150"/>
      <c r="D61" s="139" t="str">
        <f t="shared" si="2"/>
        <v/>
      </c>
      <c r="E61" s="140" t="str">
        <f t="shared" si="3"/>
        <v/>
      </c>
      <c r="F61" s="152"/>
      <c r="G61" s="154"/>
      <c r="H61" s="134"/>
    </row>
    <row r="62" spans="1:8" x14ac:dyDescent="0.25">
      <c r="A62" s="155"/>
      <c r="B62" s="138"/>
      <c r="C62" s="138"/>
      <c r="D62" s="139" t="str">
        <f t="shared" si="2"/>
        <v/>
      </c>
      <c r="E62" s="140" t="str">
        <f t="shared" si="3"/>
        <v/>
      </c>
      <c r="F62" s="141"/>
      <c r="G62" s="142"/>
      <c r="H62" s="134"/>
    </row>
    <row r="63" spans="1:8" x14ac:dyDescent="0.25">
      <c r="A63" s="155"/>
      <c r="B63" s="138"/>
      <c r="C63" s="138"/>
      <c r="D63" s="139" t="str">
        <f t="shared" si="2"/>
        <v/>
      </c>
      <c r="E63" s="140" t="str">
        <f t="shared" si="3"/>
        <v/>
      </c>
      <c r="F63" s="141"/>
      <c r="G63" s="142"/>
      <c r="H63" s="134"/>
    </row>
    <row r="64" spans="1:8" x14ac:dyDescent="0.25">
      <c r="A64" s="155"/>
      <c r="B64" s="138"/>
      <c r="C64" s="138"/>
      <c r="D64" s="156" t="str">
        <f t="shared" si="2"/>
        <v/>
      </c>
      <c r="E64" s="157" t="str">
        <f t="shared" si="3"/>
        <v/>
      </c>
      <c r="F64" s="141"/>
      <c r="G64" s="142"/>
      <c r="H64" s="134"/>
    </row>
    <row r="65" spans="1:8" x14ac:dyDescent="0.25">
      <c r="A65" s="155"/>
      <c r="B65" s="138"/>
      <c r="C65" s="138"/>
      <c r="D65" s="139" t="str">
        <f t="shared" si="2"/>
        <v/>
      </c>
      <c r="E65" s="140" t="str">
        <f t="shared" si="3"/>
        <v/>
      </c>
      <c r="F65" s="141"/>
      <c r="G65" s="142"/>
      <c r="H65" s="134"/>
    </row>
    <row r="66" spans="1:8" x14ac:dyDescent="0.25">
      <c r="A66" s="155"/>
      <c r="B66" s="138"/>
      <c r="C66" s="138"/>
      <c r="D66" s="139" t="str">
        <f t="shared" si="2"/>
        <v/>
      </c>
      <c r="E66" s="140" t="str">
        <f t="shared" si="3"/>
        <v/>
      </c>
      <c r="F66" s="141"/>
      <c r="G66" s="142"/>
      <c r="H66" s="134"/>
    </row>
    <row r="67" spans="1:8" x14ac:dyDescent="0.25">
      <c r="A67" s="155"/>
      <c r="B67" s="138"/>
      <c r="C67" s="138"/>
      <c r="D67" s="139" t="str">
        <f t="shared" si="2"/>
        <v/>
      </c>
      <c r="E67" s="140" t="str">
        <f t="shared" si="3"/>
        <v/>
      </c>
      <c r="F67" s="141"/>
      <c r="G67" s="142"/>
      <c r="H67" s="134"/>
    </row>
    <row r="68" spans="1:8" x14ac:dyDescent="0.25">
      <c r="A68" s="155"/>
      <c r="B68" s="138"/>
      <c r="C68" s="138"/>
      <c r="D68" s="139" t="str">
        <f t="shared" si="2"/>
        <v/>
      </c>
      <c r="E68" s="140" t="str">
        <f t="shared" si="3"/>
        <v/>
      </c>
      <c r="F68" s="141"/>
      <c r="G68" s="142"/>
      <c r="H68" s="134"/>
    </row>
    <row r="69" spans="1:8" x14ac:dyDescent="0.25">
      <c r="A69" s="155"/>
      <c r="B69" s="138"/>
      <c r="C69" s="138"/>
      <c r="D69" s="139" t="str">
        <f t="shared" si="2"/>
        <v/>
      </c>
      <c r="E69" s="140" t="str">
        <f t="shared" si="3"/>
        <v/>
      </c>
      <c r="F69" s="141"/>
      <c r="G69" s="142"/>
      <c r="H69" s="134"/>
    </row>
    <row r="70" spans="1:8" x14ac:dyDescent="0.25">
      <c r="A70" s="155"/>
      <c r="B70" s="138"/>
      <c r="C70" s="138"/>
      <c r="D70" s="139" t="str">
        <f t="shared" si="2"/>
        <v/>
      </c>
      <c r="E70" s="140" t="str">
        <f t="shared" si="3"/>
        <v/>
      </c>
      <c r="F70" s="141"/>
      <c r="G70" s="142"/>
      <c r="H70" s="134"/>
    </row>
    <row r="71" spans="1:8" x14ac:dyDescent="0.25">
      <c r="A71" s="155"/>
      <c r="B71" s="138"/>
      <c r="C71" s="138"/>
      <c r="D71" s="139" t="str">
        <f t="shared" si="2"/>
        <v/>
      </c>
      <c r="E71" s="140" t="str">
        <f t="shared" si="3"/>
        <v/>
      </c>
      <c r="F71" s="141"/>
      <c r="G71" s="142"/>
      <c r="H71" s="134"/>
    </row>
    <row r="72" spans="1:8" x14ac:dyDescent="0.25">
      <c r="A72" s="137"/>
      <c r="B72" s="138"/>
      <c r="C72" s="138"/>
      <c r="D72" s="139" t="str">
        <f t="shared" si="2"/>
        <v/>
      </c>
      <c r="E72" s="140" t="str">
        <f t="shared" si="3"/>
        <v/>
      </c>
      <c r="F72" s="141"/>
      <c r="G72" s="142"/>
      <c r="H72" s="134"/>
    </row>
    <row r="73" spans="1:8" x14ac:dyDescent="0.25">
      <c r="A73" s="137"/>
      <c r="B73" s="138"/>
      <c r="C73" s="138"/>
      <c r="D73" s="139" t="str">
        <f t="shared" si="2"/>
        <v/>
      </c>
      <c r="E73" s="140" t="str">
        <f t="shared" si="3"/>
        <v/>
      </c>
      <c r="F73" s="141"/>
      <c r="G73" s="142"/>
      <c r="H73" s="134"/>
    </row>
    <row r="74" spans="1:8" x14ac:dyDescent="0.25">
      <c r="A74" s="137"/>
      <c r="B74" s="144"/>
      <c r="C74" s="144"/>
      <c r="D74" s="139" t="str">
        <f t="shared" si="2"/>
        <v/>
      </c>
      <c r="E74" s="140" t="str">
        <f t="shared" si="3"/>
        <v/>
      </c>
      <c r="F74" s="158"/>
      <c r="G74" s="159"/>
      <c r="H74" s="134"/>
    </row>
    <row r="75" spans="1:8" x14ac:dyDescent="0.25">
      <c r="A75" s="137"/>
      <c r="B75" s="138"/>
      <c r="C75" s="147"/>
      <c r="D75" s="139" t="str">
        <f t="shared" si="2"/>
        <v/>
      </c>
      <c r="E75" s="140" t="str">
        <f t="shared" si="3"/>
        <v/>
      </c>
      <c r="F75" s="141"/>
      <c r="G75" s="159"/>
      <c r="H75" s="134"/>
    </row>
    <row r="76" spans="1:8" x14ac:dyDescent="0.25">
      <c r="A76" s="137"/>
      <c r="B76" s="144"/>
      <c r="C76" s="144"/>
      <c r="D76" s="139" t="str">
        <f t="shared" si="2"/>
        <v/>
      </c>
      <c r="E76" s="140" t="str">
        <f t="shared" si="3"/>
        <v/>
      </c>
      <c r="F76" s="158"/>
      <c r="G76" s="160"/>
      <c r="H76" s="134"/>
    </row>
    <row r="77" spans="1:8" x14ac:dyDescent="0.25">
      <c r="A77" s="137"/>
      <c r="B77" s="144"/>
      <c r="C77" s="144"/>
      <c r="D77" s="139" t="str">
        <f t="shared" si="2"/>
        <v/>
      </c>
      <c r="E77" s="140" t="str">
        <f t="shared" si="3"/>
        <v/>
      </c>
      <c r="F77" s="158"/>
      <c r="G77" s="160"/>
      <c r="H77" s="134"/>
    </row>
    <row r="78" spans="1:8" x14ac:dyDescent="0.25">
      <c r="A78" s="137"/>
      <c r="B78" s="144"/>
      <c r="C78" s="144"/>
      <c r="D78" s="139" t="str">
        <f t="shared" si="2"/>
        <v/>
      </c>
      <c r="E78" s="140" t="str">
        <f t="shared" si="3"/>
        <v/>
      </c>
      <c r="F78" s="158"/>
      <c r="G78" s="160"/>
      <c r="H78" s="134"/>
    </row>
    <row r="79" spans="1:8" x14ac:dyDescent="0.25">
      <c r="A79" s="137"/>
      <c r="B79" s="144"/>
      <c r="C79" s="144"/>
      <c r="D79" s="139" t="str">
        <f t="shared" si="2"/>
        <v/>
      </c>
      <c r="E79" s="140" t="str">
        <f t="shared" si="3"/>
        <v/>
      </c>
      <c r="F79" s="158"/>
      <c r="G79" s="160"/>
      <c r="H79" s="134"/>
    </row>
    <row r="80" spans="1:8" x14ac:dyDescent="0.25">
      <c r="A80" s="137"/>
      <c r="B80" s="144"/>
      <c r="C80" s="144"/>
      <c r="D80" s="139" t="str">
        <f t="shared" si="2"/>
        <v/>
      </c>
      <c r="E80" s="140" t="str">
        <f t="shared" si="3"/>
        <v/>
      </c>
      <c r="F80" s="158"/>
      <c r="G80" s="160"/>
      <c r="H80" s="134"/>
    </row>
    <row r="81" spans="1:8" x14ac:dyDescent="0.25">
      <c r="A81" s="137"/>
      <c r="B81" s="144"/>
      <c r="C81" s="144"/>
      <c r="D81" s="139" t="str">
        <f t="shared" si="2"/>
        <v/>
      </c>
      <c r="E81" s="140" t="str">
        <f t="shared" si="3"/>
        <v/>
      </c>
      <c r="F81" s="158"/>
      <c r="G81" s="160"/>
      <c r="H81" s="134"/>
    </row>
    <row r="82" spans="1:8" x14ac:dyDescent="0.25">
      <c r="A82" s="137"/>
      <c r="B82" s="144"/>
      <c r="C82" s="144"/>
      <c r="D82" s="139" t="str">
        <f t="shared" si="2"/>
        <v/>
      </c>
      <c r="E82" s="140" t="str">
        <f t="shared" si="3"/>
        <v/>
      </c>
      <c r="F82" s="158"/>
      <c r="G82" s="160"/>
      <c r="H82" s="134"/>
    </row>
    <row r="83" spans="1:8" x14ac:dyDescent="0.25">
      <c r="A83" s="137"/>
      <c r="B83" s="144"/>
      <c r="C83" s="144"/>
      <c r="D83" s="139" t="str">
        <f t="shared" si="2"/>
        <v/>
      </c>
      <c r="E83" s="140" t="str">
        <f t="shared" si="3"/>
        <v/>
      </c>
      <c r="F83" s="158"/>
      <c r="G83" s="160"/>
      <c r="H83" s="134"/>
    </row>
    <row r="84" spans="1:8" x14ac:dyDescent="0.25">
      <c r="A84" s="137"/>
      <c r="B84" s="144"/>
      <c r="C84" s="144"/>
      <c r="D84" s="139" t="str">
        <f t="shared" si="2"/>
        <v/>
      </c>
      <c r="E84" s="140" t="str">
        <f t="shared" si="3"/>
        <v/>
      </c>
      <c r="F84" s="158"/>
      <c r="G84" s="160"/>
      <c r="H84" s="134"/>
    </row>
    <row r="85" spans="1:8" x14ac:dyDescent="0.25">
      <c r="A85" s="137"/>
      <c r="B85" s="144"/>
      <c r="C85" s="144"/>
      <c r="D85" s="144"/>
      <c r="E85" s="145"/>
      <c r="F85" s="158"/>
      <c r="G85" s="160"/>
      <c r="H85" s="134"/>
    </row>
    <row r="86" spans="1:8" x14ac:dyDescent="0.25">
      <c r="A86" s="137"/>
      <c r="B86" s="144"/>
      <c r="C86" s="144"/>
      <c r="D86" s="144"/>
      <c r="E86" s="145"/>
      <c r="F86" s="158"/>
      <c r="G86" s="160"/>
      <c r="H86" s="134"/>
    </row>
    <row r="87" spans="1:8" x14ac:dyDescent="0.25">
      <c r="A87" s="137"/>
      <c r="B87" s="144"/>
      <c r="C87" s="144"/>
      <c r="D87" s="144"/>
      <c r="E87" s="145"/>
      <c r="F87" s="158"/>
      <c r="G87" s="160"/>
      <c r="H87" s="134"/>
    </row>
    <row r="88" spans="1:8" x14ac:dyDescent="0.25">
      <c r="A88" s="137"/>
      <c r="B88" s="144"/>
      <c r="C88" s="144"/>
      <c r="D88" s="144"/>
      <c r="E88" s="145"/>
      <c r="F88" s="158"/>
      <c r="G88" s="160"/>
      <c r="H88" s="134"/>
    </row>
    <row r="89" spans="1:8" x14ac:dyDescent="0.25">
      <c r="A89" s="137"/>
      <c r="B89" s="144"/>
      <c r="C89" s="144"/>
      <c r="D89" s="144"/>
      <c r="E89" s="145"/>
      <c r="F89" s="158"/>
      <c r="G89" s="160"/>
      <c r="H89" s="134"/>
    </row>
    <row r="90" spans="1:8" x14ac:dyDescent="0.25">
      <c r="A90" s="137"/>
      <c r="B90" s="144"/>
      <c r="C90" s="144"/>
      <c r="D90" s="144"/>
      <c r="E90" s="145"/>
      <c r="F90" s="158"/>
      <c r="G90" s="160"/>
      <c r="H90" s="134"/>
    </row>
    <row r="91" spans="1:8" x14ac:dyDescent="0.25">
      <c r="A91" s="137"/>
      <c r="B91" s="144"/>
      <c r="C91" s="144"/>
      <c r="D91" s="144"/>
      <c r="E91" s="145"/>
      <c r="F91" s="158"/>
      <c r="G91" s="160"/>
      <c r="H91" s="134"/>
    </row>
    <row r="92" spans="1:8" x14ac:dyDescent="0.25">
      <c r="A92" s="137"/>
      <c r="B92" s="144"/>
      <c r="C92" s="144"/>
      <c r="D92" s="144"/>
      <c r="E92" s="145"/>
      <c r="F92" s="158"/>
      <c r="G92" s="160"/>
      <c r="H92" s="134"/>
    </row>
    <row r="93" spans="1:8" x14ac:dyDescent="0.25">
      <c r="A93" s="137"/>
      <c r="B93" s="144"/>
      <c r="C93" s="144"/>
      <c r="D93" s="144"/>
      <c r="E93" s="145"/>
      <c r="F93" s="158"/>
      <c r="G93" s="160"/>
      <c r="H93" s="134"/>
    </row>
    <row r="94" spans="1:8" x14ac:dyDescent="0.25">
      <c r="A94" s="137"/>
      <c r="B94" s="144"/>
      <c r="C94" s="144"/>
      <c r="D94" s="144"/>
      <c r="E94" s="145"/>
      <c r="F94" s="158"/>
      <c r="G94" s="160"/>
      <c r="H94" s="134"/>
    </row>
    <row r="95" spans="1:8" x14ac:dyDescent="0.25">
      <c r="A95" s="137"/>
      <c r="B95" s="144"/>
      <c r="C95" s="144"/>
      <c r="D95" s="144"/>
      <c r="E95" s="145"/>
      <c r="F95" s="158"/>
      <c r="G95" s="160"/>
      <c r="H95" s="134"/>
    </row>
    <row r="96" spans="1:8" x14ac:dyDescent="0.25">
      <c r="A96" s="137"/>
      <c r="B96" s="144"/>
      <c r="C96" s="144"/>
      <c r="D96" s="144"/>
      <c r="E96" s="145"/>
      <c r="F96" s="158"/>
      <c r="G96" s="160"/>
      <c r="H96" s="134"/>
    </row>
    <row r="97" spans="1:8" x14ac:dyDescent="0.25">
      <c r="A97" s="137"/>
      <c r="B97" s="144"/>
      <c r="C97" s="144"/>
      <c r="D97" s="144"/>
      <c r="E97" s="145"/>
      <c r="F97" s="158"/>
      <c r="G97" s="160"/>
      <c r="H97" s="134"/>
    </row>
    <row r="98" spans="1:8" x14ac:dyDescent="0.25">
      <c r="A98" s="137"/>
      <c r="B98" s="144"/>
      <c r="C98" s="144"/>
      <c r="D98" s="144"/>
      <c r="E98" s="145"/>
      <c r="F98" s="158"/>
      <c r="G98" s="160"/>
      <c r="H98" s="134"/>
    </row>
    <row r="99" spans="1:8" x14ac:dyDescent="0.25">
      <c r="A99" s="137"/>
      <c r="B99" s="144"/>
      <c r="C99" s="144"/>
      <c r="D99" s="144"/>
      <c r="E99" s="145"/>
      <c r="F99" s="158"/>
      <c r="G99" s="160"/>
      <c r="H99" s="134"/>
    </row>
    <row r="100" spans="1:8" x14ac:dyDescent="0.25">
      <c r="A100" s="137"/>
      <c r="B100" s="144"/>
      <c r="C100" s="144"/>
      <c r="D100" s="144"/>
      <c r="E100" s="145"/>
      <c r="F100" s="158"/>
      <c r="G100" s="160"/>
      <c r="H100" s="134"/>
    </row>
    <row r="101" spans="1:8" x14ac:dyDescent="0.25">
      <c r="A101" s="137"/>
      <c r="B101" s="144"/>
      <c r="C101" s="144"/>
      <c r="D101" s="144"/>
      <c r="E101" s="145"/>
      <c r="F101" s="158"/>
      <c r="G101" s="160"/>
      <c r="H101" s="134"/>
    </row>
    <row r="102" spans="1:8" x14ac:dyDescent="0.25">
      <c r="A102" s="137"/>
      <c r="B102" s="144"/>
      <c r="C102" s="144"/>
      <c r="D102" s="144"/>
      <c r="E102" s="145"/>
      <c r="F102" s="158"/>
      <c r="G102" s="160"/>
      <c r="H102" s="134"/>
    </row>
    <row r="103" spans="1:8" x14ac:dyDescent="0.25">
      <c r="A103" s="137"/>
      <c r="B103" s="144"/>
      <c r="C103" s="144"/>
      <c r="D103" s="144"/>
      <c r="E103" s="145"/>
      <c r="F103" s="158"/>
      <c r="G103" s="160"/>
      <c r="H103" s="134"/>
    </row>
    <row r="104" spans="1:8" x14ac:dyDescent="0.25">
      <c r="A104" s="137"/>
      <c r="B104" s="144"/>
      <c r="C104" s="144"/>
      <c r="D104" s="144"/>
      <c r="E104" s="145"/>
      <c r="F104" s="158"/>
      <c r="G104" s="160"/>
      <c r="H104" s="134"/>
    </row>
    <row r="105" spans="1:8" x14ac:dyDescent="0.25">
      <c r="A105" s="137"/>
      <c r="B105" s="144"/>
      <c r="C105" s="144"/>
      <c r="D105" s="144"/>
      <c r="E105" s="145"/>
      <c r="F105" s="158"/>
      <c r="G105" s="160"/>
      <c r="H105" s="134"/>
    </row>
    <row r="106" spans="1:8" x14ac:dyDescent="0.25">
      <c r="A106" s="137"/>
      <c r="B106" s="144"/>
      <c r="C106" s="144"/>
      <c r="D106" s="144"/>
      <c r="E106" s="145"/>
      <c r="F106" s="158"/>
      <c r="G106" s="160"/>
      <c r="H106" s="134"/>
    </row>
    <row r="107" spans="1:8" x14ac:dyDescent="0.25">
      <c r="A107" s="137"/>
      <c r="B107" s="144"/>
      <c r="C107" s="144"/>
      <c r="D107" s="144"/>
      <c r="E107" s="145"/>
      <c r="F107" s="158"/>
      <c r="G107" s="160"/>
      <c r="H107" s="134"/>
    </row>
    <row r="108" spans="1:8" x14ac:dyDescent="0.25">
      <c r="A108" s="137"/>
      <c r="B108" s="144"/>
      <c r="C108" s="144"/>
      <c r="D108" s="144"/>
      <c r="E108" s="145"/>
      <c r="F108" s="158"/>
      <c r="G108" s="160"/>
      <c r="H108" s="134"/>
    </row>
    <row r="109" spans="1:8" x14ac:dyDescent="0.25">
      <c r="A109" s="137"/>
      <c r="B109" s="144"/>
      <c r="C109" s="144"/>
      <c r="D109" s="144"/>
      <c r="E109" s="145"/>
      <c r="F109" s="158"/>
      <c r="G109" s="160"/>
      <c r="H109" s="134"/>
    </row>
    <row r="110" spans="1:8" x14ac:dyDescent="0.25">
      <c r="A110" s="137"/>
      <c r="B110" s="144"/>
      <c r="C110" s="144"/>
      <c r="D110" s="144"/>
      <c r="E110" s="145"/>
      <c r="F110" s="158"/>
      <c r="G110" s="160"/>
      <c r="H110" s="134"/>
    </row>
    <row r="111" spans="1:8" x14ac:dyDescent="0.25">
      <c r="A111" s="137"/>
      <c r="B111" s="144"/>
      <c r="C111" s="144"/>
      <c r="D111" s="144"/>
      <c r="E111" s="145"/>
      <c r="F111" s="158"/>
      <c r="G111" s="160"/>
      <c r="H111" s="134"/>
    </row>
    <row r="112" spans="1:8" x14ac:dyDescent="0.25">
      <c r="A112" s="137"/>
      <c r="B112" s="138"/>
      <c r="C112" s="138"/>
      <c r="D112" s="138"/>
      <c r="E112" s="140"/>
      <c r="F112" s="158"/>
      <c r="G112" s="160"/>
      <c r="H112" s="134"/>
    </row>
    <row r="113" spans="1:8" x14ac:dyDescent="0.25">
      <c r="A113" s="137"/>
      <c r="B113" s="138"/>
      <c r="C113" s="138"/>
      <c r="D113" s="138"/>
      <c r="E113" s="140"/>
      <c r="F113" s="158"/>
      <c r="G113" s="160"/>
      <c r="H113" s="134"/>
    </row>
    <row r="114" spans="1:8" x14ac:dyDescent="0.25">
      <c r="A114" s="137"/>
      <c r="B114" s="138"/>
      <c r="C114" s="138"/>
      <c r="D114" s="138"/>
      <c r="E114" s="140"/>
      <c r="F114" s="158"/>
      <c r="G114" s="160"/>
      <c r="H114" s="134"/>
    </row>
    <row r="115" spans="1:8" x14ac:dyDescent="0.25">
      <c r="A115" s="137"/>
      <c r="B115" s="138"/>
      <c r="C115" s="138"/>
      <c r="D115" s="138"/>
      <c r="E115" s="140"/>
      <c r="F115" s="158"/>
      <c r="G115" s="160"/>
      <c r="H115" s="134"/>
    </row>
    <row r="116" spans="1:8" x14ac:dyDescent="0.25">
      <c r="A116" s="137"/>
      <c r="B116" s="138"/>
      <c r="C116" s="138"/>
      <c r="D116" s="138"/>
      <c r="E116" s="140"/>
      <c r="F116" s="158"/>
      <c r="G116" s="160"/>
      <c r="H116" s="134"/>
    </row>
    <row r="117" spans="1:8" x14ac:dyDescent="0.25">
      <c r="A117" s="137"/>
      <c r="B117" s="138"/>
      <c r="C117" s="138"/>
      <c r="D117" s="138"/>
      <c r="E117" s="140"/>
      <c r="F117" s="158"/>
      <c r="G117" s="160"/>
      <c r="H117" s="134"/>
    </row>
    <row r="118" spans="1:8" x14ac:dyDescent="0.25">
      <c r="A118" s="137"/>
      <c r="B118" s="138"/>
      <c r="C118" s="138"/>
      <c r="D118" s="138"/>
      <c r="E118" s="140"/>
      <c r="F118" s="161"/>
      <c r="G118" s="160"/>
      <c r="H118" s="134"/>
    </row>
    <row r="119" spans="1:8" x14ac:dyDescent="0.25">
      <c r="A119" s="137"/>
      <c r="B119" s="138"/>
      <c r="C119" s="138"/>
      <c r="D119" s="138"/>
      <c r="E119" s="140"/>
      <c r="F119" s="161"/>
      <c r="G119" s="160"/>
      <c r="H119" s="134"/>
    </row>
    <row r="120" spans="1:8" x14ac:dyDescent="0.25">
      <c r="A120" s="137"/>
      <c r="B120" s="138"/>
      <c r="C120" s="138"/>
      <c r="D120" s="138"/>
      <c r="E120" s="140"/>
      <c r="F120" s="161"/>
      <c r="G120" s="160"/>
      <c r="H120" s="134"/>
    </row>
    <row r="121" spans="1:8" x14ac:dyDescent="0.25">
      <c r="A121" s="137"/>
      <c r="B121" s="138"/>
      <c r="C121" s="138"/>
      <c r="D121" s="138"/>
      <c r="E121" s="140"/>
      <c r="F121" s="161"/>
      <c r="G121" s="160"/>
      <c r="H121" s="134"/>
    </row>
    <row r="122" spans="1:8" x14ac:dyDescent="0.25">
      <c r="A122" s="137"/>
      <c r="B122" s="138"/>
      <c r="C122" s="138"/>
      <c r="D122" s="138"/>
      <c r="E122" s="140"/>
      <c r="F122" s="161"/>
      <c r="G122" s="160"/>
      <c r="H122" s="134"/>
    </row>
    <row r="123" spans="1:8" x14ac:dyDescent="0.25">
      <c r="A123" s="137"/>
      <c r="B123" s="138"/>
      <c r="C123" s="138"/>
      <c r="D123" s="138"/>
      <c r="E123" s="140"/>
      <c r="F123" s="161"/>
      <c r="G123" s="160"/>
      <c r="H123" s="134"/>
    </row>
    <row r="124" spans="1:8" x14ac:dyDescent="0.25">
      <c r="A124" s="137"/>
      <c r="B124" s="147"/>
      <c r="C124" s="147"/>
      <c r="D124" s="147"/>
      <c r="E124" s="140"/>
      <c r="F124" s="162"/>
      <c r="G124" s="160"/>
      <c r="H124" s="134"/>
    </row>
    <row r="125" spans="1:8" x14ac:dyDescent="0.25">
      <c r="A125" s="137"/>
      <c r="B125" s="147"/>
      <c r="C125" s="147"/>
      <c r="D125" s="147"/>
      <c r="E125" s="140"/>
      <c r="F125" s="162"/>
      <c r="G125" s="160"/>
      <c r="H125" s="134"/>
    </row>
    <row r="126" spans="1:8" x14ac:dyDescent="0.25">
      <c r="A126" s="137"/>
      <c r="B126" s="147"/>
      <c r="C126" s="147"/>
      <c r="D126" s="147"/>
      <c r="E126" s="140"/>
      <c r="F126" s="162"/>
      <c r="G126" s="160"/>
      <c r="H126" s="134"/>
    </row>
    <row r="127" spans="1:8" x14ac:dyDescent="0.25">
      <c r="A127" s="137"/>
      <c r="B127" s="147"/>
      <c r="C127" s="147"/>
      <c r="D127" s="147"/>
      <c r="E127" s="140"/>
      <c r="F127" s="162"/>
      <c r="G127" s="160"/>
      <c r="H127" s="134"/>
    </row>
    <row r="128" spans="1:8" x14ac:dyDescent="0.25">
      <c r="A128" s="137"/>
      <c r="B128" s="147"/>
      <c r="C128" s="147"/>
      <c r="D128" s="147"/>
      <c r="E128" s="140"/>
      <c r="F128" s="162"/>
      <c r="G128" s="160"/>
      <c r="H128" s="134"/>
    </row>
    <row r="129" spans="1:8" x14ac:dyDescent="0.25">
      <c r="A129" s="137"/>
      <c r="B129" s="147"/>
      <c r="C129" s="147"/>
      <c r="D129" s="147"/>
      <c r="E129" s="140"/>
      <c r="F129" s="162"/>
      <c r="G129" s="160"/>
      <c r="H129" s="134"/>
    </row>
    <row r="130" spans="1:8" x14ac:dyDescent="0.25">
      <c r="A130" s="137"/>
      <c r="B130" s="147"/>
      <c r="C130" s="147"/>
      <c r="D130" s="147"/>
      <c r="E130" s="140"/>
      <c r="F130" s="162"/>
      <c r="G130" s="160"/>
      <c r="H130" s="134"/>
    </row>
    <row r="131" spans="1:8" x14ac:dyDescent="0.25">
      <c r="A131" s="137"/>
      <c r="B131" s="147"/>
      <c r="C131" s="147"/>
      <c r="D131" s="147"/>
      <c r="E131" s="140"/>
      <c r="F131" s="162"/>
      <c r="G131" s="160"/>
      <c r="H131" s="134"/>
    </row>
    <row r="132" spans="1:8" x14ac:dyDescent="0.25">
      <c r="A132" s="137"/>
      <c r="B132" s="147"/>
      <c r="C132" s="147"/>
      <c r="D132" s="147"/>
      <c r="E132" s="140"/>
      <c r="F132" s="162"/>
      <c r="G132" s="160"/>
      <c r="H132" s="134"/>
    </row>
    <row r="133" spans="1:8" x14ac:dyDescent="0.25">
      <c r="A133" s="137"/>
      <c r="B133" s="147"/>
      <c r="C133" s="147"/>
      <c r="D133" s="147"/>
      <c r="E133" s="140"/>
      <c r="F133" s="162"/>
      <c r="G133" s="160"/>
      <c r="H133" s="134"/>
    </row>
    <row r="134" spans="1:8" x14ac:dyDescent="0.25">
      <c r="A134" s="137"/>
      <c r="B134" s="147"/>
      <c r="C134" s="147"/>
      <c r="D134" s="147"/>
      <c r="E134" s="140"/>
      <c r="F134" s="162"/>
      <c r="G134" s="160"/>
      <c r="H134" s="134"/>
    </row>
    <row r="135" spans="1:8" x14ac:dyDescent="0.25">
      <c r="A135" s="137"/>
      <c r="B135" s="147"/>
      <c r="C135" s="147"/>
      <c r="D135" s="147"/>
      <c r="E135" s="140"/>
      <c r="F135" s="162"/>
      <c r="G135" s="160"/>
      <c r="H135" s="134"/>
    </row>
    <row r="136" spans="1:8" x14ac:dyDescent="0.25">
      <c r="A136" s="137"/>
      <c r="B136" s="147"/>
      <c r="C136" s="147"/>
      <c r="D136" s="147"/>
      <c r="E136" s="140"/>
      <c r="F136" s="162"/>
      <c r="G136" s="160"/>
      <c r="H136" s="134"/>
    </row>
    <row r="137" spans="1:8" x14ac:dyDescent="0.25">
      <c r="A137" s="137"/>
      <c r="B137" s="147"/>
      <c r="C137" s="147"/>
      <c r="D137" s="147"/>
      <c r="E137" s="140"/>
      <c r="F137" s="162"/>
      <c r="G137" s="160"/>
      <c r="H137" s="134"/>
    </row>
    <row r="138" spans="1:8" x14ac:dyDescent="0.25">
      <c r="A138" s="137"/>
      <c r="B138" s="147"/>
      <c r="C138" s="147"/>
      <c r="D138" s="147"/>
      <c r="E138" s="140"/>
      <c r="F138" s="162"/>
      <c r="G138" s="160"/>
      <c r="H138" s="134"/>
    </row>
    <row r="139" spans="1:8" x14ac:dyDescent="0.25">
      <c r="A139" s="137"/>
      <c r="B139" s="147"/>
      <c r="C139" s="147"/>
      <c r="D139" s="147"/>
      <c r="E139" s="140"/>
      <c r="F139" s="162"/>
      <c r="G139" s="160"/>
      <c r="H139" s="134"/>
    </row>
    <row r="140" spans="1:8" x14ac:dyDescent="0.25">
      <c r="A140" s="137"/>
      <c r="B140" s="147"/>
      <c r="C140" s="147"/>
      <c r="D140" s="147"/>
      <c r="E140" s="140"/>
      <c r="F140" s="162"/>
      <c r="G140" s="160"/>
      <c r="H140" s="134"/>
    </row>
    <row r="141" spans="1:8" x14ac:dyDescent="0.25">
      <c r="A141" s="137"/>
      <c r="B141" s="147"/>
      <c r="C141" s="147"/>
      <c r="D141" s="147"/>
      <c r="E141" s="140"/>
      <c r="F141" s="162"/>
      <c r="G141" s="160"/>
      <c r="H141" s="134"/>
    </row>
    <row r="142" spans="1:8" x14ac:dyDescent="0.25">
      <c r="A142" s="137"/>
      <c r="B142" s="147"/>
      <c r="C142" s="147"/>
      <c r="D142" s="147"/>
      <c r="E142" s="140"/>
      <c r="F142" s="162"/>
      <c r="G142" s="160"/>
      <c r="H142" s="134"/>
    </row>
    <row r="143" spans="1:8" x14ac:dyDescent="0.25">
      <c r="A143" s="137"/>
      <c r="B143" s="147"/>
      <c r="C143" s="147"/>
      <c r="D143" s="147"/>
      <c r="E143" s="140"/>
      <c r="F143" s="162"/>
      <c r="G143" s="160"/>
      <c r="H143" s="134"/>
    </row>
    <row r="144" spans="1:8" x14ac:dyDescent="0.25">
      <c r="A144" s="137"/>
      <c r="B144" s="147"/>
      <c r="C144" s="147"/>
      <c r="D144" s="147"/>
      <c r="E144" s="140"/>
      <c r="F144" s="162"/>
      <c r="G144" s="160"/>
      <c r="H144" s="134"/>
    </row>
    <row r="145" spans="1:8" x14ac:dyDescent="0.25">
      <c r="A145" s="137"/>
      <c r="B145" s="147"/>
      <c r="C145" s="147"/>
      <c r="D145" s="147"/>
      <c r="E145" s="140"/>
      <c r="F145" s="162"/>
      <c r="G145" s="160"/>
      <c r="H145" s="134"/>
    </row>
    <row r="146" spans="1:8" x14ac:dyDescent="0.25">
      <c r="A146" s="137"/>
      <c r="B146" s="147"/>
      <c r="C146" s="147"/>
      <c r="D146" s="147"/>
      <c r="E146" s="140"/>
      <c r="F146" s="162"/>
      <c r="G146" s="160"/>
      <c r="H146" s="134"/>
    </row>
    <row r="147" spans="1:8" x14ac:dyDescent="0.25">
      <c r="A147" s="137"/>
      <c r="B147" s="147"/>
      <c r="C147" s="147"/>
      <c r="D147" s="147"/>
      <c r="E147" s="140"/>
      <c r="F147" s="162"/>
      <c r="G147" s="160"/>
      <c r="H147" s="134"/>
    </row>
    <row r="148" spans="1:8" x14ac:dyDescent="0.25">
      <c r="A148" s="137"/>
      <c r="B148" s="147"/>
      <c r="C148" s="147"/>
      <c r="D148" s="147"/>
      <c r="E148" s="140"/>
      <c r="F148" s="162"/>
      <c r="G148" s="160"/>
      <c r="H148" s="134"/>
    </row>
    <row r="149" spans="1:8" x14ac:dyDescent="0.25">
      <c r="A149" s="137"/>
      <c r="B149" s="147"/>
      <c r="C149" s="147"/>
      <c r="D149" s="147"/>
      <c r="E149" s="140"/>
      <c r="F149" s="162"/>
      <c r="G149" s="160"/>
      <c r="H149" s="134"/>
    </row>
    <row r="150" spans="1:8" x14ac:dyDescent="0.25">
      <c r="A150" s="137"/>
      <c r="B150" s="147"/>
      <c r="C150" s="147"/>
      <c r="D150" s="156"/>
      <c r="E150" s="140"/>
      <c r="F150" s="162"/>
      <c r="G150" s="160"/>
      <c r="H150" s="134"/>
    </row>
    <row r="151" spans="1:8" x14ac:dyDescent="0.25">
      <c r="A151" s="137"/>
      <c r="B151" s="147"/>
      <c r="C151" s="147"/>
      <c r="D151" s="156"/>
      <c r="E151" s="140"/>
      <c r="F151" s="162"/>
      <c r="G151" s="160"/>
      <c r="H151" s="134"/>
    </row>
    <row r="152" spans="1:8" x14ac:dyDescent="0.25">
      <c r="A152" s="163"/>
      <c r="B152" s="164"/>
      <c r="C152" s="164"/>
      <c r="D152" s="156"/>
      <c r="E152" s="165"/>
      <c r="F152" s="166"/>
      <c r="G152" s="160"/>
      <c r="H152" s="134"/>
    </row>
    <row r="153" spans="1:8" x14ac:dyDescent="0.25">
      <c r="A153" s="137"/>
      <c r="B153" s="147"/>
      <c r="C153" s="147"/>
      <c r="D153" s="139"/>
      <c r="E153" s="140"/>
      <c r="F153" s="162"/>
      <c r="G153" s="160"/>
      <c r="H153" s="134"/>
    </row>
    <row r="154" spans="1:8" x14ac:dyDescent="0.25">
      <c r="A154" s="137"/>
      <c r="B154" s="147"/>
      <c r="C154" s="147"/>
      <c r="D154" s="139"/>
      <c r="E154" s="140"/>
      <c r="F154" s="162"/>
      <c r="G154" s="160"/>
      <c r="H154" s="134"/>
    </row>
    <row r="155" spans="1:8" x14ac:dyDescent="0.25">
      <c r="A155" s="137"/>
      <c r="B155" s="147"/>
      <c r="C155" s="147"/>
      <c r="D155" s="139"/>
      <c r="E155" s="140"/>
      <c r="F155" s="162"/>
      <c r="G155" s="160"/>
      <c r="H155" s="134"/>
    </row>
    <row r="156" spans="1:8" x14ac:dyDescent="0.25">
      <c r="A156" s="137"/>
      <c r="B156" s="147"/>
      <c r="C156" s="147"/>
      <c r="D156" s="139"/>
      <c r="E156" s="140"/>
      <c r="F156" s="162"/>
      <c r="G156" s="160"/>
      <c r="H156" s="134"/>
    </row>
    <row r="157" spans="1:8" x14ac:dyDescent="0.25">
      <c r="A157" s="137"/>
      <c r="B157" s="147"/>
      <c r="C157" s="147"/>
      <c r="D157" s="139"/>
      <c r="E157" s="140"/>
      <c r="F157" s="162"/>
      <c r="G157" s="160"/>
      <c r="H157" s="134"/>
    </row>
    <row r="158" spans="1:8" x14ac:dyDescent="0.25">
      <c r="A158" s="137"/>
      <c r="B158" s="147"/>
      <c r="C158" s="147"/>
      <c r="D158" s="139"/>
      <c r="E158" s="140"/>
      <c r="F158" s="162"/>
      <c r="G158" s="160"/>
      <c r="H158" s="134"/>
    </row>
    <row r="159" spans="1:8" x14ac:dyDescent="0.25">
      <c r="A159" s="137"/>
      <c r="B159" s="147"/>
      <c r="C159" s="147"/>
      <c r="D159" s="147"/>
      <c r="E159" s="140"/>
      <c r="F159" s="162"/>
      <c r="G159" s="160"/>
      <c r="H159" s="134"/>
    </row>
    <row r="160" spans="1:8" x14ac:dyDescent="0.25">
      <c r="A160" s="137"/>
      <c r="B160" s="147"/>
      <c r="C160" s="147"/>
      <c r="D160" s="147"/>
      <c r="E160" s="140"/>
      <c r="F160" s="162"/>
      <c r="G160" s="160"/>
      <c r="H160" s="134"/>
    </row>
    <row r="161" spans="1:8" x14ac:dyDescent="0.25">
      <c r="A161" s="137"/>
      <c r="B161" s="147"/>
      <c r="C161" s="147"/>
      <c r="D161" s="147"/>
      <c r="E161" s="140"/>
      <c r="F161" s="162"/>
      <c r="G161" s="160"/>
      <c r="H161" s="134"/>
    </row>
    <row r="162" spans="1:8" x14ac:dyDescent="0.25">
      <c r="A162" s="167"/>
      <c r="B162" s="139"/>
      <c r="C162" s="139"/>
      <c r="D162" s="139"/>
      <c r="E162" s="157"/>
      <c r="F162" s="151"/>
      <c r="G162" s="160"/>
      <c r="H162" s="134"/>
    </row>
    <row r="163" spans="1:8" x14ac:dyDescent="0.25">
      <c r="A163" s="149"/>
      <c r="B163" s="139"/>
      <c r="C163" s="139"/>
      <c r="D163" s="139"/>
      <c r="E163" s="157"/>
      <c r="F163" s="151"/>
      <c r="G163" s="160"/>
      <c r="H163" s="134"/>
    </row>
    <row r="164" spans="1:8" x14ac:dyDescent="0.25">
      <c r="A164" s="149"/>
      <c r="B164" s="139"/>
      <c r="C164" s="139"/>
      <c r="D164" s="139"/>
      <c r="E164" s="140"/>
      <c r="F164" s="141"/>
      <c r="G164" s="160"/>
      <c r="H164" s="134"/>
    </row>
    <row r="165" spans="1:8" x14ac:dyDescent="0.25">
      <c r="A165" s="149"/>
      <c r="B165" s="139"/>
      <c r="C165" s="139"/>
      <c r="D165" s="139"/>
      <c r="E165" s="140"/>
      <c r="F165" s="141"/>
      <c r="G165" s="160"/>
      <c r="H165" s="134"/>
    </row>
    <row r="166" spans="1:8" x14ac:dyDescent="0.25">
      <c r="A166" s="149"/>
      <c r="B166" s="139"/>
      <c r="C166" s="139"/>
      <c r="D166" s="139"/>
      <c r="E166" s="140"/>
      <c r="F166" s="141"/>
      <c r="G166" s="160"/>
      <c r="H166" s="134"/>
    </row>
    <row r="167" spans="1:8" x14ac:dyDescent="0.25">
      <c r="A167" s="149"/>
      <c r="B167" s="139"/>
      <c r="C167" s="139"/>
      <c r="D167" s="139"/>
      <c r="E167" s="140"/>
      <c r="F167" s="141"/>
      <c r="G167" s="160"/>
      <c r="H167" s="134"/>
    </row>
    <row r="168" spans="1:8" x14ac:dyDescent="0.25">
      <c r="A168" s="149"/>
      <c r="B168" s="139"/>
      <c r="C168" s="139"/>
      <c r="D168" s="139"/>
      <c r="E168" s="140"/>
      <c r="F168" s="141"/>
      <c r="G168" s="160"/>
      <c r="H168" s="134"/>
    </row>
    <row r="169" spans="1:8" x14ac:dyDescent="0.25">
      <c r="A169" s="149"/>
      <c r="B169" s="139"/>
      <c r="C169" s="139"/>
      <c r="D169" s="139"/>
      <c r="E169" s="140"/>
      <c r="F169" s="141"/>
      <c r="G169" s="160"/>
      <c r="H169" s="134"/>
    </row>
    <row r="170" spans="1:8" x14ac:dyDescent="0.25">
      <c r="A170" s="155"/>
      <c r="B170" s="139"/>
      <c r="C170" s="139"/>
      <c r="D170" s="139"/>
      <c r="E170" s="140"/>
      <c r="F170" s="141"/>
      <c r="G170" s="160"/>
      <c r="H170" s="134"/>
    </row>
    <row r="171" spans="1:8" x14ac:dyDescent="0.25">
      <c r="A171" s="155"/>
      <c r="B171" s="139"/>
      <c r="C171" s="139"/>
      <c r="D171" s="139"/>
      <c r="E171" s="140"/>
      <c r="F171" s="141"/>
      <c r="G171" s="160"/>
      <c r="H171" s="134"/>
    </row>
    <row r="172" spans="1:8" x14ac:dyDescent="0.25">
      <c r="A172" s="155"/>
      <c r="B172" s="139"/>
      <c r="C172" s="139"/>
      <c r="D172" s="139"/>
      <c r="E172" s="140"/>
      <c r="F172" s="141"/>
      <c r="G172" s="160"/>
      <c r="H172" s="134"/>
    </row>
    <row r="173" spans="1:8" x14ac:dyDescent="0.25">
      <c r="A173" s="149"/>
      <c r="B173" s="139"/>
      <c r="C173" s="139"/>
      <c r="D173" s="139"/>
      <c r="E173" s="140"/>
      <c r="F173" s="141"/>
      <c r="G173" s="160"/>
      <c r="H173" s="134"/>
    </row>
    <row r="174" spans="1:8" x14ac:dyDescent="0.25">
      <c r="A174" s="155"/>
      <c r="B174" s="139"/>
      <c r="C174" s="139"/>
      <c r="D174" s="139"/>
      <c r="E174" s="140"/>
      <c r="F174" s="141"/>
      <c r="G174" s="160"/>
      <c r="H174" s="134"/>
    </row>
    <row r="175" spans="1:8" x14ac:dyDescent="0.25">
      <c r="A175" s="137"/>
      <c r="B175" s="139"/>
      <c r="C175" s="139"/>
      <c r="D175" s="139"/>
      <c r="E175" s="140"/>
      <c r="F175" s="141"/>
      <c r="G175" s="160"/>
      <c r="H175" s="134"/>
    </row>
    <row r="176" spans="1:8" x14ac:dyDescent="0.25">
      <c r="A176" s="137"/>
      <c r="B176" s="139"/>
      <c r="C176" s="139"/>
      <c r="D176" s="139"/>
      <c r="E176" s="140"/>
      <c r="F176" s="141"/>
      <c r="G176" s="160"/>
      <c r="H176" s="134"/>
    </row>
    <row r="177" spans="1:8" x14ac:dyDescent="0.25">
      <c r="A177" s="137"/>
      <c r="B177" s="139"/>
      <c r="C177" s="139"/>
      <c r="D177" s="139"/>
      <c r="E177" s="140"/>
      <c r="F177" s="141"/>
      <c r="G177" s="160"/>
      <c r="H177" s="134"/>
    </row>
    <row r="178" spans="1:8" x14ac:dyDescent="0.25">
      <c r="A178" s="137"/>
      <c r="B178" s="139"/>
      <c r="C178" s="139"/>
      <c r="D178" s="139"/>
      <c r="E178" s="140"/>
      <c r="F178" s="141"/>
      <c r="G178" s="160"/>
      <c r="H178" s="134"/>
    </row>
    <row r="179" spans="1:8" x14ac:dyDescent="0.25">
      <c r="A179" s="137"/>
      <c r="B179" s="139"/>
      <c r="C179" s="139"/>
      <c r="D179" s="139"/>
      <c r="E179" s="140"/>
      <c r="F179" s="141"/>
      <c r="G179" s="160"/>
      <c r="H179" s="134"/>
    </row>
    <row r="180" spans="1:8" x14ac:dyDescent="0.25">
      <c r="A180" s="137"/>
      <c r="B180" s="139"/>
      <c r="C180" s="139"/>
      <c r="D180" s="139"/>
      <c r="E180" s="140"/>
      <c r="F180" s="141"/>
      <c r="G180" s="160"/>
      <c r="H180" s="134"/>
    </row>
    <row r="181" spans="1:8" x14ac:dyDescent="0.25">
      <c r="A181" s="137"/>
      <c r="B181" s="139"/>
      <c r="C181" s="139"/>
      <c r="D181" s="139"/>
      <c r="E181" s="140"/>
      <c r="F181" s="141"/>
      <c r="G181" s="160"/>
      <c r="H181" s="134"/>
    </row>
    <row r="182" spans="1:8" x14ac:dyDescent="0.25">
      <c r="A182" s="137"/>
      <c r="B182" s="139"/>
      <c r="C182" s="139"/>
      <c r="D182" s="139"/>
      <c r="E182" s="140"/>
      <c r="F182" s="141"/>
      <c r="G182" s="160"/>
      <c r="H182" s="134"/>
    </row>
    <row r="183" spans="1:8" x14ac:dyDescent="0.25">
      <c r="A183" s="137"/>
      <c r="B183" s="139"/>
      <c r="C183" s="139"/>
      <c r="D183" s="139"/>
      <c r="E183" s="140"/>
      <c r="F183" s="141"/>
      <c r="G183" s="160"/>
      <c r="H183" s="134"/>
    </row>
    <row r="184" spans="1:8" x14ac:dyDescent="0.25">
      <c r="A184" s="137"/>
      <c r="B184" s="139"/>
      <c r="C184" s="139"/>
      <c r="D184" s="139"/>
      <c r="E184" s="140"/>
      <c r="F184" s="141"/>
      <c r="G184" s="160"/>
      <c r="H184" s="134"/>
    </row>
    <row r="185" spans="1:8" x14ac:dyDescent="0.25">
      <c r="A185" s="137"/>
      <c r="B185" s="139"/>
      <c r="C185" s="139"/>
      <c r="D185" s="139"/>
      <c r="E185" s="140"/>
      <c r="F185" s="141"/>
      <c r="G185" s="160"/>
      <c r="H185" s="134"/>
    </row>
    <row r="186" spans="1:8" x14ac:dyDescent="0.25">
      <c r="A186" s="137"/>
      <c r="B186" s="139"/>
      <c r="C186" s="139"/>
      <c r="D186" s="139"/>
      <c r="E186" s="140"/>
      <c r="F186" s="141"/>
      <c r="G186" s="160"/>
      <c r="H186" s="134"/>
    </row>
    <row r="187" spans="1:8" x14ac:dyDescent="0.25">
      <c r="A187" s="137"/>
      <c r="B187" s="139"/>
      <c r="C187" s="139"/>
      <c r="D187" s="139"/>
      <c r="E187" s="140"/>
      <c r="F187" s="141"/>
      <c r="G187" s="160"/>
      <c r="H187" s="134"/>
    </row>
    <row r="188" spans="1:8" x14ac:dyDescent="0.25">
      <c r="A188" s="137"/>
      <c r="B188" s="139"/>
      <c r="C188" s="139"/>
      <c r="D188" s="139"/>
      <c r="E188" s="140"/>
      <c r="F188" s="141"/>
      <c r="G188" s="160"/>
      <c r="H188" s="134"/>
    </row>
    <row r="189" spans="1:8" x14ac:dyDescent="0.25">
      <c r="A189" s="137"/>
      <c r="B189" s="139"/>
      <c r="C189" s="139"/>
      <c r="D189" s="139"/>
      <c r="E189" s="140"/>
      <c r="F189" s="161"/>
      <c r="G189" s="160"/>
      <c r="H189" s="134"/>
    </row>
    <row r="190" spans="1:8" x14ac:dyDescent="0.25">
      <c r="A190" s="137"/>
      <c r="B190" s="139"/>
      <c r="C190" s="139"/>
      <c r="D190" s="139"/>
      <c r="E190" s="140"/>
      <c r="F190" s="161"/>
      <c r="G190" s="160"/>
      <c r="H190" s="134"/>
    </row>
    <row r="191" spans="1:8" x14ac:dyDescent="0.25">
      <c r="A191" s="137"/>
      <c r="B191" s="139"/>
      <c r="C191" s="139"/>
      <c r="D191" s="139"/>
      <c r="E191" s="140"/>
      <c r="F191" s="141"/>
      <c r="G191" s="160"/>
      <c r="H191" s="134"/>
    </row>
    <row r="192" spans="1:8" x14ac:dyDescent="0.25">
      <c r="A192" s="137"/>
      <c r="B192" s="139"/>
      <c r="C192" s="139"/>
      <c r="D192" s="139"/>
      <c r="E192" s="140"/>
      <c r="F192" s="141"/>
      <c r="G192" s="160"/>
      <c r="H192" s="134"/>
    </row>
    <row r="193" spans="1:8" x14ac:dyDescent="0.25">
      <c r="A193" s="137"/>
      <c r="B193" s="139"/>
      <c r="C193" s="139"/>
      <c r="D193" s="139"/>
      <c r="E193" s="140"/>
      <c r="F193" s="141"/>
      <c r="G193" s="160"/>
      <c r="H193" s="134"/>
    </row>
    <row r="194" spans="1:8" x14ac:dyDescent="0.25">
      <c r="A194" s="137"/>
      <c r="B194" s="139"/>
      <c r="C194" s="139"/>
      <c r="D194" s="139"/>
      <c r="E194" s="140"/>
      <c r="F194" s="141"/>
      <c r="G194" s="160"/>
      <c r="H194" s="134"/>
    </row>
    <row r="195" spans="1:8" x14ac:dyDescent="0.25">
      <c r="A195" s="137"/>
      <c r="B195" s="139"/>
      <c r="C195" s="139"/>
      <c r="D195" s="139"/>
      <c r="E195" s="140"/>
      <c r="F195" s="141"/>
      <c r="G195" s="160"/>
      <c r="H195" s="134"/>
    </row>
    <row r="196" spans="1:8" x14ac:dyDescent="0.25">
      <c r="A196" s="137"/>
      <c r="B196" s="139"/>
      <c r="C196" s="139"/>
      <c r="D196" s="139"/>
      <c r="E196" s="140"/>
      <c r="F196" s="141"/>
      <c r="G196" s="160"/>
      <c r="H196" s="134"/>
    </row>
    <row r="197" spans="1:8" x14ac:dyDescent="0.25">
      <c r="A197" s="137"/>
      <c r="B197" s="139"/>
      <c r="C197" s="139"/>
      <c r="D197" s="139"/>
      <c r="E197" s="140"/>
      <c r="F197" s="141"/>
      <c r="G197" s="160"/>
      <c r="H197" s="134"/>
    </row>
    <row r="198" spans="1:8" x14ac:dyDescent="0.25">
      <c r="A198" s="137"/>
      <c r="B198" s="139"/>
      <c r="C198" s="139"/>
      <c r="D198" s="139"/>
      <c r="E198" s="140"/>
      <c r="F198" s="141"/>
      <c r="G198" s="160"/>
      <c r="H198" s="134"/>
    </row>
    <row r="199" spans="1:8" x14ac:dyDescent="0.25">
      <c r="A199" s="137"/>
      <c r="B199" s="139"/>
      <c r="C199" s="139"/>
      <c r="D199" s="139"/>
      <c r="E199" s="140"/>
      <c r="F199" s="141"/>
      <c r="G199" s="160"/>
      <c r="H199" s="134"/>
    </row>
    <row r="200" spans="1:8" x14ac:dyDescent="0.25">
      <c r="A200" s="137"/>
      <c r="B200" s="139"/>
      <c r="C200" s="139"/>
      <c r="D200" s="139"/>
      <c r="E200" s="140"/>
      <c r="F200" s="141"/>
      <c r="G200" s="160"/>
      <c r="H200" s="134"/>
    </row>
    <row r="201" spans="1:8" x14ac:dyDescent="0.25">
      <c r="A201" s="137"/>
      <c r="B201" s="139"/>
      <c r="C201" s="139"/>
      <c r="D201" s="139"/>
      <c r="E201" s="140"/>
      <c r="F201" s="141"/>
      <c r="G201" s="160"/>
      <c r="H201" s="134"/>
    </row>
    <row r="202" spans="1:8" x14ac:dyDescent="0.25">
      <c r="A202" s="137"/>
      <c r="B202" s="139"/>
      <c r="C202" s="139"/>
      <c r="D202" s="139"/>
      <c r="E202" s="140"/>
      <c r="F202" s="141"/>
      <c r="G202" s="160"/>
      <c r="H202" s="134"/>
    </row>
    <row r="203" spans="1:8" x14ac:dyDescent="0.25">
      <c r="A203" s="137"/>
      <c r="B203" s="139"/>
      <c r="C203" s="139"/>
      <c r="D203" s="139"/>
      <c r="E203" s="140"/>
      <c r="F203" s="141"/>
      <c r="G203" s="160"/>
      <c r="H203" s="134"/>
    </row>
    <row r="204" spans="1:8" x14ac:dyDescent="0.25">
      <c r="A204" s="137"/>
      <c r="B204" s="139"/>
      <c r="C204" s="139"/>
      <c r="D204" s="139"/>
      <c r="E204" s="140"/>
      <c r="F204" s="141"/>
      <c r="G204" s="160"/>
      <c r="H204" s="134"/>
    </row>
    <row r="205" spans="1:8" x14ac:dyDescent="0.25">
      <c r="A205" s="137"/>
      <c r="B205" s="139"/>
      <c r="C205" s="139"/>
      <c r="D205" s="139"/>
      <c r="E205" s="140"/>
      <c r="F205" s="141"/>
      <c r="G205" s="160"/>
      <c r="H205" s="134"/>
    </row>
    <row r="206" spans="1:8" x14ac:dyDescent="0.25">
      <c r="A206" s="137"/>
      <c r="B206" s="139"/>
      <c r="C206" s="139"/>
      <c r="D206" s="139"/>
      <c r="E206" s="140"/>
      <c r="F206" s="141"/>
      <c r="G206" s="160"/>
      <c r="H206" s="134"/>
    </row>
    <row r="207" spans="1:8" x14ac:dyDescent="0.25">
      <c r="A207" s="137"/>
      <c r="B207" s="139"/>
      <c r="C207" s="139"/>
      <c r="D207" s="139"/>
      <c r="E207" s="140"/>
      <c r="F207" s="141"/>
      <c r="G207" s="160"/>
      <c r="H207" s="134"/>
    </row>
    <row r="208" spans="1:8" x14ac:dyDescent="0.25">
      <c r="A208" s="137"/>
      <c r="B208" s="139"/>
      <c r="C208" s="139"/>
      <c r="D208" s="139"/>
      <c r="E208" s="140"/>
      <c r="F208" s="141"/>
      <c r="G208" s="160"/>
      <c r="H208" s="134"/>
    </row>
    <row r="209" spans="1:8" x14ac:dyDescent="0.25">
      <c r="A209" s="137"/>
      <c r="B209" s="139"/>
      <c r="C209" s="139"/>
      <c r="D209" s="139"/>
      <c r="E209" s="140"/>
      <c r="F209" s="141"/>
      <c r="G209" s="160"/>
      <c r="H209" s="134"/>
    </row>
    <row r="210" spans="1:8" x14ac:dyDescent="0.25">
      <c r="A210" s="137"/>
      <c r="B210" s="139"/>
      <c r="C210" s="139"/>
      <c r="D210" s="139"/>
      <c r="E210" s="140"/>
      <c r="F210" s="141"/>
      <c r="G210" s="160"/>
      <c r="H210" s="134"/>
    </row>
    <row r="211" spans="1:8" x14ac:dyDescent="0.25">
      <c r="A211" s="137"/>
      <c r="B211" s="139"/>
      <c r="C211" s="139"/>
      <c r="D211" s="139"/>
      <c r="E211" s="140"/>
      <c r="F211" s="141"/>
      <c r="G211" s="160"/>
      <c r="H211" s="134"/>
    </row>
    <row r="212" spans="1:8" x14ac:dyDescent="0.25">
      <c r="A212" s="137"/>
      <c r="B212" s="139"/>
      <c r="C212" s="139"/>
      <c r="D212" s="139"/>
      <c r="E212" s="140"/>
      <c r="F212" s="141"/>
      <c r="G212" s="160"/>
      <c r="H212" s="134"/>
    </row>
    <row r="213" spans="1:8" x14ac:dyDescent="0.25">
      <c r="A213" s="137"/>
      <c r="B213" s="139"/>
      <c r="C213" s="139"/>
      <c r="D213" s="139"/>
      <c r="E213" s="140"/>
      <c r="F213" s="141"/>
      <c r="G213" s="160"/>
      <c r="H213" s="134"/>
    </row>
    <row r="214" spans="1:8" x14ac:dyDescent="0.25">
      <c r="A214" s="137"/>
      <c r="B214" s="139"/>
      <c r="C214" s="139"/>
      <c r="D214" s="139"/>
      <c r="E214" s="140"/>
      <c r="F214" s="161"/>
      <c r="G214" s="160"/>
      <c r="H214" s="134"/>
    </row>
    <row r="215" spans="1:8" x14ac:dyDescent="0.25">
      <c r="A215" s="137"/>
      <c r="B215" s="139"/>
      <c r="C215" s="139"/>
      <c r="D215" s="139"/>
      <c r="E215" s="140"/>
      <c r="F215" s="141"/>
      <c r="G215" s="160"/>
      <c r="H215" s="134"/>
    </row>
    <row r="216" spans="1:8" x14ac:dyDescent="0.25">
      <c r="A216" s="137"/>
      <c r="B216" s="139"/>
      <c r="C216" s="139"/>
      <c r="D216" s="139"/>
      <c r="E216" s="140"/>
      <c r="F216" s="141"/>
      <c r="G216" s="160"/>
      <c r="H216" s="134"/>
    </row>
    <row r="217" spans="1:8" x14ac:dyDescent="0.25">
      <c r="A217" s="137"/>
      <c r="B217" s="139"/>
      <c r="C217" s="139"/>
      <c r="D217" s="139"/>
      <c r="E217" s="140"/>
      <c r="F217" s="141"/>
      <c r="G217" s="160"/>
      <c r="H217" s="134"/>
    </row>
    <row r="218" spans="1:8" x14ac:dyDescent="0.25">
      <c r="A218" s="137"/>
      <c r="B218" s="139"/>
      <c r="C218" s="139"/>
      <c r="D218" s="139"/>
      <c r="E218" s="140"/>
      <c r="F218" s="141"/>
      <c r="G218" s="160"/>
      <c r="H218" s="134"/>
    </row>
    <row r="219" spans="1:8" x14ac:dyDescent="0.25">
      <c r="A219" s="137"/>
      <c r="B219" s="139"/>
      <c r="C219" s="139"/>
      <c r="D219" s="139"/>
      <c r="E219" s="140"/>
      <c r="F219" s="141"/>
      <c r="G219" s="160"/>
      <c r="H219" s="134"/>
    </row>
    <row r="220" spans="1:8" x14ac:dyDescent="0.25">
      <c r="A220" s="137"/>
      <c r="B220" s="139"/>
      <c r="C220" s="139"/>
      <c r="D220" s="139"/>
      <c r="E220" s="140"/>
      <c r="F220" s="141"/>
      <c r="G220" s="160"/>
      <c r="H220" s="134"/>
    </row>
    <row r="221" spans="1:8" x14ac:dyDescent="0.25">
      <c r="A221" s="137"/>
      <c r="B221" s="139"/>
      <c r="C221" s="139"/>
      <c r="D221" s="139"/>
      <c r="E221" s="140"/>
      <c r="F221" s="141"/>
      <c r="G221" s="160"/>
      <c r="H221" s="134"/>
    </row>
    <row r="222" spans="1:8" x14ac:dyDescent="0.25">
      <c r="A222" s="137"/>
      <c r="B222" s="139"/>
      <c r="C222" s="139"/>
      <c r="D222" s="139"/>
      <c r="E222" s="140"/>
      <c r="F222" s="141"/>
      <c r="G222" s="160"/>
      <c r="H222" s="134"/>
    </row>
    <row r="223" spans="1:8" x14ac:dyDescent="0.25">
      <c r="A223" s="137"/>
      <c r="B223" s="139"/>
      <c r="C223" s="139"/>
      <c r="D223" s="139"/>
      <c r="E223" s="140"/>
      <c r="F223" s="141"/>
      <c r="G223" s="160"/>
      <c r="H223" s="134"/>
    </row>
    <row r="224" spans="1:8" x14ac:dyDescent="0.25">
      <c r="A224" s="137"/>
      <c r="B224" s="139"/>
      <c r="C224" s="139"/>
      <c r="D224" s="139"/>
      <c r="E224" s="140"/>
      <c r="F224" s="141"/>
      <c r="G224" s="160"/>
      <c r="H224" s="134"/>
    </row>
    <row r="225" spans="1:8" x14ac:dyDescent="0.25">
      <c r="A225" s="137"/>
      <c r="B225" s="139"/>
      <c r="C225" s="139"/>
      <c r="D225" s="139"/>
      <c r="E225" s="140"/>
      <c r="F225" s="141"/>
      <c r="G225" s="160"/>
      <c r="H225" s="134"/>
    </row>
    <row r="226" spans="1:8" x14ac:dyDescent="0.25">
      <c r="A226" s="137"/>
      <c r="B226" s="139"/>
      <c r="C226" s="139"/>
      <c r="D226" s="139"/>
      <c r="E226" s="140"/>
      <c r="F226" s="141"/>
      <c r="G226" s="160"/>
      <c r="H226" s="134"/>
    </row>
    <row r="227" spans="1:8" x14ac:dyDescent="0.25">
      <c r="A227" s="137"/>
      <c r="B227" s="139"/>
      <c r="C227" s="139"/>
      <c r="D227" s="139"/>
      <c r="E227" s="140"/>
      <c r="F227" s="141"/>
      <c r="G227" s="160"/>
      <c r="H227" s="134"/>
    </row>
    <row r="228" spans="1:8" x14ac:dyDescent="0.25">
      <c r="A228" s="137"/>
      <c r="B228" s="139"/>
      <c r="C228" s="139"/>
      <c r="D228" s="139"/>
      <c r="E228" s="140"/>
      <c r="F228" s="141"/>
      <c r="G228" s="160"/>
      <c r="H228" s="134"/>
    </row>
    <row r="229" spans="1:8" x14ac:dyDescent="0.25">
      <c r="A229" s="137"/>
      <c r="B229" s="139"/>
      <c r="C229" s="139"/>
      <c r="D229" s="139"/>
      <c r="E229" s="140"/>
      <c r="F229" s="141"/>
      <c r="G229" s="160"/>
      <c r="H229" s="134"/>
    </row>
    <row r="230" spans="1:8" x14ac:dyDescent="0.25">
      <c r="A230" s="137"/>
      <c r="B230" s="139"/>
      <c r="C230" s="139"/>
      <c r="D230" s="139"/>
      <c r="E230" s="140"/>
      <c r="F230" s="141"/>
      <c r="G230" s="160"/>
      <c r="H230" s="134"/>
    </row>
    <row r="231" spans="1:8" x14ac:dyDescent="0.25">
      <c r="A231" s="137"/>
      <c r="B231" s="139"/>
      <c r="C231" s="139"/>
      <c r="D231" s="139"/>
      <c r="E231" s="140"/>
      <c r="F231" s="141"/>
      <c r="H231" s="134"/>
    </row>
    <row r="232" spans="1:8" x14ac:dyDescent="0.25">
      <c r="A232" s="137"/>
      <c r="B232" s="139"/>
      <c r="C232" s="139"/>
      <c r="D232" s="139"/>
      <c r="E232" s="140"/>
      <c r="F232" s="141"/>
      <c r="H232" s="134"/>
    </row>
    <row r="233" spans="1:8" x14ac:dyDescent="0.25">
      <c r="A233" s="137"/>
      <c r="B233" s="156"/>
      <c r="C233" s="156"/>
      <c r="D233" s="156"/>
      <c r="E233" s="157"/>
      <c r="F233" s="151"/>
      <c r="H233" s="134"/>
    </row>
    <row r="234" spans="1:8" x14ac:dyDescent="0.25">
      <c r="A234" s="137"/>
      <c r="B234" s="139"/>
      <c r="C234" s="139"/>
      <c r="D234" s="139"/>
      <c r="E234" s="140"/>
      <c r="F234" s="141"/>
      <c r="G234" s="160"/>
      <c r="H234" s="134"/>
    </row>
    <row r="235" spans="1:8" x14ac:dyDescent="0.25">
      <c r="A235" s="137"/>
      <c r="B235" s="139"/>
      <c r="C235" s="139"/>
      <c r="D235" s="139"/>
      <c r="E235" s="140"/>
      <c r="F235" s="141"/>
      <c r="G235" s="160"/>
      <c r="H235" s="134"/>
    </row>
    <row r="236" spans="1:8" x14ac:dyDescent="0.25">
      <c r="A236" s="137"/>
      <c r="B236" s="139"/>
      <c r="C236" s="139"/>
      <c r="D236" s="139"/>
      <c r="E236" s="140"/>
      <c r="F236" s="141"/>
      <c r="G236" s="160"/>
      <c r="H236" s="134"/>
    </row>
    <row r="237" spans="1:8" x14ac:dyDescent="0.25">
      <c r="A237" s="137"/>
      <c r="B237" s="139"/>
      <c r="C237" s="139"/>
      <c r="D237" s="139"/>
      <c r="E237" s="140"/>
      <c r="F237" s="141"/>
      <c r="G237" s="160"/>
      <c r="H237" s="134"/>
    </row>
    <row r="238" spans="1:8" x14ac:dyDescent="0.25">
      <c r="A238" s="137"/>
      <c r="B238" s="139"/>
      <c r="C238" s="139"/>
      <c r="D238" s="139"/>
      <c r="E238" s="140"/>
      <c r="F238" s="141"/>
      <c r="G238" s="160"/>
      <c r="H238" s="134"/>
    </row>
    <row r="239" spans="1:8" x14ac:dyDescent="0.25">
      <c r="A239" s="137"/>
      <c r="B239" s="139"/>
      <c r="C239" s="139"/>
      <c r="D239" s="139"/>
      <c r="E239" s="140"/>
      <c r="F239" s="141"/>
      <c r="G239" s="160"/>
      <c r="H239" s="134"/>
    </row>
    <row r="240" spans="1:8" x14ac:dyDescent="0.25">
      <c r="A240" s="137"/>
      <c r="B240" s="139"/>
      <c r="C240" s="139"/>
      <c r="D240" s="139"/>
      <c r="E240" s="140"/>
      <c r="F240" s="141"/>
      <c r="G240" s="160"/>
      <c r="H240" s="134"/>
    </row>
    <row r="241" spans="1:8" x14ac:dyDescent="0.25">
      <c r="A241" s="137"/>
      <c r="B241" s="139"/>
      <c r="C241" s="139"/>
      <c r="D241" s="139"/>
      <c r="E241" s="140"/>
      <c r="F241" s="162"/>
      <c r="H241" s="134"/>
    </row>
    <row r="242" spans="1:8" x14ac:dyDescent="0.25">
      <c r="A242" s="137"/>
      <c r="B242" s="139"/>
      <c r="C242" s="139"/>
      <c r="D242" s="139"/>
      <c r="E242" s="140"/>
      <c r="F242" s="162"/>
      <c r="H242" s="134"/>
    </row>
    <row r="243" spans="1:8" x14ac:dyDescent="0.25">
      <c r="A243" s="137"/>
      <c r="B243" s="139"/>
      <c r="C243" s="139"/>
      <c r="D243" s="139"/>
      <c r="E243" s="140"/>
      <c r="F243" s="162"/>
      <c r="H243" s="134"/>
    </row>
    <row r="244" spans="1:8" x14ac:dyDescent="0.25">
      <c r="A244" s="137"/>
      <c r="B244" s="139"/>
      <c r="C244" s="139"/>
      <c r="D244" s="139"/>
      <c r="E244" s="140"/>
      <c r="F244" s="162"/>
      <c r="H244" s="134"/>
    </row>
    <row r="245" spans="1:8" x14ac:dyDescent="0.25">
      <c r="A245" s="137"/>
      <c r="B245" s="139"/>
      <c r="C245" s="139"/>
      <c r="D245" s="139"/>
      <c r="E245" s="140"/>
      <c r="F245" s="162"/>
      <c r="H245" s="134"/>
    </row>
    <row r="246" spans="1:8" x14ac:dyDescent="0.25">
      <c r="A246" s="137"/>
      <c r="B246" s="139"/>
      <c r="C246" s="139"/>
      <c r="D246" s="139"/>
      <c r="E246" s="140"/>
      <c r="F246" s="162"/>
      <c r="H246" s="134"/>
    </row>
    <row r="247" spans="1:8" x14ac:dyDescent="0.25">
      <c r="A247" s="137"/>
      <c r="B247" s="139"/>
      <c r="C247" s="139"/>
      <c r="D247" s="139"/>
      <c r="E247" s="140"/>
      <c r="F247" s="162"/>
      <c r="H247" s="134"/>
    </row>
    <row r="248" spans="1:8" x14ac:dyDescent="0.25">
      <c r="A248" s="137">
        <v>43299</v>
      </c>
      <c r="B248" s="139">
        <v>8</v>
      </c>
      <c r="C248" s="139">
        <v>54</v>
      </c>
      <c r="D248" s="139">
        <f t="shared" ref="D248:D257" si="4">IF(((C248="")*AND(B248="")),"",(C248-B248))</f>
        <v>46</v>
      </c>
      <c r="E248" s="140" t="str">
        <f t="shared" ref="E248:E257" si="5">IF(D248="","",IF(D248&lt;60,"Pass","Fail"))</f>
        <v>Pass</v>
      </c>
      <c r="F248" s="162">
        <v>1159</v>
      </c>
      <c r="H248" s="134"/>
    </row>
    <row r="249" spans="1:8" x14ac:dyDescent="0.25">
      <c r="A249" s="137">
        <v>43300</v>
      </c>
      <c r="B249" s="139">
        <v>10</v>
      </c>
      <c r="C249" s="139">
        <v>68</v>
      </c>
      <c r="D249" s="139">
        <f t="shared" si="4"/>
        <v>58</v>
      </c>
      <c r="E249" s="140" t="str">
        <f t="shared" si="5"/>
        <v>Pass</v>
      </c>
      <c r="F249" s="162">
        <v>1335</v>
      </c>
      <c r="H249" s="134"/>
    </row>
    <row r="250" spans="1:8" x14ac:dyDescent="0.25">
      <c r="A250" s="137"/>
      <c r="B250" s="139"/>
      <c r="C250" s="139"/>
      <c r="D250" s="139" t="str">
        <f t="shared" si="4"/>
        <v/>
      </c>
      <c r="E250" s="140" t="str">
        <f t="shared" si="5"/>
        <v/>
      </c>
      <c r="F250" s="162"/>
      <c r="H250" s="134"/>
    </row>
    <row r="251" spans="1:8" x14ac:dyDescent="0.25">
      <c r="A251" s="137"/>
      <c r="B251" s="139"/>
      <c r="C251" s="139"/>
      <c r="D251" s="139" t="str">
        <f t="shared" si="4"/>
        <v/>
      </c>
      <c r="E251" s="140" t="str">
        <f t="shared" si="5"/>
        <v/>
      </c>
      <c r="F251" s="162"/>
      <c r="H251" s="134"/>
    </row>
    <row r="252" spans="1:8" x14ac:dyDescent="0.25">
      <c r="A252" s="137"/>
      <c r="B252" s="139"/>
      <c r="C252" s="139"/>
      <c r="D252" s="139" t="str">
        <f t="shared" si="4"/>
        <v/>
      </c>
      <c r="E252" s="140" t="str">
        <f t="shared" si="5"/>
        <v/>
      </c>
      <c r="F252" s="162"/>
      <c r="H252" s="134"/>
    </row>
    <row r="253" spans="1:8" x14ac:dyDescent="0.25">
      <c r="A253" s="137"/>
      <c r="B253" s="139"/>
      <c r="C253" s="139"/>
      <c r="D253" s="139" t="str">
        <f t="shared" si="4"/>
        <v/>
      </c>
      <c r="E253" s="140" t="str">
        <f t="shared" si="5"/>
        <v/>
      </c>
      <c r="F253" s="162"/>
      <c r="H253" s="134"/>
    </row>
    <row r="254" spans="1:8" x14ac:dyDescent="0.25">
      <c r="A254" s="137"/>
      <c r="B254" s="139"/>
      <c r="C254" s="139"/>
      <c r="D254" s="139" t="str">
        <f t="shared" si="4"/>
        <v/>
      </c>
      <c r="E254" s="140" t="str">
        <f t="shared" si="5"/>
        <v/>
      </c>
      <c r="F254" s="162"/>
      <c r="H254" s="134"/>
    </row>
    <row r="255" spans="1:8" x14ac:dyDescent="0.25">
      <c r="A255" s="137"/>
      <c r="B255" s="139"/>
      <c r="C255" s="139"/>
      <c r="D255" s="139" t="str">
        <f t="shared" si="4"/>
        <v/>
      </c>
      <c r="E255" s="140" t="str">
        <f t="shared" si="5"/>
        <v/>
      </c>
      <c r="F255" s="162"/>
      <c r="H255" s="134"/>
    </row>
    <row r="256" spans="1:8" x14ac:dyDescent="0.25">
      <c r="A256" s="137"/>
      <c r="B256" s="139"/>
      <c r="C256" s="139"/>
      <c r="D256" s="139" t="str">
        <f t="shared" si="4"/>
        <v/>
      </c>
      <c r="E256" s="140" t="str">
        <f t="shared" si="5"/>
        <v/>
      </c>
      <c r="F256" s="162"/>
      <c r="H256" s="134"/>
    </row>
    <row r="257" spans="1:8" x14ac:dyDescent="0.25">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V44"/>
  <sheetViews>
    <sheetView topLeftCell="M1" workbookViewId="0">
      <selection activeCell="S2" sqref="S2:V42"/>
    </sheetView>
  </sheetViews>
  <sheetFormatPr defaultColWidth="9" defaultRowHeight="13.2" x14ac:dyDescent="0.25"/>
  <cols>
    <col min="1" max="16384" width="9" style="125"/>
  </cols>
  <sheetData>
    <row r="1" spans="2:22" x14ac:dyDescent="0.25">
      <c r="B1" s="124" t="s">
        <v>111</v>
      </c>
      <c r="G1" s="124" t="s">
        <v>112</v>
      </c>
      <c r="K1" s="124" t="s">
        <v>113</v>
      </c>
      <c r="O1" s="124" t="s">
        <v>114</v>
      </c>
    </row>
    <row r="2" spans="2:22" ht="13.8" thickBot="1" x14ac:dyDescent="0.3">
      <c r="B2" s="125" t="s">
        <v>115</v>
      </c>
      <c r="C2" s="125" t="s">
        <v>101</v>
      </c>
      <c r="D2" s="125" t="s">
        <v>116</v>
      </c>
      <c r="S2" s="125" t="s">
        <v>165</v>
      </c>
      <c r="T2" s="125" t="s">
        <v>115</v>
      </c>
      <c r="U2" s="125" t="s">
        <v>166</v>
      </c>
      <c r="V2" s="125" t="s">
        <v>167</v>
      </c>
    </row>
    <row r="3" spans="2:22" ht="13.8" thickBot="1" x14ac:dyDescent="0.3">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8" thickBot="1" x14ac:dyDescent="0.3">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8" thickBot="1" x14ac:dyDescent="0.3">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8" thickBot="1" x14ac:dyDescent="0.3">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8" thickBot="1" x14ac:dyDescent="0.3">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8" thickBot="1" x14ac:dyDescent="0.3">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8" thickBot="1" x14ac:dyDescent="0.3">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8" thickBot="1" x14ac:dyDescent="0.3">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8" thickBot="1" x14ac:dyDescent="0.3">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8" thickBot="1" x14ac:dyDescent="0.3">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8" thickBot="1" x14ac:dyDescent="0.3">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8" thickBot="1" x14ac:dyDescent="0.3">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8" thickBot="1" x14ac:dyDescent="0.3">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8" thickBot="1" x14ac:dyDescent="0.3">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8" thickBot="1" x14ac:dyDescent="0.3">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8" thickBot="1" x14ac:dyDescent="0.3">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8" thickBot="1" x14ac:dyDescent="0.3">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8" thickBot="1" x14ac:dyDescent="0.3">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8" thickBot="1" x14ac:dyDescent="0.3">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8" thickBot="1" x14ac:dyDescent="0.3">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8" thickBot="1" x14ac:dyDescent="0.3">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8" thickBot="1" x14ac:dyDescent="0.3">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8" thickBot="1" x14ac:dyDescent="0.3">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8" thickBot="1" x14ac:dyDescent="0.3">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8" thickBot="1" x14ac:dyDescent="0.3">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8" thickBot="1" x14ac:dyDescent="0.3">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8" thickBot="1" x14ac:dyDescent="0.3">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8" thickBot="1" x14ac:dyDescent="0.3">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8" thickBot="1" x14ac:dyDescent="0.3">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8" thickBot="1" x14ac:dyDescent="0.3">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8" thickBot="1" x14ac:dyDescent="0.3">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8" thickBot="1" x14ac:dyDescent="0.3">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8" thickBot="1" x14ac:dyDescent="0.3">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8" thickBot="1" x14ac:dyDescent="0.3">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8" thickBot="1" x14ac:dyDescent="0.3">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8" thickBot="1" x14ac:dyDescent="0.3">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8" thickBot="1" x14ac:dyDescent="0.3">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8" thickBot="1" x14ac:dyDescent="0.3">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8" thickBot="1" x14ac:dyDescent="0.3">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x14ac:dyDescent="0.25">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x14ac:dyDescent="0.25">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x14ac:dyDescent="0.25">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X17"/>
  <sheetViews>
    <sheetView topLeftCell="F1" workbookViewId="0">
      <selection activeCell="R24" sqref="R23:R24"/>
    </sheetView>
  </sheetViews>
  <sheetFormatPr defaultColWidth="9" defaultRowHeight="13.2" x14ac:dyDescent="0.25"/>
  <cols>
    <col min="1" max="16384" width="9" style="31"/>
  </cols>
  <sheetData>
    <row r="2" spans="2:24" ht="26.4" x14ac:dyDescent="0.25">
      <c r="B2" s="451" t="s">
        <v>121</v>
      </c>
      <c r="C2" s="452"/>
      <c r="D2" s="452"/>
      <c r="E2" s="452"/>
      <c r="F2" s="37"/>
      <c r="G2" s="37"/>
      <c r="H2" s="37"/>
      <c r="I2" s="452" t="s">
        <v>122</v>
      </c>
      <c r="J2" s="452"/>
      <c r="K2" s="452"/>
      <c r="L2" s="37" t="s">
        <v>123</v>
      </c>
      <c r="M2" s="37"/>
      <c r="N2" s="37"/>
      <c r="O2" s="37"/>
      <c r="P2" s="37"/>
      <c r="Q2" s="37"/>
      <c r="R2" s="37"/>
      <c r="S2" s="38"/>
      <c r="T2" s="39" t="s">
        <v>66</v>
      </c>
      <c r="U2" s="40" t="s">
        <v>67</v>
      </c>
      <c r="V2" s="40" t="s">
        <v>68</v>
      </c>
      <c r="W2" s="34" t="s">
        <v>124</v>
      </c>
      <c r="X2" s="40" t="s">
        <v>70</v>
      </c>
    </row>
    <row r="3" spans="2:24" x14ac:dyDescent="0.25">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x14ac:dyDescent="0.25">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2.8" x14ac:dyDescent="0.25">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x14ac:dyDescent="0.25">
      <c r="B6" s="49"/>
      <c r="C6" s="49"/>
      <c r="D6" s="49"/>
      <c r="E6" s="49"/>
      <c r="F6" s="49"/>
      <c r="G6" s="49"/>
      <c r="H6" s="49"/>
      <c r="I6" s="49"/>
      <c r="J6" s="49"/>
      <c r="K6" s="49"/>
      <c r="L6" s="49"/>
      <c r="M6" s="49"/>
      <c r="N6" s="49"/>
      <c r="O6" s="49"/>
      <c r="P6" s="49"/>
      <c r="Q6" s="49"/>
      <c r="R6" s="49"/>
      <c r="S6" s="49"/>
      <c r="T6" s="49"/>
      <c r="U6" s="49"/>
      <c r="V6" s="49"/>
      <c r="W6" s="49"/>
      <c r="X6" s="49"/>
    </row>
    <row r="7" spans="2:24" x14ac:dyDescent="0.25">
      <c r="B7" s="49"/>
      <c r="C7" s="49"/>
      <c r="D7" s="49"/>
      <c r="E7" s="49"/>
      <c r="F7" s="49"/>
      <c r="G7" s="49"/>
      <c r="H7" s="49"/>
      <c r="I7" s="49"/>
      <c r="J7" s="49"/>
      <c r="K7" s="49"/>
      <c r="L7" s="49"/>
      <c r="M7" s="49"/>
      <c r="N7" s="49"/>
      <c r="O7" s="49"/>
      <c r="P7" s="49"/>
      <c r="Q7" s="49"/>
      <c r="R7" s="49"/>
      <c r="S7" s="49"/>
      <c r="T7" s="49"/>
      <c r="U7" s="49"/>
      <c r="V7" s="49"/>
      <c r="W7" s="49"/>
      <c r="X7" s="49"/>
    </row>
    <row r="8" spans="2:24" ht="26.4" x14ac:dyDescent="0.25">
      <c r="B8" s="453" t="s">
        <v>125</v>
      </c>
      <c r="C8" s="454"/>
      <c r="D8" s="454"/>
      <c r="E8" s="454"/>
      <c r="F8" s="50"/>
      <c r="G8" s="50"/>
      <c r="H8" s="50"/>
      <c r="I8" s="455" t="s">
        <v>122</v>
      </c>
      <c r="J8" s="455"/>
      <c r="K8" s="455"/>
      <c r="L8" s="50" t="s">
        <v>126</v>
      </c>
      <c r="M8" s="50"/>
      <c r="N8" s="50"/>
      <c r="O8" s="50"/>
      <c r="P8" s="50"/>
      <c r="Q8" s="50"/>
      <c r="R8" s="50"/>
      <c r="S8" s="51"/>
      <c r="T8" s="52" t="s">
        <v>66</v>
      </c>
      <c r="U8" s="53" t="s">
        <v>67</v>
      </c>
      <c r="V8" s="53" t="s">
        <v>68</v>
      </c>
      <c r="W8" s="35" t="s">
        <v>124</v>
      </c>
      <c r="X8" s="53" t="s">
        <v>70</v>
      </c>
    </row>
    <row r="9" spans="2:24" x14ac:dyDescent="0.25">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x14ac:dyDescent="0.25">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2.8" x14ac:dyDescent="0.25">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x14ac:dyDescent="0.25">
      <c r="B12" s="49"/>
      <c r="C12" s="49"/>
      <c r="D12" s="49"/>
      <c r="E12" s="49"/>
      <c r="F12" s="49"/>
      <c r="G12" s="49"/>
      <c r="H12" s="49"/>
      <c r="I12" s="49"/>
      <c r="J12" s="49"/>
      <c r="K12" s="49"/>
      <c r="L12" s="49"/>
      <c r="M12" s="49"/>
      <c r="N12" s="49"/>
      <c r="O12" s="49"/>
      <c r="P12" s="49"/>
      <c r="Q12" s="49"/>
      <c r="R12" s="49"/>
      <c r="S12" s="49"/>
      <c r="T12" s="49"/>
      <c r="U12" s="49"/>
      <c r="V12" s="49"/>
      <c r="W12" s="49"/>
      <c r="X12" s="49"/>
    </row>
    <row r="13" spans="2:24" x14ac:dyDescent="0.25">
      <c r="B13" s="49"/>
      <c r="C13" s="49"/>
      <c r="D13" s="49"/>
      <c r="E13" s="49"/>
      <c r="F13" s="49"/>
      <c r="G13" s="49"/>
      <c r="H13" s="49"/>
      <c r="I13" s="49"/>
      <c r="J13" s="49"/>
      <c r="K13" s="49"/>
      <c r="L13" s="49"/>
      <c r="M13" s="49"/>
      <c r="N13" s="49"/>
      <c r="O13" s="49"/>
      <c r="P13" s="49"/>
      <c r="Q13" s="49"/>
      <c r="R13" s="49"/>
      <c r="S13" s="49"/>
      <c r="T13" s="49"/>
      <c r="U13" s="49"/>
      <c r="V13" s="49"/>
      <c r="W13" s="49"/>
      <c r="X13" s="49"/>
    </row>
    <row r="14" spans="2:24" ht="26.4" x14ac:dyDescent="0.25">
      <c r="B14" s="456" t="s">
        <v>127</v>
      </c>
      <c r="C14" s="457"/>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x14ac:dyDescent="0.25">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x14ac:dyDescent="0.25">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2.8" x14ac:dyDescent="0.25">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topLeftCell="A4" workbookViewId="0">
      <selection activeCell="Q18" sqref="Q18"/>
    </sheetView>
  </sheetViews>
  <sheetFormatPr defaultRowHeight="15.6"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2019-11-30T21:26:20Z</dcterms:modified>
</cp:coreProperties>
</file>