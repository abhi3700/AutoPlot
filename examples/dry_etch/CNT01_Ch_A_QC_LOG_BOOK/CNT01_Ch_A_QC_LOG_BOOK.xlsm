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8"/>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'REPL1A-ERPoly'!$A$10:$AH$508</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S403" i="6"/>
  <c r="S406"/>
  <c r="S400"/>
  <c r="S397"/>
  <c r="D183" i="4"/>
  <c r="R406" i="6" l="1"/>
  <c r="Q406"/>
  <c r="P406"/>
  <c r="O406"/>
  <c r="N406"/>
  <c r="M406"/>
  <c r="L406"/>
  <c r="K406"/>
  <c r="J406"/>
  <c r="I406"/>
  <c r="H406"/>
  <c r="G406"/>
  <c r="F406"/>
  <c r="E406"/>
  <c r="D406"/>
  <c r="C406"/>
  <c r="V404" l="1"/>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V662"/>
  <c r="U662"/>
  <c r="T662"/>
  <c r="S662"/>
  <c r="R662"/>
  <c r="Q662"/>
  <c r="P661"/>
  <c r="O661"/>
  <c r="N661"/>
  <c r="M661"/>
  <c r="L661"/>
  <c r="K661"/>
  <c r="J661"/>
  <c r="I661"/>
  <c r="H661"/>
  <c r="G661"/>
  <c r="F661"/>
  <c r="E661"/>
  <c r="D661"/>
  <c r="V659"/>
  <c r="U659"/>
  <c r="T659"/>
  <c r="S659"/>
  <c r="R659"/>
  <c r="Q659"/>
  <c r="P658"/>
  <c r="O658"/>
  <c r="N658"/>
  <c r="M658"/>
  <c r="L658"/>
  <c r="K658"/>
  <c r="J658"/>
  <c r="I658"/>
  <c r="H658"/>
  <c r="G658"/>
  <c r="F658"/>
  <c r="E658"/>
  <c r="D658"/>
  <c r="V656"/>
  <c r="U656"/>
  <c r="T656"/>
  <c r="S656"/>
  <c r="R656"/>
  <c r="Q656"/>
  <c r="P655"/>
  <c r="O655"/>
  <c r="N655"/>
  <c r="M655"/>
  <c r="L655"/>
  <c r="K655"/>
  <c r="J655"/>
  <c r="I655"/>
  <c r="H655"/>
  <c r="G655"/>
  <c r="F655"/>
  <c r="E655"/>
  <c r="D655"/>
  <c r="V653"/>
  <c r="U653"/>
  <c r="T653"/>
  <c r="S653"/>
  <c r="R653"/>
  <c r="Q653"/>
  <c r="P652"/>
  <c r="O652"/>
  <c r="N652"/>
  <c r="M652"/>
  <c r="L652"/>
  <c r="K652"/>
  <c r="J652"/>
  <c r="I652"/>
  <c r="H652"/>
  <c r="G652"/>
  <c r="F652"/>
  <c r="E652"/>
  <c r="D652"/>
  <c r="V650"/>
  <c r="U650"/>
  <c r="T650"/>
  <c r="S650"/>
  <c r="R650"/>
  <c r="Q650"/>
  <c r="P649"/>
  <c r="O649"/>
  <c r="N649"/>
  <c r="M649"/>
  <c r="L649"/>
  <c r="K649"/>
  <c r="J649"/>
  <c r="I649"/>
  <c r="H649"/>
  <c r="G649"/>
  <c r="F649"/>
  <c r="E649"/>
  <c r="D649"/>
  <c r="V647"/>
  <c r="U647"/>
  <c r="T647"/>
  <c r="S647"/>
  <c r="R647"/>
  <c r="Q647"/>
  <c r="P646"/>
  <c r="O646"/>
  <c r="N646"/>
  <c r="M646"/>
  <c r="L646"/>
  <c r="K646"/>
  <c r="J646"/>
  <c r="I646"/>
  <c r="H646"/>
  <c r="G646"/>
  <c r="F646"/>
  <c r="E646"/>
  <c r="D646"/>
  <c r="V644"/>
  <c r="U644"/>
  <c r="T644"/>
  <c r="S644"/>
  <c r="R644"/>
  <c r="Q644"/>
  <c r="P643"/>
  <c r="O643"/>
  <c r="N643"/>
  <c r="M643"/>
  <c r="L643"/>
  <c r="K643"/>
  <c r="J643"/>
  <c r="I643"/>
  <c r="H643"/>
  <c r="G643"/>
  <c r="F643"/>
  <c r="E643"/>
  <c r="D643"/>
  <c r="V641"/>
  <c r="U641"/>
  <c r="T641"/>
  <c r="S641"/>
  <c r="R641"/>
  <c r="Q641"/>
  <c r="P640"/>
  <c r="O640"/>
  <c r="N640"/>
  <c r="M640"/>
  <c r="L640"/>
  <c r="K640"/>
  <c r="J640"/>
  <c r="I640"/>
  <c r="H640"/>
  <c r="G640"/>
  <c r="F640"/>
  <c r="E640"/>
  <c r="D640"/>
  <c r="V638"/>
  <c r="U638"/>
  <c r="T638"/>
  <c r="S638"/>
  <c r="R638"/>
  <c r="Q638"/>
  <c r="P637"/>
  <c r="O637"/>
  <c r="N637"/>
  <c r="M637"/>
  <c r="L637"/>
  <c r="K637"/>
  <c r="J637"/>
  <c r="I637"/>
  <c r="H637"/>
  <c r="G637"/>
  <c r="F637"/>
  <c r="E637"/>
  <c r="D637"/>
  <c r="V635"/>
  <c r="U635"/>
  <c r="T635"/>
  <c r="S635"/>
  <c r="R635"/>
  <c r="Q635"/>
  <c r="P634"/>
  <c r="O634"/>
  <c r="N634"/>
  <c r="M634"/>
  <c r="L634"/>
  <c r="K634"/>
  <c r="J634"/>
  <c r="I634"/>
  <c r="H634"/>
  <c r="G634"/>
  <c r="F634"/>
  <c r="E634"/>
  <c r="D634"/>
  <c r="V632"/>
  <c r="U632"/>
  <c r="T632"/>
  <c r="S632"/>
  <c r="R632"/>
  <c r="Q632"/>
  <c r="P631"/>
  <c r="O631"/>
  <c r="N631"/>
  <c r="M631"/>
  <c r="L631"/>
  <c r="K631"/>
  <c r="J631"/>
  <c r="I631"/>
  <c r="H631"/>
  <c r="G631"/>
  <c r="F631"/>
  <c r="E631"/>
  <c r="D631"/>
  <c r="V629"/>
  <c r="U629"/>
  <c r="T629"/>
  <c r="S629"/>
  <c r="R629"/>
  <c r="Q629"/>
  <c r="P628"/>
  <c r="O628"/>
  <c r="N628"/>
  <c r="M628"/>
  <c r="L628"/>
  <c r="K628"/>
  <c r="J628"/>
  <c r="I628"/>
  <c r="H628"/>
  <c r="G628"/>
  <c r="F628"/>
  <c r="E628"/>
  <c r="D628"/>
  <c r="V626"/>
  <c r="U626"/>
  <c r="T626"/>
  <c r="S626"/>
  <c r="R626"/>
  <c r="Q626"/>
  <c r="P625"/>
  <c r="O625"/>
  <c r="N625"/>
  <c r="M625"/>
  <c r="L625"/>
  <c r="K625"/>
  <c r="J625"/>
  <c r="I625"/>
  <c r="H625"/>
  <c r="G625"/>
  <c r="F625"/>
  <c r="E625"/>
  <c r="D625"/>
  <c r="V623"/>
  <c r="U623"/>
  <c r="T623"/>
  <c r="S623"/>
  <c r="R623"/>
  <c r="Q623"/>
  <c r="P622"/>
  <c r="O622"/>
  <c r="N622"/>
  <c r="M622"/>
  <c r="L622"/>
  <c r="K622"/>
  <c r="J622"/>
  <c r="I622"/>
  <c r="H622"/>
  <c r="G622"/>
  <c r="F622"/>
  <c r="E622"/>
  <c r="D622"/>
  <c r="V620"/>
  <c r="U620"/>
  <c r="T620"/>
  <c r="S620"/>
  <c r="R620"/>
  <c r="Q620"/>
  <c r="P619"/>
  <c r="O619"/>
  <c r="N619"/>
  <c r="M619"/>
  <c r="L619"/>
  <c r="K619"/>
  <c r="J619"/>
  <c r="I619"/>
  <c r="H619"/>
  <c r="G619"/>
  <c r="F619"/>
  <c r="E619"/>
  <c r="D619"/>
  <c r="V617"/>
  <c r="U617"/>
  <c r="T617"/>
  <c r="S617"/>
  <c r="R617"/>
  <c r="Q617"/>
  <c r="P616"/>
  <c r="O616"/>
  <c r="N616"/>
  <c r="M616"/>
  <c r="L616"/>
  <c r="K616"/>
  <c r="J616"/>
  <c r="I616"/>
  <c r="H616"/>
  <c r="G616"/>
  <c r="F616"/>
  <c r="E616"/>
  <c r="D616"/>
  <c r="V614"/>
  <c r="U614"/>
  <c r="T614"/>
  <c r="S614"/>
  <c r="R614"/>
  <c r="Q614"/>
  <c r="P613"/>
  <c r="O613"/>
  <c r="N613"/>
  <c r="M613"/>
  <c r="L613"/>
  <c r="K613"/>
  <c r="J613"/>
  <c r="I613"/>
  <c r="H613"/>
  <c r="G613"/>
  <c r="F613"/>
  <c r="E613"/>
  <c r="D613"/>
  <c r="V611"/>
  <c r="U611"/>
  <c r="T611"/>
  <c r="S611"/>
  <c r="R611"/>
  <c r="Q611"/>
  <c r="P610"/>
  <c r="O610"/>
  <c r="N610"/>
  <c r="M610"/>
  <c r="L610"/>
  <c r="K610"/>
  <c r="J610"/>
  <c r="I610"/>
  <c r="H610"/>
  <c r="G610"/>
  <c r="F610"/>
  <c r="E610"/>
  <c r="D610"/>
  <c r="V608"/>
  <c r="U608"/>
  <c r="T608"/>
  <c r="S608"/>
  <c r="R608"/>
  <c r="Q608"/>
  <c r="P607"/>
  <c r="O607"/>
  <c r="N607"/>
  <c r="M607"/>
  <c r="L607"/>
  <c r="K607"/>
  <c r="J607"/>
  <c r="I607"/>
  <c r="H607"/>
  <c r="G607"/>
  <c r="F607"/>
  <c r="E607"/>
  <c r="D607"/>
  <c r="V605"/>
  <c r="U605"/>
  <c r="T605"/>
  <c r="S605"/>
  <c r="R605"/>
  <c r="Q605"/>
  <c r="P604"/>
  <c r="O604"/>
  <c r="N604"/>
  <c r="M604"/>
  <c r="L604"/>
  <c r="K604"/>
  <c r="J604"/>
  <c r="I604"/>
  <c r="H604"/>
  <c r="G604"/>
  <c r="F604"/>
  <c r="E604"/>
  <c r="D604"/>
  <c r="V602"/>
  <c r="U602"/>
  <c r="T602"/>
  <c r="S602"/>
  <c r="R602"/>
  <c r="Q602"/>
  <c r="P601"/>
  <c r="O601"/>
  <c r="N601"/>
  <c r="M601"/>
  <c r="L601"/>
  <c r="K601"/>
  <c r="J601"/>
  <c r="I601"/>
  <c r="H601"/>
  <c r="G601"/>
  <c r="F601"/>
  <c r="E601"/>
  <c r="D601"/>
  <c r="V599"/>
  <c r="U599"/>
  <c r="T599"/>
  <c r="S599"/>
  <c r="R599"/>
  <c r="Q599"/>
  <c r="P598"/>
  <c r="O598"/>
  <c r="N598"/>
  <c r="M598"/>
  <c r="L598"/>
  <c r="K598"/>
  <c r="J598"/>
  <c r="I598"/>
  <c r="H598"/>
  <c r="G598"/>
  <c r="F598"/>
  <c r="E598"/>
  <c r="D598"/>
  <c r="V596"/>
  <c r="U596"/>
  <c r="T596"/>
  <c r="S596"/>
  <c r="R596"/>
  <c r="Q596"/>
  <c r="P595"/>
  <c r="O595"/>
  <c r="N595"/>
  <c r="M595"/>
  <c r="L595"/>
  <c r="K595"/>
  <c r="J595"/>
  <c r="I595"/>
  <c r="H595"/>
  <c r="G595"/>
  <c r="F595"/>
  <c r="E595"/>
  <c r="D595"/>
  <c r="V593"/>
  <c r="U593"/>
  <c r="T593"/>
  <c r="S593"/>
  <c r="R593"/>
  <c r="Q593"/>
  <c r="P592"/>
  <c r="O592"/>
  <c r="N592"/>
  <c r="M592"/>
  <c r="L592"/>
  <c r="K592"/>
  <c r="J592"/>
  <c r="I592"/>
  <c r="H592"/>
  <c r="G592"/>
  <c r="F592"/>
  <c r="E592"/>
  <c r="D592"/>
  <c r="V590"/>
  <c r="U590"/>
  <c r="T590"/>
  <c r="S590"/>
  <c r="R590"/>
  <c r="Q590"/>
  <c r="P589"/>
  <c r="O589"/>
  <c r="N589"/>
  <c r="M589"/>
  <c r="L589"/>
  <c r="K589"/>
  <c r="J589"/>
  <c r="I589"/>
  <c r="H589"/>
  <c r="G589"/>
  <c r="F589"/>
  <c r="E589"/>
  <c r="D589"/>
  <c r="V587"/>
  <c r="U587"/>
  <c r="T587"/>
  <c r="S587"/>
  <c r="R587"/>
  <c r="Q587"/>
  <c r="P586"/>
  <c r="O586"/>
  <c r="N586"/>
  <c r="M586"/>
  <c r="L586"/>
  <c r="K586"/>
  <c r="J586"/>
  <c r="I586"/>
  <c r="H586"/>
  <c r="G586"/>
  <c r="F586"/>
  <c r="E586"/>
  <c r="D586"/>
  <c r="V584"/>
  <c r="U584"/>
  <c r="T584"/>
  <c r="S584"/>
  <c r="R584"/>
  <c r="Q584"/>
  <c r="P583"/>
  <c r="O583"/>
  <c r="N583"/>
  <c r="M583"/>
  <c r="L583"/>
  <c r="K583"/>
  <c r="J583"/>
  <c r="I583"/>
  <c r="H583"/>
  <c r="G583"/>
  <c r="F583"/>
  <c r="E583"/>
  <c r="D583"/>
  <c r="V581"/>
  <c r="U581"/>
  <c r="T581"/>
  <c r="S581"/>
  <c r="R581"/>
  <c r="Q581"/>
  <c r="P580"/>
  <c r="O580"/>
  <c r="N580"/>
  <c r="M580"/>
  <c r="L580"/>
  <c r="K580"/>
  <c r="J580"/>
  <c r="I580"/>
  <c r="H580"/>
  <c r="G580"/>
  <c r="F580"/>
  <c r="E580"/>
  <c r="D580"/>
  <c r="V578"/>
  <c r="U578"/>
  <c r="T578"/>
  <c r="S578"/>
  <c r="R578"/>
  <c r="Q578"/>
  <c r="P577"/>
  <c r="O577"/>
  <c r="N577"/>
  <c r="M577"/>
  <c r="L577"/>
  <c r="K577"/>
  <c r="J577"/>
  <c r="I577"/>
  <c r="H577"/>
  <c r="G577"/>
  <c r="F577"/>
  <c r="E577"/>
  <c r="D577"/>
  <c r="V575"/>
  <c r="U575"/>
  <c r="T575"/>
  <c r="S575"/>
  <c r="R575"/>
  <c r="Q575"/>
  <c r="P574"/>
  <c r="O574"/>
  <c r="N574"/>
  <c r="M574"/>
  <c r="L574"/>
  <c r="K574"/>
  <c r="J574"/>
  <c r="I574"/>
  <c r="H574"/>
  <c r="G574"/>
  <c r="F574"/>
  <c r="E574"/>
  <c r="D574"/>
  <c r="V572"/>
  <c r="U572"/>
  <c r="T572"/>
  <c r="S572"/>
  <c r="R572"/>
  <c r="Q572"/>
  <c r="P571"/>
  <c r="O571"/>
  <c r="N571"/>
  <c r="M571"/>
  <c r="L571"/>
  <c r="K571"/>
  <c r="J571"/>
  <c r="I571"/>
  <c r="H571"/>
  <c r="G571"/>
  <c r="F571"/>
  <c r="E571"/>
  <c r="D571"/>
  <c r="V569"/>
  <c r="U569"/>
  <c r="T569"/>
  <c r="S569"/>
  <c r="R569"/>
  <c r="Q569"/>
  <c r="P568"/>
  <c r="O568"/>
  <c r="N568"/>
  <c r="M568"/>
  <c r="L568"/>
  <c r="K568"/>
  <c r="J568"/>
  <c r="I568"/>
  <c r="H568"/>
  <c r="G568"/>
  <c r="F568"/>
  <c r="E568"/>
  <c r="D568"/>
  <c r="V566"/>
  <c r="U566"/>
  <c r="T566"/>
  <c r="S566"/>
  <c r="R566"/>
  <c r="Q566"/>
  <c r="P565"/>
  <c r="O565"/>
  <c r="N565"/>
  <c r="M565"/>
  <c r="L565"/>
  <c r="K565"/>
  <c r="J565"/>
  <c r="I565"/>
  <c r="H565"/>
  <c r="G565"/>
  <c r="F565"/>
  <c r="E565"/>
  <c r="D565"/>
  <c r="V563"/>
  <c r="U563"/>
  <c r="T563"/>
  <c r="S563"/>
  <c r="R563"/>
  <c r="Q563"/>
  <c r="P562"/>
  <c r="O562"/>
  <c r="N562"/>
  <c r="M562"/>
  <c r="L562"/>
  <c r="K562"/>
  <c r="J562"/>
  <c r="I562"/>
  <c r="H562"/>
  <c r="G562"/>
  <c r="F562"/>
  <c r="E562"/>
  <c r="D562"/>
  <c r="V560"/>
  <c r="U560"/>
  <c r="T560"/>
  <c r="S560"/>
  <c r="R560"/>
  <c r="Q560"/>
  <c r="P559"/>
  <c r="O559"/>
  <c r="N559"/>
  <c r="M559"/>
  <c r="L559"/>
  <c r="K559"/>
  <c r="J559"/>
  <c r="I559"/>
  <c r="H559"/>
  <c r="G559"/>
  <c r="F559"/>
  <c r="E559"/>
  <c r="D559"/>
  <c r="V557"/>
  <c r="U557"/>
  <c r="T557"/>
  <c r="S557"/>
  <c r="R557"/>
  <c r="Q557"/>
  <c r="P556"/>
  <c r="S554" s="1"/>
  <c r="O556"/>
  <c r="N556"/>
  <c r="M556"/>
  <c r="L556"/>
  <c r="K556"/>
  <c r="J556"/>
  <c r="I556"/>
  <c r="H556"/>
  <c r="G556"/>
  <c r="F556"/>
  <c r="E556"/>
  <c r="D556"/>
  <c r="V554"/>
  <c r="U554"/>
  <c r="T554"/>
  <c r="R554"/>
  <c r="Q554"/>
  <c r="P553"/>
  <c r="O553"/>
  <c r="N553"/>
  <c r="M553"/>
  <c r="L553"/>
  <c r="K553"/>
  <c r="J553"/>
  <c r="I553"/>
  <c r="H553"/>
  <c r="G553"/>
  <c r="F553"/>
  <c r="E553"/>
  <c r="D553"/>
  <c r="V551"/>
  <c r="U551"/>
  <c r="T551"/>
  <c r="S551"/>
  <c r="R551"/>
  <c r="Q551"/>
  <c r="P550"/>
  <c r="O550"/>
  <c r="N550"/>
  <c r="M550"/>
  <c r="L550"/>
  <c r="K550"/>
  <c r="J550"/>
  <c r="I550"/>
  <c r="H550"/>
  <c r="G550"/>
  <c r="F550"/>
  <c r="E550"/>
  <c r="D550"/>
  <c r="V548"/>
  <c r="U548"/>
  <c r="T548"/>
  <c r="S548"/>
  <c r="R548"/>
  <c r="Q548"/>
  <c r="P547"/>
  <c r="O547"/>
  <c r="N547"/>
  <c r="M547"/>
  <c r="L547"/>
  <c r="K547"/>
  <c r="J547"/>
  <c r="I547"/>
  <c r="H547"/>
  <c r="G547"/>
  <c r="F547"/>
  <c r="E547"/>
  <c r="D547"/>
  <c r="V545"/>
  <c r="U545"/>
  <c r="T545"/>
  <c r="S545"/>
  <c r="R545"/>
  <c r="Q545"/>
  <c r="P544"/>
  <c r="O544"/>
  <c r="N544"/>
  <c r="M544"/>
  <c r="L544"/>
  <c r="K544"/>
  <c r="J544"/>
  <c r="I544"/>
  <c r="H544"/>
  <c r="G544"/>
  <c r="F544"/>
  <c r="E544"/>
  <c r="D544"/>
  <c r="V542"/>
  <c r="U542"/>
  <c r="T542"/>
  <c r="S542"/>
  <c r="R542"/>
  <c r="Q542"/>
  <c r="P541"/>
  <c r="O541"/>
  <c r="N541"/>
  <c r="M541"/>
  <c r="L541"/>
  <c r="K541"/>
  <c r="J541"/>
  <c r="I541"/>
  <c r="H541"/>
  <c r="G541"/>
  <c r="F541"/>
  <c r="E541"/>
  <c r="D541"/>
  <c r="V539"/>
  <c r="U539"/>
  <c r="T539"/>
  <c r="S539"/>
  <c r="R539"/>
  <c r="Q539"/>
  <c r="P538"/>
  <c r="O538"/>
  <c r="N538"/>
  <c r="M538"/>
  <c r="L538"/>
  <c r="K538"/>
  <c r="J538"/>
  <c r="I538"/>
  <c r="H538"/>
  <c r="G538"/>
  <c r="F538"/>
  <c r="E538"/>
  <c r="D538"/>
  <c r="V536"/>
  <c r="U536"/>
  <c r="T536"/>
  <c r="S536"/>
  <c r="R536"/>
  <c r="Q536"/>
  <c r="P535"/>
  <c r="O535"/>
  <c r="N535"/>
  <c r="M535"/>
  <c r="L535"/>
  <c r="K535"/>
  <c r="J535"/>
  <c r="I535"/>
  <c r="H535"/>
  <c r="G535"/>
  <c r="F535"/>
  <c r="E535"/>
  <c r="D535"/>
  <c r="V533"/>
  <c r="U533"/>
  <c r="T533"/>
  <c r="S533"/>
  <c r="R533"/>
  <c r="Q533"/>
  <c r="P532"/>
  <c r="O532"/>
  <c r="N532"/>
  <c r="M532"/>
  <c r="L532"/>
  <c r="K532"/>
  <c r="J532"/>
  <c r="I532"/>
  <c r="H532"/>
  <c r="G532"/>
  <c r="F532"/>
  <c r="E532"/>
  <c r="D532"/>
  <c r="V530"/>
  <c r="U530"/>
  <c r="T530"/>
  <c r="S530"/>
  <c r="R530"/>
  <c r="Q530"/>
  <c r="P529"/>
  <c r="O529"/>
  <c r="N529"/>
  <c r="M529"/>
  <c r="L529"/>
  <c r="K529"/>
  <c r="J529"/>
  <c r="I529"/>
  <c r="H529"/>
  <c r="G529"/>
  <c r="F529"/>
  <c r="E529"/>
  <c r="D529"/>
  <c r="V527"/>
  <c r="U527"/>
  <c r="T527"/>
  <c r="S527"/>
  <c r="R527"/>
  <c r="Q527"/>
  <c r="P526"/>
  <c r="O526"/>
  <c r="N526"/>
  <c r="M526"/>
  <c r="L526"/>
  <c r="K526"/>
  <c r="J526"/>
  <c r="I526"/>
  <c r="H526"/>
  <c r="G526"/>
  <c r="F526"/>
  <c r="E526"/>
  <c r="D526"/>
  <c r="V524"/>
  <c r="U524"/>
  <c r="T524"/>
  <c r="S524"/>
  <c r="R524"/>
  <c r="Q524"/>
  <c r="P523"/>
  <c r="O523"/>
  <c r="N523"/>
  <c r="M523"/>
  <c r="L523"/>
  <c r="K523"/>
  <c r="J523"/>
  <c r="I523"/>
  <c r="H523"/>
  <c r="G523"/>
  <c r="F523"/>
  <c r="E523"/>
  <c r="D523"/>
  <c r="V521"/>
  <c r="U521"/>
  <c r="T521"/>
  <c r="S521"/>
  <c r="R521"/>
  <c r="Q521"/>
  <c r="P520"/>
  <c r="O520"/>
  <c r="N520"/>
  <c r="M520"/>
  <c r="L520"/>
  <c r="K520"/>
  <c r="J520"/>
  <c r="I520"/>
  <c r="H520"/>
  <c r="G520"/>
  <c r="F520"/>
  <c r="E520"/>
  <c r="D520"/>
  <c r="V518"/>
  <c r="U518"/>
  <c r="T518"/>
  <c r="S518"/>
  <c r="R518"/>
  <c r="Q518"/>
  <c r="P517"/>
  <c r="O517"/>
  <c r="N517"/>
  <c r="M517"/>
  <c r="L517"/>
  <c r="K517"/>
  <c r="J517"/>
  <c r="I517"/>
  <c r="H517"/>
  <c r="G517"/>
  <c r="F517"/>
  <c r="E517"/>
  <c r="D517"/>
  <c r="V515"/>
  <c r="U515"/>
  <c r="T515"/>
  <c r="S515"/>
  <c r="R515"/>
  <c r="Q515"/>
  <c r="P514"/>
  <c r="O514"/>
  <c r="N514"/>
  <c r="M514"/>
  <c r="L514"/>
  <c r="K514"/>
  <c r="J514"/>
  <c r="I514"/>
  <c r="H514"/>
  <c r="G514"/>
  <c r="F514"/>
  <c r="E514"/>
  <c r="D514"/>
  <c r="V512"/>
  <c r="U512"/>
  <c r="T512"/>
  <c r="S512"/>
  <c r="R512"/>
  <c r="Q512"/>
  <c r="P511"/>
  <c r="O511"/>
  <c r="N511"/>
  <c r="M511"/>
  <c r="L511"/>
  <c r="K511"/>
  <c r="J511"/>
  <c r="I511"/>
  <c r="H511"/>
  <c r="G511"/>
  <c r="F511"/>
  <c r="E511"/>
  <c r="D511"/>
  <c r="V509"/>
  <c r="U509"/>
  <c r="T509"/>
  <c r="S509"/>
  <c r="R509"/>
  <c r="Q509"/>
  <c r="P508"/>
  <c r="O508"/>
  <c r="N508"/>
  <c r="M508"/>
  <c r="L508"/>
  <c r="K508"/>
  <c r="J508"/>
  <c r="I508"/>
  <c r="H508"/>
  <c r="G508"/>
  <c r="F508"/>
  <c r="E508"/>
  <c r="D508"/>
  <c r="V506"/>
  <c r="U506"/>
  <c r="T506"/>
  <c r="S506"/>
  <c r="R506"/>
  <c r="Q506"/>
  <c r="P505"/>
  <c r="O505"/>
  <c r="N505"/>
  <c r="M505"/>
  <c r="L505"/>
  <c r="K505"/>
  <c r="J505"/>
  <c r="I505"/>
  <c r="H505"/>
  <c r="G505"/>
  <c r="F505"/>
  <c r="E505"/>
  <c r="D505"/>
  <c r="V503"/>
  <c r="U503"/>
  <c r="T503"/>
  <c r="S503"/>
  <c r="R503"/>
  <c r="Q503"/>
  <c r="P502"/>
  <c r="O502"/>
  <c r="N502"/>
  <c r="M502"/>
  <c r="L502"/>
  <c r="K502"/>
  <c r="J502"/>
  <c r="I502"/>
  <c r="H502"/>
  <c r="G502"/>
  <c r="F502"/>
  <c r="E502"/>
  <c r="D502"/>
  <c r="V500"/>
  <c r="U500"/>
  <c r="T500"/>
  <c r="S500"/>
  <c r="R500"/>
  <c r="Q500"/>
  <c r="S508" i="6"/>
  <c r="V506" s="1"/>
  <c r="R508"/>
  <c r="Q508"/>
  <c r="P508"/>
  <c r="O508"/>
  <c r="N508"/>
  <c r="M508"/>
  <c r="L508"/>
  <c r="K508"/>
  <c r="J508"/>
  <c r="I508"/>
  <c r="H508"/>
  <c r="G508"/>
  <c r="F508"/>
  <c r="E508"/>
  <c r="D508"/>
  <c r="C508"/>
  <c r="Y506"/>
  <c r="X506"/>
  <c r="U506"/>
  <c r="T506"/>
  <c r="S505"/>
  <c r="V503" s="1"/>
  <c r="R505"/>
  <c r="Q505"/>
  <c r="P505"/>
  <c r="O505"/>
  <c r="N505"/>
  <c r="M505"/>
  <c r="L505"/>
  <c r="K505"/>
  <c r="J505"/>
  <c r="I505"/>
  <c r="H505"/>
  <c r="G505"/>
  <c r="F505"/>
  <c r="E505"/>
  <c r="D505"/>
  <c r="C505"/>
  <c r="Y503"/>
  <c r="X503"/>
  <c r="U503"/>
  <c r="T503"/>
  <c r="S502"/>
  <c r="V500" s="1"/>
  <c r="R502"/>
  <c r="Q502"/>
  <c r="P502"/>
  <c r="O502"/>
  <c r="N502"/>
  <c r="M502"/>
  <c r="L502"/>
  <c r="K502"/>
  <c r="J502"/>
  <c r="I502"/>
  <c r="H502"/>
  <c r="G502"/>
  <c r="F502"/>
  <c r="E502"/>
  <c r="D502"/>
  <c r="C502"/>
  <c r="Y500"/>
  <c r="X500"/>
  <c r="U500"/>
  <c r="T500"/>
  <c r="S499"/>
  <c r="V497" s="1"/>
  <c r="R499"/>
  <c r="Q499"/>
  <c r="P499"/>
  <c r="O499"/>
  <c r="N499"/>
  <c r="M499"/>
  <c r="L499"/>
  <c r="K499"/>
  <c r="J499"/>
  <c r="I499"/>
  <c r="H499"/>
  <c r="G499"/>
  <c r="F499"/>
  <c r="E499"/>
  <c r="D499"/>
  <c r="C499"/>
  <c r="Y497"/>
  <c r="X497"/>
  <c r="U497"/>
  <c r="T497"/>
  <c r="S496"/>
  <c r="V494" s="1"/>
  <c r="R496"/>
  <c r="Q496"/>
  <c r="P496"/>
  <c r="O496"/>
  <c r="N496"/>
  <c r="M496"/>
  <c r="L496"/>
  <c r="K496"/>
  <c r="J496"/>
  <c r="I496"/>
  <c r="H496"/>
  <c r="G496"/>
  <c r="F496"/>
  <c r="E496"/>
  <c r="D496"/>
  <c r="C496"/>
  <c r="Y494"/>
  <c r="X494"/>
  <c r="U494"/>
  <c r="T494"/>
  <c r="S493"/>
  <c r="V491" s="1"/>
  <c r="R493"/>
  <c r="Q493"/>
  <c r="P493"/>
  <c r="O493"/>
  <c r="N493"/>
  <c r="M493"/>
  <c r="L493"/>
  <c r="K493"/>
  <c r="J493"/>
  <c r="I493"/>
  <c r="H493"/>
  <c r="G493"/>
  <c r="F493"/>
  <c r="E493"/>
  <c r="D493"/>
  <c r="C493"/>
  <c r="Y491"/>
  <c r="X491"/>
  <c r="U491"/>
  <c r="T491"/>
  <c r="S490"/>
  <c r="V488" s="1"/>
  <c r="R490"/>
  <c r="Q490"/>
  <c r="P490"/>
  <c r="O490"/>
  <c r="N490"/>
  <c r="M490"/>
  <c r="L490"/>
  <c r="K490"/>
  <c r="J490"/>
  <c r="I490"/>
  <c r="H490"/>
  <c r="G490"/>
  <c r="F490"/>
  <c r="E490"/>
  <c r="D490"/>
  <c r="C490"/>
  <c r="Y488"/>
  <c r="X488"/>
  <c r="U488"/>
  <c r="T488"/>
  <c r="S487"/>
  <c r="V485" s="1"/>
  <c r="R487"/>
  <c r="Q487"/>
  <c r="P487"/>
  <c r="O487"/>
  <c r="N487"/>
  <c r="M487"/>
  <c r="L487"/>
  <c r="K487"/>
  <c r="J487"/>
  <c r="I487"/>
  <c r="H487"/>
  <c r="G487"/>
  <c r="F487"/>
  <c r="E487"/>
  <c r="D487"/>
  <c r="C487"/>
  <c r="Y485"/>
  <c r="X485"/>
  <c r="U485"/>
  <c r="T485"/>
  <c r="S484"/>
  <c r="V482" s="1"/>
  <c r="R484"/>
  <c r="Q484"/>
  <c r="P484"/>
  <c r="O484"/>
  <c r="N484"/>
  <c r="M484"/>
  <c r="L484"/>
  <c r="K484"/>
  <c r="J484"/>
  <c r="I484"/>
  <c r="H484"/>
  <c r="G484"/>
  <c r="F484"/>
  <c r="E484"/>
  <c r="D484"/>
  <c r="C484"/>
  <c r="Y482"/>
  <c r="X482"/>
  <c r="U482"/>
  <c r="T482"/>
  <c r="S481"/>
  <c r="V479" s="1"/>
  <c r="R481"/>
  <c r="Q481"/>
  <c r="P481"/>
  <c r="O481"/>
  <c r="N481"/>
  <c r="M481"/>
  <c r="L481"/>
  <c r="K481"/>
  <c r="J481"/>
  <c r="I481"/>
  <c r="H481"/>
  <c r="G481"/>
  <c r="F481"/>
  <c r="E481"/>
  <c r="D481"/>
  <c r="C481"/>
  <c r="Y479"/>
  <c r="X479"/>
  <c r="U479"/>
  <c r="T479"/>
  <c r="S478"/>
  <c r="V476" s="1"/>
  <c r="R478"/>
  <c r="Q478"/>
  <c r="P478"/>
  <c r="O478"/>
  <c r="N478"/>
  <c r="M478"/>
  <c r="L478"/>
  <c r="K478"/>
  <c r="J478"/>
  <c r="I478"/>
  <c r="H478"/>
  <c r="G478"/>
  <c r="F478"/>
  <c r="E478"/>
  <c r="D478"/>
  <c r="C478"/>
  <c r="Y476"/>
  <c r="X476"/>
  <c r="U476"/>
  <c r="T476"/>
  <c r="S475"/>
  <c r="V473" s="1"/>
  <c r="R475"/>
  <c r="Q475"/>
  <c r="P475"/>
  <c r="O475"/>
  <c r="N475"/>
  <c r="M475"/>
  <c r="L475"/>
  <c r="K475"/>
  <c r="J475"/>
  <c r="I475"/>
  <c r="H475"/>
  <c r="G475"/>
  <c r="F475"/>
  <c r="E475"/>
  <c r="D475"/>
  <c r="C475"/>
  <c r="Y473"/>
  <c r="X473"/>
  <c r="U473"/>
  <c r="T473"/>
  <c r="S472"/>
  <c r="V470" s="1"/>
  <c r="R472"/>
  <c r="Q472"/>
  <c r="P472"/>
  <c r="O472"/>
  <c r="N472"/>
  <c r="M472"/>
  <c r="L472"/>
  <c r="K472"/>
  <c r="J472"/>
  <c r="I472"/>
  <c r="H472"/>
  <c r="G472"/>
  <c r="F472"/>
  <c r="E472"/>
  <c r="D472"/>
  <c r="C472"/>
  <c r="Y470"/>
  <c r="X470"/>
  <c r="U470"/>
  <c r="T470"/>
  <c r="S469"/>
  <c r="V467" s="1"/>
  <c r="R469"/>
  <c r="Q469"/>
  <c r="P469"/>
  <c r="O469"/>
  <c r="N469"/>
  <c r="M469"/>
  <c r="L469"/>
  <c r="K469"/>
  <c r="J469"/>
  <c r="I469"/>
  <c r="H469"/>
  <c r="G469"/>
  <c r="F469"/>
  <c r="E469"/>
  <c r="D469"/>
  <c r="C469"/>
  <c r="Y467"/>
  <c r="X467"/>
  <c r="U467"/>
  <c r="T467"/>
  <c r="S466"/>
  <c r="V464" s="1"/>
  <c r="R466"/>
  <c r="Q466"/>
  <c r="P466"/>
  <c r="O466"/>
  <c r="N466"/>
  <c r="M466"/>
  <c r="L466"/>
  <c r="K466"/>
  <c r="J466"/>
  <c r="I466"/>
  <c r="H466"/>
  <c r="G466"/>
  <c r="F466"/>
  <c r="E466"/>
  <c r="D466"/>
  <c r="C466"/>
  <c r="Y464"/>
  <c r="X464"/>
  <c r="U464"/>
  <c r="T464"/>
  <c r="S463"/>
  <c r="V461" s="1"/>
  <c r="R463"/>
  <c r="Q463"/>
  <c r="P463"/>
  <c r="O463"/>
  <c r="N463"/>
  <c r="M463"/>
  <c r="L463"/>
  <c r="K463"/>
  <c r="J463"/>
  <c r="I463"/>
  <c r="H463"/>
  <c r="G463"/>
  <c r="F463"/>
  <c r="E463"/>
  <c r="D463"/>
  <c r="C463"/>
  <c r="Y461"/>
  <c r="X461"/>
  <c r="U461"/>
  <c r="T461"/>
  <c r="S460"/>
  <c r="V458" s="1"/>
  <c r="R460"/>
  <c r="Q460"/>
  <c r="P460"/>
  <c r="O460"/>
  <c r="N460"/>
  <c r="M460"/>
  <c r="L460"/>
  <c r="K460"/>
  <c r="J460"/>
  <c r="I460"/>
  <c r="H460"/>
  <c r="G460"/>
  <c r="F460"/>
  <c r="E460"/>
  <c r="D460"/>
  <c r="C460"/>
  <c r="Y458"/>
  <c r="X458"/>
  <c r="U458"/>
  <c r="T458"/>
  <c r="S457"/>
  <c r="V455" s="1"/>
  <c r="R457"/>
  <c r="Q457"/>
  <c r="P457"/>
  <c r="O457"/>
  <c r="N457"/>
  <c r="M457"/>
  <c r="L457"/>
  <c r="K457"/>
  <c r="J457"/>
  <c r="I457"/>
  <c r="H457"/>
  <c r="G457"/>
  <c r="F457"/>
  <c r="E457"/>
  <c r="D457"/>
  <c r="C457"/>
  <c r="Y455"/>
  <c r="X455"/>
  <c r="U455"/>
  <c r="T455"/>
  <c r="S454"/>
  <c r="V452" s="1"/>
  <c r="R454"/>
  <c r="Q454"/>
  <c r="P454"/>
  <c r="O454"/>
  <c r="N454"/>
  <c r="M454"/>
  <c r="L454"/>
  <c r="K454"/>
  <c r="J454"/>
  <c r="I454"/>
  <c r="H454"/>
  <c r="G454"/>
  <c r="F454"/>
  <c r="E454"/>
  <c r="D454"/>
  <c r="C454"/>
  <c r="Y452"/>
  <c r="X452"/>
  <c r="U452"/>
  <c r="T452"/>
  <c r="S451"/>
  <c r="V449" s="1"/>
  <c r="R451"/>
  <c r="Q451"/>
  <c r="P451"/>
  <c r="O451"/>
  <c r="N451"/>
  <c r="M451"/>
  <c r="L451"/>
  <c r="K451"/>
  <c r="J451"/>
  <c r="I451"/>
  <c r="H451"/>
  <c r="G451"/>
  <c r="F451"/>
  <c r="E451"/>
  <c r="D451"/>
  <c r="C451"/>
  <c r="Y449"/>
  <c r="X449"/>
  <c r="U449"/>
  <c r="T449"/>
  <c r="S448"/>
  <c r="V446" s="1"/>
  <c r="R448"/>
  <c r="Q448"/>
  <c r="P448"/>
  <c r="O448"/>
  <c r="N448"/>
  <c r="M448"/>
  <c r="L448"/>
  <c r="K448"/>
  <c r="J448"/>
  <c r="I448"/>
  <c r="H448"/>
  <c r="G448"/>
  <c r="F448"/>
  <c r="E448"/>
  <c r="D448"/>
  <c r="C448"/>
  <c r="Y446"/>
  <c r="X446"/>
  <c r="U446"/>
  <c r="T446"/>
  <c r="S445"/>
  <c r="V443" s="1"/>
  <c r="R445"/>
  <c r="Q445"/>
  <c r="P445"/>
  <c r="O445"/>
  <c r="N445"/>
  <c r="M445"/>
  <c r="L445"/>
  <c r="K445"/>
  <c r="J445"/>
  <c r="I445"/>
  <c r="H445"/>
  <c r="G445"/>
  <c r="F445"/>
  <c r="E445"/>
  <c r="D445"/>
  <c r="C445"/>
  <c r="Y443"/>
  <c r="X443"/>
  <c r="U443"/>
  <c r="T443"/>
  <c r="S442"/>
  <c r="V440" s="1"/>
  <c r="R442"/>
  <c r="Q442"/>
  <c r="P442"/>
  <c r="O442"/>
  <c r="N442"/>
  <c r="M442"/>
  <c r="L442"/>
  <c r="K442"/>
  <c r="J442"/>
  <c r="I442"/>
  <c r="H442"/>
  <c r="G442"/>
  <c r="F442"/>
  <c r="E442"/>
  <c r="D442"/>
  <c r="C442"/>
  <c r="Y440"/>
  <c r="X440"/>
  <c r="U440"/>
  <c r="T440"/>
  <c r="S439"/>
  <c r="V437" s="1"/>
  <c r="R439"/>
  <c r="Q439"/>
  <c r="P439"/>
  <c r="O439"/>
  <c r="N439"/>
  <c r="M439"/>
  <c r="L439"/>
  <c r="K439"/>
  <c r="J439"/>
  <c r="I439"/>
  <c r="H439"/>
  <c r="G439"/>
  <c r="F439"/>
  <c r="E439"/>
  <c r="D439"/>
  <c r="C439"/>
  <c r="Y437"/>
  <c r="X437"/>
  <c r="U437"/>
  <c r="T437"/>
  <c r="S436"/>
  <c r="V434" s="1"/>
  <c r="R436"/>
  <c r="Q436"/>
  <c r="P436"/>
  <c r="O436"/>
  <c r="N436"/>
  <c r="M436"/>
  <c r="L436"/>
  <c r="K436"/>
  <c r="J436"/>
  <c r="I436"/>
  <c r="H436"/>
  <c r="G436"/>
  <c r="F436"/>
  <c r="E436"/>
  <c r="D436"/>
  <c r="C436"/>
  <c r="Y434"/>
  <c r="X434"/>
  <c r="U434"/>
  <c r="T434"/>
  <c r="S433"/>
  <c r="V431" s="1"/>
  <c r="R433"/>
  <c r="Q433"/>
  <c r="P433"/>
  <c r="O433"/>
  <c r="N433"/>
  <c r="M433"/>
  <c r="L433"/>
  <c r="K433"/>
  <c r="J433"/>
  <c r="I433"/>
  <c r="H433"/>
  <c r="G433"/>
  <c r="F433"/>
  <c r="E433"/>
  <c r="D433"/>
  <c r="C433"/>
  <c r="Y431"/>
  <c r="X431"/>
  <c r="U431"/>
  <c r="T431"/>
  <c r="S430"/>
  <c r="V428" s="1"/>
  <c r="R430"/>
  <c r="Q430"/>
  <c r="P430"/>
  <c r="O430"/>
  <c r="N430"/>
  <c r="M430"/>
  <c r="L430"/>
  <c r="K430"/>
  <c r="J430"/>
  <c r="I430"/>
  <c r="H430"/>
  <c r="G430"/>
  <c r="F430"/>
  <c r="E430"/>
  <c r="D430"/>
  <c r="C430"/>
  <c r="Y428"/>
  <c r="X428"/>
  <c r="U428"/>
  <c r="T428"/>
  <c r="S427"/>
  <c r="V425" s="1"/>
  <c r="R427"/>
  <c r="Q427"/>
  <c r="P427"/>
  <c r="O427"/>
  <c r="N427"/>
  <c r="M427"/>
  <c r="L427"/>
  <c r="K427"/>
  <c r="J427"/>
  <c r="I427"/>
  <c r="H427"/>
  <c r="G427"/>
  <c r="F427"/>
  <c r="E427"/>
  <c r="D427"/>
  <c r="C427"/>
  <c r="Y425"/>
  <c r="X425"/>
  <c r="U425"/>
  <c r="T425"/>
  <c r="S424"/>
  <c r="R424"/>
  <c r="Q424"/>
  <c r="P424"/>
  <c r="O424"/>
  <c r="N424"/>
  <c r="M424"/>
  <c r="L424"/>
  <c r="K424"/>
  <c r="J424"/>
  <c r="I424"/>
  <c r="H424"/>
  <c r="G424"/>
  <c r="F424"/>
  <c r="E424"/>
  <c r="D424"/>
  <c r="C424"/>
  <c r="Y422"/>
  <c r="X422"/>
  <c r="V422"/>
  <c r="U422"/>
  <c r="T422"/>
  <c r="S421"/>
  <c r="V419" s="1"/>
  <c r="R421"/>
  <c r="Q421"/>
  <c r="P421"/>
  <c r="O421"/>
  <c r="N421"/>
  <c r="M421"/>
  <c r="L421"/>
  <c r="K421"/>
  <c r="J421"/>
  <c r="I421"/>
  <c r="H421"/>
  <c r="G421"/>
  <c r="F421"/>
  <c r="E421"/>
  <c r="D421"/>
  <c r="C421"/>
  <c r="Y419"/>
  <c r="X419"/>
  <c r="U419"/>
  <c r="T419"/>
  <c r="S418"/>
  <c r="V416" s="1"/>
  <c r="R418"/>
  <c r="Q418"/>
  <c r="P418"/>
  <c r="O418"/>
  <c r="N418"/>
  <c r="M418"/>
  <c r="L418"/>
  <c r="K418"/>
  <c r="J418"/>
  <c r="I418"/>
  <c r="H418"/>
  <c r="G418"/>
  <c r="F418"/>
  <c r="E418"/>
  <c r="D418"/>
  <c r="C418"/>
  <c r="Y416"/>
  <c r="X416"/>
  <c r="U416"/>
  <c r="T416"/>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U377" s="1"/>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U371" s="1"/>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O499"/>
  <c r="N499"/>
  <c r="M499"/>
  <c r="L499"/>
  <c r="K499"/>
  <c r="J499"/>
  <c r="I499"/>
  <c r="H499"/>
  <c r="G499"/>
  <c r="F499"/>
  <c r="E499"/>
  <c r="D499"/>
  <c r="V497"/>
  <c r="U497"/>
  <c r="T497"/>
  <c r="S497"/>
  <c r="R497"/>
  <c r="Q497"/>
  <c r="P496"/>
  <c r="O496"/>
  <c r="N496"/>
  <c r="M496"/>
  <c r="L496"/>
  <c r="K496"/>
  <c r="J496"/>
  <c r="I496"/>
  <c r="H496"/>
  <c r="G496"/>
  <c r="F496"/>
  <c r="E496"/>
  <c r="D496"/>
  <c r="V494"/>
  <c r="U494"/>
  <c r="T494"/>
  <c r="S494"/>
  <c r="R494"/>
  <c r="Q494"/>
  <c r="P493"/>
  <c r="O493"/>
  <c r="N493"/>
  <c r="M493"/>
  <c r="L493"/>
  <c r="K493"/>
  <c r="J493"/>
  <c r="I493"/>
  <c r="H493"/>
  <c r="G493"/>
  <c r="F493"/>
  <c r="E493"/>
  <c r="D493"/>
  <c r="V491"/>
  <c r="U491"/>
  <c r="T491"/>
  <c r="S491"/>
  <c r="R491"/>
  <c r="Q491"/>
  <c r="P490"/>
  <c r="O490"/>
  <c r="N490"/>
  <c r="M490"/>
  <c r="L490"/>
  <c r="K490"/>
  <c r="J490"/>
  <c r="I490"/>
  <c r="H490"/>
  <c r="G490"/>
  <c r="F490"/>
  <c r="E490"/>
  <c r="D490"/>
  <c r="V488"/>
  <c r="U488"/>
  <c r="T488"/>
  <c r="S488"/>
  <c r="R488"/>
  <c r="Q488"/>
  <c r="P487"/>
  <c r="O487"/>
  <c r="N487"/>
  <c r="M487"/>
  <c r="L487"/>
  <c r="K487"/>
  <c r="J487"/>
  <c r="I487"/>
  <c r="H487"/>
  <c r="G487"/>
  <c r="F487"/>
  <c r="E487"/>
  <c r="D487"/>
  <c r="V485"/>
  <c r="U485"/>
  <c r="T485"/>
  <c r="S485"/>
  <c r="R485"/>
  <c r="Q485"/>
  <c r="P484"/>
  <c r="O484"/>
  <c r="N484"/>
  <c r="M484"/>
  <c r="L484"/>
  <c r="K484"/>
  <c r="J484"/>
  <c r="I484"/>
  <c r="H484"/>
  <c r="G484"/>
  <c r="F484"/>
  <c r="E484"/>
  <c r="D484"/>
  <c r="V482"/>
  <c r="U482"/>
  <c r="T482"/>
  <c r="S482"/>
  <c r="R482"/>
  <c r="Q482"/>
  <c r="P481"/>
  <c r="O481"/>
  <c r="N481"/>
  <c r="M481"/>
  <c r="L481"/>
  <c r="K481"/>
  <c r="J481"/>
  <c r="I481"/>
  <c r="H481"/>
  <c r="G481"/>
  <c r="F481"/>
  <c r="E481"/>
  <c r="D481"/>
  <c r="V479"/>
  <c r="U479"/>
  <c r="T479"/>
  <c r="S479"/>
  <c r="R479"/>
  <c r="Q479"/>
  <c r="P478"/>
  <c r="O478"/>
  <c r="N478"/>
  <c r="M478"/>
  <c r="L478"/>
  <c r="K478"/>
  <c r="J478"/>
  <c r="I478"/>
  <c r="H478"/>
  <c r="G478"/>
  <c r="F478"/>
  <c r="E478"/>
  <c r="D478"/>
  <c r="V476"/>
  <c r="U476"/>
  <c r="T476"/>
  <c r="S476"/>
  <c r="R476"/>
  <c r="Q476"/>
  <c r="P475"/>
  <c r="O475"/>
  <c r="N475"/>
  <c r="M475"/>
  <c r="L475"/>
  <c r="K475"/>
  <c r="J475"/>
  <c r="I475"/>
  <c r="H475"/>
  <c r="G475"/>
  <c r="F475"/>
  <c r="E475"/>
  <c r="D475"/>
  <c r="V473"/>
  <c r="U473"/>
  <c r="T473"/>
  <c r="S473"/>
  <c r="R473"/>
  <c r="Q473"/>
  <c r="P472"/>
  <c r="O472"/>
  <c r="N472"/>
  <c r="M472"/>
  <c r="L472"/>
  <c r="K472"/>
  <c r="J472"/>
  <c r="I472"/>
  <c r="H472"/>
  <c r="G472"/>
  <c r="F472"/>
  <c r="E472"/>
  <c r="D472"/>
  <c r="V470"/>
  <c r="U470"/>
  <c r="T470"/>
  <c r="S470"/>
  <c r="R470"/>
  <c r="Q470"/>
  <c r="P469"/>
  <c r="O469"/>
  <c r="N469"/>
  <c r="M469"/>
  <c r="L469"/>
  <c r="K469"/>
  <c r="J469"/>
  <c r="I469"/>
  <c r="H469"/>
  <c r="G469"/>
  <c r="F469"/>
  <c r="E469"/>
  <c r="D469"/>
  <c r="V467"/>
  <c r="U467"/>
  <c r="T467"/>
  <c r="S467"/>
  <c r="R467"/>
  <c r="Q467"/>
  <c r="P466"/>
  <c r="O466"/>
  <c r="N466"/>
  <c r="M466"/>
  <c r="L466"/>
  <c r="K466"/>
  <c r="J466"/>
  <c r="I466"/>
  <c r="H466"/>
  <c r="G466"/>
  <c r="F466"/>
  <c r="E466"/>
  <c r="D466"/>
  <c r="V464"/>
  <c r="U464"/>
  <c r="T464"/>
  <c r="S464"/>
  <c r="R464"/>
  <c r="Q464"/>
  <c r="P463"/>
  <c r="O463"/>
  <c r="N463"/>
  <c r="M463"/>
  <c r="L463"/>
  <c r="K463"/>
  <c r="J463"/>
  <c r="I463"/>
  <c r="H463"/>
  <c r="G463"/>
  <c r="F463"/>
  <c r="E463"/>
  <c r="D463"/>
  <c r="V461"/>
  <c r="U461"/>
  <c r="T461"/>
  <c r="S461"/>
  <c r="R461"/>
  <c r="Q461"/>
  <c r="P460"/>
  <c r="O460"/>
  <c r="N460"/>
  <c r="M460"/>
  <c r="L460"/>
  <c r="K460"/>
  <c r="J460"/>
  <c r="I460"/>
  <c r="H460"/>
  <c r="G460"/>
  <c r="F460"/>
  <c r="E460"/>
  <c r="D460"/>
  <c r="V458"/>
  <c r="U458"/>
  <c r="T458"/>
  <c r="S458"/>
  <c r="R458"/>
  <c r="Q458"/>
  <c r="P457"/>
  <c r="O457"/>
  <c r="N457"/>
  <c r="M457"/>
  <c r="L457"/>
  <c r="K457"/>
  <c r="J457"/>
  <c r="I457"/>
  <c r="H457"/>
  <c r="G457"/>
  <c r="F457"/>
  <c r="E457"/>
  <c r="D457"/>
  <c r="V455"/>
  <c r="U455"/>
  <c r="T455"/>
  <c r="S455"/>
  <c r="R455"/>
  <c r="Q455"/>
  <c r="P454"/>
  <c r="O454"/>
  <c r="N454"/>
  <c r="M454"/>
  <c r="L454"/>
  <c r="K454"/>
  <c r="J454"/>
  <c r="I454"/>
  <c r="H454"/>
  <c r="G454"/>
  <c r="F454"/>
  <c r="E454"/>
  <c r="D454"/>
  <c r="V452"/>
  <c r="U452"/>
  <c r="T452"/>
  <c r="S452"/>
  <c r="R452"/>
  <c r="Q452"/>
  <c r="P451"/>
  <c r="O451"/>
  <c r="N451"/>
  <c r="M451"/>
  <c r="L451"/>
  <c r="K451"/>
  <c r="J451"/>
  <c r="I451"/>
  <c r="H451"/>
  <c r="G451"/>
  <c r="F451"/>
  <c r="E451"/>
  <c r="D451"/>
  <c r="V449"/>
  <c r="U449"/>
  <c r="T449"/>
  <c r="S449"/>
  <c r="R449"/>
  <c r="Q449"/>
  <c r="P448"/>
  <c r="O448"/>
  <c r="N448"/>
  <c r="M448"/>
  <c r="L448"/>
  <c r="K448"/>
  <c r="J448"/>
  <c r="I448"/>
  <c r="H448"/>
  <c r="G448"/>
  <c r="F448"/>
  <c r="E448"/>
  <c r="D448"/>
  <c r="V446"/>
  <c r="U446"/>
  <c r="T446"/>
  <c r="S446"/>
  <c r="R446"/>
  <c r="Q446"/>
  <c r="P445"/>
  <c r="O445"/>
  <c r="N445"/>
  <c r="M445"/>
  <c r="L445"/>
  <c r="K445"/>
  <c r="J445"/>
  <c r="I445"/>
  <c r="H445"/>
  <c r="G445"/>
  <c r="F445"/>
  <c r="E445"/>
  <c r="D445"/>
  <c r="V443"/>
  <c r="U443"/>
  <c r="T443"/>
  <c r="S443"/>
  <c r="R443"/>
  <c r="Q443"/>
  <c r="P442"/>
  <c r="O442"/>
  <c r="N442"/>
  <c r="M442"/>
  <c r="L442"/>
  <c r="K442"/>
  <c r="J442"/>
  <c r="I442"/>
  <c r="H442"/>
  <c r="G442"/>
  <c r="F442"/>
  <c r="E442"/>
  <c r="D442"/>
  <c r="V440"/>
  <c r="U440"/>
  <c r="T440"/>
  <c r="S440"/>
  <c r="R440"/>
  <c r="Q440"/>
  <c r="P439"/>
  <c r="O439"/>
  <c r="N439"/>
  <c r="M439"/>
  <c r="L439"/>
  <c r="K439"/>
  <c r="J439"/>
  <c r="I439"/>
  <c r="H439"/>
  <c r="G439"/>
  <c r="F439"/>
  <c r="E439"/>
  <c r="D439"/>
  <c r="V437"/>
  <c r="U437"/>
  <c r="T437"/>
  <c r="S437"/>
  <c r="R437"/>
  <c r="Q437"/>
  <c r="P436"/>
  <c r="O436"/>
  <c r="N436"/>
  <c r="M436"/>
  <c r="L436"/>
  <c r="K436"/>
  <c r="J436"/>
  <c r="I436"/>
  <c r="H436"/>
  <c r="G436"/>
  <c r="F436"/>
  <c r="E436"/>
  <c r="D436"/>
  <c r="V434"/>
  <c r="U434"/>
  <c r="T434"/>
  <c r="S434"/>
  <c r="R434"/>
  <c r="Q434"/>
  <c r="P433"/>
  <c r="O433"/>
  <c r="N433"/>
  <c r="M433"/>
  <c r="L433"/>
  <c r="K433"/>
  <c r="J433"/>
  <c r="I433"/>
  <c r="H433"/>
  <c r="G433"/>
  <c r="F433"/>
  <c r="E433"/>
  <c r="D433"/>
  <c r="V431"/>
  <c r="U431"/>
  <c r="T431"/>
  <c r="S431"/>
  <c r="R431"/>
  <c r="Q431"/>
  <c r="P430"/>
  <c r="O430"/>
  <c r="N430"/>
  <c r="M430"/>
  <c r="L430"/>
  <c r="K430"/>
  <c r="J430"/>
  <c r="I430"/>
  <c r="H430"/>
  <c r="G430"/>
  <c r="F430"/>
  <c r="E430"/>
  <c r="D430"/>
  <c r="V428"/>
  <c r="U428"/>
  <c r="T428"/>
  <c r="S428"/>
  <c r="R428"/>
  <c r="Q428"/>
  <c r="P427"/>
  <c r="O427"/>
  <c r="N427"/>
  <c r="M427"/>
  <c r="L427"/>
  <c r="K427"/>
  <c r="J427"/>
  <c r="I427"/>
  <c r="H427"/>
  <c r="G427"/>
  <c r="F427"/>
  <c r="E427"/>
  <c r="D427"/>
  <c r="V425"/>
  <c r="U425"/>
  <c r="T425"/>
  <c r="S425"/>
  <c r="R425"/>
  <c r="Q425"/>
  <c r="P424"/>
  <c r="O424"/>
  <c r="N424"/>
  <c r="M424"/>
  <c r="L424"/>
  <c r="K424"/>
  <c r="J424"/>
  <c r="I424"/>
  <c r="H424"/>
  <c r="G424"/>
  <c r="F424"/>
  <c r="E424"/>
  <c r="D424"/>
  <c r="V422"/>
  <c r="U422"/>
  <c r="T422"/>
  <c r="S422"/>
  <c r="R422"/>
  <c r="Q422"/>
  <c r="P421"/>
  <c r="O421"/>
  <c r="N421"/>
  <c r="M421"/>
  <c r="L421"/>
  <c r="K421"/>
  <c r="J421"/>
  <c r="I421"/>
  <c r="H421"/>
  <c r="G421"/>
  <c r="F421"/>
  <c r="E421"/>
  <c r="D421"/>
  <c r="V419"/>
  <c r="U419"/>
  <c r="T419"/>
  <c r="S419"/>
  <c r="R419"/>
  <c r="Q419"/>
  <c r="P418"/>
  <c r="O418"/>
  <c r="N418"/>
  <c r="M418"/>
  <c r="L418"/>
  <c r="K418"/>
  <c r="J418"/>
  <c r="I418"/>
  <c r="H418"/>
  <c r="G418"/>
  <c r="F418"/>
  <c r="E418"/>
  <c r="D418"/>
  <c r="V416"/>
  <c r="U416"/>
  <c r="T416"/>
  <c r="S416"/>
  <c r="R416"/>
  <c r="Q416"/>
  <c r="P415"/>
  <c r="O415"/>
  <c r="N415"/>
  <c r="M415"/>
  <c r="L415"/>
  <c r="K415"/>
  <c r="J415"/>
  <c r="I415"/>
  <c r="H415"/>
  <c r="G415"/>
  <c r="F415"/>
  <c r="E415"/>
  <c r="D415"/>
  <c r="V413"/>
  <c r="U413"/>
  <c r="T413"/>
  <c r="S413"/>
  <c r="R413"/>
  <c r="Q413"/>
  <c r="P412"/>
  <c r="O412"/>
  <c r="N412"/>
  <c r="M412"/>
  <c r="L412"/>
  <c r="K412"/>
  <c r="J412"/>
  <c r="I412"/>
  <c r="H412"/>
  <c r="G412"/>
  <c r="F412"/>
  <c r="E412"/>
  <c r="D412"/>
  <c r="V410"/>
  <c r="U410"/>
  <c r="T410"/>
  <c r="S410"/>
  <c r="R410"/>
  <c r="Q410"/>
  <c r="P409"/>
  <c r="O409"/>
  <c r="N409"/>
  <c r="M409"/>
  <c r="L409"/>
  <c r="K409"/>
  <c r="J409"/>
  <c r="I409"/>
  <c r="H409"/>
  <c r="G409"/>
  <c r="F409"/>
  <c r="E409"/>
  <c r="D409"/>
  <c r="V407"/>
  <c r="U407"/>
  <c r="T407"/>
  <c r="S407"/>
  <c r="R407"/>
  <c r="Q407"/>
  <c r="P406"/>
  <c r="O406"/>
  <c r="N406"/>
  <c r="M406"/>
  <c r="L406"/>
  <c r="K406"/>
  <c r="J406"/>
  <c r="I406"/>
  <c r="H406"/>
  <c r="G406"/>
  <c r="F406"/>
  <c r="E406"/>
  <c r="D406"/>
  <c r="V404"/>
  <c r="U404"/>
  <c r="T404"/>
  <c r="S404"/>
  <c r="R404"/>
  <c r="Q404"/>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93"/>
  <c r="E193" s="1"/>
  <c r="E192"/>
  <c r="D192"/>
  <c r="D191"/>
  <c r="E191" s="1"/>
  <c r="D190"/>
  <c r="E190" s="1"/>
  <c r="D189"/>
  <c r="E189" s="1"/>
  <c r="E188"/>
  <c r="D188"/>
  <c r="D187"/>
  <c r="E187"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U326" s="1"/>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T410" i="6" l="1"/>
  <c r="T80"/>
  <c r="T86"/>
  <c r="W212"/>
  <c r="W221"/>
  <c r="T230"/>
  <c r="W236"/>
  <c r="V395"/>
  <c r="V401"/>
  <c r="U185"/>
  <c r="W242"/>
  <c r="U389"/>
  <c r="U407"/>
  <c r="W446"/>
  <c r="W506"/>
  <c r="V116"/>
  <c r="V398"/>
  <c r="U266"/>
  <c r="V293"/>
  <c r="T407"/>
  <c r="U410"/>
  <c r="X410" s="1"/>
  <c r="Y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V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U149" s="1"/>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U377" s="1"/>
  <c r="T383"/>
  <c r="T386"/>
  <c r="T389"/>
  <c r="Q398"/>
  <c r="U398" s="1"/>
  <c r="T56"/>
  <c r="T101"/>
  <c r="T41"/>
  <c r="Q101"/>
  <c r="R14"/>
  <c r="U14" s="1"/>
  <c r="V14" s="1"/>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U209" s="1"/>
  <c r="T212"/>
  <c r="Q227"/>
  <c r="Q281"/>
  <c r="T287"/>
  <c r="S287"/>
  <c r="T290"/>
  <c r="T293"/>
  <c r="T296"/>
  <c r="T299"/>
  <c r="T305"/>
  <c r="R311"/>
  <c r="Q323"/>
  <c r="T338"/>
  <c r="R350"/>
  <c r="R359"/>
  <c r="U359" s="1"/>
  <c r="Q362"/>
  <c r="Q371"/>
  <c r="T392"/>
  <c r="T395"/>
  <c r="T401"/>
  <c r="S401"/>
  <c r="R401"/>
  <c r="U401" s="1"/>
  <c r="V413" i="6"/>
  <c r="V410"/>
  <c r="R398" i="5"/>
  <c r="T398"/>
  <c r="X407" i="6"/>
  <c r="Y407" s="1"/>
  <c r="V407"/>
  <c r="Q395" i="5"/>
  <c r="S395"/>
  <c r="T263" i="6"/>
  <c r="U275"/>
  <c r="W11"/>
  <c r="T29"/>
  <c r="W68"/>
  <c r="V80"/>
  <c r="W92"/>
  <c r="V197"/>
  <c r="T215"/>
  <c r="T239"/>
  <c r="W317"/>
  <c r="W29"/>
  <c r="W32"/>
  <c r="U38"/>
  <c r="U50"/>
  <c r="T59"/>
  <c r="T62"/>
  <c r="T68"/>
  <c r="U86"/>
  <c r="V89"/>
  <c r="W98"/>
  <c r="V98"/>
  <c r="W104"/>
  <c r="T113"/>
  <c r="U116"/>
  <c r="T119"/>
  <c r="V125"/>
  <c r="U128"/>
  <c r="T158"/>
  <c r="W170"/>
  <c r="U188"/>
  <c r="W194"/>
  <c r="U206"/>
  <c r="W410"/>
  <c r="T47"/>
  <c r="U53"/>
  <c r="U59"/>
  <c r="V65"/>
  <c r="W89"/>
  <c r="U104"/>
  <c r="W131"/>
  <c r="V131"/>
  <c r="W137"/>
  <c r="W155"/>
  <c r="W167"/>
  <c r="W59"/>
  <c r="W35"/>
  <c r="U41"/>
  <c r="U44"/>
  <c r="U170"/>
  <c r="W173"/>
  <c r="W179"/>
  <c r="T182"/>
  <c r="T185"/>
  <c r="X185" s="1"/>
  <c r="V191"/>
  <c r="V203"/>
  <c r="V206"/>
  <c r="V209"/>
  <c r="T212"/>
  <c r="V215"/>
  <c r="V218"/>
  <c r="V224"/>
  <c r="V227"/>
  <c r="U230"/>
  <c r="X230" s="1"/>
  <c r="V230"/>
  <c r="U239"/>
  <c r="X239" s="1"/>
  <c r="T254"/>
  <c r="V257"/>
  <c r="W266"/>
  <c r="U302"/>
  <c r="T314"/>
  <c r="T317"/>
  <c r="V317"/>
  <c r="W320"/>
  <c r="W413"/>
  <c r="W431"/>
  <c r="W437"/>
  <c r="W443"/>
  <c r="W398"/>
  <c r="T398"/>
  <c r="U398"/>
  <c r="W401"/>
  <c r="T401"/>
  <c r="U401"/>
  <c r="V86"/>
  <c r="W119"/>
  <c r="V56"/>
  <c r="V71"/>
  <c r="V77"/>
  <c r="W80"/>
  <c r="T95"/>
  <c r="V101"/>
  <c r="T107"/>
  <c r="V113"/>
  <c r="W134"/>
  <c r="U140"/>
  <c r="T149"/>
  <c r="X149" s="1"/>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X326" s="1"/>
  <c r="S392" i="5"/>
  <c r="S389"/>
  <c r="R386"/>
  <c r="Q386"/>
  <c r="U395" i="6"/>
  <c r="W395"/>
  <c r="T395"/>
  <c r="S383" i="5"/>
  <c r="Q383"/>
  <c r="U383" s="1"/>
  <c r="T380"/>
  <c r="S380"/>
  <c r="V143" i="6"/>
  <c r="V221"/>
  <c r="W125"/>
  <c r="W41"/>
  <c r="W86"/>
  <c r="T44"/>
  <c r="W44"/>
  <c r="W128"/>
  <c r="V305"/>
  <c r="W263"/>
  <c r="U269"/>
  <c r="V275"/>
  <c r="W281"/>
  <c r="T284"/>
  <c r="W290"/>
  <c r="U299"/>
  <c r="W305"/>
  <c r="T311"/>
  <c r="X311" s="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X353" s="1"/>
  <c r="T365"/>
  <c r="T383"/>
  <c r="X86"/>
  <c r="W233"/>
  <c r="T41"/>
  <c r="W239"/>
  <c r="U119"/>
  <c r="T131"/>
  <c r="V140"/>
  <c r="W152"/>
  <c r="V164"/>
  <c r="T170"/>
  <c r="V272"/>
  <c r="V287"/>
  <c r="V302"/>
  <c r="U362"/>
  <c r="T368"/>
  <c r="T371"/>
  <c r="X371" s="1"/>
  <c r="U374"/>
  <c r="T377"/>
  <c r="X377" s="1"/>
  <c r="U383"/>
  <c r="W53"/>
  <c r="T128"/>
  <c r="X128" s="1"/>
  <c r="U47"/>
  <c r="U14"/>
  <c r="U17"/>
  <c r="V20"/>
  <c r="W26"/>
  <c r="V44"/>
  <c r="T50"/>
  <c r="X50" s="1"/>
  <c r="V59"/>
  <c r="W62"/>
  <c r="U68"/>
  <c r="X68" s="1"/>
  <c r="V68"/>
  <c r="T71"/>
  <c r="T77"/>
  <c r="U80"/>
  <c r="X80" s="1"/>
  <c r="Y80" s="1"/>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U341" s="1"/>
  <c r="V341" s="1"/>
  <c r="S341"/>
  <c r="Q143"/>
  <c r="R143"/>
  <c r="R179"/>
  <c r="S179"/>
  <c r="Q179"/>
  <c r="R182"/>
  <c r="T182"/>
  <c r="R194"/>
  <c r="Q194"/>
  <c r="Q206"/>
  <c r="T206"/>
  <c r="R218"/>
  <c r="Q218"/>
  <c r="V23" i="6"/>
  <c r="W23"/>
  <c r="T23"/>
  <c r="V32"/>
  <c r="T32"/>
  <c r="X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Y185" s="1"/>
  <c r="U191"/>
  <c r="T194"/>
  <c r="V194"/>
  <c r="W203"/>
  <c r="W215"/>
  <c r="T3" i="13"/>
  <c r="X3" s="1"/>
  <c r="T9"/>
  <c r="S239" i="5"/>
  <c r="R281"/>
  <c r="R257"/>
  <c r="Q239"/>
  <c r="U239" s="1"/>
  <c r="S305"/>
  <c r="S281"/>
  <c r="Q272"/>
  <c r="R305"/>
  <c r="T257"/>
  <c r="S272"/>
  <c r="T269"/>
  <c r="R287"/>
  <c r="T236"/>
  <c r="W284" i="6"/>
  <c r="T251"/>
  <c r="V290"/>
  <c r="U287"/>
  <c r="T281"/>
  <c r="R248" i="5"/>
  <c r="S248"/>
  <c r="S260"/>
  <c r="S269"/>
  <c r="S290"/>
  <c r="S311"/>
  <c r="T323"/>
  <c r="S275"/>
  <c r="T275"/>
  <c r="R278"/>
  <c r="Q278"/>
  <c r="Q299"/>
  <c r="S299"/>
  <c r="Q44" i="14"/>
  <c r="Q43"/>
  <c r="T329" i="5"/>
  <c r="R329"/>
  <c r="T20"/>
  <c r="Q20"/>
  <c r="U20" s="1"/>
  <c r="W15" i="13"/>
  <c r="T15"/>
  <c r="X15" s="1"/>
  <c r="Q293" i="5"/>
  <c r="S293"/>
  <c r="T269" i="6"/>
  <c r="W269"/>
  <c r="V278"/>
  <c r="T278"/>
  <c r="T293"/>
  <c r="U293"/>
  <c r="V296"/>
  <c r="W296"/>
  <c r="U308"/>
  <c r="T308"/>
  <c r="M44" i="14"/>
  <c r="M43"/>
  <c r="T314" i="5"/>
  <c r="Q314"/>
  <c r="U314" s="1"/>
  <c r="V314" s="1"/>
  <c r="V110" i="6"/>
  <c r="U287" i="5"/>
  <c r="V287" s="1"/>
  <c r="S233"/>
  <c r="S245"/>
  <c r="V248" i="6"/>
  <c r="S203" i="5"/>
  <c r="S149"/>
  <c r="S68"/>
  <c r="S152"/>
  <c r="R164"/>
  <c r="T254"/>
  <c r="Q251"/>
  <c r="R227"/>
  <c r="T239"/>
  <c r="T251"/>
  <c r="T233"/>
  <c r="U248" i="6"/>
  <c r="T257"/>
  <c r="V245"/>
  <c r="S296" i="5"/>
  <c r="U245" i="6"/>
  <c r="W257"/>
  <c r="T311" i="5"/>
  <c r="S338"/>
  <c r="U110" i="6"/>
  <c r="T110"/>
  <c r="T143"/>
  <c r="W143"/>
  <c r="R230" i="5"/>
  <c r="Q230"/>
  <c r="T242"/>
  <c r="S242"/>
  <c r="R242"/>
  <c r="U242" s="1"/>
  <c r="R245"/>
  <c r="Q245"/>
  <c r="S263"/>
  <c r="Q263"/>
  <c r="T263"/>
  <c r="Q266"/>
  <c r="T266"/>
  <c r="Q284"/>
  <c r="S284"/>
  <c r="T284"/>
  <c r="T260" i="6"/>
  <c r="W260"/>
  <c r="U260"/>
  <c r="W140"/>
  <c r="T140"/>
  <c r="X140" s="1"/>
  <c r="Y140" s="1"/>
  <c r="T200"/>
  <c r="W200"/>
  <c r="U200"/>
  <c r="U221"/>
  <c r="T221"/>
  <c r="R38" i="5"/>
  <c r="T38"/>
  <c r="Q47"/>
  <c r="S47"/>
  <c r="Q62"/>
  <c r="T62"/>
  <c r="T95"/>
  <c r="R95"/>
  <c r="U95" s="1"/>
  <c r="S110"/>
  <c r="R110"/>
  <c r="T110"/>
  <c r="W38" i="6"/>
  <c r="T38"/>
  <c r="U71"/>
  <c r="X71" s="1"/>
  <c r="W71"/>
  <c r="U83"/>
  <c r="T83"/>
  <c r="W83"/>
  <c r="W116"/>
  <c r="T116"/>
  <c r="X116" s="1"/>
  <c r="Y116" s="1"/>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U152" s="1"/>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X215" s="1"/>
  <c r="T188"/>
  <c r="U23"/>
  <c r="U203"/>
  <c r="U77"/>
  <c r="X77" s="1"/>
  <c r="U26"/>
  <c r="U113"/>
  <c r="X113" s="1"/>
  <c r="Q11" i="5"/>
  <c r="Q17"/>
  <c r="U17" s="1"/>
  <c r="V17" s="1"/>
  <c r="T26"/>
  <c r="Q35"/>
  <c r="U35" s="1"/>
  <c r="Q50"/>
  <c r="U50" s="1"/>
  <c r="V50" s="1"/>
  <c r="Q53"/>
  <c r="U53" s="1"/>
  <c r="S53"/>
  <c r="R65"/>
  <c r="R71"/>
  <c r="U71" s="1"/>
  <c r="R83"/>
  <c r="R98"/>
  <c r="R113"/>
  <c r="U113" s="1"/>
  <c r="S113"/>
  <c r="R122"/>
  <c r="R125"/>
  <c r="U125" s="1"/>
  <c r="Q137"/>
  <c r="U137" s="1"/>
  <c r="V137" s="1"/>
  <c r="S185"/>
  <c r="Q197"/>
  <c r="Q221"/>
  <c r="U221" s="1"/>
  <c r="S221"/>
  <c r="W17" i="6"/>
  <c r="V17"/>
  <c r="U29"/>
  <c r="X29" s="1"/>
  <c r="V29"/>
  <c r="V38"/>
  <c r="V47"/>
  <c r="V83"/>
  <c r="U95"/>
  <c r="X95" s="1"/>
  <c r="T104"/>
  <c r="V104"/>
  <c r="U137"/>
  <c r="U158"/>
  <c r="T167"/>
  <c r="V167"/>
  <c r="V188"/>
  <c r="U197"/>
  <c r="X197" s="1"/>
  <c r="Y197" s="1"/>
  <c r="R293" i="5"/>
  <c r="Q254"/>
  <c r="S230"/>
  <c r="T278"/>
  <c r="R299"/>
  <c r="S251"/>
  <c r="S254"/>
  <c r="R266"/>
  <c r="R233"/>
  <c r="U272" i="6"/>
  <c r="T290"/>
  <c r="W272"/>
  <c r="T248"/>
  <c r="T245"/>
  <c r="V284"/>
  <c r="W293"/>
  <c r="W278"/>
  <c r="Q305" i="5"/>
  <c r="V254" i="6"/>
  <c r="T266"/>
  <c r="X266" s="1"/>
  <c r="V266"/>
  <c r="U278"/>
  <c r="U290"/>
  <c r="W302"/>
  <c r="U314"/>
  <c r="X314" s="1"/>
  <c r="W326"/>
  <c r="V344"/>
  <c r="T350"/>
  <c r="X350" s="1"/>
  <c r="W371"/>
  <c r="W377"/>
  <c r="W458"/>
  <c r="V335"/>
  <c r="T11"/>
  <c r="U11"/>
  <c r="V62"/>
  <c r="U62"/>
  <c r="V74"/>
  <c r="W74"/>
  <c r="T275"/>
  <c r="X275" s="1"/>
  <c r="Y275" s="1"/>
  <c r="W275"/>
  <c r="B44" i="14"/>
  <c r="B43"/>
  <c r="T143" i="5"/>
  <c r="V11" i="6"/>
  <c r="U35"/>
  <c r="V35"/>
  <c r="V41"/>
  <c r="V50"/>
  <c r="T53"/>
  <c r="V53"/>
  <c r="T89"/>
  <c r="X89" s="1"/>
  <c r="Y89" s="1"/>
  <c r="W95"/>
  <c r="U98"/>
  <c r="V107"/>
  <c r="V128"/>
  <c r="U146"/>
  <c r="V146"/>
  <c r="V161"/>
  <c r="W3" i="13"/>
  <c r="U9"/>
  <c r="R263" i="5"/>
  <c r="R272"/>
  <c r="T281"/>
  <c r="R302"/>
  <c r="U302" s="1"/>
  <c r="V302" s="1"/>
  <c r="U263" i="6"/>
  <c r="V263"/>
  <c r="U284"/>
  <c r="W287"/>
  <c r="U296"/>
  <c r="T299"/>
  <c r="X299" s="1"/>
  <c r="V299"/>
  <c r="V308"/>
  <c r="U317"/>
  <c r="T320"/>
  <c r="T329"/>
  <c r="R320" i="5"/>
  <c r="R335"/>
  <c r="U332" i="6"/>
  <c r="W422"/>
  <c r="W428"/>
  <c r="W497"/>
  <c r="W503"/>
  <c r="T302"/>
  <c r="X302" s="1"/>
  <c r="Y302" s="1"/>
  <c r="Q320" i="5"/>
  <c r="U320" s="1"/>
  <c r="R323"/>
  <c r="S332"/>
  <c r="Q335"/>
  <c r="U338" i="6"/>
  <c r="T341"/>
  <c r="W353"/>
  <c r="W356"/>
  <c r="W425"/>
  <c r="W455"/>
  <c r="W467"/>
  <c r="W476"/>
  <c r="W488"/>
  <c r="W500"/>
  <c r="V329"/>
  <c r="T332"/>
  <c r="U335"/>
  <c r="T344"/>
  <c r="W359"/>
  <c r="W383"/>
  <c r="W386"/>
  <c r="W389"/>
  <c r="W416"/>
  <c r="W41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X233" i="6" l="1"/>
  <c r="Y233" s="1"/>
  <c r="X413"/>
  <c r="X212"/>
  <c r="Y212" s="1"/>
  <c r="X389"/>
  <c r="Y68"/>
  <c r="X14"/>
  <c r="Y14" s="1"/>
  <c r="X368"/>
  <c r="Y368" s="1"/>
  <c r="Y239"/>
  <c r="X62"/>
  <c r="Y62" s="1"/>
  <c r="X158"/>
  <c r="Y95"/>
  <c r="X242"/>
  <c r="X269"/>
  <c r="Y269" s="1"/>
  <c r="X182"/>
  <c r="X65"/>
  <c r="Y65" s="1"/>
  <c r="Y173"/>
  <c r="X206"/>
  <c r="Y206" s="1"/>
  <c r="X47"/>
  <c r="X263"/>
  <c r="Y263" s="1"/>
  <c r="Y314"/>
  <c r="X20"/>
  <c r="Y20" s="1"/>
  <c r="X356"/>
  <c r="X362"/>
  <c r="Y362" s="1"/>
  <c r="Y86"/>
  <c r="X44"/>
  <c r="Y44" s="1"/>
  <c r="X398"/>
  <c r="Y398" s="1"/>
  <c r="Y230"/>
  <c r="V398" i="5"/>
  <c r="U254"/>
  <c r="V254" s="1"/>
  <c r="U197"/>
  <c r="U122"/>
  <c r="V122" s="1"/>
  <c r="U83"/>
  <c r="V83" s="1"/>
  <c r="U284"/>
  <c r="U371"/>
  <c r="V371" s="1"/>
  <c r="V347"/>
  <c r="U146"/>
  <c r="V146" s="1"/>
  <c r="U89"/>
  <c r="V89" s="1"/>
  <c r="V56"/>
  <c r="U134"/>
  <c r="V134" s="1"/>
  <c r="U77"/>
  <c r="V377"/>
  <c r="V296"/>
  <c r="U98"/>
  <c r="V98" s="1"/>
  <c r="U65"/>
  <c r="V65" s="1"/>
  <c r="U86"/>
  <c r="U110"/>
  <c r="V110" s="1"/>
  <c r="U311"/>
  <c r="V311" s="1"/>
  <c r="U281"/>
  <c r="V281" s="1"/>
  <c r="V215"/>
  <c r="U176"/>
  <c r="V176" s="1"/>
  <c r="U344"/>
  <c r="V344" s="1"/>
  <c r="U326"/>
  <c r="U275"/>
  <c r="V131"/>
  <c r="U32"/>
  <c r="V32" s="1"/>
  <c r="V326"/>
  <c r="U233"/>
  <c r="V233" s="1"/>
  <c r="U182"/>
  <c r="V182" s="1"/>
  <c r="U308"/>
  <c r="U257"/>
  <c r="U395"/>
  <c r="V395" s="1"/>
  <c r="V209"/>
  <c r="V161"/>
  <c r="U68"/>
  <c r="V68" s="1"/>
  <c r="U389"/>
  <c r="V389" s="1"/>
  <c r="U269"/>
  <c r="U26"/>
  <c r="V26" s="1"/>
  <c r="U392"/>
  <c r="V392" s="1"/>
  <c r="U374"/>
  <c r="U164"/>
  <c r="V164" s="1"/>
  <c r="U191"/>
  <c r="V191" s="1"/>
  <c r="V95"/>
  <c r="V374"/>
  <c r="U173"/>
  <c r="V173" s="1"/>
  <c r="U188"/>
  <c r="U80"/>
  <c r="V80" s="1"/>
  <c r="V20"/>
  <c r="U353"/>
  <c r="V353" s="1"/>
  <c r="V221"/>
  <c r="V125"/>
  <c r="U203"/>
  <c r="V203" s="1"/>
  <c r="U29"/>
  <c r="V29" s="1"/>
  <c r="U230"/>
  <c r="V230" s="1"/>
  <c r="V149"/>
  <c r="U332"/>
  <c r="V332" s="1"/>
  <c r="U365"/>
  <c r="V365" s="1"/>
  <c r="U227"/>
  <c r="V227" s="1"/>
  <c r="V116"/>
  <c r="V92"/>
  <c r="V77"/>
  <c r="U101"/>
  <c r="V101" s="1"/>
  <c r="U380"/>
  <c r="V380" s="1"/>
  <c r="U356"/>
  <c r="V356" s="1"/>
  <c r="U170"/>
  <c r="V170" s="1"/>
  <c r="U59"/>
  <c r="V59" s="1"/>
  <c r="U104"/>
  <c r="V104" s="1"/>
  <c r="U248"/>
  <c r="V248" s="1"/>
  <c r="V257"/>
  <c r="V35"/>
  <c r="U317"/>
  <c r="V71"/>
  <c r="U11"/>
  <c r="V11" s="1"/>
  <c r="U47"/>
  <c r="U260"/>
  <c r="V383"/>
  <c r="U119"/>
  <c r="V119" s="1"/>
  <c r="U368"/>
  <c r="V368" s="1"/>
  <c r="V200"/>
  <c r="V188"/>
  <c r="U44"/>
  <c r="V44" s="1"/>
  <c r="U185"/>
  <c r="V185" s="1"/>
  <c r="U155"/>
  <c r="V155" s="1"/>
  <c r="U41"/>
  <c r="V41" s="1"/>
  <c r="V128"/>
  <c r="U323"/>
  <c r="V323" s="1"/>
  <c r="U335"/>
  <c r="V335" s="1"/>
  <c r="U305"/>
  <c r="V305" s="1"/>
  <c r="V197"/>
  <c r="V53"/>
  <c r="U158"/>
  <c r="V158" s="1"/>
  <c r="V242"/>
  <c r="V275"/>
  <c r="V269"/>
  <c r="V359"/>
  <c r="U167"/>
  <c r="U23"/>
  <c r="V23" s="1"/>
  <c r="V140"/>
  <c r="U107"/>
  <c r="V107" s="1"/>
  <c r="U272"/>
  <c r="V272" s="1"/>
  <c r="V260"/>
  <c r="U350"/>
  <c r="V350" s="1"/>
  <c r="V113"/>
  <c r="V152"/>
  <c r="V167"/>
  <c r="U251"/>
  <c r="V251" s="1"/>
  <c r="V239"/>
  <c r="U143"/>
  <c r="V143" s="1"/>
  <c r="U362"/>
  <c r="V362" s="1"/>
  <c r="V401"/>
  <c r="Y413" i="6"/>
  <c r="X383"/>
  <c r="X305"/>
  <c r="Y305" s="1"/>
  <c r="X137"/>
  <c r="Y137" s="1"/>
  <c r="X188"/>
  <c r="X176"/>
  <c r="Y176" s="1"/>
  <c r="Y71"/>
  <c r="X170"/>
  <c r="Y170" s="1"/>
  <c r="X365"/>
  <c r="Y365" s="1"/>
  <c r="X380"/>
  <c r="Y380" s="1"/>
  <c r="Y326"/>
  <c r="X401"/>
  <c r="Y401" s="1"/>
  <c r="X59"/>
  <c r="Y59" s="1"/>
  <c r="Y383"/>
  <c r="X272"/>
  <c r="Y272" s="1"/>
  <c r="Y77"/>
  <c r="X38"/>
  <c r="X107"/>
  <c r="Y107" s="1"/>
  <c r="X119"/>
  <c r="Y119" s="1"/>
  <c r="X338"/>
  <c r="Y338" s="1"/>
  <c r="X287"/>
  <c r="Y287" s="1"/>
  <c r="Y350"/>
  <c r="Y113"/>
  <c r="X161"/>
  <c r="Y161" s="1"/>
  <c r="X257"/>
  <c r="Y257" s="1"/>
  <c r="X281"/>
  <c r="Y281" s="1"/>
  <c r="X191"/>
  <c r="Y191" s="1"/>
  <c r="Y254"/>
  <c r="X329"/>
  <c r="Y329" s="1"/>
  <c r="X317"/>
  <c r="Y317" s="1"/>
  <c r="X296"/>
  <c r="Y296" s="1"/>
  <c r="X98"/>
  <c r="Y98" s="1"/>
  <c r="X53"/>
  <c r="X35"/>
  <c r="Y47"/>
  <c r="Y215"/>
  <c r="X218"/>
  <c r="Y218" s="1"/>
  <c r="X164"/>
  <c r="Y164" s="1"/>
  <c r="X155"/>
  <c r="Y155" s="1"/>
  <c r="X41"/>
  <c r="Y41" s="1"/>
  <c r="X284"/>
  <c r="Y284" s="1"/>
  <c r="Y158"/>
  <c r="X236"/>
  <c r="X335"/>
  <c r="Y335" s="1"/>
  <c r="X104"/>
  <c r="Y104" s="1"/>
  <c r="X203"/>
  <c r="Y203" s="1"/>
  <c r="X83"/>
  <c r="X110"/>
  <c r="Y110" s="1"/>
  <c r="X251"/>
  <c r="X194"/>
  <c r="Y194" s="1"/>
  <c r="Y128"/>
  <c r="X179"/>
  <c r="Y179" s="1"/>
  <c r="U386" i="5"/>
  <c r="V386" s="1"/>
  <c r="X395" i="6"/>
  <c r="Y395" s="1"/>
  <c r="Y50"/>
  <c r="X248"/>
  <c r="Y248" s="1"/>
  <c r="X167"/>
  <c r="Y167" s="1"/>
  <c r="X23"/>
  <c r="Y23" s="1"/>
  <c r="Y356"/>
  <c r="X131"/>
  <c r="Y131" s="1"/>
  <c r="X101"/>
  <c r="Y101" s="1"/>
  <c r="X347"/>
  <c r="Y347" s="1"/>
  <c r="X341"/>
  <c r="Y341" s="1"/>
  <c r="Y53"/>
  <c r="Y35"/>
  <c r="X11"/>
  <c r="Y11" s="1"/>
  <c r="X245"/>
  <c r="Y245" s="1"/>
  <c r="X146"/>
  <c r="Y146" s="1"/>
  <c r="X17"/>
  <c r="Y17" s="1"/>
  <c r="X209"/>
  <c r="Y209" s="1"/>
  <c r="X221"/>
  <c r="Y221" s="1"/>
  <c r="X200"/>
  <c r="Y200" s="1"/>
  <c r="X227"/>
  <c r="Y227" s="1"/>
  <c r="Y149"/>
  <c r="X308"/>
  <c r="Y308" s="1"/>
  <c r="X332"/>
  <c r="Y332" s="1"/>
  <c r="X320"/>
  <c r="Y320" s="1"/>
  <c r="Y299"/>
  <c r="Y29"/>
  <c r="Y83"/>
  <c r="Y38"/>
  <c r="X374"/>
  <c r="Y374" s="1"/>
  <c r="X386"/>
  <c r="Y386" s="1"/>
  <c r="Y389"/>
  <c r="Y311"/>
  <c r="Y377"/>
  <c r="Y371"/>
  <c r="X359"/>
  <c r="Y359" s="1"/>
  <c r="Y353"/>
  <c r="U329" i="5"/>
  <c r="V329" s="1"/>
  <c r="X344" i="6"/>
  <c r="Y344" s="1"/>
  <c r="U224" i="5"/>
  <c r="V224" s="1"/>
  <c r="V284"/>
  <c r="U263"/>
  <c r="V263" s="1"/>
  <c r="X293" i="6"/>
  <c r="Y293" s="1"/>
  <c r="U299" i="5"/>
  <c r="V299" s="1"/>
  <c r="Y236" i="6"/>
  <c r="X134"/>
  <c r="Y134" s="1"/>
  <c r="X56"/>
  <c r="Y56" s="1"/>
  <c r="V86" i="5"/>
  <c r="Y188" i="6"/>
  <c r="X122"/>
  <c r="Y122" s="1"/>
  <c r="U266" i="5"/>
  <c r="V266" s="1"/>
  <c r="U245"/>
  <c r="V245" s="1"/>
  <c r="X143" i="6"/>
  <c r="Y143" s="1"/>
  <c r="U293" i="5"/>
  <c r="V293" s="1"/>
  <c r="X9" i="13"/>
  <c r="X323" i="6"/>
  <c r="Y323" s="1"/>
  <c r="X224"/>
  <c r="Y224" s="1"/>
  <c r="X74"/>
  <c r="Y74" s="1"/>
  <c r="U218" i="5"/>
  <c r="V218" s="1"/>
  <c r="U194"/>
  <c r="V194" s="1"/>
  <c r="U179"/>
  <c r="V179" s="1"/>
  <c r="X152" i="6"/>
  <c r="Y152" s="1"/>
  <c r="U62" i="5"/>
  <c r="V62" s="1"/>
  <c r="Y251" i="6"/>
  <c r="X290"/>
  <c r="Y290" s="1"/>
  <c r="V317" i="5"/>
  <c r="V320"/>
  <c r="Y266" i="6"/>
  <c r="Y242"/>
  <c r="U74" i="5"/>
  <c r="V74" s="1"/>
  <c r="U38"/>
  <c r="V38" s="1"/>
  <c r="X26" i="6"/>
  <c r="Y26" s="1"/>
  <c r="V308" i="5"/>
  <c r="V47"/>
  <c r="X260" i="6"/>
  <c r="Y260" s="1"/>
  <c r="X278"/>
  <c r="Y278" s="1"/>
  <c r="U278" i="5"/>
  <c r="V278" s="1"/>
  <c r="U290"/>
  <c r="V290" s="1"/>
  <c r="U236"/>
  <c r="V236" s="1"/>
  <c r="Y182" i="6"/>
  <c r="X125"/>
  <c r="Y125" s="1"/>
  <c r="X92"/>
  <c r="Y92" s="1"/>
  <c r="Y32"/>
  <c r="U206" i="5"/>
  <c r="V206" s="1"/>
  <c r="U338"/>
  <c r="V338" s="1"/>
</calcChain>
</file>

<file path=xl/sharedStrings.xml><?xml version="1.0" encoding="utf-8"?>
<sst xmlns="http://schemas.openxmlformats.org/spreadsheetml/2006/main" count="2025" uniqueCount="242">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</sst>
</file>

<file path=xl/styles.xml><?xml version="1.0" encoding="utf-8"?>
<styleSheet xmlns="http://schemas.openxmlformats.org/spreadsheetml/2006/main">
  <numFmts count="3">
    <numFmt numFmtId="164" formatCode="mm\/dd\/yyyy"/>
    <numFmt numFmtId="165" formatCode="m/d/yyyy;@"/>
    <numFmt numFmtId="166" formatCode="m/d;@"/>
  </numFmts>
  <fonts count="44">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u/>
      <sz val="14"/>
      <color indexed="5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theme="1"/>
      <name val="Calibri"/>
      <family val="2"/>
      <scheme val="minor"/>
    </font>
    <font>
      <b/>
      <sz val="14"/>
      <color indexed="8"/>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6" fillId="0" borderId="0"/>
  </cellStyleXfs>
  <cellXfs count="445">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29" fillId="0" borderId="16" xfId="0" applyFont="1" applyBorder="1" applyAlignment="1">
      <alignment vertical="top"/>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0" fillId="0" borderId="44" xfId="0" applyBorder="1"/>
    <xf numFmtId="0" fontId="1" fillId="0" borderId="32" xfId="0" applyFont="1" applyBorder="1"/>
    <xf numFmtId="0" fontId="1" fillId="0" borderId="45" xfId="0" applyFont="1" applyBorder="1"/>
    <xf numFmtId="0" fontId="0" fillId="0" borderId="46" xfId="0" applyBorder="1"/>
    <xf numFmtId="0" fontId="1" fillId="0" borderId="43" xfId="0" applyFont="1" applyBorder="1"/>
    <xf numFmtId="0" fontId="38" fillId="0" borderId="43" xfId="0" applyFont="1" applyBorder="1"/>
    <xf numFmtId="0" fontId="40" fillId="0" borderId="0" xfId="0" applyFont="1"/>
    <xf numFmtId="14" fontId="0" fillId="0" borderId="47" xfId="0" applyNumberForma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9" fillId="0" borderId="30" xfId="0" applyFont="1" applyBorder="1" applyAlignment="1">
      <alignment horizontal="center"/>
    </xf>
    <xf numFmtId="0" fontId="39" fillId="0" borderId="39" xfId="0" applyFont="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5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1" t="s">
        <v>11</v>
      </c>
      <c r="B1" s="422"/>
      <c r="C1" s="422"/>
      <c r="D1" s="422"/>
      <c r="E1" s="422"/>
      <c r="F1" s="422"/>
      <c r="G1" s="423"/>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4" t="s">
        <v>15</v>
      </c>
      <c r="G3" s="425"/>
      <c r="H3" s="12"/>
      <c r="I3" s="12"/>
      <c r="J3" s="12"/>
      <c r="K3" s="12"/>
      <c r="L3" s="12"/>
      <c r="M3" s="12"/>
      <c r="N3" s="12"/>
      <c r="O3" s="12"/>
      <c r="P3" s="12"/>
      <c r="Q3" s="12"/>
      <c r="R3" s="12"/>
      <c r="S3" s="12"/>
      <c r="T3" s="13"/>
    </row>
    <row r="4" spans="1:20">
      <c r="A4" s="10" t="s">
        <v>16</v>
      </c>
      <c r="B4" s="11"/>
      <c r="C4" s="6"/>
      <c r="D4" s="6"/>
      <c r="E4" s="6"/>
      <c r="F4" s="424" t="s">
        <v>17</v>
      </c>
      <c r="G4" s="425"/>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7"/>
      <c r="B13" s="24" t="s">
        <v>32</v>
      </c>
      <c r="C13" s="25"/>
      <c r="D13" s="24" t="s">
        <v>33</v>
      </c>
      <c r="E13" s="26"/>
      <c r="F13" s="420"/>
      <c r="G13" s="27"/>
      <c r="H13" s="28"/>
      <c r="I13" s="29"/>
      <c r="J13" s="28"/>
      <c r="K13" s="28"/>
      <c r="L13" s="28"/>
      <c r="M13" s="28"/>
      <c r="N13" s="28"/>
      <c r="O13" s="28"/>
      <c r="P13" s="28"/>
      <c r="Q13" s="28"/>
      <c r="R13" s="28"/>
      <c r="S13" s="28"/>
      <c r="T13" s="13"/>
    </row>
    <row r="14" spans="1:20">
      <c r="A14" s="418"/>
      <c r="B14" s="24" t="s">
        <v>34</v>
      </c>
      <c r="C14" s="25"/>
      <c r="D14" s="24" t="s">
        <v>33</v>
      </c>
      <c r="E14" s="26"/>
      <c r="F14" s="420"/>
      <c r="G14" s="27"/>
      <c r="H14" s="28"/>
      <c r="I14" s="29"/>
      <c r="J14" s="28"/>
      <c r="K14" s="28"/>
      <c r="L14" s="28"/>
      <c r="M14" s="28"/>
      <c r="N14" s="28"/>
      <c r="O14" s="28"/>
      <c r="P14" s="28"/>
      <c r="Q14" s="28"/>
      <c r="R14" s="28"/>
      <c r="S14" s="28"/>
      <c r="T14" s="13"/>
    </row>
    <row r="15" spans="1:20">
      <c r="A15" s="418"/>
      <c r="B15" s="24" t="s">
        <v>35</v>
      </c>
      <c r="C15" s="25"/>
      <c r="D15" s="24" t="s">
        <v>33</v>
      </c>
      <c r="E15" s="26"/>
      <c r="F15" s="420"/>
      <c r="G15" s="27"/>
      <c r="H15" s="28"/>
      <c r="I15" s="29"/>
      <c r="J15" s="28"/>
      <c r="K15" s="28"/>
      <c r="L15" s="28"/>
      <c r="M15" s="28"/>
      <c r="N15" s="28"/>
      <c r="O15" s="28"/>
      <c r="P15" s="28"/>
      <c r="Q15" s="28"/>
      <c r="R15" s="28"/>
      <c r="S15" s="28"/>
      <c r="T15" s="13"/>
    </row>
    <row r="16" spans="1:20">
      <c r="A16" s="418"/>
      <c r="B16" s="24" t="s">
        <v>36</v>
      </c>
      <c r="C16" s="25"/>
      <c r="D16" s="24" t="s">
        <v>33</v>
      </c>
      <c r="E16" s="26"/>
      <c r="F16" s="420"/>
      <c r="G16" s="27"/>
      <c r="H16" s="28"/>
      <c r="I16" s="29"/>
      <c r="J16" s="28"/>
      <c r="K16" s="28"/>
      <c r="L16" s="28"/>
      <c r="M16" s="28"/>
      <c r="N16" s="28"/>
      <c r="O16" s="28"/>
      <c r="P16" s="28"/>
      <c r="Q16" s="28"/>
      <c r="R16" s="28"/>
      <c r="S16" s="28"/>
      <c r="T16" s="13"/>
    </row>
    <row r="17" spans="1:20">
      <c r="A17" s="419"/>
      <c r="B17" s="24" t="s">
        <v>37</v>
      </c>
      <c r="C17" s="25"/>
      <c r="D17" s="24" t="s">
        <v>33</v>
      </c>
      <c r="E17" s="26"/>
      <c r="F17" s="420"/>
      <c r="G17" s="27"/>
      <c r="H17" s="28"/>
      <c r="I17" s="29"/>
      <c r="J17" s="28"/>
      <c r="K17" s="28"/>
      <c r="L17" s="28"/>
      <c r="M17" s="28"/>
      <c r="N17" s="28"/>
      <c r="O17" s="28"/>
      <c r="P17" s="28"/>
      <c r="Q17" s="28"/>
      <c r="R17" s="28"/>
      <c r="S17" s="28"/>
      <c r="T17" s="13"/>
    </row>
    <row r="18" spans="1:20">
      <c r="A18" s="417"/>
      <c r="B18" s="24" t="s">
        <v>32</v>
      </c>
      <c r="C18" s="25"/>
      <c r="D18" s="24" t="s">
        <v>33</v>
      </c>
      <c r="E18" s="26"/>
      <c r="F18" s="420"/>
      <c r="G18" s="27"/>
    </row>
    <row r="19" spans="1:20">
      <c r="A19" s="418"/>
      <c r="B19" s="24" t="s">
        <v>34</v>
      </c>
      <c r="C19" s="25"/>
      <c r="D19" s="24" t="s">
        <v>33</v>
      </c>
      <c r="E19" s="26"/>
      <c r="F19" s="420"/>
      <c r="G19" s="27"/>
    </row>
    <row r="20" spans="1:20">
      <c r="A20" s="418"/>
      <c r="B20" s="24" t="s">
        <v>35</v>
      </c>
      <c r="C20" s="25"/>
      <c r="D20" s="24" t="s">
        <v>33</v>
      </c>
      <c r="E20" s="26"/>
      <c r="F20" s="420"/>
      <c r="G20" s="27"/>
    </row>
    <row r="21" spans="1:20">
      <c r="A21" s="418"/>
      <c r="B21" s="24" t="s">
        <v>36</v>
      </c>
      <c r="C21" s="25"/>
      <c r="D21" s="24" t="s">
        <v>33</v>
      </c>
      <c r="E21" s="26"/>
      <c r="F21" s="420"/>
      <c r="G21" s="27"/>
    </row>
    <row r="22" spans="1:20">
      <c r="A22" s="419"/>
      <c r="B22" s="24" t="s">
        <v>37</v>
      </c>
      <c r="C22" s="25"/>
      <c r="D22" s="24" t="s">
        <v>33</v>
      </c>
      <c r="E22" s="26"/>
      <c r="F22" s="420"/>
      <c r="G22" s="27"/>
    </row>
    <row r="23" spans="1:20">
      <c r="A23" s="417"/>
      <c r="B23" s="24" t="s">
        <v>32</v>
      </c>
      <c r="C23" s="25"/>
      <c r="D23" s="24" t="s">
        <v>33</v>
      </c>
      <c r="E23" s="26"/>
      <c r="F23" s="420"/>
      <c r="G23" s="27"/>
    </row>
    <row r="24" spans="1:20">
      <c r="A24" s="418"/>
      <c r="B24" s="24" t="s">
        <v>34</v>
      </c>
      <c r="C24" s="25"/>
      <c r="D24" s="24" t="s">
        <v>33</v>
      </c>
      <c r="E24" s="26"/>
      <c r="F24" s="420"/>
      <c r="G24" s="27"/>
    </row>
    <row r="25" spans="1:20">
      <c r="A25" s="418"/>
      <c r="B25" s="24" t="s">
        <v>35</v>
      </c>
      <c r="C25" s="25"/>
      <c r="D25" s="24" t="s">
        <v>33</v>
      </c>
      <c r="E25" s="26"/>
      <c r="F25" s="420"/>
      <c r="G25" s="27"/>
    </row>
    <row r="26" spans="1:20">
      <c r="A26" s="418"/>
      <c r="B26" s="24" t="s">
        <v>36</v>
      </c>
      <c r="C26" s="25"/>
      <c r="D26" s="24" t="s">
        <v>33</v>
      </c>
      <c r="E26" s="26"/>
      <c r="F26" s="420"/>
      <c r="G26" s="27"/>
    </row>
    <row r="27" spans="1:20">
      <c r="A27" s="419"/>
      <c r="B27" s="24" t="s">
        <v>37</v>
      </c>
      <c r="C27" s="25"/>
      <c r="D27" s="24" t="s">
        <v>33</v>
      </c>
      <c r="E27" s="26"/>
      <c r="F27" s="420"/>
      <c r="G27" s="27"/>
    </row>
    <row r="28" spans="1:20">
      <c r="A28" s="417"/>
      <c r="B28" s="24" t="s">
        <v>32</v>
      </c>
      <c r="C28" s="25"/>
      <c r="D28" s="24" t="s">
        <v>33</v>
      </c>
      <c r="E28" s="26"/>
      <c r="F28" s="420"/>
      <c r="G28" s="27"/>
    </row>
    <row r="29" spans="1:20">
      <c r="A29" s="418"/>
      <c r="B29" s="24" t="s">
        <v>34</v>
      </c>
      <c r="C29" s="25"/>
      <c r="D29" s="24" t="s">
        <v>33</v>
      </c>
      <c r="E29" s="26"/>
      <c r="F29" s="420"/>
      <c r="G29" s="27"/>
    </row>
    <row r="30" spans="1:20">
      <c r="A30" s="418"/>
      <c r="B30" s="24" t="s">
        <v>35</v>
      </c>
      <c r="C30" s="25"/>
      <c r="D30" s="24" t="s">
        <v>33</v>
      </c>
      <c r="E30" s="26"/>
      <c r="F30" s="420"/>
      <c r="G30" s="27"/>
    </row>
    <row r="31" spans="1:20">
      <c r="A31" s="418"/>
      <c r="B31" s="24" t="s">
        <v>36</v>
      </c>
      <c r="C31" s="25"/>
      <c r="D31" s="24" t="s">
        <v>33</v>
      </c>
      <c r="E31" s="26"/>
      <c r="F31" s="420"/>
      <c r="G31" s="27"/>
    </row>
    <row r="32" spans="1:20">
      <c r="A32" s="419"/>
      <c r="B32" s="24" t="s">
        <v>37</v>
      </c>
      <c r="C32" s="25"/>
      <c r="D32" s="24" t="s">
        <v>33</v>
      </c>
      <c r="E32" s="26"/>
      <c r="F32" s="420"/>
      <c r="G32" s="27"/>
    </row>
    <row r="33" spans="1:7">
      <c r="A33" s="417"/>
      <c r="B33" s="24" t="s">
        <v>32</v>
      </c>
      <c r="C33" s="25"/>
      <c r="D33" s="24" t="s">
        <v>33</v>
      </c>
      <c r="E33" s="26"/>
      <c r="F33" s="420"/>
      <c r="G33" s="27"/>
    </row>
    <row r="34" spans="1:7">
      <c r="A34" s="418"/>
      <c r="B34" s="24" t="s">
        <v>34</v>
      </c>
      <c r="C34" s="25"/>
      <c r="D34" s="24" t="s">
        <v>33</v>
      </c>
      <c r="E34" s="26"/>
      <c r="F34" s="420"/>
      <c r="G34" s="27"/>
    </row>
    <row r="35" spans="1:7">
      <c r="A35" s="418"/>
      <c r="B35" s="24" t="s">
        <v>35</v>
      </c>
      <c r="C35" s="25"/>
      <c r="D35" s="24" t="s">
        <v>33</v>
      </c>
      <c r="E35" s="26"/>
      <c r="F35" s="420"/>
      <c r="G35" s="27"/>
    </row>
    <row r="36" spans="1:7">
      <c r="A36" s="418"/>
      <c r="B36" s="24" t="s">
        <v>36</v>
      </c>
      <c r="C36" s="25"/>
      <c r="D36" s="24" t="s">
        <v>33</v>
      </c>
      <c r="E36" s="26"/>
      <c r="F36" s="420"/>
      <c r="G36" s="27"/>
    </row>
    <row r="37" spans="1:7">
      <c r="A37" s="419"/>
      <c r="B37" s="24" t="s">
        <v>37</v>
      </c>
      <c r="C37" s="25"/>
      <c r="D37" s="24" t="s">
        <v>33</v>
      </c>
      <c r="E37" s="26"/>
      <c r="F37" s="420"/>
      <c r="G37" s="27"/>
    </row>
    <row r="38" spans="1:7">
      <c r="A38" s="417"/>
      <c r="B38" s="24" t="s">
        <v>32</v>
      </c>
      <c r="C38" s="25"/>
      <c r="D38" s="24" t="s">
        <v>33</v>
      </c>
      <c r="E38" s="26"/>
      <c r="F38" s="420"/>
      <c r="G38" s="27"/>
    </row>
    <row r="39" spans="1:7">
      <c r="A39" s="418"/>
      <c r="B39" s="24" t="s">
        <v>34</v>
      </c>
      <c r="C39" s="25"/>
      <c r="D39" s="24" t="s">
        <v>33</v>
      </c>
      <c r="E39" s="26"/>
      <c r="F39" s="420"/>
      <c r="G39" s="27"/>
    </row>
    <row r="40" spans="1:7">
      <c r="A40" s="418"/>
      <c r="B40" s="24" t="s">
        <v>35</v>
      </c>
      <c r="C40" s="25"/>
      <c r="D40" s="24" t="s">
        <v>33</v>
      </c>
      <c r="E40" s="26"/>
      <c r="F40" s="420"/>
      <c r="G40" s="27"/>
    </row>
    <row r="41" spans="1:7">
      <c r="A41" s="418"/>
      <c r="B41" s="24" t="s">
        <v>36</v>
      </c>
      <c r="C41" s="25"/>
      <c r="D41" s="24" t="s">
        <v>33</v>
      </c>
      <c r="E41" s="26"/>
      <c r="F41" s="420"/>
      <c r="G41" s="27"/>
    </row>
    <row r="42" spans="1:7">
      <c r="A42" s="419"/>
      <c r="B42" s="24" t="s">
        <v>37</v>
      </c>
      <c r="C42" s="25"/>
      <c r="D42" s="24" t="s">
        <v>33</v>
      </c>
      <c r="E42" s="26"/>
      <c r="F42" s="420"/>
      <c r="G42" s="27"/>
    </row>
    <row r="43" spans="1:7">
      <c r="A43" s="417"/>
      <c r="B43" s="24" t="s">
        <v>32</v>
      </c>
      <c r="C43" s="25"/>
      <c r="D43" s="24" t="s">
        <v>33</v>
      </c>
      <c r="E43" s="26"/>
      <c r="F43" s="420"/>
      <c r="G43" s="27"/>
    </row>
    <row r="44" spans="1:7">
      <c r="A44" s="418"/>
      <c r="B44" s="24" t="s">
        <v>34</v>
      </c>
      <c r="C44" s="25"/>
      <c r="D44" s="24" t="s">
        <v>33</v>
      </c>
      <c r="E44" s="26"/>
      <c r="F44" s="420"/>
      <c r="G44" s="27"/>
    </row>
    <row r="45" spans="1:7">
      <c r="A45" s="418"/>
      <c r="B45" s="24" t="s">
        <v>35</v>
      </c>
      <c r="C45" s="25"/>
      <c r="D45" s="24" t="s">
        <v>33</v>
      </c>
      <c r="E45" s="26"/>
      <c r="F45" s="420"/>
      <c r="G45" s="27"/>
    </row>
    <row r="46" spans="1:7">
      <c r="A46" s="418"/>
      <c r="B46" s="24" t="s">
        <v>36</v>
      </c>
      <c r="C46" s="25"/>
      <c r="D46" s="24" t="s">
        <v>33</v>
      </c>
      <c r="E46" s="26"/>
      <c r="F46" s="420"/>
      <c r="G46" s="27"/>
    </row>
    <row r="47" spans="1:7">
      <c r="A47" s="419"/>
      <c r="B47" s="24" t="s">
        <v>37</v>
      </c>
      <c r="C47" s="25"/>
      <c r="D47" s="24" t="s">
        <v>33</v>
      </c>
      <c r="E47" s="26"/>
      <c r="F47" s="420"/>
      <c r="G47" s="27"/>
    </row>
    <row r="48" spans="1:7">
      <c r="A48" s="417"/>
      <c r="B48" s="24" t="s">
        <v>32</v>
      </c>
      <c r="C48" s="25"/>
      <c r="D48" s="24" t="s">
        <v>33</v>
      </c>
      <c r="E48" s="26"/>
      <c r="F48" s="420"/>
      <c r="G48" s="27"/>
    </row>
    <row r="49" spans="1:7">
      <c r="A49" s="418"/>
      <c r="B49" s="24" t="s">
        <v>34</v>
      </c>
      <c r="C49" s="25"/>
      <c r="D49" s="24" t="s">
        <v>33</v>
      </c>
      <c r="E49" s="26"/>
      <c r="F49" s="420"/>
      <c r="G49" s="27"/>
    </row>
    <row r="50" spans="1:7">
      <c r="A50" s="418"/>
      <c r="B50" s="24" t="s">
        <v>35</v>
      </c>
      <c r="C50" s="25"/>
      <c r="D50" s="24" t="s">
        <v>33</v>
      </c>
      <c r="E50" s="26"/>
      <c r="F50" s="420"/>
      <c r="G50" s="27"/>
    </row>
    <row r="51" spans="1:7">
      <c r="A51" s="418"/>
      <c r="B51" s="24" t="s">
        <v>36</v>
      </c>
      <c r="C51" s="25"/>
      <c r="D51" s="24" t="s">
        <v>33</v>
      </c>
      <c r="E51" s="26"/>
      <c r="F51" s="420"/>
      <c r="G51" s="27"/>
    </row>
    <row r="52" spans="1:7">
      <c r="A52" s="419"/>
      <c r="B52" s="24" t="s">
        <v>37</v>
      </c>
      <c r="C52" s="25"/>
      <c r="D52" s="24" t="s">
        <v>33</v>
      </c>
      <c r="E52" s="26"/>
      <c r="F52" s="420"/>
      <c r="G52" s="27"/>
    </row>
    <row r="53" spans="1:7">
      <c r="A53" s="417"/>
      <c r="B53" s="24" t="s">
        <v>32</v>
      </c>
      <c r="C53" s="25"/>
      <c r="D53" s="24" t="s">
        <v>33</v>
      </c>
      <c r="E53" s="26"/>
      <c r="F53" s="420"/>
      <c r="G53" s="27"/>
    </row>
    <row r="54" spans="1:7">
      <c r="A54" s="418"/>
      <c r="B54" s="24" t="s">
        <v>34</v>
      </c>
      <c r="C54" s="25"/>
      <c r="D54" s="24" t="s">
        <v>33</v>
      </c>
      <c r="E54" s="26"/>
      <c r="F54" s="420"/>
      <c r="G54" s="27"/>
    </row>
    <row r="55" spans="1:7">
      <c r="A55" s="418"/>
      <c r="B55" s="24" t="s">
        <v>35</v>
      </c>
      <c r="C55" s="25"/>
      <c r="D55" s="24" t="s">
        <v>33</v>
      </c>
      <c r="E55" s="26"/>
      <c r="F55" s="420"/>
      <c r="G55" s="27"/>
    </row>
    <row r="56" spans="1:7">
      <c r="A56" s="418"/>
      <c r="B56" s="24" t="s">
        <v>36</v>
      </c>
      <c r="C56" s="25"/>
      <c r="D56" s="24" t="s">
        <v>33</v>
      </c>
      <c r="E56" s="26"/>
      <c r="F56" s="420"/>
      <c r="G56" s="27"/>
    </row>
    <row r="57" spans="1:7">
      <c r="A57" s="419"/>
      <c r="B57" s="24" t="s">
        <v>37</v>
      </c>
      <c r="C57" s="25"/>
      <c r="D57" s="24" t="s">
        <v>33</v>
      </c>
      <c r="E57" s="26"/>
      <c r="F57" s="420"/>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D189" sqref="D189"/>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6" t="s">
        <v>11</v>
      </c>
      <c r="B1" s="426"/>
      <c r="C1" s="426"/>
      <c r="D1" s="426"/>
      <c r="E1" s="426"/>
      <c r="F1" s="426"/>
      <c r="G1" s="426"/>
      <c r="H1" s="426"/>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7" t="s">
        <v>40</v>
      </c>
      <c r="C8" s="428"/>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c r="B187" s="79"/>
      <c r="C187" s="79"/>
      <c r="D187" s="83" t="str">
        <f t="shared" si="21"/>
        <v/>
      </c>
      <c r="E187" s="30" t="str">
        <f t="shared" si="22"/>
        <v/>
      </c>
      <c r="F187" s="86"/>
      <c r="G187" s="113"/>
      <c r="H187" s="82">
        <v>60</v>
      </c>
      <c r="I187" s="79"/>
    </row>
    <row r="188" spans="1:9">
      <c r="A188" s="117"/>
      <c r="B188" s="79"/>
      <c r="C188" s="79"/>
      <c r="D188" s="83" t="str">
        <f t="shared" si="21"/>
        <v/>
      </c>
      <c r="E188" s="30" t="str">
        <f t="shared" si="22"/>
        <v/>
      </c>
      <c r="F188" s="86"/>
      <c r="G188" s="113"/>
      <c r="H188" s="82">
        <v>60</v>
      </c>
      <c r="I188" s="79"/>
    </row>
    <row r="189" spans="1:9">
      <c r="A189" s="117"/>
      <c r="B189" s="79"/>
      <c r="C189" s="79"/>
      <c r="D189" s="83" t="str">
        <f t="shared" si="21"/>
        <v/>
      </c>
      <c r="E189" s="30" t="str">
        <f t="shared" si="22"/>
        <v/>
      </c>
      <c r="F189" s="86"/>
      <c r="G189" s="113"/>
      <c r="H189" s="82">
        <v>60</v>
      </c>
      <c r="I189" s="79"/>
    </row>
    <row r="190" spans="1:9">
      <c r="A190" s="117"/>
      <c r="B190" s="79"/>
      <c r="C190" s="79"/>
      <c r="D190" s="83" t="str">
        <f t="shared" si="21"/>
        <v/>
      </c>
      <c r="E190" s="30" t="str">
        <f t="shared" si="22"/>
        <v/>
      </c>
      <c r="F190" s="86"/>
      <c r="G190" s="113"/>
      <c r="H190" s="82">
        <v>60</v>
      </c>
      <c r="I190" s="79"/>
    </row>
    <row r="191" spans="1:9">
      <c r="A191" s="117"/>
      <c r="B191" s="79"/>
      <c r="C191" s="79"/>
      <c r="D191" s="83" t="str">
        <f t="shared" si="21"/>
        <v/>
      </c>
      <c r="E191" s="30" t="str">
        <f t="shared" si="22"/>
        <v/>
      </c>
      <c r="F191" s="86"/>
      <c r="G191" s="113"/>
      <c r="H191" s="82">
        <v>60</v>
      </c>
      <c r="I191" s="79"/>
    </row>
    <row r="192" spans="1:9">
      <c r="A192" s="117"/>
      <c r="B192" s="79"/>
      <c r="C192" s="79"/>
      <c r="D192" s="83" t="str">
        <f t="shared" si="21"/>
        <v/>
      </c>
      <c r="E192" s="30" t="str">
        <f t="shared" si="22"/>
        <v/>
      </c>
      <c r="F192" s="86"/>
      <c r="G192" s="113"/>
      <c r="H192" s="82">
        <v>60</v>
      </c>
      <c r="I192" s="79"/>
    </row>
    <row r="193" spans="1:9">
      <c r="A193" s="117"/>
      <c r="B193" s="79"/>
      <c r="C193" s="79"/>
      <c r="D193" s="83" t="str">
        <f t="shared" si="21"/>
        <v/>
      </c>
      <c r="E193" s="30" t="str">
        <f t="shared" si="22"/>
        <v/>
      </c>
      <c r="F193" s="86"/>
      <c r="G193" s="113"/>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1757" priority="373" stopIfTrue="1" operator="equal">
      <formula>"Pass"</formula>
    </cfRule>
    <cfRule type="cellIs" dxfId="1756" priority="374" stopIfTrue="1" operator="equal">
      <formula>"Fail"</formula>
    </cfRule>
  </conditionalFormatting>
  <conditionalFormatting sqref="E108:E136">
    <cfRule type="cellIs" dxfId="1755" priority="371" stopIfTrue="1" operator="equal">
      <formula>"Pass"</formula>
    </cfRule>
    <cfRule type="cellIs" dxfId="1754" priority="372" stopIfTrue="1" operator="equal">
      <formula>"Fail"</formula>
    </cfRule>
  </conditionalFormatting>
  <conditionalFormatting sqref="E137:E143">
    <cfRule type="cellIs" dxfId="1753" priority="369" stopIfTrue="1" operator="equal">
      <formula>"Pass"</formula>
    </cfRule>
    <cfRule type="cellIs" dxfId="1752" priority="370" stopIfTrue="1" operator="equal">
      <formula>"Fail"</formula>
    </cfRule>
  </conditionalFormatting>
  <conditionalFormatting sqref="E144:E151">
    <cfRule type="cellIs" dxfId="1751" priority="367" stopIfTrue="1" operator="equal">
      <formula>"Pass"</formula>
    </cfRule>
    <cfRule type="cellIs" dxfId="1750" priority="368" stopIfTrue="1" operator="equal">
      <formula>"Fail"</formula>
    </cfRule>
  </conditionalFormatting>
  <conditionalFormatting sqref="E145:E151">
    <cfRule type="cellIs" dxfId="1749" priority="365" stopIfTrue="1" operator="equal">
      <formula>"Pass"</formula>
    </cfRule>
    <cfRule type="cellIs" dxfId="1748" priority="366" stopIfTrue="1" operator="equal">
      <formula>"Fail"</formula>
    </cfRule>
  </conditionalFormatting>
  <conditionalFormatting sqref="E152">
    <cfRule type="cellIs" dxfId="1747" priority="363" stopIfTrue="1" operator="equal">
      <formula>"Pass"</formula>
    </cfRule>
    <cfRule type="cellIs" dxfId="1746" priority="364" stopIfTrue="1" operator="equal">
      <formula>"Fail"</formula>
    </cfRule>
  </conditionalFormatting>
  <conditionalFormatting sqref="E152">
    <cfRule type="cellIs" dxfId="1745" priority="361" stopIfTrue="1" operator="equal">
      <formula>"Pass"</formula>
    </cfRule>
    <cfRule type="cellIs" dxfId="1744" priority="362" stopIfTrue="1" operator="equal">
      <formula>"Fail"</formula>
    </cfRule>
  </conditionalFormatting>
  <conditionalFormatting sqref="E153">
    <cfRule type="cellIs" dxfId="1743" priority="359" stopIfTrue="1" operator="equal">
      <formula>"Pass"</formula>
    </cfRule>
    <cfRule type="cellIs" dxfId="1742" priority="360" stopIfTrue="1" operator="equal">
      <formula>"Fail"</formula>
    </cfRule>
  </conditionalFormatting>
  <conditionalFormatting sqref="E153">
    <cfRule type="cellIs" dxfId="1741" priority="357" stopIfTrue="1" operator="equal">
      <formula>"Pass"</formula>
    </cfRule>
    <cfRule type="cellIs" dxfId="1740" priority="358" stopIfTrue="1" operator="equal">
      <formula>"Fail"</formula>
    </cfRule>
  </conditionalFormatting>
  <conditionalFormatting sqref="E154">
    <cfRule type="cellIs" dxfId="1739" priority="355" stopIfTrue="1" operator="equal">
      <formula>"Pass"</formula>
    </cfRule>
    <cfRule type="cellIs" dxfId="1738" priority="356" stopIfTrue="1" operator="equal">
      <formula>"Fail"</formula>
    </cfRule>
  </conditionalFormatting>
  <conditionalFormatting sqref="E154">
    <cfRule type="cellIs" dxfId="1737" priority="353" stopIfTrue="1" operator="equal">
      <formula>"Pass"</formula>
    </cfRule>
    <cfRule type="cellIs" dxfId="1736" priority="354" stopIfTrue="1" operator="equal">
      <formula>"Fail"</formula>
    </cfRule>
  </conditionalFormatting>
  <conditionalFormatting sqref="E155">
    <cfRule type="cellIs" dxfId="1735" priority="351" stopIfTrue="1" operator="equal">
      <formula>"Pass"</formula>
    </cfRule>
    <cfRule type="cellIs" dxfId="1734" priority="352" stopIfTrue="1" operator="equal">
      <formula>"Fail"</formula>
    </cfRule>
  </conditionalFormatting>
  <conditionalFormatting sqref="E155">
    <cfRule type="cellIs" dxfId="1733" priority="349" stopIfTrue="1" operator="equal">
      <formula>"Pass"</formula>
    </cfRule>
    <cfRule type="cellIs" dxfId="1732" priority="350" stopIfTrue="1" operator="equal">
      <formula>"Fail"</formula>
    </cfRule>
  </conditionalFormatting>
  <conditionalFormatting sqref="E156">
    <cfRule type="cellIs" dxfId="1731" priority="347" stopIfTrue="1" operator="equal">
      <formula>"Pass"</formula>
    </cfRule>
    <cfRule type="cellIs" dxfId="1730" priority="348" stopIfTrue="1" operator="equal">
      <formula>"Fail"</formula>
    </cfRule>
  </conditionalFormatting>
  <conditionalFormatting sqref="E156">
    <cfRule type="cellIs" dxfId="1729" priority="345" stopIfTrue="1" operator="equal">
      <formula>"Pass"</formula>
    </cfRule>
    <cfRule type="cellIs" dxfId="1728" priority="346" stopIfTrue="1" operator="equal">
      <formula>"Fail"</formula>
    </cfRule>
  </conditionalFormatting>
  <conditionalFormatting sqref="E157">
    <cfRule type="cellIs" dxfId="1727" priority="343" stopIfTrue="1" operator="equal">
      <formula>"Pass"</formula>
    </cfRule>
    <cfRule type="cellIs" dxfId="1726" priority="344" stopIfTrue="1" operator="equal">
      <formula>"Fail"</formula>
    </cfRule>
  </conditionalFormatting>
  <conditionalFormatting sqref="E157">
    <cfRule type="cellIs" dxfId="1725" priority="341" stopIfTrue="1" operator="equal">
      <formula>"Pass"</formula>
    </cfRule>
    <cfRule type="cellIs" dxfId="1724" priority="342" stopIfTrue="1" operator="equal">
      <formula>"Fail"</formula>
    </cfRule>
  </conditionalFormatting>
  <conditionalFormatting sqref="E158">
    <cfRule type="cellIs" dxfId="1723" priority="339" stopIfTrue="1" operator="equal">
      <formula>"Pass"</formula>
    </cfRule>
    <cfRule type="cellIs" dxfId="1722" priority="340" stopIfTrue="1" operator="equal">
      <formula>"Fail"</formula>
    </cfRule>
  </conditionalFormatting>
  <conditionalFormatting sqref="E158">
    <cfRule type="cellIs" dxfId="1721" priority="337" stopIfTrue="1" operator="equal">
      <formula>"Pass"</formula>
    </cfRule>
    <cfRule type="cellIs" dxfId="1720" priority="338" stopIfTrue="1" operator="equal">
      <formula>"Fail"</formula>
    </cfRule>
  </conditionalFormatting>
  <conditionalFormatting sqref="E159">
    <cfRule type="cellIs" dxfId="1719" priority="335" stopIfTrue="1" operator="equal">
      <formula>"Pass"</formula>
    </cfRule>
    <cfRule type="cellIs" dxfId="1718" priority="336" stopIfTrue="1" operator="equal">
      <formula>"Fail"</formula>
    </cfRule>
  </conditionalFormatting>
  <conditionalFormatting sqref="E159">
    <cfRule type="cellIs" dxfId="1717" priority="333" stopIfTrue="1" operator="equal">
      <formula>"Pass"</formula>
    </cfRule>
    <cfRule type="cellIs" dxfId="1716" priority="334" stopIfTrue="1" operator="equal">
      <formula>"Fail"</formula>
    </cfRule>
  </conditionalFormatting>
  <conditionalFormatting sqref="E160">
    <cfRule type="cellIs" dxfId="1715" priority="331" stopIfTrue="1" operator="equal">
      <formula>"Pass"</formula>
    </cfRule>
    <cfRule type="cellIs" dxfId="1714" priority="332" stopIfTrue="1" operator="equal">
      <formula>"Fail"</formula>
    </cfRule>
  </conditionalFormatting>
  <conditionalFormatting sqref="E160">
    <cfRule type="cellIs" dxfId="1713" priority="329" stopIfTrue="1" operator="equal">
      <formula>"Pass"</formula>
    </cfRule>
    <cfRule type="cellIs" dxfId="1712" priority="330" stopIfTrue="1" operator="equal">
      <formula>"Fail"</formula>
    </cfRule>
  </conditionalFormatting>
  <conditionalFormatting sqref="E161">
    <cfRule type="cellIs" dxfId="1711" priority="327" stopIfTrue="1" operator="equal">
      <formula>"Pass"</formula>
    </cfRule>
    <cfRule type="cellIs" dxfId="1710" priority="328" stopIfTrue="1" operator="equal">
      <formula>"Fail"</formula>
    </cfRule>
  </conditionalFormatting>
  <conditionalFormatting sqref="E161">
    <cfRule type="cellIs" dxfId="1709" priority="325" stopIfTrue="1" operator="equal">
      <formula>"Pass"</formula>
    </cfRule>
    <cfRule type="cellIs" dxfId="1708" priority="326" stopIfTrue="1" operator="equal">
      <formula>"Fail"</formula>
    </cfRule>
  </conditionalFormatting>
  <conditionalFormatting sqref="E162">
    <cfRule type="cellIs" dxfId="1707" priority="323" stopIfTrue="1" operator="equal">
      <formula>"Pass"</formula>
    </cfRule>
    <cfRule type="cellIs" dxfId="1706" priority="324" stopIfTrue="1" operator="equal">
      <formula>"Fail"</formula>
    </cfRule>
  </conditionalFormatting>
  <conditionalFormatting sqref="E162">
    <cfRule type="cellIs" dxfId="1705" priority="321" stopIfTrue="1" operator="equal">
      <formula>"Pass"</formula>
    </cfRule>
    <cfRule type="cellIs" dxfId="1704" priority="322" stopIfTrue="1" operator="equal">
      <formula>"Fail"</formula>
    </cfRule>
  </conditionalFormatting>
  <conditionalFormatting sqref="E163">
    <cfRule type="cellIs" dxfId="1703" priority="319" stopIfTrue="1" operator="equal">
      <formula>"Pass"</formula>
    </cfRule>
    <cfRule type="cellIs" dxfId="1702" priority="320" stopIfTrue="1" operator="equal">
      <formula>"Fail"</formula>
    </cfRule>
  </conditionalFormatting>
  <conditionalFormatting sqref="E163">
    <cfRule type="cellIs" dxfId="1701" priority="317" stopIfTrue="1" operator="equal">
      <formula>"Pass"</formula>
    </cfRule>
    <cfRule type="cellIs" dxfId="1700" priority="318" stopIfTrue="1" operator="equal">
      <formula>"Fail"</formula>
    </cfRule>
  </conditionalFormatting>
  <conditionalFormatting sqref="E164">
    <cfRule type="cellIs" dxfId="1699" priority="315" stopIfTrue="1" operator="equal">
      <formula>"Pass"</formula>
    </cfRule>
    <cfRule type="cellIs" dxfId="1698" priority="316" stopIfTrue="1" operator="equal">
      <formula>"Fail"</formula>
    </cfRule>
  </conditionalFormatting>
  <conditionalFormatting sqref="E164">
    <cfRule type="cellIs" dxfId="1697" priority="313" stopIfTrue="1" operator="equal">
      <formula>"Pass"</formula>
    </cfRule>
    <cfRule type="cellIs" dxfId="1696" priority="314" stopIfTrue="1" operator="equal">
      <formula>"Fail"</formula>
    </cfRule>
  </conditionalFormatting>
  <conditionalFormatting sqref="E165">
    <cfRule type="cellIs" dxfId="1695" priority="311" stopIfTrue="1" operator="equal">
      <formula>"Pass"</formula>
    </cfRule>
    <cfRule type="cellIs" dxfId="1694" priority="312" stopIfTrue="1" operator="equal">
      <formula>"Fail"</formula>
    </cfRule>
  </conditionalFormatting>
  <conditionalFormatting sqref="E165">
    <cfRule type="cellIs" dxfId="1693" priority="309" stopIfTrue="1" operator="equal">
      <formula>"Pass"</formula>
    </cfRule>
    <cfRule type="cellIs" dxfId="1692" priority="310" stopIfTrue="1" operator="equal">
      <formula>"Fail"</formula>
    </cfRule>
  </conditionalFormatting>
  <conditionalFormatting sqref="E166">
    <cfRule type="cellIs" dxfId="1691" priority="307" stopIfTrue="1" operator="equal">
      <formula>"Pass"</formula>
    </cfRule>
    <cfRule type="cellIs" dxfId="1690" priority="308" stopIfTrue="1" operator="equal">
      <formula>"Fail"</formula>
    </cfRule>
  </conditionalFormatting>
  <conditionalFormatting sqref="E166">
    <cfRule type="cellIs" dxfId="1689" priority="305" stopIfTrue="1" operator="equal">
      <formula>"Pass"</formula>
    </cfRule>
    <cfRule type="cellIs" dxfId="1688" priority="306" stopIfTrue="1" operator="equal">
      <formula>"Fail"</formula>
    </cfRule>
  </conditionalFormatting>
  <conditionalFormatting sqref="E167">
    <cfRule type="cellIs" dxfId="1687" priority="303" stopIfTrue="1" operator="equal">
      <formula>"Pass"</formula>
    </cfRule>
    <cfRule type="cellIs" dxfId="1686" priority="304" stopIfTrue="1" operator="equal">
      <formula>"Fail"</formula>
    </cfRule>
  </conditionalFormatting>
  <conditionalFormatting sqref="E167">
    <cfRule type="cellIs" dxfId="1685" priority="301" stopIfTrue="1" operator="equal">
      <formula>"Pass"</formula>
    </cfRule>
    <cfRule type="cellIs" dxfId="1684" priority="302" stopIfTrue="1" operator="equal">
      <formula>"Fail"</formula>
    </cfRule>
  </conditionalFormatting>
  <conditionalFormatting sqref="E168">
    <cfRule type="cellIs" dxfId="1683" priority="299" stopIfTrue="1" operator="equal">
      <formula>"Pass"</formula>
    </cfRule>
    <cfRule type="cellIs" dxfId="1682" priority="300" stopIfTrue="1" operator="equal">
      <formula>"Fail"</formula>
    </cfRule>
  </conditionalFormatting>
  <conditionalFormatting sqref="E168">
    <cfRule type="cellIs" dxfId="1681" priority="297" stopIfTrue="1" operator="equal">
      <formula>"Pass"</formula>
    </cfRule>
    <cfRule type="cellIs" dxfId="1680" priority="298" stopIfTrue="1" operator="equal">
      <formula>"Fail"</formula>
    </cfRule>
  </conditionalFormatting>
  <conditionalFormatting sqref="E169">
    <cfRule type="cellIs" dxfId="1679" priority="295" stopIfTrue="1" operator="equal">
      <formula>"Pass"</formula>
    </cfRule>
    <cfRule type="cellIs" dxfId="1678" priority="296" stopIfTrue="1" operator="equal">
      <formula>"Fail"</formula>
    </cfRule>
  </conditionalFormatting>
  <conditionalFormatting sqref="E169">
    <cfRule type="cellIs" dxfId="1677" priority="293" stopIfTrue="1" operator="equal">
      <formula>"Pass"</formula>
    </cfRule>
    <cfRule type="cellIs" dxfId="1676" priority="294" stopIfTrue="1" operator="equal">
      <formula>"Fail"</formula>
    </cfRule>
  </conditionalFormatting>
  <conditionalFormatting sqref="E170">
    <cfRule type="cellIs" dxfId="1675" priority="291" stopIfTrue="1" operator="equal">
      <formula>"Pass"</formula>
    </cfRule>
    <cfRule type="cellIs" dxfId="1674" priority="292" stopIfTrue="1" operator="equal">
      <formula>"Fail"</formula>
    </cfRule>
  </conditionalFormatting>
  <conditionalFormatting sqref="E170">
    <cfRule type="cellIs" dxfId="1673" priority="289" stopIfTrue="1" operator="equal">
      <formula>"Pass"</formula>
    </cfRule>
    <cfRule type="cellIs" dxfId="1672" priority="290" stopIfTrue="1" operator="equal">
      <formula>"Fail"</formula>
    </cfRule>
  </conditionalFormatting>
  <conditionalFormatting sqref="E171">
    <cfRule type="cellIs" dxfId="1671" priority="287" stopIfTrue="1" operator="equal">
      <formula>"Pass"</formula>
    </cfRule>
    <cfRule type="cellIs" dxfId="1670" priority="288" stopIfTrue="1" operator="equal">
      <formula>"Fail"</formula>
    </cfRule>
  </conditionalFormatting>
  <conditionalFormatting sqref="E171">
    <cfRule type="cellIs" dxfId="1669" priority="285" stopIfTrue="1" operator="equal">
      <formula>"Pass"</formula>
    </cfRule>
    <cfRule type="cellIs" dxfId="1668" priority="286" stopIfTrue="1" operator="equal">
      <formula>"Fail"</formula>
    </cfRule>
  </conditionalFormatting>
  <conditionalFormatting sqref="E172">
    <cfRule type="cellIs" dxfId="1667" priority="283" stopIfTrue="1" operator="equal">
      <formula>"Pass"</formula>
    </cfRule>
    <cfRule type="cellIs" dxfId="1666" priority="284" stopIfTrue="1" operator="equal">
      <formula>"Fail"</formula>
    </cfRule>
  </conditionalFormatting>
  <conditionalFormatting sqref="E172">
    <cfRule type="cellIs" dxfId="1665" priority="281" stopIfTrue="1" operator="equal">
      <formula>"Pass"</formula>
    </cfRule>
    <cfRule type="cellIs" dxfId="1664" priority="282" stopIfTrue="1" operator="equal">
      <formula>"Fail"</formula>
    </cfRule>
  </conditionalFormatting>
  <conditionalFormatting sqref="E173">
    <cfRule type="cellIs" dxfId="1663" priority="279" stopIfTrue="1" operator="equal">
      <formula>"Pass"</formula>
    </cfRule>
    <cfRule type="cellIs" dxfId="1662" priority="280" stopIfTrue="1" operator="equal">
      <formula>"Fail"</formula>
    </cfRule>
  </conditionalFormatting>
  <conditionalFormatting sqref="E173">
    <cfRule type="cellIs" dxfId="1661" priority="277" stopIfTrue="1" operator="equal">
      <formula>"Pass"</formula>
    </cfRule>
    <cfRule type="cellIs" dxfId="1660" priority="278" stopIfTrue="1" operator="equal">
      <formula>"Fail"</formula>
    </cfRule>
  </conditionalFormatting>
  <conditionalFormatting sqref="E174">
    <cfRule type="cellIs" dxfId="1659" priority="275" stopIfTrue="1" operator="equal">
      <formula>"Pass"</formula>
    </cfRule>
    <cfRule type="cellIs" dxfId="1658" priority="276" stopIfTrue="1" operator="equal">
      <formula>"Fail"</formula>
    </cfRule>
  </conditionalFormatting>
  <conditionalFormatting sqref="E174">
    <cfRule type="cellIs" dxfId="1657" priority="273" stopIfTrue="1" operator="equal">
      <formula>"Pass"</formula>
    </cfRule>
    <cfRule type="cellIs" dxfId="1656" priority="274" stopIfTrue="1" operator="equal">
      <formula>"Fail"</formula>
    </cfRule>
  </conditionalFormatting>
  <conditionalFormatting sqref="E175">
    <cfRule type="cellIs" dxfId="1655" priority="271" stopIfTrue="1" operator="equal">
      <formula>"Pass"</formula>
    </cfRule>
    <cfRule type="cellIs" dxfId="1654" priority="272" stopIfTrue="1" operator="equal">
      <formula>"Fail"</formula>
    </cfRule>
  </conditionalFormatting>
  <conditionalFormatting sqref="E175">
    <cfRule type="cellIs" dxfId="1653" priority="269" stopIfTrue="1" operator="equal">
      <formula>"Pass"</formula>
    </cfRule>
    <cfRule type="cellIs" dxfId="1652" priority="270" stopIfTrue="1" operator="equal">
      <formula>"Fail"</formula>
    </cfRule>
  </conditionalFormatting>
  <conditionalFormatting sqref="E176">
    <cfRule type="cellIs" dxfId="1651" priority="267" stopIfTrue="1" operator="equal">
      <formula>"Pass"</formula>
    </cfRule>
    <cfRule type="cellIs" dxfId="1650" priority="268" stopIfTrue="1" operator="equal">
      <formula>"Fail"</formula>
    </cfRule>
  </conditionalFormatting>
  <conditionalFormatting sqref="E176">
    <cfRule type="cellIs" dxfId="1649" priority="265" stopIfTrue="1" operator="equal">
      <formula>"Pass"</formula>
    </cfRule>
    <cfRule type="cellIs" dxfId="1648" priority="266" stopIfTrue="1" operator="equal">
      <formula>"Fail"</formula>
    </cfRule>
  </conditionalFormatting>
  <conditionalFormatting sqref="E177">
    <cfRule type="cellIs" dxfId="1647" priority="263" stopIfTrue="1" operator="equal">
      <formula>"Pass"</formula>
    </cfRule>
    <cfRule type="cellIs" dxfId="1646" priority="264" stopIfTrue="1" operator="equal">
      <formula>"Fail"</formula>
    </cfRule>
  </conditionalFormatting>
  <conditionalFormatting sqref="E177">
    <cfRule type="cellIs" dxfId="1645" priority="261" stopIfTrue="1" operator="equal">
      <formula>"Pass"</formula>
    </cfRule>
    <cfRule type="cellIs" dxfId="1644" priority="262" stopIfTrue="1" operator="equal">
      <formula>"Fail"</formula>
    </cfRule>
  </conditionalFormatting>
  <conditionalFormatting sqref="E178:E179">
    <cfRule type="cellIs" dxfId="1643" priority="259" stopIfTrue="1" operator="equal">
      <formula>"Pass"</formula>
    </cfRule>
    <cfRule type="cellIs" dxfId="1642" priority="260" stopIfTrue="1" operator="equal">
      <formula>"Fail"</formula>
    </cfRule>
  </conditionalFormatting>
  <conditionalFormatting sqref="E178:E179">
    <cfRule type="cellIs" dxfId="1641" priority="257" stopIfTrue="1" operator="equal">
      <formula>"Pass"</formula>
    </cfRule>
    <cfRule type="cellIs" dxfId="1640" priority="258" stopIfTrue="1" operator="equal">
      <formula>"Fail"</formula>
    </cfRule>
  </conditionalFormatting>
  <conditionalFormatting sqref="E179">
    <cfRule type="cellIs" dxfId="1639" priority="255" stopIfTrue="1" operator="equal">
      <formula>"Pass"</formula>
    </cfRule>
    <cfRule type="cellIs" dxfId="1638" priority="256" stopIfTrue="1" operator="equal">
      <formula>"Fail"</formula>
    </cfRule>
  </conditionalFormatting>
  <conditionalFormatting sqref="E179">
    <cfRule type="cellIs" dxfId="1637" priority="253" stopIfTrue="1" operator="equal">
      <formula>"Pass"</formula>
    </cfRule>
    <cfRule type="cellIs" dxfId="1636" priority="254" stopIfTrue="1" operator="equal">
      <formula>"Fail"</formula>
    </cfRule>
  </conditionalFormatting>
  <conditionalFormatting sqref="E180">
    <cfRule type="cellIs" dxfId="1635" priority="251" stopIfTrue="1" operator="equal">
      <formula>"Pass"</formula>
    </cfRule>
    <cfRule type="cellIs" dxfId="1634" priority="252" stopIfTrue="1" operator="equal">
      <formula>"Fail"</formula>
    </cfRule>
  </conditionalFormatting>
  <conditionalFormatting sqref="E180">
    <cfRule type="cellIs" dxfId="1633" priority="249" stopIfTrue="1" operator="equal">
      <formula>"Pass"</formula>
    </cfRule>
    <cfRule type="cellIs" dxfId="1632" priority="250" stopIfTrue="1" operator="equal">
      <formula>"Fail"</formula>
    </cfRule>
  </conditionalFormatting>
  <conditionalFormatting sqref="E181">
    <cfRule type="cellIs" dxfId="1631" priority="247" stopIfTrue="1" operator="equal">
      <formula>"Pass"</formula>
    </cfRule>
    <cfRule type="cellIs" dxfId="1630" priority="248" stopIfTrue="1" operator="equal">
      <formula>"Fail"</formula>
    </cfRule>
  </conditionalFormatting>
  <conditionalFormatting sqref="E181">
    <cfRule type="cellIs" dxfId="1629" priority="245" stopIfTrue="1" operator="equal">
      <formula>"Pass"</formula>
    </cfRule>
    <cfRule type="cellIs" dxfId="1628" priority="246" stopIfTrue="1" operator="equal">
      <formula>"Fail"</formula>
    </cfRule>
  </conditionalFormatting>
  <conditionalFormatting sqref="E182">
    <cfRule type="cellIs" dxfId="1627" priority="243" stopIfTrue="1" operator="equal">
      <formula>"Pass"</formula>
    </cfRule>
    <cfRule type="cellIs" dxfId="1626" priority="244" stopIfTrue="1" operator="equal">
      <formula>"Fail"</formula>
    </cfRule>
  </conditionalFormatting>
  <conditionalFormatting sqref="E182">
    <cfRule type="cellIs" dxfId="1625" priority="241" stopIfTrue="1" operator="equal">
      <formula>"Pass"</formula>
    </cfRule>
    <cfRule type="cellIs" dxfId="1624" priority="242" stopIfTrue="1" operator="equal">
      <formula>"Fail"</formula>
    </cfRule>
  </conditionalFormatting>
  <conditionalFormatting sqref="E183">
    <cfRule type="cellIs" dxfId="1623" priority="239" stopIfTrue="1" operator="equal">
      <formula>"Pass"</formula>
    </cfRule>
    <cfRule type="cellIs" dxfId="1622" priority="240" stopIfTrue="1" operator="equal">
      <formula>"Fail"</formula>
    </cfRule>
  </conditionalFormatting>
  <conditionalFormatting sqref="E183">
    <cfRule type="cellIs" dxfId="1621" priority="237" stopIfTrue="1" operator="equal">
      <formula>"Pass"</formula>
    </cfRule>
    <cfRule type="cellIs" dxfId="1620" priority="238" stopIfTrue="1" operator="equal">
      <formula>"Fail"</formula>
    </cfRule>
  </conditionalFormatting>
  <conditionalFormatting sqref="E184">
    <cfRule type="cellIs" dxfId="1619" priority="235" stopIfTrue="1" operator="equal">
      <formula>"Pass"</formula>
    </cfRule>
    <cfRule type="cellIs" dxfId="1618" priority="236" stopIfTrue="1" operator="equal">
      <formula>"Fail"</formula>
    </cfRule>
  </conditionalFormatting>
  <conditionalFormatting sqref="E184">
    <cfRule type="cellIs" dxfId="1617" priority="233" stopIfTrue="1" operator="equal">
      <formula>"Pass"</formula>
    </cfRule>
    <cfRule type="cellIs" dxfId="1616" priority="234" stopIfTrue="1" operator="equal">
      <formula>"Fail"</formula>
    </cfRule>
  </conditionalFormatting>
  <conditionalFormatting sqref="E185">
    <cfRule type="cellIs" dxfId="1615" priority="231" stopIfTrue="1" operator="equal">
      <formula>"Pass"</formula>
    </cfRule>
    <cfRule type="cellIs" dxfId="1614" priority="232" stopIfTrue="1" operator="equal">
      <formula>"Fail"</formula>
    </cfRule>
  </conditionalFormatting>
  <conditionalFormatting sqref="E185">
    <cfRule type="cellIs" dxfId="1613" priority="229" stopIfTrue="1" operator="equal">
      <formula>"Pass"</formula>
    </cfRule>
    <cfRule type="cellIs" dxfId="1612" priority="230" stopIfTrue="1" operator="equal">
      <formula>"Fail"</formula>
    </cfRule>
  </conditionalFormatting>
  <conditionalFormatting sqref="E186">
    <cfRule type="cellIs" dxfId="1611" priority="227" stopIfTrue="1" operator="equal">
      <formula>"Pass"</formula>
    </cfRule>
    <cfRule type="cellIs" dxfId="1610" priority="228" stopIfTrue="1" operator="equal">
      <formula>"Fail"</formula>
    </cfRule>
  </conditionalFormatting>
  <conditionalFormatting sqref="E186">
    <cfRule type="cellIs" dxfId="1609" priority="225" stopIfTrue="1" operator="equal">
      <formula>"Pass"</formula>
    </cfRule>
    <cfRule type="cellIs" dxfId="1608" priority="226" stopIfTrue="1" operator="equal">
      <formula>"Fail"</formula>
    </cfRule>
  </conditionalFormatting>
  <conditionalFormatting sqref="E187">
    <cfRule type="cellIs" dxfId="1607" priority="223" stopIfTrue="1" operator="equal">
      <formula>"Pass"</formula>
    </cfRule>
    <cfRule type="cellIs" dxfId="1606" priority="224" stopIfTrue="1" operator="equal">
      <formula>"Fail"</formula>
    </cfRule>
  </conditionalFormatting>
  <conditionalFormatting sqref="E187">
    <cfRule type="cellIs" dxfId="1605" priority="221" stopIfTrue="1" operator="equal">
      <formula>"Pass"</formula>
    </cfRule>
    <cfRule type="cellIs" dxfId="1604" priority="222" stopIfTrue="1" operator="equal">
      <formula>"Fail"</formula>
    </cfRule>
  </conditionalFormatting>
  <conditionalFormatting sqref="E188">
    <cfRule type="cellIs" dxfId="1603" priority="219" stopIfTrue="1" operator="equal">
      <formula>"Pass"</formula>
    </cfRule>
    <cfRule type="cellIs" dxfId="1602" priority="220" stopIfTrue="1" operator="equal">
      <formula>"Fail"</formula>
    </cfRule>
  </conditionalFormatting>
  <conditionalFormatting sqref="E188">
    <cfRule type="cellIs" dxfId="1601" priority="217" stopIfTrue="1" operator="equal">
      <formula>"Pass"</formula>
    </cfRule>
    <cfRule type="cellIs" dxfId="1600" priority="218" stopIfTrue="1" operator="equal">
      <formula>"Fail"</formula>
    </cfRule>
  </conditionalFormatting>
  <conditionalFormatting sqref="E189">
    <cfRule type="cellIs" dxfId="1599" priority="215" stopIfTrue="1" operator="equal">
      <formula>"Pass"</formula>
    </cfRule>
    <cfRule type="cellIs" dxfId="1598" priority="216" stopIfTrue="1" operator="equal">
      <formula>"Fail"</formula>
    </cfRule>
  </conditionalFormatting>
  <conditionalFormatting sqref="E189">
    <cfRule type="cellIs" dxfId="1597" priority="213" stopIfTrue="1" operator="equal">
      <formula>"Pass"</formula>
    </cfRule>
    <cfRule type="cellIs" dxfId="1596" priority="214" stopIfTrue="1" operator="equal">
      <formula>"Fail"</formula>
    </cfRule>
  </conditionalFormatting>
  <conditionalFormatting sqref="E190">
    <cfRule type="cellIs" dxfId="1595" priority="211" stopIfTrue="1" operator="equal">
      <formula>"Pass"</formula>
    </cfRule>
    <cfRule type="cellIs" dxfId="1594" priority="212" stopIfTrue="1" operator="equal">
      <formula>"Fail"</formula>
    </cfRule>
  </conditionalFormatting>
  <conditionalFormatting sqref="E190">
    <cfRule type="cellIs" dxfId="1593" priority="209" stopIfTrue="1" operator="equal">
      <formula>"Pass"</formula>
    </cfRule>
    <cfRule type="cellIs" dxfId="1592" priority="210" stopIfTrue="1" operator="equal">
      <formula>"Fail"</formula>
    </cfRule>
  </conditionalFormatting>
  <conditionalFormatting sqref="E191">
    <cfRule type="cellIs" dxfId="1591" priority="207" stopIfTrue="1" operator="equal">
      <formula>"Pass"</formula>
    </cfRule>
    <cfRule type="cellIs" dxfId="1590" priority="208" stopIfTrue="1" operator="equal">
      <formula>"Fail"</formula>
    </cfRule>
  </conditionalFormatting>
  <conditionalFormatting sqref="E191">
    <cfRule type="cellIs" dxfId="1589" priority="205" stopIfTrue="1" operator="equal">
      <formula>"Pass"</formula>
    </cfRule>
    <cfRule type="cellIs" dxfId="1588" priority="206" stopIfTrue="1" operator="equal">
      <formula>"Fail"</formula>
    </cfRule>
  </conditionalFormatting>
  <conditionalFormatting sqref="E192">
    <cfRule type="cellIs" dxfId="1587" priority="203" stopIfTrue="1" operator="equal">
      <formula>"Pass"</formula>
    </cfRule>
    <cfRule type="cellIs" dxfId="1586" priority="204" stopIfTrue="1" operator="equal">
      <formula>"Fail"</formula>
    </cfRule>
  </conditionalFormatting>
  <conditionalFormatting sqref="E192">
    <cfRule type="cellIs" dxfId="1585" priority="201" stopIfTrue="1" operator="equal">
      <formula>"Pass"</formula>
    </cfRule>
    <cfRule type="cellIs" dxfId="1584" priority="202" stopIfTrue="1" operator="equal">
      <formula>"Fail"</formula>
    </cfRule>
  </conditionalFormatting>
  <conditionalFormatting sqref="E193">
    <cfRule type="cellIs" dxfId="1583" priority="199" stopIfTrue="1" operator="equal">
      <formula>"Pass"</formula>
    </cfRule>
    <cfRule type="cellIs" dxfId="1582" priority="200" stopIfTrue="1" operator="equal">
      <formula>"Fail"</formula>
    </cfRule>
  </conditionalFormatting>
  <conditionalFormatting sqref="E193">
    <cfRule type="cellIs" dxfId="1581" priority="197" stopIfTrue="1" operator="equal">
      <formula>"Pass"</formula>
    </cfRule>
    <cfRule type="cellIs" dxfId="1580" priority="198" stopIfTrue="1" operator="equal">
      <formula>"Fail"</formula>
    </cfRule>
  </conditionalFormatting>
  <conditionalFormatting sqref="E194">
    <cfRule type="cellIs" dxfId="1579" priority="195" stopIfTrue="1" operator="equal">
      <formula>"Pass"</formula>
    </cfRule>
    <cfRule type="cellIs" dxfId="1578" priority="196" stopIfTrue="1" operator="equal">
      <formula>"Fail"</formula>
    </cfRule>
  </conditionalFormatting>
  <conditionalFormatting sqref="E194">
    <cfRule type="cellIs" dxfId="1577" priority="193" stopIfTrue="1" operator="equal">
      <formula>"Pass"</formula>
    </cfRule>
    <cfRule type="cellIs" dxfId="1576" priority="194" stopIfTrue="1" operator="equal">
      <formula>"Fail"</formula>
    </cfRule>
  </conditionalFormatting>
  <conditionalFormatting sqref="E195">
    <cfRule type="cellIs" dxfId="1575" priority="191" stopIfTrue="1" operator="equal">
      <formula>"Pass"</formula>
    </cfRule>
    <cfRule type="cellIs" dxfId="1574" priority="192" stopIfTrue="1" operator="equal">
      <formula>"Fail"</formula>
    </cfRule>
  </conditionalFormatting>
  <conditionalFormatting sqref="E195">
    <cfRule type="cellIs" dxfId="1573" priority="189" stopIfTrue="1" operator="equal">
      <formula>"Pass"</formula>
    </cfRule>
    <cfRule type="cellIs" dxfId="1572" priority="190" stopIfTrue="1" operator="equal">
      <formula>"Fail"</formula>
    </cfRule>
  </conditionalFormatting>
  <conditionalFormatting sqref="E196">
    <cfRule type="cellIs" dxfId="1571" priority="187" stopIfTrue="1" operator="equal">
      <formula>"Pass"</formula>
    </cfRule>
    <cfRule type="cellIs" dxfId="1570" priority="188" stopIfTrue="1" operator="equal">
      <formula>"Fail"</formula>
    </cfRule>
  </conditionalFormatting>
  <conditionalFormatting sqref="E196">
    <cfRule type="cellIs" dxfId="1569" priority="185" stopIfTrue="1" operator="equal">
      <formula>"Pass"</formula>
    </cfRule>
    <cfRule type="cellIs" dxfId="1568" priority="186" stopIfTrue="1" operator="equal">
      <formula>"Fail"</formula>
    </cfRule>
  </conditionalFormatting>
  <conditionalFormatting sqref="E197">
    <cfRule type="cellIs" dxfId="1567" priority="183" stopIfTrue="1" operator="equal">
      <formula>"Pass"</formula>
    </cfRule>
    <cfRule type="cellIs" dxfId="1566" priority="184" stopIfTrue="1" operator="equal">
      <formula>"Fail"</formula>
    </cfRule>
  </conditionalFormatting>
  <conditionalFormatting sqref="E197">
    <cfRule type="cellIs" dxfId="1565" priority="181" stopIfTrue="1" operator="equal">
      <formula>"Pass"</formula>
    </cfRule>
    <cfRule type="cellIs" dxfId="1564" priority="182" stopIfTrue="1" operator="equal">
      <formula>"Fail"</formula>
    </cfRule>
  </conditionalFormatting>
  <conditionalFormatting sqref="E198">
    <cfRule type="cellIs" dxfId="1563" priority="179" stopIfTrue="1" operator="equal">
      <formula>"Pass"</formula>
    </cfRule>
    <cfRule type="cellIs" dxfId="1562" priority="180" stopIfTrue="1" operator="equal">
      <formula>"Fail"</formula>
    </cfRule>
  </conditionalFormatting>
  <conditionalFormatting sqref="E198">
    <cfRule type="cellIs" dxfId="1561" priority="177" stopIfTrue="1" operator="equal">
      <formula>"Pass"</formula>
    </cfRule>
    <cfRule type="cellIs" dxfId="1560" priority="178" stopIfTrue="1" operator="equal">
      <formula>"Fail"</formula>
    </cfRule>
  </conditionalFormatting>
  <conditionalFormatting sqref="E199">
    <cfRule type="cellIs" dxfId="1559" priority="175" stopIfTrue="1" operator="equal">
      <formula>"Pass"</formula>
    </cfRule>
    <cfRule type="cellIs" dxfId="1558" priority="176" stopIfTrue="1" operator="equal">
      <formula>"Fail"</formula>
    </cfRule>
  </conditionalFormatting>
  <conditionalFormatting sqref="E199">
    <cfRule type="cellIs" dxfId="1557" priority="173" stopIfTrue="1" operator="equal">
      <formula>"Pass"</formula>
    </cfRule>
    <cfRule type="cellIs" dxfId="1556" priority="174" stopIfTrue="1" operator="equal">
      <formula>"Fail"</formula>
    </cfRule>
  </conditionalFormatting>
  <conditionalFormatting sqref="E200">
    <cfRule type="cellIs" dxfId="1555" priority="171" stopIfTrue="1" operator="equal">
      <formula>"Pass"</formula>
    </cfRule>
    <cfRule type="cellIs" dxfId="1554" priority="172" stopIfTrue="1" operator="equal">
      <formula>"Fail"</formula>
    </cfRule>
  </conditionalFormatting>
  <conditionalFormatting sqref="E200">
    <cfRule type="cellIs" dxfId="1553" priority="169" stopIfTrue="1" operator="equal">
      <formula>"Pass"</formula>
    </cfRule>
    <cfRule type="cellIs" dxfId="1552" priority="170" stopIfTrue="1" operator="equal">
      <formula>"Fail"</formula>
    </cfRule>
  </conditionalFormatting>
  <conditionalFormatting sqref="E201">
    <cfRule type="cellIs" dxfId="1551" priority="167" stopIfTrue="1" operator="equal">
      <formula>"Pass"</formula>
    </cfRule>
    <cfRule type="cellIs" dxfId="1550" priority="168" stopIfTrue="1" operator="equal">
      <formula>"Fail"</formula>
    </cfRule>
  </conditionalFormatting>
  <conditionalFormatting sqref="E201">
    <cfRule type="cellIs" dxfId="1549" priority="165" stopIfTrue="1" operator="equal">
      <formula>"Pass"</formula>
    </cfRule>
    <cfRule type="cellIs" dxfId="1548" priority="166" stopIfTrue="1" operator="equal">
      <formula>"Fail"</formula>
    </cfRule>
  </conditionalFormatting>
  <conditionalFormatting sqref="E202">
    <cfRule type="cellIs" dxfId="1547" priority="163" stopIfTrue="1" operator="equal">
      <formula>"Pass"</formula>
    </cfRule>
    <cfRule type="cellIs" dxfId="1546" priority="164" stopIfTrue="1" operator="equal">
      <formula>"Fail"</formula>
    </cfRule>
  </conditionalFormatting>
  <conditionalFormatting sqref="E202">
    <cfRule type="cellIs" dxfId="1545" priority="161" stopIfTrue="1" operator="equal">
      <formula>"Pass"</formula>
    </cfRule>
    <cfRule type="cellIs" dxfId="1544" priority="162" stopIfTrue="1" operator="equal">
      <formula>"Fail"</formula>
    </cfRule>
  </conditionalFormatting>
  <conditionalFormatting sqref="E203">
    <cfRule type="cellIs" dxfId="1543" priority="159" stopIfTrue="1" operator="equal">
      <formula>"Pass"</formula>
    </cfRule>
    <cfRule type="cellIs" dxfId="1542" priority="160" stopIfTrue="1" operator="equal">
      <formula>"Fail"</formula>
    </cfRule>
  </conditionalFormatting>
  <conditionalFormatting sqref="E203">
    <cfRule type="cellIs" dxfId="1541" priority="157" stopIfTrue="1" operator="equal">
      <formula>"Pass"</formula>
    </cfRule>
    <cfRule type="cellIs" dxfId="1540" priority="158" stopIfTrue="1" operator="equal">
      <formula>"Fail"</formula>
    </cfRule>
  </conditionalFormatting>
  <conditionalFormatting sqref="E204">
    <cfRule type="cellIs" dxfId="1539" priority="155" stopIfTrue="1" operator="equal">
      <formula>"Pass"</formula>
    </cfRule>
    <cfRule type="cellIs" dxfId="1538" priority="156" stopIfTrue="1" operator="equal">
      <formula>"Fail"</formula>
    </cfRule>
  </conditionalFormatting>
  <conditionalFormatting sqref="E204">
    <cfRule type="cellIs" dxfId="1537" priority="153" stopIfTrue="1" operator="equal">
      <formula>"Pass"</formula>
    </cfRule>
    <cfRule type="cellIs" dxfId="1536" priority="154" stopIfTrue="1" operator="equal">
      <formula>"Fail"</formula>
    </cfRule>
  </conditionalFormatting>
  <conditionalFormatting sqref="E205">
    <cfRule type="cellIs" dxfId="1535" priority="151" stopIfTrue="1" operator="equal">
      <formula>"Pass"</formula>
    </cfRule>
    <cfRule type="cellIs" dxfId="1534" priority="152" stopIfTrue="1" operator="equal">
      <formula>"Fail"</formula>
    </cfRule>
  </conditionalFormatting>
  <conditionalFormatting sqref="E205">
    <cfRule type="cellIs" dxfId="1533" priority="149" stopIfTrue="1" operator="equal">
      <formula>"Pass"</formula>
    </cfRule>
    <cfRule type="cellIs" dxfId="1532" priority="150" stopIfTrue="1" operator="equal">
      <formula>"Fail"</formula>
    </cfRule>
  </conditionalFormatting>
  <conditionalFormatting sqref="E206">
    <cfRule type="cellIs" dxfId="1531" priority="147" stopIfTrue="1" operator="equal">
      <formula>"Pass"</formula>
    </cfRule>
    <cfRule type="cellIs" dxfId="1530" priority="148" stopIfTrue="1" operator="equal">
      <formula>"Fail"</formula>
    </cfRule>
  </conditionalFormatting>
  <conditionalFormatting sqref="E206">
    <cfRule type="cellIs" dxfId="1529" priority="145" stopIfTrue="1" operator="equal">
      <formula>"Pass"</formula>
    </cfRule>
    <cfRule type="cellIs" dxfId="1528" priority="146" stopIfTrue="1" operator="equal">
      <formula>"Fail"</formula>
    </cfRule>
  </conditionalFormatting>
  <conditionalFormatting sqref="E207">
    <cfRule type="cellIs" dxfId="1527" priority="143" stopIfTrue="1" operator="equal">
      <formula>"Pass"</formula>
    </cfRule>
    <cfRule type="cellIs" dxfId="1526" priority="144" stopIfTrue="1" operator="equal">
      <formula>"Fail"</formula>
    </cfRule>
  </conditionalFormatting>
  <conditionalFormatting sqref="E207">
    <cfRule type="cellIs" dxfId="1525" priority="141" stopIfTrue="1" operator="equal">
      <formula>"Pass"</formula>
    </cfRule>
    <cfRule type="cellIs" dxfId="1524" priority="142" stopIfTrue="1" operator="equal">
      <formula>"Fail"</formula>
    </cfRule>
  </conditionalFormatting>
  <conditionalFormatting sqref="E208">
    <cfRule type="cellIs" dxfId="1523" priority="139" stopIfTrue="1" operator="equal">
      <formula>"Pass"</formula>
    </cfRule>
    <cfRule type="cellIs" dxfId="1522" priority="140" stopIfTrue="1" operator="equal">
      <formula>"Fail"</formula>
    </cfRule>
  </conditionalFormatting>
  <conditionalFormatting sqref="E208">
    <cfRule type="cellIs" dxfId="1521" priority="137" stopIfTrue="1" operator="equal">
      <formula>"Pass"</formula>
    </cfRule>
    <cfRule type="cellIs" dxfId="1520" priority="138" stopIfTrue="1" operator="equal">
      <formula>"Fail"</formula>
    </cfRule>
  </conditionalFormatting>
  <conditionalFormatting sqref="E209">
    <cfRule type="cellIs" dxfId="1519" priority="135" stopIfTrue="1" operator="equal">
      <formula>"Pass"</formula>
    </cfRule>
    <cfRule type="cellIs" dxfId="1518" priority="136" stopIfTrue="1" operator="equal">
      <formula>"Fail"</formula>
    </cfRule>
  </conditionalFormatting>
  <conditionalFormatting sqref="E209">
    <cfRule type="cellIs" dxfId="1517" priority="133" stopIfTrue="1" operator="equal">
      <formula>"Pass"</formula>
    </cfRule>
    <cfRule type="cellIs" dxfId="1516" priority="134" stopIfTrue="1" operator="equal">
      <formula>"Fail"</formula>
    </cfRule>
  </conditionalFormatting>
  <conditionalFormatting sqref="E210">
    <cfRule type="cellIs" dxfId="1515" priority="131" stopIfTrue="1" operator="equal">
      <formula>"Pass"</formula>
    </cfRule>
    <cfRule type="cellIs" dxfId="1514" priority="132" stopIfTrue="1" operator="equal">
      <formula>"Fail"</formula>
    </cfRule>
  </conditionalFormatting>
  <conditionalFormatting sqref="E210">
    <cfRule type="cellIs" dxfId="1513" priority="129" stopIfTrue="1" operator="equal">
      <formula>"Pass"</formula>
    </cfRule>
    <cfRule type="cellIs" dxfId="1512" priority="130" stopIfTrue="1" operator="equal">
      <formula>"Fail"</formula>
    </cfRule>
  </conditionalFormatting>
  <conditionalFormatting sqref="E211">
    <cfRule type="cellIs" dxfId="1511" priority="127" stopIfTrue="1" operator="equal">
      <formula>"Pass"</formula>
    </cfRule>
    <cfRule type="cellIs" dxfId="1510" priority="128" stopIfTrue="1" operator="equal">
      <formula>"Fail"</formula>
    </cfRule>
  </conditionalFormatting>
  <conditionalFormatting sqref="E211">
    <cfRule type="cellIs" dxfId="1509" priority="125" stopIfTrue="1" operator="equal">
      <formula>"Pass"</formula>
    </cfRule>
    <cfRule type="cellIs" dxfId="1508" priority="126" stopIfTrue="1" operator="equal">
      <formula>"Fail"</formula>
    </cfRule>
  </conditionalFormatting>
  <conditionalFormatting sqref="E212">
    <cfRule type="cellIs" dxfId="1507" priority="123" stopIfTrue="1" operator="equal">
      <formula>"Pass"</formula>
    </cfRule>
    <cfRule type="cellIs" dxfId="1506" priority="124" stopIfTrue="1" operator="equal">
      <formula>"Fail"</formula>
    </cfRule>
  </conditionalFormatting>
  <conditionalFormatting sqref="E212">
    <cfRule type="cellIs" dxfId="1505" priority="121" stopIfTrue="1" operator="equal">
      <formula>"Pass"</formula>
    </cfRule>
    <cfRule type="cellIs" dxfId="1504" priority="122" stopIfTrue="1" operator="equal">
      <formula>"Fail"</formula>
    </cfRule>
  </conditionalFormatting>
  <conditionalFormatting sqref="E213">
    <cfRule type="cellIs" dxfId="1503" priority="119" stopIfTrue="1" operator="equal">
      <formula>"Pass"</formula>
    </cfRule>
    <cfRule type="cellIs" dxfId="1502" priority="120" stopIfTrue="1" operator="equal">
      <formula>"Fail"</formula>
    </cfRule>
  </conditionalFormatting>
  <conditionalFormatting sqref="E213">
    <cfRule type="cellIs" dxfId="1501" priority="117" stopIfTrue="1" operator="equal">
      <formula>"Pass"</formula>
    </cfRule>
    <cfRule type="cellIs" dxfId="1500" priority="118" stopIfTrue="1" operator="equal">
      <formula>"Fail"</formula>
    </cfRule>
  </conditionalFormatting>
  <conditionalFormatting sqref="E214">
    <cfRule type="cellIs" dxfId="1499" priority="115" stopIfTrue="1" operator="equal">
      <formula>"Pass"</formula>
    </cfRule>
    <cfRule type="cellIs" dxfId="1498" priority="116" stopIfTrue="1" operator="equal">
      <formula>"Fail"</formula>
    </cfRule>
  </conditionalFormatting>
  <conditionalFormatting sqref="E214">
    <cfRule type="cellIs" dxfId="1497" priority="113" stopIfTrue="1" operator="equal">
      <formula>"Pass"</formula>
    </cfRule>
    <cfRule type="cellIs" dxfId="1496" priority="114" stopIfTrue="1" operator="equal">
      <formula>"Fail"</formula>
    </cfRule>
  </conditionalFormatting>
  <conditionalFormatting sqref="E215">
    <cfRule type="cellIs" dxfId="1495" priority="111" stopIfTrue="1" operator="equal">
      <formula>"Pass"</formula>
    </cfRule>
    <cfRule type="cellIs" dxfId="1494" priority="112" stopIfTrue="1" operator="equal">
      <formula>"Fail"</formula>
    </cfRule>
  </conditionalFormatting>
  <conditionalFormatting sqref="E215">
    <cfRule type="cellIs" dxfId="1493" priority="109" stopIfTrue="1" operator="equal">
      <formula>"Pass"</formula>
    </cfRule>
    <cfRule type="cellIs" dxfId="1492" priority="110" stopIfTrue="1" operator="equal">
      <formula>"Fail"</formula>
    </cfRule>
  </conditionalFormatting>
  <conditionalFormatting sqref="E216">
    <cfRule type="cellIs" dxfId="1491" priority="107" stopIfTrue="1" operator="equal">
      <formula>"Pass"</formula>
    </cfRule>
    <cfRule type="cellIs" dxfId="1490" priority="108" stopIfTrue="1" operator="equal">
      <formula>"Fail"</formula>
    </cfRule>
  </conditionalFormatting>
  <conditionalFormatting sqref="E216">
    <cfRule type="cellIs" dxfId="1489" priority="105" stopIfTrue="1" operator="equal">
      <formula>"Pass"</formula>
    </cfRule>
    <cfRule type="cellIs" dxfId="1488" priority="106" stopIfTrue="1" operator="equal">
      <formula>"Fail"</formula>
    </cfRule>
  </conditionalFormatting>
  <conditionalFormatting sqref="E217">
    <cfRule type="cellIs" dxfId="1487" priority="103" stopIfTrue="1" operator="equal">
      <formula>"Pass"</formula>
    </cfRule>
    <cfRule type="cellIs" dxfId="1486" priority="104" stopIfTrue="1" operator="equal">
      <formula>"Fail"</formula>
    </cfRule>
  </conditionalFormatting>
  <conditionalFormatting sqref="E217">
    <cfRule type="cellIs" dxfId="1485" priority="101" stopIfTrue="1" operator="equal">
      <formula>"Pass"</formula>
    </cfRule>
    <cfRule type="cellIs" dxfId="1484" priority="102" stopIfTrue="1" operator="equal">
      <formula>"Fail"</formula>
    </cfRule>
  </conditionalFormatting>
  <conditionalFormatting sqref="E218">
    <cfRule type="cellIs" dxfId="1483" priority="99" stopIfTrue="1" operator="equal">
      <formula>"Pass"</formula>
    </cfRule>
    <cfRule type="cellIs" dxfId="1482" priority="100" stopIfTrue="1" operator="equal">
      <formula>"Fail"</formula>
    </cfRule>
  </conditionalFormatting>
  <conditionalFormatting sqref="E218">
    <cfRule type="cellIs" dxfId="1481" priority="97" stopIfTrue="1" operator="equal">
      <formula>"Pass"</formula>
    </cfRule>
    <cfRule type="cellIs" dxfId="1480" priority="98" stopIfTrue="1" operator="equal">
      <formula>"Fail"</formula>
    </cfRule>
  </conditionalFormatting>
  <conditionalFormatting sqref="E219">
    <cfRule type="cellIs" dxfId="1479" priority="95" stopIfTrue="1" operator="equal">
      <formula>"Pass"</formula>
    </cfRule>
    <cfRule type="cellIs" dxfId="1478" priority="96" stopIfTrue="1" operator="equal">
      <formula>"Fail"</formula>
    </cfRule>
  </conditionalFormatting>
  <conditionalFormatting sqref="E219">
    <cfRule type="cellIs" dxfId="1477" priority="93" stopIfTrue="1" operator="equal">
      <formula>"Pass"</formula>
    </cfRule>
    <cfRule type="cellIs" dxfId="1476" priority="94" stopIfTrue="1" operator="equal">
      <formula>"Fail"</formula>
    </cfRule>
  </conditionalFormatting>
  <conditionalFormatting sqref="E220">
    <cfRule type="cellIs" dxfId="1475" priority="91" stopIfTrue="1" operator="equal">
      <formula>"Pass"</formula>
    </cfRule>
    <cfRule type="cellIs" dxfId="1474" priority="92" stopIfTrue="1" operator="equal">
      <formula>"Fail"</formula>
    </cfRule>
  </conditionalFormatting>
  <conditionalFormatting sqref="E220">
    <cfRule type="cellIs" dxfId="1473" priority="89" stopIfTrue="1" operator="equal">
      <formula>"Pass"</formula>
    </cfRule>
    <cfRule type="cellIs" dxfId="1472" priority="90" stopIfTrue="1" operator="equal">
      <formula>"Fail"</formula>
    </cfRule>
  </conditionalFormatting>
  <conditionalFormatting sqref="E221">
    <cfRule type="cellIs" dxfId="1471" priority="87" stopIfTrue="1" operator="equal">
      <formula>"Pass"</formula>
    </cfRule>
    <cfRule type="cellIs" dxfId="1470" priority="88" stopIfTrue="1" operator="equal">
      <formula>"Fail"</formula>
    </cfRule>
  </conditionalFormatting>
  <conditionalFormatting sqref="E221">
    <cfRule type="cellIs" dxfId="1469" priority="85" stopIfTrue="1" operator="equal">
      <formula>"Pass"</formula>
    </cfRule>
    <cfRule type="cellIs" dxfId="1468" priority="86" stopIfTrue="1" operator="equal">
      <formula>"Fail"</formula>
    </cfRule>
  </conditionalFormatting>
  <conditionalFormatting sqref="E222">
    <cfRule type="cellIs" dxfId="1467" priority="83" stopIfTrue="1" operator="equal">
      <formula>"Pass"</formula>
    </cfRule>
    <cfRule type="cellIs" dxfId="1466" priority="84" stopIfTrue="1" operator="equal">
      <formula>"Fail"</formula>
    </cfRule>
  </conditionalFormatting>
  <conditionalFormatting sqref="E222">
    <cfRule type="cellIs" dxfId="1465" priority="81" stopIfTrue="1" operator="equal">
      <formula>"Pass"</formula>
    </cfRule>
    <cfRule type="cellIs" dxfId="1464" priority="82" stopIfTrue="1" operator="equal">
      <formula>"Fail"</formula>
    </cfRule>
  </conditionalFormatting>
  <conditionalFormatting sqref="E223">
    <cfRule type="cellIs" dxfId="1463" priority="79" stopIfTrue="1" operator="equal">
      <formula>"Pass"</formula>
    </cfRule>
    <cfRule type="cellIs" dxfId="1462" priority="80" stopIfTrue="1" operator="equal">
      <formula>"Fail"</formula>
    </cfRule>
  </conditionalFormatting>
  <conditionalFormatting sqref="E223">
    <cfRule type="cellIs" dxfId="1461" priority="77" stopIfTrue="1" operator="equal">
      <formula>"Pass"</formula>
    </cfRule>
    <cfRule type="cellIs" dxfId="1460" priority="78" stopIfTrue="1" operator="equal">
      <formula>"Fail"</formula>
    </cfRule>
  </conditionalFormatting>
  <conditionalFormatting sqref="E224">
    <cfRule type="cellIs" dxfId="1459" priority="75" stopIfTrue="1" operator="equal">
      <formula>"Pass"</formula>
    </cfRule>
    <cfRule type="cellIs" dxfId="1458" priority="76" stopIfTrue="1" operator="equal">
      <formula>"Fail"</formula>
    </cfRule>
  </conditionalFormatting>
  <conditionalFormatting sqref="E224">
    <cfRule type="cellIs" dxfId="1457" priority="73" stopIfTrue="1" operator="equal">
      <formula>"Pass"</formula>
    </cfRule>
    <cfRule type="cellIs" dxfId="1456" priority="74" stopIfTrue="1" operator="equal">
      <formula>"Fail"</formula>
    </cfRule>
  </conditionalFormatting>
  <conditionalFormatting sqref="E225">
    <cfRule type="cellIs" dxfId="1455" priority="71" stopIfTrue="1" operator="equal">
      <formula>"Pass"</formula>
    </cfRule>
    <cfRule type="cellIs" dxfId="1454" priority="72" stopIfTrue="1" operator="equal">
      <formula>"Fail"</formula>
    </cfRule>
  </conditionalFormatting>
  <conditionalFormatting sqref="E225">
    <cfRule type="cellIs" dxfId="1453" priority="69" stopIfTrue="1" operator="equal">
      <formula>"Pass"</formula>
    </cfRule>
    <cfRule type="cellIs" dxfId="1452" priority="70" stopIfTrue="1" operator="equal">
      <formula>"Fail"</formula>
    </cfRule>
  </conditionalFormatting>
  <conditionalFormatting sqref="E226">
    <cfRule type="cellIs" dxfId="1451" priority="67" stopIfTrue="1" operator="equal">
      <formula>"Pass"</formula>
    </cfRule>
    <cfRule type="cellIs" dxfId="1450" priority="68" stopIfTrue="1" operator="equal">
      <formula>"Fail"</formula>
    </cfRule>
  </conditionalFormatting>
  <conditionalFormatting sqref="E226">
    <cfRule type="cellIs" dxfId="1449" priority="65" stopIfTrue="1" operator="equal">
      <formula>"Pass"</formula>
    </cfRule>
    <cfRule type="cellIs" dxfId="1448" priority="66" stopIfTrue="1" operator="equal">
      <formula>"Fail"</formula>
    </cfRule>
  </conditionalFormatting>
  <conditionalFormatting sqref="E227">
    <cfRule type="cellIs" dxfId="1447" priority="63" stopIfTrue="1" operator="equal">
      <formula>"Pass"</formula>
    </cfRule>
    <cfRule type="cellIs" dxfId="1446" priority="64" stopIfTrue="1" operator="equal">
      <formula>"Fail"</formula>
    </cfRule>
  </conditionalFormatting>
  <conditionalFormatting sqref="E227">
    <cfRule type="cellIs" dxfId="1445" priority="61" stopIfTrue="1" operator="equal">
      <formula>"Pass"</formula>
    </cfRule>
    <cfRule type="cellIs" dxfId="1444" priority="62" stopIfTrue="1" operator="equal">
      <formula>"Fail"</formula>
    </cfRule>
  </conditionalFormatting>
  <conditionalFormatting sqref="E228">
    <cfRule type="cellIs" dxfId="1443" priority="59" stopIfTrue="1" operator="equal">
      <formula>"Pass"</formula>
    </cfRule>
    <cfRule type="cellIs" dxfId="1442" priority="60" stopIfTrue="1" operator="equal">
      <formula>"Fail"</formula>
    </cfRule>
  </conditionalFormatting>
  <conditionalFormatting sqref="E228">
    <cfRule type="cellIs" dxfId="1441" priority="57" stopIfTrue="1" operator="equal">
      <formula>"Pass"</formula>
    </cfRule>
    <cfRule type="cellIs" dxfId="1440" priority="58" stopIfTrue="1" operator="equal">
      <formula>"Fail"</formula>
    </cfRule>
  </conditionalFormatting>
  <conditionalFormatting sqref="E229">
    <cfRule type="cellIs" dxfId="1439" priority="55" stopIfTrue="1" operator="equal">
      <formula>"Pass"</formula>
    </cfRule>
    <cfRule type="cellIs" dxfId="1438" priority="56" stopIfTrue="1" operator="equal">
      <formula>"Fail"</formula>
    </cfRule>
  </conditionalFormatting>
  <conditionalFormatting sqref="E229">
    <cfRule type="cellIs" dxfId="1437" priority="53" stopIfTrue="1" operator="equal">
      <formula>"Pass"</formula>
    </cfRule>
    <cfRule type="cellIs" dxfId="1436" priority="54" stopIfTrue="1" operator="equal">
      <formula>"Fail"</formula>
    </cfRule>
  </conditionalFormatting>
  <conditionalFormatting sqref="E230">
    <cfRule type="cellIs" dxfId="1435" priority="51" stopIfTrue="1" operator="equal">
      <formula>"Pass"</formula>
    </cfRule>
    <cfRule type="cellIs" dxfId="1434" priority="52" stopIfTrue="1" operator="equal">
      <formula>"Fail"</formula>
    </cfRule>
  </conditionalFormatting>
  <conditionalFormatting sqref="E230">
    <cfRule type="cellIs" dxfId="1433" priority="49" stopIfTrue="1" operator="equal">
      <formula>"Pass"</formula>
    </cfRule>
    <cfRule type="cellIs" dxfId="1432" priority="50" stopIfTrue="1" operator="equal">
      <formula>"Fail"</formula>
    </cfRule>
  </conditionalFormatting>
  <conditionalFormatting sqref="E231">
    <cfRule type="cellIs" dxfId="1431" priority="47" stopIfTrue="1" operator="equal">
      <formula>"Pass"</formula>
    </cfRule>
    <cfRule type="cellIs" dxfId="1430" priority="48" stopIfTrue="1" operator="equal">
      <formula>"Fail"</formula>
    </cfRule>
  </conditionalFormatting>
  <conditionalFormatting sqref="E231">
    <cfRule type="cellIs" dxfId="1429" priority="45" stopIfTrue="1" operator="equal">
      <formula>"Pass"</formula>
    </cfRule>
    <cfRule type="cellIs" dxfId="1428" priority="46" stopIfTrue="1" operator="equal">
      <formula>"Fail"</formula>
    </cfRule>
  </conditionalFormatting>
  <conditionalFormatting sqref="E232">
    <cfRule type="cellIs" dxfId="1427" priority="43" stopIfTrue="1" operator="equal">
      <formula>"Pass"</formula>
    </cfRule>
    <cfRule type="cellIs" dxfId="1426" priority="44" stopIfTrue="1" operator="equal">
      <formula>"Fail"</formula>
    </cfRule>
  </conditionalFormatting>
  <conditionalFormatting sqref="E232">
    <cfRule type="cellIs" dxfId="1425" priority="41" stopIfTrue="1" operator="equal">
      <formula>"Pass"</formula>
    </cfRule>
    <cfRule type="cellIs" dxfId="1424" priority="42" stopIfTrue="1" operator="equal">
      <formula>"Fail"</formula>
    </cfRule>
  </conditionalFormatting>
  <conditionalFormatting sqref="E233">
    <cfRule type="cellIs" dxfId="1423" priority="39" stopIfTrue="1" operator="equal">
      <formula>"Pass"</formula>
    </cfRule>
    <cfRule type="cellIs" dxfId="1422" priority="40" stopIfTrue="1" operator="equal">
      <formula>"Fail"</formula>
    </cfRule>
  </conditionalFormatting>
  <conditionalFormatting sqref="E233">
    <cfRule type="cellIs" dxfId="1421" priority="37" stopIfTrue="1" operator="equal">
      <formula>"Pass"</formula>
    </cfRule>
    <cfRule type="cellIs" dxfId="1420" priority="38" stopIfTrue="1" operator="equal">
      <formula>"Fail"</formula>
    </cfRule>
  </conditionalFormatting>
  <conditionalFormatting sqref="E234">
    <cfRule type="cellIs" dxfId="1419" priority="35" stopIfTrue="1" operator="equal">
      <formula>"Pass"</formula>
    </cfRule>
    <cfRule type="cellIs" dxfId="1418" priority="36" stopIfTrue="1" operator="equal">
      <formula>"Fail"</formula>
    </cfRule>
  </conditionalFormatting>
  <conditionalFormatting sqref="E234">
    <cfRule type="cellIs" dxfId="1417" priority="33" stopIfTrue="1" operator="equal">
      <formula>"Pass"</formula>
    </cfRule>
    <cfRule type="cellIs" dxfId="1416" priority="34" stopIfTrue="1" operator="equal">
      <formula>"Fail"</formula>
    </cfRule>
  </conditionalFormatting>
  <conditionalFormatting sqref="E235">
    <cfRule type="cellIs" dxfId="1415" priority="31" stopIfTrue="1" operator="equal">
      <formula>"Pass"</formula>
    </cfRule>
    <cfRule type="cellIs" dxfId="1414" priority="32" stopIfTrue="1" operator="equal">
      <formula>"Fail"</formula>
    </cfRule>
  </conditionalFormatting>
  <conditionalFormatting sqref="E235">
    <cfRule type="cellIs" dxfId="1413" priority="29" stopIfTrue="1" operator="equal">
      <formula>"Pass"</formula>
    </cfRule>
    <cfRule type="cellIs" dxfId="1412" priority="30" stopIfTrue="1" operator="equal">
      <formula>"Fail"</formula>
    </cfRule>
  </conditionalFormatting>
  <conditionalFormatting sqref="E236">
    <cfRule type="cellIs" dxfId="1411" priority="27" stopIfTrue="1" operator="equal">
      <formula>"Pass"</formula>
    </cfRule>
    <cfRule type="cellIs" dxfId="1410" priority="28" stopIfTrue="1" operator="equal">
      <formula>"Fail"</formula>
    </cfRule>
  </conditionalFormatting>
  <conditionalFormatting sqref="E236">
    <cfRule type="cellIs" dxfId="1409" priority="25" stopIfTrue="1" operator="equal">
      <formula>"Pass"</formula>
    </cfRule>
    <cfRule type="cellIs" dxfId="1408" priority="26" stopIfTrue="1" operator="equal">
      <formula>"Fail"</formula>
    </cfRule>
  </conditionalFormatting>
  <conditionalFormatting sqref="E237">
    <cfRule type="cellIs" dxfId="1407" priority="23" stopIfTrue="1" operator="equal">
      <formula>"Pass"</formula>
    </cfRule>
    <cfRule type="cellIs" dxfId="1406" priority="24" stopIfTrue="1" operator="equal">
      <formula>"Fail"</formula>
    </cfRule>
  </conditionalFormatting>
  <conditionalFormatting sqref="E237">
    <cfRule type="cellIs" dxfId="1405" priority="21" stopIfTrue="1" operator="equal">
      <formula>"Pass"</formula>
    </cfRule>
    <cfRule type="cellIs" dxfId="1404" priority="22" stopIfTrue="1" operator="equal">
      <formula>"Fail"</formula>
    </cfRule>
  </conditionalFormatting>
  <conditionalFormatting sqref="E238">
    <cfRule type="cellIs" dxfId="1403" priority="19" stopIfTrue="1" operator="equal">
      <formula>"Pass"</formula>
    </cfRule>
    <cfRule type="cellIs" dxfId="1402" priority="20" stopIfTrue="1" operator="equal">
      <formula>"Fail"</formula>
    </cfRule>
  </conditionalFormatting>
  <conditionalFormatting sqref="E238">
    <cfRule type="cellIs" dxfId="1401" priority="17" stopIfTrue="1" operator="equal">
      <formula>"Pass"</formula>
    </cfRule>
    <cfRule type="cellIs" dxfId="1400" priority="18" stopIfTrue="1" operator="equal">
      <formula>"Fail"</formula>
    </cfRule>
  </conditionalFormatting>
  <conditionalFormatting sqref="E162">
    <cfRule type="cellIs" dxfId="1399" priority="15" stopIfTrue="1" operator="equal">
      <formula>"Pass"</formula>
    </cfRule>
    <cfRule type="cellIs" dxfId="1398" priority="16" stopIfTrue="1" operator="equal">
      <formula>"Fail"</formula>
    </cfRule>
  </conditionalFormatting>
  <conditionalFormatting sqref="E162">
    <cfRule type="cellIs" dxfId="1397" priority="13" stopIfTrue="1" operator="equal">
      <formula>"Pass"</formula>
    </cfRule>
    <cfRule type="cellIs" dxfId="1396" priority="14" stopIfTrue="1" operator="equal">
      <formula>"Fail"</formula>
    </cfRule>
  </conditionalFormatting>
  <conditionalFormatting sqref="E165">
    <cfRule type="cellIs" dxfId="1395" priority="11" stopIfTrue="1" operator="equal">
      <formula>"Pass"</formula>
    </cfRule>
    <cfRule type="cellIs" dxfId="1394" priority="12" stopIfTrue="1" operator="equal">
      <formula>"Fail"</formula>
    </cfRule>
  </conditionalFormatting>
  <conditionalFormatting sqref="E165">
    <cfRule type="cellIs" dxfId="1393" priority="9" stopIfTrue="1" operator="equal">
      <formula>"Pass"</formula>
    </cfRule>
    <cfRule type="cellIs" dxfId="1392" priority="10" stopIfTrue="1" operator="equal">
      <formula>"Fail"</formula>
    </cfRule>
  </conditionalFormatting>
  <conditionalFormatting sqref="E170">
    <cfRule type="cellIs" dxfId="1391" priority="7" stopIfTrue="1" operator="equal">
      <formula>"Pass"</formula>
    </cfRule>
    <cfRule type="cellIs" dxfId="1390" priority="8" stopIfTrue="1" operator="equal">
      <formula>"Fail"</formula>
    </cfRule>
  </conditionalFormatting>
  <conditionalFormatting sqref="E170">
    <cfRule type="cellIs" dxfId="1389" priority="5" stopIfTrue="1" operator="equal">
      <formula>"Pass"</formula>
    </cfRule>
    <cfRule type="cellIs" dxfId="1388" priority="6" stopIfTrue="1" operator="equal">
      <formula>"Fail"</formula>
    </cfRule>
  </conditionalFormatting>
  <conditionalFormatting sqref="E181">
    <cfRule type="cellIs" dxfId="1387" priority="3" stopIfTrue="1" operator="equal">
      <formula>"Pass"</formula>
    </cfRule>
    <cfRule type="cellIs" dxfId="1386" priority="4" stopIfTrue="1" operator="equal">
      <formula>"Fail"</formula>
    </cfRule>
  </conditionalFormatting>
  <conditionalFormatting sqref="E181">
    <cfRule type="cellIs" dxfId="1385" priority="1" stopIfTrue="1" operator="equal">
      <formula>"Pass"</formula>
    </cfRule>
    <cfRule type="cellIs" dxfId="138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64"/>
  <sheetViews>
    <sheetView zoomScale="70" zoomScaleNormal="70" workbookViewId="0">
      <pane ySplit="10" topLeftCell="A11" activePane="bottomLeft" state="frozen"/>
      <selection pane="bottomLeft" activeCell="G29" sqref="G29"/>
    </sheetView>
  </sheetViews>
  <sheetFormatPr defaultColWidth="9" defaultRowHeight="15.75"/>
  <cols>
    <col min="1" max="1" width="13.375" style="309"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10"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29" t="s">
        <v>145</v>
      </c>
      <c r="E9" s="430"/>
      <c r="F9" s="430"/>
      <c r="G9" s="430"/>
      <c r="H9" s="430"/>
      <c r="I9" s="430"/>
      <c r="J9" s="430"/>
      <c r="K9" s="430"/>
      <c r="L9" s="430"/>
      <c r="M9" s="430"/>
      <c r="N9" s="430"/>
      <c r="O9" s="430"/>
      <c r="P9" s="430"/>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IF(P12="","",IF(U11&lt;7.2,IF(S11&gt;1700,IF(S11&lt;1950,"Pass","Fail"),"Fail"),"Fail"))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65" t="str">
        <f>IF(P15="","",IF(U14&lt;7.2,IF(S14&gt;1700,IF(S14&lt;1950,"Pass","Fail"),"Fail"),"Fail"))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65" t="str">
        <f>IF(P18="","",IF(U17&lt;7.2,IF(S17&gt;1700,IF(S17&lt;1950,"Pass","Fail"),"Fail"),"Fail"))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65" t="str">
        <f>IF(P21="","",IF(U20&lt;7.2,IF(S20&gt;1700,IF(S20&lt;1950,"Pass","Fail"),"Fail"),"Fail"))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65" t="str">
        <f>IF(P24="","",IF(U23&lt;7.2,IF(S23&gt;1700,IF(S23&lt;1950,"Pass","Fail"),"Fail"),"Fail"))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65" t="str">
        <f>IF(P27="","",IF(U26&lt;7.2,IF(S26&gt;1700,IF(S26&lt;1950,"Pass","Fail"),"Fail"),"Fail"))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65" t="str">
        <f>IF(P30="","",IF(U29&lt;7.2,IF(S29&gt;1700,IF(S29&lt;1950,"Pass","Fail"),"Fail"),"Fail"))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65" t="str">
        <f>IF(P33="","",IF(U32&lt;7.2,IF(S32&gt;1700,IF(S32&lt;1950,"Pass","Fail"),"Fail"),"Fail"))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65" t="str">
        <f>IF(P36="","",IF(U35&lt;7.2,IF(S35&gt;1700,IF(S35&lt;1950,"Pass","Fail"),"Fail"),"Fail"))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65" t="str">
        <f>IF(P39="","",IF(U38&lt;7.2,IF(S38&gt;1700,IF(S38&lt;1950,"Pass","Fail"),"Fail"),"Fail"))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65" t="str">
        <f>IF(P42="","",IF(U41&lt;7.2,IF(S41&gt;1700,IF(S41&lt;1950,"Pass","Fail"),"Fail"),"Fail"))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65" t="str">
        <f>IF(P45="","",IF(U44&lt;7.2,IF(S44&gt;1700,IF(S44&lt;1950,"Pass","Fail"),"Fail"),"Fail"))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65" t="str">
        <f>IF(P48="","",IF(U47&lt;7.2,IF(S47&gt;1700,IF(S47&lt;1950,"Pass","Fail"),"Fail"),"Fail"))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65" t="str">
        <f>IF(P51="","",IF(U50&lt;7.2,IF(S50&gt;1700,IF(S50&lt;1950,"Pass","Fail"),"Fail"),"Fail"))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65" t="str">
        <f>IF(P54="","",IF(U53&lt;7.2,IF(S53&gt;1700,IF(S53&lt;2100,"Pass","Fail"),"Fail"),"Fail"))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65" t="str">
        <f>IF(P57="","",IF(U56&lt;7.2,IF(S56&gt;1700,IF(S56&lt;2100,"Pass","Fail"),"Fail"),"Fail"))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65" t="str">
        <f>IF(P60="","",IF(U59&lt;7.2,IF(S59&gt;1700,IF(S59&lt;2100,"Pass","Fail"),"Fail"),"Fail"))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65" t="str">
        <f>IF(P63="","",IF(U62&lt;7.2,IF(S62&gt;1700,IF(S62&lt;2100,"Pass","Fail"),"Fail"),"Fail"))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65" t="str">
        <f>IF(P66="","",IF(U65&lt;7.2,IF(S65&gt;1700,IF(S65&lt;2100,"Pass","Fail"),"Fail"),"Fail"))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65" t="str">
        <f>IF(P69="","",IF(U68&lt;7.2,IF(S68&gt;1700,IF(S68&lt;2100,"Pass","Fail"),"Fail"),"Fail"))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65" t="str">
        <f>IF(P72="","",IF(U71&lt;7.2,IF(S71&gt;1700,IF(S71&lt;2100,"Pass","Fail"),"Fail"),"Fail"))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65" t="str">
        <f>IF(P75="","",IF(U74&lt;7.2,IF(S74&gt;1700,IF(S74&lt;2100,"Pass","Fail"),"Fail"),"Fail"))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65" t="str">
        <f>IF(P78="","",IF(U77&lt;7.2,IF(S77&gt;1700,IF(S77&lt;2100,"Pass","Fail"),"Fail"),"Fail"))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65" t="str">
        <f>IF(P81="","",IF(U80&lt;7.2,IF(S80&gt;1700,IF(S80&lt;2100,"Pass","Fail"),"Fail"),"Fail"))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65" t="str">
        <f>IF(P84="","",IF(U83&lt;7.2,IF(S83&gt;1700,IF(S83&lt;2100,"Pass","Fail"),"Fail"),"Fail"))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65" t="str">
        <f>IF(P87="","",IF(U86&lt;7.2,IF(S86&gt;1700,IF(S86&lt;2100,"Pass","Fail"),"Fail"),"Fail"))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65" t="str">
        <f>IF(P90="","",IF(U89&lt;7.2,IF(S89&gt;1700,IF(S89&lt;2100,"Pass","Fail"),"Fail"),"Fail"))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65" t="str">
        <f>IF(P93="","",IF(U92&lt;7.2,IF(S92&gt;1700,IF(S92&lt;2100,"Pass","Fail"),"Fail"),"Fail"))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65" t="str">
        <f>IF(P96="","",IF(U95&lt;7.2,IF(S95&gt;1700,IF(S95&lt;2100,"Pass","Fail"),"Fail"),"Fail"))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65" t="str">
        <f>IF(P99="","",IF(U98&lt;7.2,IF(S98&gt;1700,IF(S98&lt;2100,"Pass","Fail"),"Fail"),"Fail"))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65" t="str">
        <f>IF(P102="","",IF(U101&lt;7.2,IF(S101&gt;1700,IF(S101&lt;2100,"Pass","Fail"),"Fail"),"Fail"))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65" t="str">
        <f>IF(P105="","",IF(U104&lt;7.2,IF(S104&gt;1700,IF(S104&lt;2100,"Pass","Fail"),"Fail"),"Fail"))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65" t="str">
        <f>IF(P108="","",IF(U107&lt;7.2,IF(S107&gt;1700,IF(S107&lt;2100,"Pass","Fail"),"Fail"),"Fail"))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65" t="str">
        <f>IF(P111="","",IF(U110&lt;7.2,IF(S110&gt;1700,IF(S110&lt;2100,"Pass","Fail"),"Fail"),"Fail"))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65" t="str">
        <f>IF(P114="","",IF(U113&lt;7.2,IF(S113&gt;1700,IF(S113&lt;2100,"Pass","Fail"),"Fail"),"Fail"))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65" t="str">
        <f>IF(P117="","",IF(U116&lt;7.2,IF(S116&gt;1700,IF(S116&lt;2100,"Pass","Fail"),"Fail"),"Fail"))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65" t="str">
        <f>IF(P120="","",IF(U119&lt;7.2,IF(S119&gt;1700,IF(S119&lt;2100,"Pass","Fail"),"Fail"),"Fail"))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65" t="str">
        <f>IF(P123="","",IF(U122&lt;7.2,IF(S122&gt;1700,IF(S122&lt;2100,"Pass","Fail"),"Fail"),"Fail"))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65" t="str">
        <f>IF(P126="","",IF(U125&lt;7.2,IF(S125&gt;1700,IF(S125&lt;2100,"Pass","Fail"),"Fail"),"Fail"))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65" t="str">
        <f>IF(P129="","",IF(U128&lt;7.2,IF(S128&gt;1700,IF(S128&lt;2100,"Pass","Fail"),"Fail"),"Fail"))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65" t="str">
        <f>IF(P132="","",IF(U131&lt;7.2,IF(S131&gt;1700,IF(S131&lt;2100,"Pass","Fail"),"Fail"),"Fail"))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65" t="str">
        <f>IF(P135="","",IF(U134&lt;7.2,IF(S134&gt;1700,IF(S134&lt;2100,"Pass","Fail"),"Fail"),"Fail"))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65" t="str">
        <f>IF(P138="","",IF(U137&lt;7.2,IF(S137&gt;1700,IF(S137&lt;2100,"Pass","Fail"),"Fail"),"Fail"))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65" t="str">
        <f>IF(P141="","",IF(U140&lt;7.2,IF(S140&gt;1700,IF(S140&lt;2100,"Pass","Fail"),"Fail"),"Fail"))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65" t="str">
        <f>IF(P144="","",IF(U143&lt;7.2,IF(S143&gt;1700,IF(S143&lt;2100,"Pass","Fail"),"Fail"),"Fail"))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65" t="str">
        <f>IF(P147="","",IF(U146&lt;7.2,IF(S146&gt;1700,IF(S146&lt;2100,"Pass","Fail"),"Fail"),"Fail"))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65" t="str">
        <f>IF(P150="","",IF(U149&lt;7.2,IF(S149&gt;1700,IF(S149&lt;2100,"Pass","Fail"),"Fail"),"Fail"))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65" t="str">
        <f>IF(P153="","",IF(U152&lt;7.2,IF(S152&gt;1700,IF(S152&lt;2100,"Pass","Fail"),"Fail"),"Fail"))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65" t="str">
        <f>IF(P156="","",IF(U155&lt;7.2,IF(S155&gt;1700,IF(S155&lt;2100,"Pass","Fail"),"Fail"),"Fail"))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65" t="str">
        <f>IF(P159="","",IF(U158&lt;7.2,IF(S158&gt;1700,IF(S158&lt;2100,"Pass","Fail"),"Fail"),"Fail"))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65" t="str">
        <f>IF(P162="","",IF(U161&lt;7.2,IF(S161&gt;1700,IF(S161&lt;2100,"Pass","Fail"),"Fail"),"Fail"))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65" t="str">
        <f>IF(P165="","",IF(U164&lt;7.2,IF(S164&gt;1700,IF(S164&lt;2100,"Pass","Fail"),"Fail"),"Fail"))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65" t="str">
        <f>IF(P168="","",IF(U167&lt;7.2,IF(S167&gt;1700,IF(S167&lt;2100,"Pass","Fail"),"Fail"),"Fail"))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65" t="str">
        <f>IF(P171="","",IF(U170&lt;7.2,IF(S170&gt;1700,IF(S170&lt;2100,"Pass","Fail"),"Fail"),"Fail"))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65" t="str">
        <f>IF(P174="","",IF(U173&lt;7.2,IF(S173&gt;1700,IF(S173&lt;2100,"Pass","Fail"),"Fail"),"Fail"))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65" t="str">
        <f>IF(P177="","",IF(U176&lt;7.2,IF(S176&gt;1700,IF(S176&lt;2100,"Pass","Fail"),"Fail"),"Fail"))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65" t="str">
        <f>IF(P180="","",IF(U179&lt;7.2,IF(S179&gt;1700,IF(S179&lt;2100,"Pass","Fail"),"Fail"),"Fail"))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65" t="str">
        <f>IF(P183="","",IF(U182&lt;7.2,IF(S182&gt;1700,IF(S182&lt;2100,"Pass","Fail"),"Fail"),"Fail"))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65" t="str">
        <f>IF(P186="","",IF(U185&lt;7.2,IF(S185&gt;1700,IF(S185&lt;2100,"Pass","Fail"),"Fail"),"Fail"))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65" t="str">
        <f>IF(P189="","",IF(U188&lt;7.2,IF(S188&gt;1700,IF(S188&lt;2100,"Pass","Fail"),"Fail"),"Fail"))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65" t="str">
        <f>IF(P192="","",IF(U191&lt;7.2,IF(S191&gt;1700,IF(S191&lt;2100,"Pass","Fail"),"Fail"),"Fail"))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65" t="str">
        <f>IF(P195="","",IF(U194&lt;7.2,IF(S194&gt;1700,IF(S194&lt;2100,"Pass","Fail"),"Fail"),"Fail"))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65" t="str">
        <f>IF(P198="","",IF(U197&lt;7.2,IF(S197&gt;1700,IF(S197&lt;2100,"Pass","Fail"),"Fail"),"Fail"))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65" t="str">
        <f>IF(P201="","",IF(U200&lt;7.2,IF(S200&gt;1700,IF(S200&lt;2100,"Pass","Fail"),"Fail"),"Fail"))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65" t="str">
        <f>IF(P204="","",IF(U203&lt;7.2,IF(S203&gt;1700,IF(S203&lt;2100,"Pass","Fail"),"Fail"),"Fail"))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65" t="str">
        <f>IF(P207="","",IF(U206&lt;7.2,IF(S206&gt;1700,IF(S206&lt;2100,"Pass","Fail"),"Fail"),"Fail"))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65" t="str">
        <f>IF(P210="","",IF(U209&lt;7.2,IF(S209&gt;1700,IF(S209&lt;2100,"Pass","Fail"),"Fail"),"Fail"))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65" t="str">
        <f>IF(P213="","",IF(U212&lt;7.2,IF(S212&gt;1700,IF(S212&lt;2100,"Pass","Fail"),"Fail"),"Fail"))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65" t="str">
        <f>IF(P216="","",IF(U215&lt;7.2,IF(S215&gt;1700,IF(S215&lt;2100,"Pass","Fail"),"Fail"),"Fail"))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65" t="str">
        <f>IF(P219="","",IF(U218&lt;7.2,IF(S218&gt;1700,IF(S218&lt;2100,"Pass","Fail"),"Fail"),"Fail"))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65" t="str">
        <f>IF(P222="","",IF(U221&lt;7.2,IF(S221&gt;1700,IF(S221&lt;2100,"Pass","Fail"),"Fail"),"Fail"))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65" t="str">
        <f>IF(P225="","",IF(U224&lt;7.2,IF(S224&gt;1700,IF(S224&lt;2100,"Pass","Fail"),"Fail"),"Fail"))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83" t="str">
        <f>IF(P228="","",IF(U227&lt;5,IF(S227&gt;1900,IF(S227&lt;2250,"Pass","Fail"),"Fail"),"Fail"))</f>
        <v>Fail</v>
      </c>
      <c r="W227" s="266">
        <v>1340</v>
      </c>
      <c r="X227" s="284"/>
      <c r="Y227" s="285"/>
      <c r="Z227" s="286">
        <v>1600</v>
      </c>
      <c r="AA227" s="286">
        <v>2600</v>
      </c>
      <c r="AB227" s="287">
        <v>1900</v>
      </c>
      <c r="AC227" s="287">
        <v>2250</v>
      </c>
      <c r="AD227" s="288">
        <v>10</v>
      </c>
      <c r="AE227" s="288">
        <v>4.5</v>
      </c>
    </row>
    <row r="228" spans="1:31">
      <c r="A228" s="289"/>
      <c r="B228" s="290"/>
      <c r="C228" s="290"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90"/>
      <c r="R228" s="290"/>
      <c r="S228" s="290"/>
      <c r="T228" s="290"/>
      <c r="U228" s="290"/>
      <c r="V228" s="291"/>
      <c r="W228" s="251"/>
      <c r="X228" s="284"/>
      <c r="Y228" s="285"/>
      <c r="Z228" s="292"/>
      <c r="AA228" s="292"/>
      <c r="AB228" s="292"/>
      <c r="AC228" s="292"/>
      <c r="AD228" s="293"/>
      <c r="AE228" s="293"/>
    </row>
    <row r="229" spans="1:31" ht="32.25" thickBot="1">
      <c r="A229" s="294"/>
      <c r="B229" s="295"/>
      <c r="C229" s="256" t="s">
        <v>221</v>
      </c>
      <c r="D229" s="296">
        <f t="shared" ref="D229:P229" si="72">IF(((D227="")*AND(D228="")),"",(D227-D228)*2)</f>
        <v>448.09999999999945</v>
      </c>
      <c r="E229" s="296">
        <f t="shared" si="72"/>
        <v>366.75999999999931</v>
      </c>
      <c r="F229" s="296">
        <f t="shared" si="72"/>
        <v>399.03999999999996</v>
      </c>
      <c r="G229" s="296">
        <f t="shared" si="72"/>
        <v>388.25999999999931</v>
      </c>
      <c r="H229" s="296">
        <f t="shared" si="72"/>
        <v>397.84000000000015</v>
      </c>
      <c r="I229" s="296">
        <f t="shared" si="72"/>
        <v>430.18000000000029</v>
      </c>
      <c r="J229" s="296">
        <f t="shared" si="72"/>
        <v>385.07999999999993</v>
      </c>
      <c r="K229" s="296">
        <f t="shared" si="72"/>
        <v>379.86000000000058</v>
      </c>
      <c r="L229" s="296">
        <f t="shared" si="72"/>
        <v>421.86000000000058</v>
      </c>
      <c r="M229" s="296">
        <f t="shared" si="72"/>
        <v>430.30000000000018</v>
      </c>
      <c r="N229" s="296">
        <f t="shared" si="72"/>
        <v>389.68000000000029</v>
      </c>
      <c r="O229" s="296">
        <f t="shared" si="72"/>
        <v>381.0600000000004</v>
      </c>
      <c r="P229" s="296">
        <f t="shared" si="72"/>
        <v>424.27999999999975</v>
      </c>
      <c r="Q229" s="277"/>
      <c r="R229" s="295"/>
      <c r="S229" s="295"/>
      <c r="T229" s="295"/>
      <c r="U229" s="295"/>
      <c r="V229" s="297"/>
      <c r="W229" s="260"/>
      <c r="X229" s="284"/>
      <c r="Y229" s="285"/>
      <c r="Z229" s="292"/>
      <c r="AA229" s="292"/>
      <c r="AB229" s="292"/>
      <c r="AC229" s="292"/>
      <c r="AD229" s="293"/>
      <c r="AE229" s="293"/>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83" t="str">
        <f>IF(P231="","",IF(U230&lt;5,IF(S230&gt;1900,IF(S230&lt;2250,"Pass","Fail"),"Fail"),"Fail"))</f>
        <v>Pass</v>
      </c>
      <c r="W230" s="266" t="s">
        <v>98</v>
      </c>
      <c r="X230" s="284"/>
      <c r="Y230" s="285"/>
      <c r="Z230" s="286">
        <v>1600</v>
      </c>
      <c r="AA230" s="286">
        <v>2600</v>
      </c>
      <c r="AB230" s="287">
        <v>1900</v>
      </c>
      <c r="AC230" s="287">
        <v>2250</v>
      </c>
      <c r="AD230" s="288">
        <v>10</v>
      </c>
      <c r="AE230" s="288">
        <v>4.5</v>
      </c>
    </row>
    <row r="231" spans="1:31">
      <c r="A231" s="289"/>
      <c r="B231" s="290"/>
      <c r="C231" s="290"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90"/>
      <c r="R231" s="290"/>
      <c r="S231" s="290"/>
      <c r="T231" s="290"/>
      <c r="U231" s="290"/>
      <c r="V231" s="291"/>
      <c r="W231" s="251"/>
      <c r="X231" s="284"/>
      <c r="Y231" s="285"/>
      <c r="Z231" s="292"/>
      <c r="AA231" s="292"/>
      <c r="AB231" s="292"/>
      <c r="AC231" s="292"/>
      <c r="AD231" s="293"/>
      <c r="AE231" s="293"/>
    </row>
    <row r="232" spans="1:31" ht="32.25" thickBot="1">
      <c r="A232" s="294"/>
      <c r="B232" s="295"/>
      <c r="C232" s="256" t="s">
        <v>221</v>
      </c>
      <c r="D232" s="296">
        <f t="shared" ref="D232:P232" si="73">IF(((D230="")*AND(D231="")),"",(D230-D231)*2)</f>
        <v>2051.0200000000004</v>
      </c>
      <c r="E232" s="296">
        <f t="shared" si="73"/>
        <v>2069.46</v>
      </c>
      <c r="F232" s="296">
        <f t="shared" si="73"/>
        <v>2074.92</v>
      </c>
      <c r="G232" s="296">
        <f t="shared" si="73"/>
        <v>2083.84</v>
      </c>
      <c r="H232" s="296">
        <f t="shared" si="73"/>
        <v>2065.8599999999997</v>
      </c>
      <c r="I232" s="296">
        <f t="shared" si="73"/>
        <v>2064.04</v>
      </c>
      <c r="J232" s="296">
        <f t="shared" si="73"/>
        <v>2082.38</v>
      </c>
      <c r="K232" s="296">
        <f t="shared" si="73"/>
        <v>2080.1400000000003</v>
      </c>
      <c r="L232" s="296">
        <f t="shared" si="73"/>
        <v>2016.88</v>
      </c>
      <c r="M232" s="296">
        <f t="shared" si="73"/>
        <v>2077.6200000000003</v>
      </c>
      <c r="N232" s="296">
        <f t="shared" si="73"/>
        <v>2098.38</v>
      </c>
      <c r="O232" s="296">
        <f t="shared" si="73"/>
        <v>2086.8799999999997</v>
      </c>
      <c r="P232" s="296">
        <f t="shared" si="73"/>
        <v>2060.5599999999995</v>
      </c>
      <c r="Q232" s="277"/>
      <c r="R232" s="295"/>
      <c r="S232" s="295"/>
      <c r="T232" s="295"/>
      <c r="U232" s="295"/>
      <c r="V232" s="297"/>
      <c r="W232" s="260"/>
      <c r="X232" s="284"/>
      <c r="Y232" s="285"/>
      <c r="Z232" s="292"/>
      <c r="AA232" s="292"/>
      <c r="AB232" s="292"/>
      <c r="AC232" s="292"/>
      <c r="AD232" s="293"/>
      <c r="AE232" s="293"/>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83" t="str">
        <f>IF(P234="","",IF(U233&lt;5,IF(S233&gt;1900,IF(S233&lt;2250,"Pass","Fail"),"Fail"),"Fail"))</f>
        <v>Pass</v>
      </c>
      <c r="W233" s="266">
        <v>1335</v>
      </c>
      <c r="X233" s="284" t="s">
        <v>147</v>
      </c>
      <c r="Y233" s="285"/>
      <c r="Z233" s="286">
        <v>1600</v>
      </c>
      <c r="AA233" s="286">
        <v>2600</v>
      </c>
      <c r="AB233" s="287">
        <v>1900</v>
      </c>
      <c r="AC233" s="287">
        <v>2250</v>
      </c>
      <c r="AD233" s="288">
        <v>10</v>
      </c>
      <c r="AE233" s="288">
        <v>4.5</v>
      </c>
    </row>
    <row r="234" spans="1:31">
      <c r="A234" s="289"/>
      <c r="B234" s="290"/>
      <c r="C234" s="290"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90"/>
      <c r="R234" s="290"/>
      <c r="S234" s="290"/>
      <c r="T234" s="290"/>
      <c r="U234" s="290"/>
      <c r="V234" s="291"/>
      <c r="W234" s="251"/>
      <c r="X234" s="284"/>
      <c r="Y234" s="285"/>
      <c r="Z234" s="292"/>
      <c r="AA234" s="292"/>
      <c r="AB234" s="292"/>
      <c r="AC234" s="292"/>
      <c r="AD234" s="293"/>
      <c r="AE234" s="293"/>
    </row>
    <row r="235" spans="1:31" ht="32.25" thickBot="1">
      <c r="A235" s="294"/>
      <c r="B235" s="295"/>
      <c r="C235" s="256" t="s">
        <v>221</v>
      </c>
      <c r="D235" s="296">
        <f t="shared" ref="D235:P235" si="74">IF(((D233="")*AND(D234="")),"",(D233-D234)*2)</f>
        <v>1898.2199999999998</v>
      </c>
      <c r="E235" s="296">
        <f t="shared" si="74"/>
        <v>1954.46</v>
      </c>
      <c r="F235" s="296">
        <f t="shared" si="74"/>
        <v>1944.56</v>
      </c>
      <c r="G235" s="296">
        <f t="shared" si="74"/>
        <v>1956.44</v>
      </c>
      <c r="H235" s="296">
        <f t="shared" si="74"/>
        <v>1845</v>
      </c>
      <c r="I235" s="296">
        <f t="shared" si="74"/>
        <v>1889.8599999999997</v>
      </c>
      <c r="J235" s="296">
        <f t="shared" si="74"/>
        <v>1951.2199999999998</v>
      </c>
      <c r="K235" s="296">
        <f t="shared" si="74"/>
        <v>1946.42</v>
      </c>
      <c r="L235" s="296">
        <f t="shared" si="74"/>
        <v>1866.0000000000005</v>
      </c>
      <c r="M235" s="296">
        <f t="shared" si="74"/>
        <v>1955.7999999999997</v>
      </c>
      <c r="N235" s="296">
        <f t="shared" si="74"/>
        <v>1957.8799999999997</v>
      </c>
      <c r="O235" s="296">
        <f t="shared" si="74"/>
        <v>1959.6400000000003</v>
      </c>
      <c r="P235" s="296">
        <f t="shared" si="74"/>
        <v>1942.5</v>
      </c>
      <c r="Q235" s="277"/>
      <c r="R235" s="295"/>
      <c r="S235" s="295"/>
      <c r="T235" s="295"/>
      <c r="U235" s="295"/>
      <c r="V235" s="297"/>
      <c r="W235" s="260"/>
      <c r="X235" s="284"/>
      <c r="Y235" s="285"/>
      <c r="Z235" s="292"/>
      <c r="AA235" s="292"/>
      <c r="AB235" s="292"/>
      <c r="AC235" s="292"/>
      <c r="AD235" s="293"/>
      <c r="AE235" s="293"/>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83" t="str">
        <f>IF(P237="","",IF(U236&lt;5,IF(S236&gt;1900,IF(S236&lt;2250,"Pass","Fail"),"Fail"),"Fail"))</f>
        <v>Pass</v>
      </c>
      <c r="W236" s="298" t="s">
        <v>98</v>
      </c>
      <c r="X236" s="284" t="s">
        <v>148</v>
      </c>
      <c r="Y236" s="285"/>
      <c r="Z236" s="286">
        <v>1600</v>
      </c>
      <c r="AA236" s="286">
        <v>2600</v>
      </c>
      <c r="AB236" s="287">
        <v>1900</v>
      </c>
      <c r="AC236" s="287">
        <v>2250</v>
      </c>
      <c r="AD236" s="288">
        <v>10</v>
      </c>
      <c r="AE236" s="288">
        <v>4.5</v>
      </c>
    </row>
    <row r="237" spans="1:31">
      <c r="A237" s="289"/>
      <c r="B237" s="290"/>
      <c r="C237" s="290"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90"/>
      <c r="R237" s="290"/>
      <c r="S237" s="290"/>
      <c r="T237" s="290"/>
      <c r="U237" s="290"/>
      <c r="V237" s="291"/>
      <c r="W237" s="251"/>
      <c r="X237" s="284"/>
      <c r="Y237" s="285"/>
      <c r="Z237" s="292"/>
      <c r="AA237" s="292"/>
      <c r="AB237" s="292"/>
      <c r="AC237" s="292"/>
      <c r="AD237" s="293"/>
      <c r="AE237" s="293"/>
    </row>
    <row r="238" spans="1:31" ht="32.25" thickBot="1">
      <c r="A238" s="294"/>
      <c r="B238" s="295"/>
      <c r="C238" s="256" t="s">
        <v>221</v>
      </c>
      <c r="D238" s="296">
        <f t="shared" ref="D238:P238" si="75">IF(((D236="")*AND(D237="")),"",(D236-D237)*2)</f>
        <v>1962.1000000000004</v>
      </c>
      <c r="E238" s="296">
        <f t="shared" si="75"/>
        <v>2035.5399999999995</v>
      </c>
      <c r="F238" s="296">
        <f t="shared" si="75"/>
        <v>2037.4999999999995</v>
      </c>
      <c r="G238" s="296">
        <f t="shared" si="75"/>
        <v>2055.4800000000005</v>
      </c>
      <c r="H238" s="296">
        <f t="shared" si="75"/>
        <v>1984.3799999999997</v>
      </c>
      <c r="I238" s="296">
        <f t="shared" si="75"/>
        <v>1971.3199999999997</v>
      </c>
      <c r="J238" s="296">
        <f t="shared" si="75"/>
        <v>2040.04</v>
      </c>
      <c r="K238" s="296">
        <f t="shared" si="75"/>
        <v>2039.3200000000002</v>
      </c>
      <c r="L238" s="296">
        <f t="shared" si="75"/>
        <v>1945.1</v>
      </c>
      <c r="M238" s="296">
        <f t="shared" si="75"/>
        <v>2042.96</v>
      </c>
      <c r="N238" s="296">
        <f t="shared" si="75"/>
        <v>2058.2600000000002</v>
      </c>
      <c r="O238" s="296">
        <f t="shared" si="75"/>
        <v>2058.3000000000002</v>
      </c>
      <c r="P238" s="296">
        <f t="shared" si="75"/>
        <v>2024.52</v>
      </c>
      <c r="Q238" s="277"/>
      <c r="R238" s="295"/>
      <c r="S238" s="295"/>
      <c r="T238" s="295"/>
      <c r="U238" s="295"/>
      <c r="V238" s="297"/>
      <c r="W238" s="260"/>
      <c r="X238" s="284"/>
      <c r="Y238" s="285"/>
      <c r="Z238" s="292"/>
      <c r="AA238" s="292"/>
      <c r="AB238" s="292"/>
      <c r="AC238" s="292"/>
      <c r="AD238" s="293"/>
      <c r="AE238" s="293"/>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83" t="str">
        <f>IF(P240="","",IF(U239&lt;5,IF(S239&gt;1900,IF(S239&lt;2250,"Pass","Fail"),"Fail"),"Fail"))</f>
        <v>Pass</v>
      </c>
      <c r="W239" s="266">
        <v>121</v>
      </c>
      <c r="X239" s="284" t="s">
        <v>149</v>
      </c>
      <c r="Y239" s="285"/>
      <c r="Z239" s="286">
        <v>1600</v>
      </c>
      <c r="AA239" s="286">
        <v>2600</v>
      </c>
      <c r="AB239" s="287">
        <v>1900</v>
      </c>
      <c r="AC239" s="287">
        <v>2250</v>
      </c>
      <c r="AD239" s="288">
        <v>10</v>
      </c>
      <c r="AE239" s="288">
        <v>4.5</v>
      </c>
    </row>
    <row r="240" spans="1:31">
      <c r="A240" s="289"/>
      <c r="B240" s="290"/>
      <c r="C240" s="290"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90"/>
      <c r="R240" s="290"/>
      <c r="S240" s="290"/>
      <c r="T240" s="290"/>
      <c r="U240" s="290"/>
      <c r="V240" s="291"/>
      <c r="W240" s="251"/>
      <c r="X240" s="284"/>
      <c r="Y240" s="285"/>
      <c r="Z240" s="292"/>
      <c r="AA240" s="292"/>
      <c r="AB240" s="292"/>
      <c r="AC240" s="292"/>
      <c r="AD240" s="293"/>
      <c r="AE240" s="293"/>
    </row>
    <row r="241" spans="1:31" ht="32.25" thickBot="1">
      <c r="A241" s="294"/>
      <c r="B241" s="295"/>
      <c r="C241" s="256" t="s">
        <v>221</v>
      </c>
      <c r="D241" s="296">
        <f t="shared" ref="D241:P241" si="76">IF(((D239="")*AND(D240="")),"",(D239-D240)*2)</f>
        <v>2003.98</v>
      </c>
      <c r="E241" s="296">
        <f t="shared" si="76"/>
        <v>2056.0600000000004</v>
      </c>
      <c r="F241" s="296">
        <f t="shared" si="76"/>
        <v>2060.6800000000003</v>
      </c>
      <c r="G241" s="296">
        <f t="shared" si="76"/>
        <v>2079.5799999999995</v>
      </c>
      <c r="H241" s="296">
        <f t="shared" si="76"/>
        <v>2034.6400000000003</v>
      </c>
      <c r="I241" s="296">
        <f t="shared" si="76"/>
        <v>2020.54</v>
      </c>
      <c r="J241" s="296">
        <f t="shared" si="76"/>
        <v>2059.5000000000005</v>
      </c>
      <c r="K241" s="296">
        <f t="shared" si="76"/>
        <v>2064.3199999999997</v>
      </c>
      <c r="L241" s="296">
        <f t="shared" si="76"/>
        <v>1985.7200000000003</v>
      </c>
      <c r="M241" s="296">
        <f t="shared" si="76"/>
        <v>2055.7399999999998</v>
      </c>
      <c r="N241" s="296">
        <f t="shared" si="76"/>
        <v>2088.0000000000005</v>
      </c>
      <c r="O241" s="296">
        <f t="shared" si="76"/>
        <v>2073.6999999999998</v>
      </c>
      <c r="P241" s="296">
        <f t="shared" si="76"/>
        <v>2066.4799999999996</v>
      </c>
      <c r="Q241" s="277"/>
      <c r="R241" s="295"/>
      <c r="S241" s="295"/>
      <c r="T241" s="295"/>
      <c r="U241" s="295"/>
      <c r="V241" s="297"/>
      <c r="W241" s="260"/>
      <c r="X241" s="284"/>
      <c r="Y241" s="285"/>
      <c r="Z241" s="292"/>
      <c r="AA241" s="292"/>
      <c r="AB241" s="292"/>
      <c r="AC241" s="292"/>
      <c r="AD241" s="293"/>
      <c r="AE241" s="293"/>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83" t="str">
        <f>IF(P243="","",IF(U242&lt;5,IF(S242&gt;1900,IF(S242&lt;2250,"Pass","Fail"),"Fail"),"Fail"))</f>
        <v>Pass</v>
      </c>
      <c r="W242" s="266">
        <v>102</v>
      </c>
      <c r="X242" s="284" t="s">
        <v>150</v>
      </c>
      <c r="Y242" s="285"/>
      <c r="Z242" s="286">
        <v>1600</v>
      </c>
      <c r="AA242" s="286">
        <v>2600</v>
      </c>
      <c r="AB242" s="287">
        <v>1900</v>
      </c>
      <c r="AC242" s="287">
        <v>2250</v>
      </c>
      <c r="AD242" s="288">
        <v>10</v>
      </c>
      <c r="AE242" s="288">
        <v>4.5</v>
      </c>
    </row>
    <row r="243" spans="1:31">
      <c r="A243" s="289"/>
      <c r="B243" s="290"/>
      <c r="C243" s="290"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90"/>
      <c r="R243" s="290"/>
      <c r="S243" s="290"/>
      <c r="T243" s="290"/>
      <c r="U243" s="290"/>
      <c r="V243" s="291"/>
      <c r="W243" s="251"/>
      <c r="X243" s="284"/>
      <c r="Y243" s="285"/>
      <c r="Z243" s="292"/>
      <c r="AA243" s="292"/>
      <c r="AB243" s="292"/>
      <c r="AC243" s="292"/>
      <c r="AD243" s="293"/>
      <c r="AE243" s="293"/>
    </row>
    <row r="244" spans="1:31" ht="32.25" thickBot="1">
      <c r="A244" s="294"/>
      <c r="B244" s="295"/>
      <c r="C244" s="256" t="s">
        <v>221</v>
      </c>
      <c r="D244" s="296">
        <f t="shared" ref="D244:P244" si="77">IF(((D242="")*AND(D243="")),"",(D242-D243)*2)</f>
        <v>2011.94</v>
      </c>
      <c r="E244" s="296">
        <f t="shared" si="77"/>
        <v>2048.3999999999996</v>
      </c>
      <c r="F244" s="296">
        <f t="shared" si="77"/>
        <v>2061.4600000000005</v>
      </c>
      <c r="G244" s="296">
        <f t="shared" si="77"/>
        <v>2087.8000000000002</v>
      </c>
      <c r="H244" s="296">
        <f t="shared" si="77"/>
        <v>1998.1800000000003</v>
      </c>
      <c r="I244" s="296">
        <f t="shared" si="77"/>
        <v>2014.3000000000002</v>
      </c>
      <c r="J244" s="296">
        <f t="shared" si="77"/>
        <v>2065.3999999999996</v>
      </c>
      <c r="K244" s="296">
        <f t="shared" si="77"/>
        <v>2070.02</v>
      </c>
      <c r="L244" s="296">
        <f t="shared" si="77"/>
        <v>1984.5</v>
      </c>
      <c r="M244" s="296">
        <f t="shared" si="77"/>
        <v>2056.3399999999997</v>
      </c>
      <c r="N244" s="296">
        <f t="shared" si="77"/>
        <v>2089.54</v>
      </c>
      <c r="O244" s="296">
        <f t="shared" si="77"/>
        <v>2077.5</v>
      </c>
      <c r="P244" s="296">
        <f t="shared" si="77"/>
        <v>2060.3599999999997</v>
      </c>
      <c r="Q244" s="277"/>
      <c r="R244" s="295"/>
      <c r="S244" s="295"/>
      <c r="T244" s="295"/>
      <c r="U244" s="295"/>
      <c r="V244" s="297"/>
      <c r="W244" s="260"/>
      <c r="X244" s="284"/>
      <c r="Y244" s="285"/>
      <c r="Z244" s="292"/>
      <c r="AA244" s="292"/>
      <c r="AB244" s="292"/>
      <c r="AC244" s="292"/>
      <c r="AD244" s="293"/>
      <c r="AE244" s="293"/>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83" t="str">
        <f>IF(P246="","",IF(U245&lt;5,IF(S245&gt;1900,IF(S245&lt;2250,"Pass","Fail"),"Fail"),"Fail"))</f>
        <v>Pass</v>
      </c>
      <c r="W245" s="266">
        <v>74</v>
      </c>
      <c r="X245" s="284"/>
      <c r="Y245" s="285"/>
      <c r="Z245" s="286">
        <v>1600</v>
      </c>
      <c r="AA245" s="286">
        <v>2600</v>
      </c>
      <c r="AB245" s="287">
        <v>1900</v>
      </c>
      <c r="AC245" s="287">
        <v>2250</v>
      </c>
      <c r="AD245" s="288">
        <v>10</v>
      </c>
      <c r="AE245" s="288">
        <v>4.5</v>
      </c>
    </row>
    <row r="246" spans="1:31">
      <c r="A246" s="289"/>
      <c r="B246" s="290"/>
      <c r="C246" s="290"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90"/>
      <c r="R246" s="290"/>
      <c r="S246" s="290"/>
      <c r="T246" s="290"/>
      <c r="U246" s="290"/>
      <c r="V246" s="291"/>
      <c r="W246" s="251"/>
      <c r="X246" s="284"/>
      <c r="Y246" s="285"/>
      <c r="Z246" s="292"/>
      <c r="AA246" s="292"/>
      <c r="AB246" s="292"/>
      <c r="AC246" s="292"/>
      <c r="AD246" s="293"/>
      <c r="AE246" s="293"/>
    </row>
    <row r="247" spans="1:31" ht="32.25" thickBot="1">
      <c r="A247" s="294"/>
      <c r="B247" s="295"/>
      <c r="C247" s="256" t="s">
        <v>221</v>
      </c>
      <c r="D247" s="296">
        <f t="shared" ref="D247:P247" si="78">IF(((D245="")*AND(D246="")),"",(D245-D246)*2)</f>
        <v>1991.0200000000004</v>
      </c>
      <c r="E247" s="296">
        <f t="shared" si="78"/>
        <v>2054.6600000000003</v>
      </c>
      <c r="F247" s="296">
        <f t="shared" si="78"/>
        <v>2051.46</v>
      </c>
      <c r="G247" s="296">
        <f t="shared" si="78"/>
        <v>2070.4199999999996</v>
      </c>
      <c r="H247" s="296">
        <f t="shared" si="78"/>
        <v>1991.3600000000001</v>
      </c>
      <c r="I247" s="296">
        <f t="shared" si="78"/>
        <v>1997.8600000000001</v>
      </c>
      <c r="J247" s="296">
        <f t="shared" si="78"/>
        <v>2059.9800000000005</v>
      </c>
      <c r="K247" s="296">
        <f t="shared" si="78"/>
        <v>2061.2999999999997</v>
      </c>
      <c r="L247" s="296">
        <f t="shared" si="78"/>
        <v>1962.4599999999996</v>
      </c>
      <c r="M247" s="296">
        <f t="shared" si="78"/>
        <v>2043.1200000000003</v>
      </c>
      <c r="N247" s="296">
        <f t="shared" si="78"/>
        <v>2078.92</v>
      </c>
      <c r="O247" s="296">
        <f t="shared" si="78"/>
        <v>2069.64</v>
      </c>
      <c r="P247" s="296">
        <f t="shared" si="78"/>
        <v>2053.4599999999996</v>
      </c>
      <c r="Q247" s="277"/>
      <c r="R247" s="295"/>
      <c r="S247" s="295"/>
      <c r="T247" s="295"/>
      <c r="U247" s="295"/>
      <c r="V247" s="297"/>
      <c r="W247" s="260"/>
      <c r="X247" s="284"/>
      <c r="Y247" s="285"/>
      <c r="Z247" s="292"/>
      <c r="AA247" s="292"/>
      <c r="AB247" s="292"/>
      <c r="AC247" s="292"/>
      <c r="AD247" s="293"/>
      <c r="AE247" s="293"/>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83" t="str">
        <f>IF(P249="","",IF(U248&lt;5,IF(S248&gt;1900,IF(S248&lt;2250,"Pass","Fail"),"Fail"),"Fail"))</f>
        <v>Pass</v>
      </c>
      <c r="W248" s="266" t="s">
        <v>138</v>
      </c>
      <c r="X248" s="284"/>
      <c r="Y248" s="285"/>
      <c r="Z248" s="286">
        <v>1600</v>
      </c>
      <c r="AA248" s="286">
        <v>2600</v>
      </c>
      <c r="AB248" s="287">
        <v>1900</v>
      </c>
      <c r="AC248" s="287">
        <v>2250</v>
      </c>
      <c r="AD248" s="288">
        <v>10</v>
      </c>
      <c r="AE248" s="288">
        <v>4.5</v>
      </c>
    </row>
    <row r="249" spans="1:31">
      <c r="A249" s="289"/>
      <c r="B249" s="290"/>
      <c r="C249" s="290"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90"/>
      <c r="R249" s="290"/>
      <c r="S249" s="290"/>
      <c r="T249" s="290"/>
      <c r="U249" s="290"/>
      <c r="V249" s="291"/>
      <c r="W249" s="251"/>
      <c r="X249" s="284"/>
      <c r="Y249" s="285"/>
      <c r="Z249" s="292"/>
      <c r="AA249" s="292"/>
      <c r="AB249" s="292"/>
      <c r="AC249" s="292"/>
      <c r="AD249" s="293"/>
      <c r="AE249" s="293"/>
    </row>
    <row r="250" spans="1:31" ht="32.25" thickBot="1">
      <c r="A250" s="294"/>
      <c r="B250" s="295"/>
      <c r="C250" s="256" t="s">
        <v>221</v>
      </c>
      <c r="D250" s="296">
        <f t="shared" ref="D250:P250" si="79">IF(((D248="")*AND(D249="")),"",(D248-D249)*2)</f>
        <v>1950.1400000000003</v>
      </c>
      <c r="E250" s="296">
        <f t="shared" si="79"/>
        <v>2028.5400000000004</v>
      </c>
      <c r="F250" s="296">
        <f t="shared" si="79"/>
        <v>2035.3599999999997</v>
      </c>
      <c r="G250" s="296">
        <f t="shared" si="79"/>
        <v>2050.3999999999996</v>
      </c>
      <c r="H250" s="296">
        <f t="shared" si="79"/>
        <v>1914.7000000000003</v>
      </c>
      <c r="I250" s="296">
        <f t="shared" si="79"/>
        <v>1954.6599999999999</v>
      </c>
      <c r="J250" s="296">
        <f t="shared" si="79"/>
        <v>2028.98</v>
      </c>
      <c r="K250" s="296">
        <f t="shared" si="79"/>
        <v>2035.5199999999995</v>
      </c>
      <c r="L250" s="296">
        <f t="shared" si="79"/>
        <v>1914.2800000000002</v>
      </c>
      <c r="M250" s="296">
        <f t="shared" si="79"/>
        <v>2022.9</v>
      </c>
      <c r="N250" s="296">
        <f t="shared" si="79"/>
        <v>2046.9399999999996</v>
      </c>
      <c r="O250" s="296">
        <f t="shared" si="79"/>
        <v>2036.8399999999997</v>
      </c>
      <c r="P250" s="296">
        <f t="shared" si="79"/>
        <v>2030.98</v>
      </c>
      <c r="Q250" s="277"/>
      <c r="R250" s="295"/>
      <c r="S250" s="295"/>
      <c r="T250" s="295"/>
      <c r="U250" s="295"/>
      <c r="V250" s="297"/>
      <c r="W250" s="260"/>
      <c r="X250" s="284"/>
      <c r="Y250" s="285"/>
      <c r="Z250" s="292"/>
      <c r="AA250" s="292"/>
      <c r="AB250" s="292"/>
      <c r="AC250" s="292"/>
      <c r="AD250" s="293"/>
      <c r="AE250" s="293"/>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83" t="str">
        <f>IF(P252="","",IF(U251&lt;5,IF(S251&gt;1900,IF(S251&lt;2250,"Pass","Fail"),"Fail"),"Fail"))</f>
        <v>Pass</v>
      </c>
      <c r="W251" s="266">
        <v>1428</v>
      </c>
      <c r="X251" s="284"/>
      <c r="Y251" s="285"/>
      <c r="Z251" s="286">
        <v>1600</v>
      </c>
      <c r="AA251" s="286">
        <v>2600</v>
      </c>
      <c r="AB251" s="287">
        <v>1900</v>
      </c>
      <c r="AC251" s="287">
        <v>2250</v>
      </c>
      <c r="AD251" s="288">
        <v>10</v>
      </c>
      <c r="AE251" s="288">
        <v>4.5</v>
      </c>
    </row>
    <row r="252" spans="1:31">
      <c r="A252" s="289"/>
      <c r="B252" s="290"/>
      <c r="C252" s="290"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90"/>
      <c r="R252" s="290"/>
      <c r="S252" s="290"/>
      <c r="T252" s="290"/>
      <c r="U252" s="290"/>
      <c r="V252" s="291"/>
      <c r="W252" s="251"/>
      <c r="X252" s="284"/>
      <c r="Y252" s="285"/>
      <c r="Z252" s="292"/>
      <c r="AA252" s="292"/>
      <c r="AB252" s="292"/>
      <c r="AC252" s="292"/>
      <c r="AD252" s="293"/>
      <c r="AE252" s="293"/>
    </row>
    <row r="253" spans="1:31" ht="32.25" thickBot="1">
      <c r="A253" s="294"/>
      <c r="B253" s="295"/>
      <c r="C253" s="256" t="s">
        <v>221</v>
      </c>
      <c r="D253" s="296">
        <f t="shared" ref="D253:P253" si="80">IF(((D251="")*AND(D252="")),"",(D251-D252)*2)</f>
        <v>1991.2800000000002</v>
      </c>
      <c r="E253" s="296">
        <f t="shared" si="80"/>
        <v>2047.7200000000003</v>
      </c>
      <c r="F253" s="296">
        <f t="shared" si="80"/>
        <v>2051.58</v>
      </c>
      <c r="G253" s="296">
        <f t="shared" si="80"/>
        <v>2066.14</v>
      </c>
      <c r="H253" s="296">
        <f t="shared" si="80"/>
        <v>1950.7399999999998</v>
      </c>
      <c r="I253" s="296">
        <f t="shared" si="80"/>
        <v>1979.56</v>
      </c>
      <c r="J253" s="296">
        <f t="shared" si="80"/>
        <v>2053.9200000000005</v>
      </c>
      <c r="K253" s="296">
        <f t="shared" si="80"/>
        <v>2054.0399999999995</v>
      </c>
      <c r="L253" s="296">
        <f t="shared" si="80"/>
        <v>1958.3800000000006</v>
      </c>
      <c r="M253" s="296">
        <f t="shared" si="80"/>
        <v>2046.2599999999998</v>
      </c>
      <c r="N253" s="296">
        <f t="shared" si="80"/>
        <v>2075.5000000000005</v>
      </c>
      <c r="O253" s="296">
        <f t="shared" si="80"/>
        <v>2060.36</v>
      </c>
      <c r="P253" s="296">
        <f t="shared" si="80"/>
        <v>2054.4799999999996</v>
      </c>
      <c r="Q253" s="277"/>
      <c r="R253" s="295"/>
      <c r="S253" s="295"/>
      <c r="T253" s="295"/>
      <c r="U253" s="295"/>
      <c r="V253" s="297"/>
      <c r="W253" s="260"/>
      <c r="X253" s="284"/>
      <c r="Y253" s="285"/>
      <c r="Z253" s="292"/>
      <c r="AA253" s="292"/>
      <c r="AB253" s="292"/>
      <c r="AC253" s="292"/>
      <c r="AD253" s="293"/>
      <c r="AE253" s="293"/>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83" t="str">
        <f>IF(P255="","",IF(U254&lt;5,IF(S254&gt;1900,IF(S254&lt;2250,"Pass","Fail"),"Fail"),"Fail"))</f>
        <v>Pass</v>
      </c>
      <c r="W254" s="266" t="s">
        <v>137</v>
      </c>
      <c r="X254" s="284" t="s">
        <v>151</v>
      </c>
      <c r="Y254" s="285"/>
      <c r="Z254" s="286">
        <v>1600</v>
      </c>
      <c r="AA254" s="286">
        <v>2600</v>
      </c>
      <c r="AB254" s="287">
        <v>1900</v>
      </c>
      <c r="AC254" s="287">
        <v>2250</v>
      </c>
      <c r="AD254" s="288">
        <v>10</v>
      </c>
      <c r="AE254" s="288">
        <v>4.5</v>
      </c>
    </row>
    <row r="255" spans="1:31">
      <c r="A255" s="289"/>
      <c r="B255" s="290"/>
      <c r="C255" s="290"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90"/>
      <c r="R255" s="290"/>
      <c r="S255" s="290"/>
      <c r="T255" s="290"/>
      <c r="U255" s="290"/>
      <c r="V255" s="291"/>
      <c r="W255" s="251"/>
      <c r="X255" s="284"/>
      <c r="Y255" s="285"/>
      <c r="Z255" s="292"/>
      <c r="AA255" s="292"/>
      <c r="AB255" s="292"/>
      <c r="AC255" s="292"/>
      <c r="AD255" s="293"/>
      <c r="AE255" s="293"/>
    </row>
    <row r="256" spans="1:31" ht="32.25" thickBot="1">
      <c r="A256" s="294"/>
      <c r="B256" s="295"/>
      <c r="C256" s="256" t="s">
        <v>221</v>
      </c>
      <c r="D256" s="296">
        <f t="shared" ref="D256:P256" si="81">IF(((D254="")*AND(D255="")),"",(D254-D255)*2)</f>
        <v>1920.2800000000002</v>
      </c>
      <c r="E256" s="296">
        <f t="shared" si="81"/>
        <v>2018.2399999999998</v>
      </c>
      <c r="F256" s="296">
        <f t="shared" si="81"/>
        <v>2024.04</v>
      </c>
      <c r="G256" s="296">
        <f t="shared" si="81"/>
        <v>2028.0800000000004</v>
      </c>
      <c r="H256" s="296">
        <f t="shared" si="81"/>
        <v>1903.6600000000003</v>
      </c>
      <c r="I256" s="296">
        <f t="shared" si="81"/>
        <v>1917.52</v>
      </c>
      <c r="J256" s="296">
        <f t="shared" si="81"/>
        <v>2011.94</v>
      </c>
      <c r="K256" s="296">
        <f t="shared" si="81"/>
        <v>2020.7799999999997</v>
      </c>
      <c r="L256" s="296">
        <f t="shared" si="81"/>
        <v>1905.4599999999996</v>
      </c>
      <c r="M256" s="296">
        <f t="shared" si="81"/>
        <v>2013.6399999999994</v>
      </c>
      <c r="N256" s="296">
        <f t="shared" si="81"/>
        <v>2027.3399999999997</v>
      </c>
      <c r="O256" s="296">
        <f t="shared" si="81"/>
        <v>2018.5</v>
      </c>
      <c r="P256" s="296">
        <f t="shared" si="81"/>
        <v>2017.7000000000003</v>
      </c>
      <c r="Q256" s="277"/>
      <c r="R256" s="295"/>
      <c r="S256" s="295"/>
      <c r="T256" s="295"/>
      <c r="U256" s="295"/>
      <c r="V256" s="297"/>
      <c r="W256" s="260"/>
      <c r="X256" s="284"/>
      <c r="Y256" s="285"/>
      <c r="Z256" s="292"/>
      <c r="AA256" s="292"/>
      <c r="AB256" s="292"/>
      <c r="AC256" s="292"/>
      <c r="AD256" s="293"/>
      <c r="AE256" s="293"/>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83" t="str">
        <f>IF(P258="","",IF(U257&lt;5,IF(S257&gt;1900,IF(S257&lt;2250,"Pass","Fail"),"Fail"),"Fail"))</f>
        <v>Pass</v>
      </c>
      <c r="W257" s="266">
        <v>1159</v>
      </c>
      <c r="X257" s="284" t="s">
        <v>152</v>
      </c>
      <c r="Y257" s="285"/>
      <c r="Z257" s="286">
        <v>1600</v>
      </c>
      <c r="AA257" s="286">
        <v>2600</v>
      </c>
      <c r="AB257" s="287">
        <v>1900</v>
      </c>
      <c r="AC257" s="287">
        <v>2250</v>
      </c>
      <c r="AD257" s="288">
        <v>10</v>
      </c>
      <c r="AE257" s="288">
        <v>4.5</v>
      </c>
    </row>
    <row r="258" spans="1:31">
      <c r="A258" s="289"/>
      <c r="B258" s="290"/>
      <c r="C258" s="290"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90"/>
      <c r="R258" s="290"/>
      <c r="S258" s="290"/>
      <c r="T258" s="290"/>
      <c r="U258" s="290"/>
      <c r="V258" s="291"/>
      <c r="W258" s="251"/>
      <c r="X258" s="284"/>
      <c r="Y258" s="285"/>
      <c r="Z258" s="292"/>
      <c r="AA258" s="292"/>
      <c r="AB258" s="292"/>
      <c r="AC258" s="292"/>
      <c r="AD258" s="293"/>
      <c r="AE258" s="293"/>
    </row>
    <row r="259" spans="1:31" ht="32.25" thickBot="1">
      <c r="A259" s="294"/>
      <c r="B259" s="295"/>
      <c r="C259" s="256" t="s">
        <v>221</v>
      </c>
      <c r="D259" s="296">
        <f t="shared" ref="D259:P259" si="82">IF(((D257="")*AND(D258="")),"",(D257-D258)*2)</f>
        <v>2031.7400000000002</v>
      </c>
      <c r="E259" s="296">
        <f t="shared" si="82"/>
        <v>2104.06</v>
      </c>
      <c r="F259" s="296">
        <f t="shared" si="82"/>
        <v>2101.3199999999997</v>
      </c>
      <c r="G259" s="296">
        <f t="shared" si="82"/>
        <v>2111.5200000000004</v>
      </c>
      <c r="H259" s="296">
        <f t="shared" si="82"/>
        <v>1960.7999999999997</v>
      </c>
      <c r="I259" s="296">
        <f t="shared" si="82"/>
        <v>2001.8599999999997</v>
      </c>
      <c r="J259" s="296">
        <f t="shared" si="82"/>
        <v>2082.2600000000002</v>
      </c>
      <c r="K259" s="296">
        <f t="shared" si="82"/>
        <v>2109.8999999999996</v>
      </c>
      <c r="L259" s="296">
        <f t="shared" si="82"/>
        <v>1983.3200000000002</v>
      </c>
      <c r="M259" s="296">
        <f t="shared" si="82"/>
        <v>2094.2399999999998</v>
      </c>
      <c r="N259" s="296">
        <f t="shared" si="82"/>
        <v>2115.4000000000005</v>
      </c>
      <c r="O259" s="296">
        <f t="shared" si="82"/>
        <v>2090.2999999999997</v>
      </c>
      <c r="P259" s="296">
        <f t="shared" si="82"/>
        <v>2109.08</v>
      </c>
      <c r="Q259" s="277"/>
      <c r="R259" s="295"/>
      <c r="S259" s="295"/>
      <c r="T259" s="295"/>
      <c r="U259" s="295"/>
      <c r="V259" s="297"/>
      <c r="W259" s="260"/>
      <c r="X259" s="284"/>
      <c r="Y259" s="285"/>
      <c r="Z259" s="292"/>
      <c r="AA259" s="292"/>
      <c r="AB259" s="292"/>
      <c r="AC259" s="292"/>
      <c r="AD259" s="293"/>
      <c r="AE259" s="293"/>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83" t="str">
        <f>IF(P261="","",IF(U260&lt;5,IF(S260&gt;1900,IF(S260&lt;2250,"Pass","Fail"),"Fail"),"Fail"))</f>
        <v>Pass</v>
      </c>
      <c r="W260" s="266">
        <v>74</v>
      </c>
      <c r="Y260" s="268" t="s">
        <v>153</v>
      </c>
      <c r="Z260" s="286">
        <v>1600</v>
      </c>
      <c r="AA260" s="286">
        <v>2600</v>
      </c>
      <c r="AB260" s="287">
        <v>1900</v>
      </c>
      <c r="AC260" s="287">
        <v>2250</v>
      </c>
      <c r="AD260" s="288">
        <v>10</v>
      </c>
      <c r="AE260" s="288">
        <v>4.5</v>
      </c>
    </row>
    <row r="261" spans="1:31">
      <c r="A261" s="289"/>
      <c r="B261" s="290"/>
      <c r="C261" s="290"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90"/>
      <c r="R261" s="290"/>
      <c r="S261" s="290"/>
      <c r="T261" s="290"/>
      <c r="U261" s="290"/>
      <c r="V261" s="291"/>
      <c r="W261" s="251"/>
      <c r="X261" s="284"/>
      <c r="Y261" s="285"/>
      <c r="Z261" s="292"/>
      <c r="AA261" s="292"/>
      <c r="AB261" s="292"/>
      <c r="AC261" s="292"/>
      <c r="AD261" s="293"/>
      <c r="AE261" s="293"/>
    </row>
    <row r="262" spans="1:31" ht="32.25" thickBot="1">
      <c r="A262" s="294"/>
      <c r="B262" s="295"/>
      <c r="C262" s="256" t="s">
        <v>221</v>
      </c>
      <c r="D262" s="296">
        <f t="shared" ref="D262:P262" si="83">IF(((D260="")*AND(D261="")),"",(D260-D261)*2)</f>
        <v>2019.62</v>
      </c>
      <c r="E262" s="296">
        <f t="shared" si="83"/>
        <v>2037.8000000000002</v>
      </c>
      <c r="F262" s="296">
        <f t="shared" si="83"/>
        <v>2052.08</v>
      </c>
      <c r="G262" s="296">
        <f t="shared" si="83"/>
        <v>2058.7600000000002</v>
      </c>
      <c r="H262" s="296">
        <f t="shared" si="83"/>
        <v>1986.42</v>
      </c>
      <c r="I262" s="296">
        <f t="shared" si="83"/>
        <v>1997.5</v>
      </c>
      <c r="J262" s="296">
        <f t="shared" si="83"/>
        <v>2032.44</v>
      </c>
      <c r="K262" s="296">
        <f t="shared" si="83"/>
        <v>2061.42</v>
      </c>
      <c r="L262" s="296">
        <f t="shared" si="83"/>
        <v>1993.1999999999998</v>
      </c>
      <c r="M262" s="296">
        <f t="shared" si="83"/>
        <v>2053.1999999999998</v>
      </c>
      <c r="N262" s="296">
        <f t="shared" si="83"/>
        <v>2060.7600000000002</v>
      </c>
      <c r="O262" s="296">
        <f t="shared" si="83"/>
        <v>2042.7199999999998</v>
      </c>
      <c r="P262" s="296">
        <f t="shared" si="83"/>
        <v>2058.9</v>
      </c>
      <c r="Q262" s="277"/>
      <c r="R262" s="295"/>
      <c r="S262" s="295"/>
      <c r="T262" s="295"/>
      <c r="U262" s="295"/>
      <c r="V262" s="297"/>
      <c r="W262" s="260"/>
      <c r="X262" s="284"/>
      <c r="Y262" s="285"/>
      <c r="Z262" s="292"/>
      <c r="AA262" s="292"/>
      <c r="AB262" s="292"/>
      <c r="AC262" s="292"/>
      <c r="AD262" s="293"/>
      <c r="AE262" s="293"/>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83" t="str">
        <f>IF(P264="","",IF(U263&lt;5,IF(S263&gt;1900,IF(S263&lt;2250,"Pass","Fail"),"Fail"),"Fail"))</f>
        <v>Pass</v>
      </c>
      <c r="W263" s="266">
        <v>1340</v>
      </c>
      <c r="X263" s="268"/>
      <c r="Y263" s="285"/>
      <c r="Z263" s="286">
        <v>1600</v>
      </c>
      <c r="AA263" s="286">
        <v>2600</v>
      </c>
      <c r="AB263" s="287">
        <v>1900</v>
      </c>
      <c r="AC263" s="287">
        <v>2250</v>
      </c>
      <c r="AD263" s="288">
        <v>10</v>
      </c>
      <c r="AE263" s="288">
        <v>4.5</v>
      </c>
    </row>
    <row r="264" spans="1:31">
      <c r="A264" s="289"/>
      <c r="B264" s="290"/>
      <c r="C264" s="290"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90"/>
      <c r="R264" s="290"/>
      <c r="S264" s="290"/>
      <c r="T264" s="290"/>
      <c r="U264" s="290"/>
      <c r="V264" s="291"/>
      <c r="W264" s="251"/>
      <c r="X264" s="284"/>
      <c r="Y264" s="285"/>
      <c r="Z264" s="292"/>
      <c r="AA264" s="292"/>
      <c r="AB264" s="292"/>
      <c r="AC264" s="292"/>
      <c r="AD264" s="293"/>
      <c r="AE264" s="293"/>
    </row>
    <row r="265" spans="1:31" ht="32.25" thickBot="1">
      <c r="A265" s="294"/>
      <c r="B265" s="295"/>
      <c r="C265" s="256" t="s">
        <v>221</v>
      </c>
      <c r="D265" s="296">
        <f t="shared" ref="D265:P265" si="84">IF(((D263="")*AND(D264="")),"",(D263-D264)*2)</f>
        <v>2144.1599999999994</v>
      </c>
      <c r="E265" s="296">
        <f t="shared" si="84"/>
        <v>2177.9599999999996</v>
      </c>
      <c r="F265" s="296">
        <f t="shared" si="84"/>
        <v>2173.5399999999995</v>
      </c>
      <c r="G265" s="296">
        <f t="shared" si="84"/>
        <v>2186.62</v>
      </c>
      <c r="H265" s="296">
        <f t="shared" si="84"/>
        <v>2114.5000000000005</v>
      </c>
      <c r="I265" s="296">
        <f t="shared" si="84"/>
        <v>2108.4199999999996</v>
      </c>
      <c r="J265" s="296">
        <f t="shared" si="84"/>
        <v>2171.6</v>
      </c>
      <c r="K265" s="296">
        <f t="shared" si="84"/>
        <v>2179.2399999999998</v>
      </c>
      <c r="L265" s="296">
        <f t="shared" si="84"/>
        <v>2124.2199999999993</v>
      </c>
      <c r="M265" s="296">
        <f t="shared" si="84"/>
        <v>2179.84</v>
      </c>
      <c r="N265" s="296">
        <f t="shared" si="84"/>
        <v>2192.8599999999997</v>
      </c>
      <c r="O265" s="296">
        <f t="shared" si="84"/>
        <v>2165.8200000000002</v>
      </c>
      <c r="P265" s="296">
        <f t="shared" si="84"/>
        <v>2177.96</v>
      </c>
      <c r="Q265" s="277"/>
      <c r="R265" s="295"/>
      <c r="S265" s="295"/>
      <c r="T265" s="295"/>
      <c r="U265" s="295"/>
      <c r="V265" s="297"/>
      <c r="W265" s="260"/>
      <c r="X265" s="284"/>
      <c r="Y265" s="285"/>
      <c r="Z265" s="292"/>
      <c r="AA265" s="292"/>
      <c r="AB265" s="292"/>
      <c r="AC265" s="292"/>
      <c r="AD265" s="293"/>
      <c r="AE265" s="293"/>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83" t="str">
        <f>IF(P267="","",IF(U266&lt;5,IF(S266&gt;1900,IF(S266&lt;2250,"Pass","Fail"),"Fail"),"Fail"))</f>
        <v>Pass</v>
      </c>
      <c r="W266" s="266">
        <v>1159</v>
      </c>
      <c r="X266" s="299" t="s">
        <v>154</v>
      </c>
      <c r="Y266" s="285"/>
      <c r="Z266" s="286">
        <v>1600</v>
      </c>
      <c r="AA266" s="286">
        <v>2600</v>
      </c>
      <c r="AB266" s="287">
        <v>1900</v>
      </c>
      <c r="AC266" s="287">
        <v>2250</v>
      </c>
      <c r="AD266" s="288">
        <v>10</v>
      </c>
      <c r="AE266" s="288">
        <v>4.5</v>
      </c>
    </row>
    <row r="267" spans="1:31">
      <c r="A267" s="289"/>
      <c r="B267" s="290"/>
      <c r="C267" s="290"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90"/>
      <c r="R267" s="290"/>
      <c r="S267" s="290"/>
      <c r="T267" s="290"/>
      <c r="U267" s="290"/>
      <c r="V267" s="291"/>
      <c r="W267" s="251"/>
      <c r="X267" s="284"/>
      <c r="Y267" s="285"/>
      <c r="Z267" s="292"/>
      <c r="AA267" s="292"/>
      <c r="AB267" s="292"/>
      <c r="AC267" s="292"/>
      <c r="AD267" s="293"/>
      <c r="AE267" s="293"/>
    </row>
    <row r="268" spans="1:31" ht="32.25" thickBot="1">
      <c r="A268" s="294"/>
      <c r="B268" s="295"/>
      <c r="C268" s="256" t="s">
        <v>221</v>
      </c>
      <c r="D268" s="296">
        <f t="shared" ref="D268:P268" si="85">IF(((D266="")*AND(D267="")),"",(D266-D267)*2)</f>
        <v>2183.36</v>
      </c>
      <c r="E268" s="296">
        <f t="shared" si="85"/>
        <v>2223.1999999999998</v>
      </c>
      <c r="F268" s="296">
        <f t="shared" si="85"/>
        <v>2220.6799999999998</v>
      </c>
      <c r="G268" s="296">
        <f t="shared" si="85"/>
        <v>2231.5599999999995</v>
      </c>
      <c r="H268" s="296">
        <f t="shared" si="85"/>
        <v>2180.8000000000002</v>
      </c>
      <c r="I268" s="296">
        <f t="shared" si="85"/>
        <v>2175.1400000000003</v>
      </c>
      <c r="J268" s="296">
        <f t="shared" si="85"/>
        <v>2215.6799999999998</v>
      </c>
      <c r="K268" s="296">
        <f t="shared" si="85"/>
        <v>2229.64</v>
      </c>
      <c r="L268" s="296">
        <f t="shared" si="85"/>
        <v>2184.16</v>
      </c>
      <c r="M268" s="296">
        <f t="shared" si="85"/>
        <v>2227.0199999999995</v>
      </c>
      <c r="N268" s="296">
        <f t="shared" si="85"/>
        <v>2250.1399999999994</v>
      </c>
      <c r="O268" s="296">
        <f t="shared" si="85"/>
        <v>2215.56</v>
      </c>
      <c r="P268" s="296">
        <f t="shared" si="85"/>
        <v>2227.14</v>
      </c>
      <c r="Q268" s="277"/>
      <c r="R268" s="295"/>
      <c r="S268" s="295"/>
      <c r="T268" s="295"/>
      <c r="U268" s="295"/>
      <c r="V268" s="297"/>
      <c r="W268" s="260"/>
      <c r="X268" s="284"/>
      <c r="Y268" s="285"/>
      <c r="Z268" s="292"/>
      <c r="AA268" s="292"/>
      <c r="AB268" s="292"/>
      <c r="AC268" s="292"/>
      <c r="AD268" s="293"/>
      <c r="AE268" s="293"/>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83" t="str">
        <f>IF(P270="","",IF(U269&lt;5,IF(S269&gt;1900,IF(S269&lt;2250,"Pass","Fail"),"Fail"),"Fail"))</f>
        <v>Pass</v>
      </c>
      <c r="W269" s="266">
        <v>1159</v>
      </c>
      <c r="X269" s="300" t="s">
        <v>155</v>
      </c>
      <c r="Y269" s="285"/>
      <c r="Z269" s="286">
        <v>1600</v>
      </c>
      <c r="AA269" s="286">
        <v>2600</v>
      </c>
      <c r="AB269" s="287">
        <v>1900</v>
      </c>
      <c r="AC269" s="287">
        <v>2250</v>
      </c>
      <c r="AD269" s="288">
        <v>10</v>
      </c>
      <c r="AE269" s="288">
        <v>3.6</v>
      </c>
    </row>
    <row r="270" spans="1:31">
      <c r="A270" s="289"/>
      <c r="B270" s="290"/>
      <c r="C270" s="290"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90"/>
      <c r="R270" s="290"/>
      <c r="S270" s="290"/>
      <c r="T270" s="290"/>
      <c r="U270" s="290"/>
      <c r="V270" s="291"/>
      <c r="W270" s="251"/>
      <c r="X270" s="284"/>
      <c r="Y270" s="285"/>
      <c r="Z270" s="292"/>
      <c r="AA270" s="292"/>
      <c r="AB270" s="292"/>
      <c r="AC270" s="292"/>
      <c r="AD270" s="293"/>
      <c r="AE270" s="293"/>
    </row>
    <row r="271" spans="1:31" ht="32.25" thickBot="1">
      <c r="A271" s="294"/>
      <c r="B271" s="295"/>
      <c r="C271" s="256" t="s">
        <v>221</v>
      </c>
      <c r="D271" s="296">
        <f t="shared" ref="D271:P271" si="86">IF(((D269="")*AND(D270="")),"",(D269-D270)*2)</f>
        <v>2207.6600000000003</v>
      </c>
      <c r="E271" s="296">
        <f t="shared" si="86"/>
        <v>2238.38</v>
      </c>
      <c r="F271" s="296">
        <f t="shared" si="86"/>
        <v>2243.8599999999997</v>
      </c>
      <c r="G271" s="296">
        <f t="shared" si="86"/>
        <v>2254.0400000000004</v>
      </c>
      <c r="H271" s="296">
        <f t="shared" si="86"/>
        <v>2179.02</v>
      </c>
      <c r="I271" s="296">
        <f t="shared" si="86"/>
        <v>2174.84</v>
      </c>
      <c r="J271" s="296">
        <f t="shared" si="86"/>
        <v>2225.5400000000004</v>
      </c>
      <c r="K271" s="296">
        <f t="shared" si="86"/>
        <v>2254.6600000000003</v>
      </c>
      <c r="L271" s="296">
        <f t="shared" si="86"/>
        <v>2183.06</v>
      </c>
      <c r="M271" s="296">
        <f t="shared" si="86"/>
        <v>2248.0200000000004</v>
      </c>
      <c r="N271" s="296">
        <f t="shared" si="86"/>
        <v>2257.0600000000004</v>
      </c>
      <c r="O271" s="296">
        <f t="shared" si="86"/>
        <v>2228.7399999999998</v>
      </c>
      <c r="P271" s="296">
        <f t="shared" si="86"/>
        <v>2246.9599999999996</v>
      </c>
      <c r="Q271" s="277"/>
      <c r="R271" s="295"/>
      <c r="S271" s="295"/>
      <c r="T271" s="295"/>
      <c r="U271" s="295"/>
      <c r="V271" s="297"/>
      <c r="W271" s="260"/>
      <c r="X271" s="284"/>
      <c r="Y271" s="285"/>
      <c r="Z271" s="292"/>
      <c r="AA271" s="292"/>
      <c r="AB271" s="292"/>
      <c r="AC271" s="292"/>
      <c r="AD271" s="293"/>
      <c r="AE271" s="293"/>
    </row>
    <row r="272" spans="1:31">
      <c r="A272" s="261">
        <v>43558</v>
      </c>
      <c r="B272" s="281" t="s">
        <v>76</v>
      </c>
      <c r="C272" s="282" t="s">
        <v>77</v>
      </c>
      <c r="D272" s="301">
        <v>2850.61</v>
      </c>
      <c r="E272" s="301">
        <v>2792.24</v>
      </c>
      <c r="F272" s="301">
        <v>2793.16</v>
      </c>
      <c r="G272" s="301">
        <v>2805.96</v>
      </c>
      <c r="H272" s="301">
        <v>2885.22</v>
      </c>
      <c r="I272" s="301">
        <v>2864.62</v>
      </c>
      <c r="J272" s="301">
        <v>2798.78</v>
      </c>
      <c r="K272" s="301">
        <v>2793.59</v>
      </c>
      <c r="L272" s="301">
        <v>2852.36</v>
      </c>
      <c r="M272" s="301">
        <v>2798.64</v>
      </c>
      <c r="N272" s="301">
        <v>2806.36</v>
      </c>
      <c r="O272" s="301">
        <v>2813.88</v>
      </c>
      <c r="P272" s="301">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83" t="str">
        <f>IF(P273="","",IF(U272&lt;5,IF(S272&gt;1900,IF(S272&lt;2250,"Pass","Fail"),"Fail"),"Fail"))</f>
        <v>Pass</v>
      </c>
      <c r="W272" s="266">
        <v>1340</v>
      </c>
      <c r="X272" s="284" t="s">
        <v>156</v>
      </c>
      <c r="Y272" s="285"/>
      <c r="Z272" s="286">
        <v>1600</v>
      </c>
      <c r="AA272" s="286">
        <v>2600</v>
      </c>
      <c r="AB272" s="287">
        <v>1900</v>
      </c>
      <c r="AC272" s="287">
        <v>2250</v>
      </c>
      <c r="AD272" s="288">
        <v>10</v>
      </c>
      <c r="AE272" s="288">
        <v>3.6</v>
      </c>
    </row>
    <row r="273" spans="1:31">
      <c r="A273" s="289"/>
      <c r="B273" s="290"/>
      <c r="C273" s="290" t="s">
        <v>78</v>
      </c>
      <c r="D273" s="301">
        <v>1744.09</v>
      </c>
      <c r="E273" s="301">
        <v>1676.84</v>
      </c>
      <c r="F273" s="301">
        <v>1671.27</v>
      </c>
      <c r="G273" s="301">
        <v>1682.1</v>
      </c>
      <c r="H273" s="301">
        <v>1807.32</v>
      </c>
      <c r="I273" s="301">
        <v>1782.24</v>
      </c>
      <c r="J273" s="301">
        <v>1687.96</v>
      </c>
      <c r="K273" s="301">
        <v>1673.11</v>
      </c>
      <c r="L273" s="301">
        <v>1760.62</v>
      </c>
      <c r="M273" s="301">
        <v>1678.51</v>
      </c>
      <c r="N273" s="301">
        <v>1680.74</v>
      </c>
      <c r="O273" s="301">
        <v>1701.09</v>
      </c>
      <c r="P273" s="301">
        <v>1680.32</v>
      </c>
      <c r="Q273" s="290"/>
      <c r="R273" s="290"/>
      <c r="S273" s="290"/>
      <c r="T273" s="290"/>
      <c r="U273" s="290"/>
      <c r="V273" s="291"/>
      <c r="W273" s="251"/>
      <c r="X273" s="284"/>
      <c r="Y273" s="285"/>
      <c r="Z273" s="292"/>
      <c r="AA273" s="292"/>
      <c r="AB273" s="292"/>
      <c r="AC273" s="292"/>
      <c r="AD273" s="293"/>
      <c r="AE273" s="293"/>
    </row>
    <row r="274" spans="1:31" ht="32.25" thickBot="1">
      <c r="A274" s="294"/>
      <c r="B274" s="295"/>
      <c r="C274" s="256" t="s">
        <v>221</v>
      </c>
      <c r="D274" s="296">
        <f t="shared" ref="D274:P274" si="87">IF(((D272="")*AND(D273="")),"",(D272-D273)*2)</f>
        <v>2213.0400000000004</v>
      </c>
      <c r="E274" s="296">
        <f t="shared" si="87"/>
        <v>2230.7999999999997</v>
      </c>
      <c r="F274" s="296">
        <f t="shared" si="87"/>
        <v>2243.7799999999997</v>
      </c>
      <c r="G274" s="296">
        <f t="shared" si="87"/>
        <v>2247.7200000000003</v>
      </c>
      <c r="H274" s="296">
        <f t="shared" si="87"/>
        <v>2155.7999999999997</v>
      </c>
      <c r="I274" s="296">
        <f t="shared" si="87"/>
        <v>2164.7599999999998</v>
      </c>
      <c r="J274" s="296">
        <f t="shared" si="87"/>
        <v>2221.6400000000003</v>
      </c>
      <c r="K274" s="296">
        <f t="shared" si="87"/>
        <v>2240.9600000000005</v>
      </c>
      <c r="L274" s="296">
        <f t="shared" si="87"/>
        <v>2183.4800000000005</v>
      </c>
      <c r="M274" s="296">
        <f t="shared" si="87"/>
        <v>2240.2599999999998</v>
      </c>
      <c r="N274" s="296">
        <f t="shared" si="87"/>
        <v>2251.2400000000002</v>
      </c>
      <c r="O274" s="296">
        <f t="shared" si="87"/>
        <v>2225.5800000000004</v>
      </c>
      <c r="P274" s="296">
        <f t="shared" si="87"/>
        <v>2241.4</v>
      </c>
      <c r="Q274" s="277"/>
      <c r="R274" s="295"/>
      <c r="S274" s="295"/>
      <c r="T274" s="295"/>
      <c r="U274" s="295"/>
      <c r="V274" s="297"/>
      <c r="W274" s="260"/>
      <c r="X274" s="284"/>
      <c r="Y274" s="285"/>
      <c r="Z274" s="292"/>
      <c r="AA274" s="292"/>
      <c r="AB274" s="292"/>
      <c r="AC274" s="292"/>
      <c r="AD274" s="293"/>
      <c r="AE274" s="293"/>
    </row>
    <row r="275" spans="1:31">
      <c r="A275" s="261">
        <v>43564</v>
      </c>
      <c r="B275" s="281" t="s">
        <v>76</v>
      </c>
      <c r="C275" s="282" t="s">
        <v>77</v>
      </c>
      <c r="D275" s="302">
        <v>2884</v>
      </c>
      <c r="E275" s="303">
        <v>2831</v>
      </c>
      <c r="F275" s="303">
        <v>2807</v>
      </c>
      <c r="G275" s="303">
        <v>2799</v>
      </c>
      <c r="H275" s="303">
        <v>2815</v>
      </c>
      <c r="I275" s="303">
        <v>2848</v>
      </c>
      <c r="J275" s="303">
        <v>2916</v>
      </c>
      <c r="K275" s="303">
        <v>2904</v>
      </c>
      <c r="L275" s="303">
        <v>2844</v>
      </c>
      <c r="M275" s="303">
        <v>2813</v>
      </c>
      <c r="N275" s="303">
        <v>2804</v>
      </c>
      <c r="O275" s="303">
        <v>2828</v>
      </c>
      <c r="P275" s="303">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83" t="str">
        <f>IF(P276="","",IF(U275&lt;5,IF(S275&gt;1900,IF(S275&lt;2250,"Pass","Fail"),"Fail"),"Fail"))</f>
        <v>Pass</v>
      </c>
      <c r="W275" s="266">
        <v>1159</v>
      </c>
      <c r="X275" s="284" t="s">
        <v>157</v>
      </c>
      <c r="Y275" s="285"/>
      <c r="Z275" s="286">
        <v>1600</v>
      </c>
      <c r="AA275" s="286">
        <v>2600</v>
      </c>
      <c r="AB275" s="287">
        <v>1900</v>
      </c>
      <c r="AC275" s="287">
        <v>2250</v>
      </c>
      <c r="AD275" s="288">
        <v>10</v>
      </c>
      <c r="AE275" s="288">
        <v>3.6</v>
      </c>
    </row>
    <row r="276" spans="1:31">
      <c r="A276" s="289"/>
      <c r="B276" s="290"/>
      <c r="C276" s="290" t="s">
        <v>78</v>
      </c>
      <c r="D276" s="301">
        <v>1821</v>
      </c>
      <c r="E276" s="301">
        <v>1719</v>
      </c>
      <c r="F276" s="301">
        <v>1689</v>
      </c>
      <c r="G276" s="301">
        <v>1685</v>
      </c>
      <c r="H276" s="301">
        <v>1696</v>
      </c>
      <c r="I276" s="301">
        <v>1732</v>
      </c>
      <c r="J276" s="301">
        <v>1856</v>
      </c>
      <c r="K276" s="301">
        <v>1833</v>
      </c>
      <c r="L276" s="301">
        <v>1724</v>
      </c>
      <c r="M276" s="301">
        <v>1696</v>
      </c>
      <c r="N276" s="301">
        <v>1687</v>
      </c>
      <c r="O276" s="301">
        <v>1718</v>
      </c>
      <c r="P276" s="301">
        <v>1830</v>
      </c>
      <c r="Q276" s="290"/>
      <c r="R276" s="290"/>
      <c r="S276" s="290"/>
      <c r="T276" s="290"/>
      <c r="U276" s="290"/>
      <c r="V276" s="291"/>
      <c r="W276" s="251"/>
      <c r="X276" s="284"/>
      <c r="Y276" s="285"/>
      <c r="Z276" s="292"/>
      <c r="AA276" s="292"/>
      <c r="AB276" s="292"/>
      <c r="AC276" s="292"/>
      <c r="AD276" s="293"/>
      <c r="AE276" s="293"/>
    </row>
    <row r="277" spans="1:31" ht="32.25" thickBot="1">
      <c r="A277" s="294"/>
      <c r="B277" s="295"/>
      <c r="C277" s="256" t="s">
        <v>221</v>
      </c>
      <c r="D277" s="296">
        <f t="shared" ref="D277:P277" si="88">IF(((D275="")*AND(D276="")),"",(D275-D276)*2)</f>
        <v>2126</v>
      </c>
      <c r="E277" s="296">
        <f t="shared" si="88"/>
        <v>2224</v>
      </c>
      <c r="F277" s="296">
        <f t="shared" si="88"/>
        <v>2236</v>
      </c>
      <c r="G277" s="296">
        <f t="shared" si="88"/>
        <v>2228</v>
      </c>
      <c r="H277" s="296">
        <f t="shared" si="88"/>
        <v>2238</v>
      </c>
      <c r="I277" s="296">
        <f t="shared" si="88"/>
        <v>2232</v>
      </c>
      <c r="J277" s="296">
        <f t="shared" si="88"/>
        <v>2120</v>
      </c>
      <c r="K277" s="296">
        <f t="shared" si="88"/>
        <v>2142</v>
      </c>
      <c r="L277" s="296">
        <f t="shared" si="88"/>
        <v>2240</v>
      </c>
      <c r="M277" s="296">
        <f t="shared" si="88"/>
        <v>2234</v>
      </c>
      <c r="N277" s="296">
        <f t="shared" si="88"/>
        <v>2234</v>
      </c>
      <c r="O277" s="296">
        <f t="shared" si="88"/>
        <v>2220</v>
      </c>
      <c r="P277" s="296">
        <f t="shared" si="88"/>
        <v>2102</v>
      </c>
      <c r="Q277" s="277"/>
      <c r="R277" s="295"/>
      <c r="S277" s="295"/>
      <c r="T277" s="295"/>
      <c r="U277" s="295"/>
      <c r="V277" s="297"/>
      <c r="W277" s="260"/>
      <c r="X277" s="284"/>
      <c r="Y277" s="285"/>
      <c r="Z277" s="292"/>
      <c r="AA277" s="292"/>
      <c r="AB277" s="292"/>
      <c r="AC277" s="292"/>
      <c r="AD277" s="293"/>
      <c r="AE277" s="293"/>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83" t="str">
        <f>IF(P279="","",IF(U278&lt;5,IF(S278&gt;1900,IF(S278&lt;2250,"Pass","Fail"),"Fail"),"Fail"))</f>
        <v>Pass</v>
      </c>
      <c r="W278" s="266">
        <v>1534</v>
      </c>
      <c r="X278" s="284"/>
      <c r="Y278" s="285"/>
      <c r="Z278" s="286">
        <v>1600</v>
      </c>
      <c r="AA278" s="286">
        <v>2600</v>
      </c>
      <c r="AB278" s="287">
        <v>1900</v>
      </c>
      <c r="AC278" s="287">
        <v>2250</v>
      </c>
      <c r="AD278" s="288">
        <v>10</v>
      </c>
      <c r="AE278" s="288">
        <v>3.6</v>
      </c>
    </row>
    <row r="279" spans="1:31">
      <c r="A279" s="289"/>
      <c r="B279" s="290"/>
      <c r="C279" s="290"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90"/>
      <c r="R279" s="290"/>
      <c r="S279" s="290"/>
      <c r="T279" s="290"/>
      <c r="U279" s="290"/>
      <c r="V279" s="291"/>
      <c r="W279" s="251"/>
      <c r="X279" s="284"/>
      <c r="Y279" s="285"/>
      <c r="Z279" s="292"/>
      <c r="AA279" s="292"/>
      <c r="AB279" s="292"/>
      <c r="AC279" s="292"/>
      <c r="AD279" s="293"/>
      <c r="AE279" s="293"/>
    </row>
    <row r="280" spans="1:31" ht="32.25" thickBot="1">
      <c r="A280" s="294"/>
      <c r="B280" s="295"/>
      <c r="C280" s="256" t="s">
        <v>221</v>
      </c>
      <c r="D280" s="296">
        <f t="shared" ref="D280:P280" si="89">IF(((D278="")*AND(D279="")),"",(D278-D279)*2)</f>
        <v>2196.5599999999995</v>
      </c>
      <c r="E280" s="296">
        <f t="shared" si="89"/>
        <v>2233.34</v>
      </c>
      <c r="F280" s="296">
        <f t="shared" si="89"/>
        <v>2227.02</v>
      </c>
      <c r="G280" s="296">
        <f t="shared" si="89"/>
        <v>2231.1</v>
      </c>
      <c r="H280" s="296">
        <f t="shared" si="89"/>
        <v>2158.6400000000003</v>
      </c>
      <c r="I280" s="296">
        <f t="shared" si="89"/>
        <v>2164.9599999999996</v>
      </c>
      <c r="J280" s="296">
        <f t="shared" si="89"/>
        <v>2208.64</v>
      </c>
      <c r="K280" s="296">
        <f t="shared" si="89"/>
        <v>2244.94</v>
      </c>
      <c r="L280" s="296">
        <f t="shared" si="89"/>
        <v>2172.1799999999998</v>
      </c>
      <c r="M280" s="296">
        <f t="shared" si="89"/>
        <v>2228.4800000000005</v>
      </c>
      <c r="N280" s="296">
        <f t="shared" si="89"/>
        <v>2243.6200000000003</v>
      </c>
      <c r="O280" s="296">
        <f t="shared" si="89"/>
        <v>2219.1999999999994</v>
      </c>
      <c r="P280" s="296">
        <f t="shared" si="89"/>
        <v>2237.1799999999998</v>
      </c>
      <c r="Q280" s="277"/>
      <c r="R280" s="295"/>
      <c r="S280" s="295"/>
      <c r="T280" s="295"/>
      <c r="U280" s="295"/>
      <c r="V280" s="297"/>
      <c r="W280" s="260"/>
      <c r="X280" s="284"/>
      <c r="Y280" s="285"/>
      <c r="Z280" s="292"/>
      <c r="AA280" s="292"/>
      <c r="AB280" s="292"/>
      <c r="AC280" s="292"/>
      <c r="AD280" s="293"/>
      <c r="AE280" s="293"/>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83" t="str">
        <f>IF(P282="","",IF(U281&lt;5,IF(S281&gt;1900,IF(S281&lt;2250,"Pass","Fail"),"Fail"),"Fail"))</f>
        <v>Pass</v>
      </c>
      <c r="W281" s="266">
        <v>1340</v>
      </c>
      <c r="X281" s="284"/>
      <c r="Y281" s="285"/>
      <c r="Z281" s="286">
        <v>1600</v>
      </c>
      <c r="AA281" s="286">
        <v>2600</v>
      </c>
      <c r="AB281" s="287">
        <v>1900</v>
      </c>
      <c r="AC281" s="287">
        <v>2250</v>
      </c>
      <c r="AD281" s="288">
        <v>10</v>
      </c>
      <c r="AE281" s="288">
        <v>3.6</v>
      </c>
    </row>
    <row r="282" spans="1:31">
      <c r="A282" s="289"/>
      <c r="B282" s="290"/>
      <c r="C282" s="290"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90"/>
      <c r="R282" s="290"/>
      <c r="S282" s="290"/>
      <c r="T282" s="290"/>
      <c r="U282" s="290"/>
      <c r="V282" s="291"/>
      <c r="W282" s="251"/>
      <c r="X282" s="284"/>
      <c r="Y282" s="285"/>
      <c r="Z282" s="292"/>
      <c r="AA282" s="292"/>
      <c r="AB282" s="292"/>
      <c r="AC282" s="292"/>
      <c r="AD282" s="293"/>
      <c r="AE282" s="293"/>
    </row>
    <row r="283" spans="1:31" ht="32.25" thickBot="1">
      <c r="A283" s="294"/>
      <c r="B283" s="295"/>
      <c r="C283" s="256" t="s">
        <v>221</v>
      </c>
      <c r="D283" s="296">
        <f t="shared" ref="D283:P283" si="90">IF(((D281="")*AND(D282="")),"",(D281-D282)*2)</f>
        <v>2126</v>
      </c>
      <c r="E283" s="296">
        <f t="shared" si="90"/>
        <v>2250</v>
      </c>
      <c r="F283" s="296">
        <f t="shared" si="90"/>
        <v>2264</v>
      </c>
      <c r="G283" s="296">
        <f t="shared" si="90"/>
        <v>2262</v>
      </c>
      <c r="H283" s="296">
        <f t="shared" si="90"/>
        <v>2270</v>
      </c>
      <c r="I283" s="296">
        <f t="shared" si="90"/>
        <v>2268</v>
      </c>
      <c r="J283" s="296">
        <f t="shared" si="90"/>
        <v>2152</v>
      </c>
      <c r="K283" s="296">
        <f t="shared" si="90"/>
        <v>2164</v>
      </c>
      <c r="L283" s="296">
        <f t="shared" si="90"/>
        <v>2270</v>
      </c>
      <c r="M283" s="296">
        <f t="shared" si="90"/>
        <v>2264</v>
      </c>
      <c r="N283" s="296">
        <f t="shared" si="90"/>
        <v>2268</v>
      </c>
      <c r="O283" s="296">
        <f t="shared" si="90"/>
        <v>2252</v>
      </c>
      <c r="P283" s="296">
        <f t="shared" si="90"/>
        <v>2118</v>
      </c>
      <c r="Q283" s="277"/>
      <c r="R283" s="295"/>
      <c r="S283" s="295"/>
      <c r="T283" s="295"/>
      <c r="U283" s="295"/>
      <c r="V283" s="297"/>
      <c r="W283" s="260"/>
      <c r="X283" s="284"/>
      <c r="Y283" s="285"/>
      <c r="Z283" s="292"/>
      <c r="AA283" s="292"/>
      <c r="AB283" s="292"/>
      <c r="AC283" s="292"/>
      <c r="AD283" s="293"/>
      <c r="AE283" s="293"/>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83" t="str">
        <f>IF(P285="","",IF(U284&lt;5,IF(S284&gt;1900,IF(S284&lt;2250,"Pass","Fail"),"Fail"),"Fail"))</f>
        <v>Pass</v>
      </c>
      <c r="W284" s="266">
        <v>121</v>
      </c>
      <c r="X284" s="124" t="s">
        <v>158</v>
      </c>
      <c r="Y284" s="285"/>
      <c r="Z284" s="286">
        <v>1600</v>
      </c>
      <c r="AA284" s="286">
        <v>2600</v>
      </c>
      <c r="AB284" s="287">
        <v>1900</v>
      </c>
      <c r="AC284" s="287">
        <v>2250</v>
      </c>
      <c r="AD284" s="288">
        <v>10</v>
      </c>
      <c r="AE284" s="288">
        <v>3.6</v>
      </c>
    </row>
    <row r="285" spans="1:31">
      <c r="A285" s="289"/>
      <c r="B285" s="290"/>
      <c r="C285" s="290"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90"/>
      <c r="R285" s="290"/>
      <c r="S285" s="290"/>
      <c r="T285" s="290"/>
      <c r="U285" s="290"/>
      <c r="V285" s="291"/>
      <c r="W285" s="251"/>
      <c r="X285" s="284"/>
      <c r="Y285" s="285"/>
      <c r="Z285" s="292"/>
      <c r="AA285" s="292"/>
      <c r="AB285" s="292"/>
      <c r="AC285" s="292"/>
      <c r="AD285" s="293"/>
      <c r="AE285" s="293"/>
    </row>
    <row r="286" spans="1:31" ht="32.25" thickBot="1">
      <c r="A286" s="294"/>
      <c r="B286" s="295"/>
      <c r="C286" s="256" t="s">
        <v>221</v>
      </c>
      <c r="D286" s="296">
        <f t="shared" ref="D286:P286" si="91">IF(((D284="")*AND(D285="")),"",(D284-D285)*2)</f>
        <v>2152</v>
      </c>
      <c r="E286" s="296">
        <f t="shared" si="91"/>
        <v>2254</v>
      </c>
      <c r="F286" s="296">
        <f t="shared" si="91"/>
        <v>2258</v>
      </c>
      <c r="G286" s="296">
        <f t="shared" si="91"/>
        <v>2252</v>
      </c>
      <c r="H286" s="296">
        <f t="shared" si="91"/>
        <v>2268</v>
      </c>
      <c r="I286" s="296">
        <f t="shared" si="91"/>
        <v>2278</v>
      </c>
      <c r="J286" s="296">
        <f t="shared" si="91"/>
        <v>2172</v>
      </c>
      <c r="K286" s="296">
        <f t="shared" si="91"/>
        <v>2170</v>
      </c>
      <c r="L286" s="296">
        <f t="shared" si="91"/>
        <v>2276</v>
      </c>
      <c r="M286" s="296">
        <f t="shared" si="91"/>
        <v>2264</v>
      </c>
      <c r="N286" s="296">
        <f t="shared" si="91"/>
        <v>2262</v>
      </c>
      <c r="O286" s="296">
        <f t="shared" si="91"/>
        <v>2254</v>
      </c>
      <c r="P286" s="296">
        <f t="shared" si="91"/>
        <v>2152</v>
      </c>
      <c r="Q286" s="277"/>
      <c r="R286" s="295"/>
      <c r="S286" s="295"/>
      <c r="T286" s="295"/>
      <c r="U286" s="295"/>
      <c r="V286" s="297"/>
      <c r="W286" s="260"/>
      <c r="X286" s="284"/>
      <c r="Y286" s="285"/>
      <c r="Z286" s="292"/>
      <c r="AA286" s="292"/>
      <c r="AB286" s="292"/>
      <c r="AC286" s="292"/>
      <c r="AD286" s="293"/>
      <c r="AE286" s="293"/>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83" t="str">
        <f>IF(P288="","",IF(U287&lt;5,IF(S287&gt;1900,IF(S287&lt;2250,"Pass","Fail"),"Fail"),"Fail"))</f>
        <v>Pass</v>
      </c>
      <c r="W287" s="266">
        <v>1340</v>
      </c>
      <c r="X287" s="284"/>
      <c r="Y287" s="285"/>
      <c r="Z287" s="286">
        <v>1600</v>
      </c>
      <c r="AA287" s="286">
        <v>2600</v>
      </c>
      <c r="AB287" s="287">
        <v>1900</v>
      </c>
      <c r="AC287" s="287">
        <v>2250</v>
      </c>
      <c r="AD287" s="288">
        <v>10</v>
      </c>
      <c r="AE287" s="288">
        <v>3.6</v>
      </c>
    </row>
    <row r="288" spans="1:31">
      <c r="A288" s="289"/>
      <c r="B288" s="290"/>
      <c r="C288" s="290"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90"/>
      <c r="R288" s="290"/>
      <c r="S288" s="290"/>
      <c r="T288" s="290"/>
      <c r="U288" s="290"/>
      <c r="V288" s="291"/>
      <c r="W288" s="251"/>
      <c r="X288" s="284"/>
      <c r="Y288" s="285"/>
      <c r="Z288" s="292"/>
      <c r="AA288" s="292"/>
      <c r="AB288" s="292"/>
      <c r="AC288" s="292"/>
      <c r="AD288" s="293"/>
      <c r="AE288" s="293"/>
    </row>
    <row r="289" spans="1:31" ht="32.25" thickBot="1">
      <c r="A289" s="294"/>
      <c r="B289" s="295"/>
      <c r="C289" s="256" t="s">
        <v>221</v>
      </c>
      <c r="D289" s="296">
        <f t="shared" ref="D289:P289" si="92">IF(((D287="")*AND(D288="")),"",(D287-D288)*2)</f>
        <v>2114</v>
      </c>
      <c r="E289" s="296">
        <f t="shared" si="92"/>
        <v>2200</v>
      </c>
      <c r="F289" s="296">
        <f t="shared" si="92"/>
        <v>2210</v>
      </c>
      <c r="G289" s="296">
        <f t="shared" si="92"/>
        <v>2206</v>
      </c>
      <c r="H289" s="296">
        <f t="shared" si="92"/>
        <v>2220</v>
      </c>
      <c r="I289" s="296">
        <f t="shared" si="92"/>
        <v>2228</v>
      </c>
      <c r="J289" s="296">
        <f t="shared" si="92"/>
        <v>2120</v>
      </c>
      <c r="K289" s="296">
        <f t="shared" si="92"/>
        <v>2138</v>
      </c>
      <c r="L289" s="296">
        <f t="shared" si="92"/>
        <v>2220</v>
      </c>
      <c r="M289" s="296">
        <f t="shared" si="92"/>
        <v>2204</v>
      </c>
      <c r="N289" s="296">
        <f t="shared" si="92"/>
        <v>2208</v>
      </c>
      <c r="O289" s="296">
        <f t="shared" si="92"/>
        <v>2214</v>
      </c>
      <c r="P289" s="296">
        <f t="shared" si="92"/>
        <v>2100</v>
      </c>
      <c r="Q289" s="277"/>
      <c r="R289" s="295"/>
      <c r="S289" s="295"/>
      <c r="T289" s="295"/>
      <c r="U289" s="295"/>
      <c r="V289" s="297"/>
      <c r="W289" s="260"/>
      <c r="X289" s="284"/>
      <c r="Y289" s="285"/>
      <c r="Z289" s="292"/>
      <c r="AA289" s="292"/>
      <c r="AB289" s="292"/>
      <c r="AC289" s="292"/>
      <c r="AD289" s="293"/>
      <c r="AE289" s="293"/>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83" t="str">
        <f>IF(P291="","",IF(U290&lt;5,IF(S290&gt;1900,IF(S290&lt;2250,"Pass","Fail"),"Fail"),"Fail"))</f>
        <v>Pass</v>
      </c>
      <c r="W290" s="266">
        <v>1340</v>
      </c>
      <c r="X290" s="284"/>
      <c r="Y290" s="285"/>
      <c r="Z290" s="286">
        <v>1600</v>
      </c>
      <c r="AA290" s="286">
        <v>2600</v>
      </c>
      <c r="AB290" s="287">
        <v>1900</v>
      </c>
      <c r="AC290" s="287">
        <v>2250</v>
      </c>
      <c r="AD290" s="288">
        <v>10</v>
      </c>
      <c r="AE290" s="288">
        <v>3.6</v>
      </c>
    </row>
    <row r="291" spans="1:31">
      <c r="A291" s="289"/>
      <c r="B291" s="290"/>
      <c r="C291" s="290"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90"/>
      <c r="R291" s="290"/>
      <c r="S291" s="290"/>
      <c r="T291" s="290"/>
      <c r="U291" s="290"/>
      <c r="V291" s="291"/>
      <c r="W291" s="251"/>
      <c r="X291" s="284"/>
      <c r="Y291" s="285"/>
      <c r="Z291" s="292"/>
      <c r="AA291" s="292"/>
      <c r="AB291" s="292"/>
      <c r="AC291" s="292"/>
      <c r="AD291" s="293"/>
      <c r="AE291" s="293"/>
    </row>
    <row r="292" spans="1:31" ht="32.25" thickBot="1">
      <c r="A292" s="294"/>
      <c r="B292" s="295"/>
      <c r="C292" s="256" t="s">
        <v>221</v>
      </c>
      <c r="D292" s="296">
        <f t="shared" ref="D292:P292" si="93">IF(((D290="")*AND(D291="")),"",(D290-D291)*2)</f>
        <v>2129.8599999999997</v>
      </c>
      <c r="E292" s="296">
        <f t="shared" si="93"/>
        <v>2159.0000000000005</v>
      </c>
      <c r="F292" s="296">
        <f t="shared" si="93"/>
        <v>2155.1799999999998</v>
      </c>
      <c r="G292" s="296">
        <f t="shared" si="93"/>
        <v>2166.9199999999996</v>
      </c>
      <c r="H292" s="296">
        <f t="shared" si="93"/>
        <v>2149.4800000000005</v>
      </c>
      <c r="I292" s="296">
        <f t="shared" si="93"/>
        <v>2152.2000000000003</v>
      </c>
      <c r="J292" s="296">
        <f t="shared" si="93"/>
        <v>2153.3000000000002</v>
      </c>
      <c r="K292" s="296">
        <f t="shared" si="93"/>
        <v>2170.1799999999998</v>
      </c>
      <c r="L292" s="296">
        <f t="shared" si="93"/>
        <v>2123.1</v>
      </c>
      <c r="M292" s="296">
        <f t="shared" si="93"/>
        <v>2160.58</v>
      </c>
      <c r="N292" s="296">
        <f t="shared" si="93"/>
        <v>2170.1400000000003</v>
      </c>
      <c r="O292" s="296">
        <f t="shared" si="93"/>
        <v>2155.4600000000005</v>
      </c>
      <c r="P292" s="296">
        <f t="shared" si="93"/>
        <v>2163.4799999999996</v>
      </c>
      <c r="Q292" s="277"/>
      <c r="R292" s="295"/>
      <c r="S292" s="295"/>
      <c r="T292" s="295"/>
      <c r="U292" s="295"/>
      <c r="V292" s="297"/>
      <c r="W292" s="260"/>
      <c r="X292" s="284"/>
      <c r="Y292" s="285"/>
      <c r="Z292" s="292"/>
      <c r="AA292" s="292"/>
      <c r="AB292" s="292"/>
      <c r="AC292" s="292"/>
      <c r="AD292" s="293"/>
      <c r="AE292" s="293"/>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83" t="str">
        <f>IF(P294="","",IF(U293&lt;5,IF(S293&gt;1900,IF(S293&lt;2250,"Pass","Fail"),"Fail"),"Fail"))</f>
        <v>Pass</v>
      </c>
      <c r="W293" s="298" t="s">
        <v>159</v>
      </c>
      <c r="X293" s="284"/>
      <c r="Y293" s="285"/>
      <c r="Z293" s="286">
        <v>1600</v>
      </c>
      <c r="AA293" s="286">
        <v>2600</v>
      </c>
      <c r="AB293" s="287">
        <v>1900</v>
      </c>
      <c r="AC293" s="287">
        <v>2250</v>
      </c>
      <c r="AD293" s="288">
        <v>10</v>
      </c>
      <c r="AE293" s="288">
        <v>3.6</v>
      </c>
    </row>
    <row r="294" spans="1:31">
      <c r="A294" s="289"/>
      <c r="B294" s="290"/>
      <c r="C294" s="290"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90"/>
      <c r="R294" s="290"/>
      <c r="S294" s="290"/>
      <c r="T294" s="290"/>
      <c r="U294" s="290"/>
      <c r="V294" s="291"/>
      <c r="W294" s="251"/>
      <c r="X294" s="284"/>
      <c r="Y294" s="285"/>
      <c r="Z294" s="292"/>
      <c r="AA294" s="292"/>
      <c r="AB294" s="292"/>
      <c r="AC294" s="292"/>
      <c r="AD294" s="293"/>
      <c r="AE294" s="293"/>
    </row>
    <row r="295" spans="1:31" ht="32.25" thickBot="1">
      <c r="A295" s="294"/>
      <c r="B295" s="295"/>
      <c r="C295" s="256" t="s">
        <v>221</v>
      </c>
      <c r="D295" s="296">
        <f t="shared" ref="D295:P295" si="94">IF(((D293="")*AND(D294="")),"",(D293-D294)*2)</f>
        <v>2112.3399999999997</v>
      </c>
      <c r="E295" s="296">
        <f t="shared" si="94"/>
        <v>2155.7000000000003</v>
      </c>
      <c r="F295" s="296">
        <f t="shared" si="94"/>
        <v>2163.1400000000003</v>
      </c>
      <c r="G295" s="296">
        <f t="shared" si="94"/>
        <v>2174.6</v>
      </c>
      <c r="H295" s="296">
        <f t="shared" si="94"/>
        <v>2163.7999999999997</v>
      </c>
      <c r="I295" s="296">
        <f t="shared" si="94"/>
        <v>2153.54</v>
      </c>
      <c r="J295" s="296">
        <f t="shared" si="94"/>
        <v>2158.6799999999998</v>
      </c>
      <c r="K295" s="296">
        <f t="shared" si="94"/>
        <v>2158.6000000000004</v>
      </c>
      <c r="L295" s="296">
        <f t="shared" si="94"/>
        <v>2114.38</v>
      </c>
      <c r="M295" s="296">
        <f t="shared" si="94"/>
        <v>2175.8599999999997</v>
      </c>
      <c r="N295" s="296">
        <f t="shared" si="94"/>
        <v>2167.0000000000005</v>
      </c>
      <c r="O295" s="296">
        <f t="shared" si="94"/>
        <v>2161.94</v>
      </c>
      <c r="P295" s="296">
        <f t="shared" si="94"/>
        <v>2173.56</v>
      </c>
      <c r="Q295" s="277"/>
      <c r="R295" s="295"/>
      <c r="S295" s="295"/>
      <c r="T295" s="295"/>
      <c r="U295" s="295"/>
      <c r="V295" s="297"/>
      <c r="W295" s="260"/>
      <c r="X295" s="284"/>
      <c r="Y295" s="285"/>
      <c r="Z295" s="292"/>
      <c r="AA295" s="292"/>
      <c r="AB295" s="292"/>
      <c r="AC295" s="292"/>
      <c r="AD295" s="293"/>
      <c r="AE295" s="293"/>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83" t="str">
        <f>IF(P297="","",IF(U296&lt;5,IF(S296&gt;1900,IF(S296&lt;2250,"Pass","Fail"),"Fail"),"Fail"))</f>
        <v>Pass</v>
      </c>
      <c r="W296" s="298">
        <v>1335</v>
      </c>
      <c r="X296" s="284" t="s">
        <v>160</v>
      </c>
      <c r="Y296" s="285"/>
      <c r="Z296" s="286">
        <v>1600</v>
      </c>
      <c r="AA296" s="286">
        <v>2600</v>
      </c>
      <c r="AB296" s="287">
        <v>1900</v>
      </c>
      <c r="AC296" s="287">
        <v>2250</v>
      </c>
      <c r="AD296" s="288">
        <v>10</v>
      </c>
      <c r="AE296" s="288">
        <v>3.6</v>
      </c>
    </row>
    <row r="297" spans="1:31">
      <c r="A297" s="289"/>
      <c r="B297" s="290"/>
      <c r="C297" s="290"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90"/>
      <c r="R297" s="290"/>
      <c r="S297" s="290"/>
      <c r="T297" s="290"/>
      <c r="U297" s="290"/>
      <c r="V297" s="291"/>
      <c r="W297" s="251"/>
      <c r="X297" s="284"/>
      <c r="Y297" s="285"/>
      <c r="Z297" s="292"/>
      <c r="AA297" s="292"/>
      <c r="AB297" s="292"/>
      <c r="AC297" s="292"/>
      <c r="AD297" s="293"/>
      <c r="AE297" s="293"/>
    </row>
    <row r="298" spans="1:31" ht="32.25" thickBot="1">
      <c r="A298" s="294"/>
      <c r="B298" s="295"/>
      <c r="C298" s="256" t="s">
        <v>221</v>
      </c>
      <c r="D298" s="296">
        <f t="shared" ref="D298:P298" si="95">IF(((D296="")*AND(D297="")),"",(D296-D297)*2)</f>
        <v>2250.42</v>
      </c>
      <c r="E298" s="296">
        <f t="shared" si="95"/>
        <v>2114.3800000000006</v>
      </c>
      <c r="F298" s="296">
        <f t="shared" si="95"/>
        <v>2111.7200000000003</v>
      </c>
      <c r="G298" s="296">
        <f t="shared" si="95"/>
        <v>2110.9999999999995</v>
      </c>
      <c r="H298" s="296">
        <f t="shared" si="95"/>
        <v>2093.7600000000002</v>
      </c>
      <c r="I298" s="296">
        <f t="shared" si="95"/>
        <v>2099.58</v>
      </c>
      <c r="J298" s="296">
        <f t="shared" si="95"/>
        <v>2109.2600000000002</v>
      </c>
      <c r="K298" s="296">
        <f t="shared" si="95"/>
        <v>2110.1399999999994</v>
      </c>
      <c r="L298" s="296">
        <f t="shared" si="95"/>
        <v>2065.2600000000002</v>
      </c>
      <c r="M298" s="296">
        <f t="shared" si="95"/>
        <v>2112.9199999999996</v>
      </c>
      <c r="N298" s="296">
        <f t="shared" si="95"/>
        <v>2125.9</v>
      </c>
      <c r="O298" s="296">
        <f t="shared" si="95"/>
        <v>2109.3399999999997</v>
      </c>
      <c r="P298" s="296">
        <f t="shared" si="95"/>
        <v>2089.7599999999998</v>
      </c>
      <c r="Q298" s="277"/>
      <c r="R298" s="295"/>
      <c r="S298" s="295"/>
      <c r="T298" s="295"/>
      <c r="U298" s="295"/>
      <c r="V298" s="297"/>
      <c r="W298" s="260"/>
      <c r="X298" s="284"/>
      <c r="Y298" s="285"/>
      <c r="Z298" s="292"/>
      <c r="AA298" s="292"/>
      <c r="AB298" s="292"/>
      <c r="AC298" s="292"/>
      <c r="AD298" s="293"/>
      <c r="AE298" s="293"/>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83" t="str">
        <f>IF(P300="","",IF(U299&lt;5,IF(S299&gt;1900,IF(S299&lt;2250,"Pass","Fail"),"Fail"),"Fail"))</f>
        <v>Pass</v>
      </c>
      <c r="W299" s="298">
        <v>74</v>
      </c>
      <c r="X299" s="284"/>
      <c r="Y299" s="285"/>
      <c r="Z299" s="286">
        <v>1600</v>
      </c>
      <c r="AA299" s="286">
        <v>2600</v>
      </c>
      <c r="AB299" s="287">
        <v>1900</v>
      </c>
      <c r="AC299" s="287">
        <v>2250</v>
      </c>
      <c r="AD299" s="288">
        <v>10</v>
      </c>
      <c r="AE299" s="288">
        <v>3.6</v>
      </c>
    </row>
    <row r="300" spans="1:31">
      <c r="A300" s="289"/>
      <c r="B300" s="290"/>
      <c r="C300" s="290"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90"/>
      <c r="R300" s="290"/>
      <c r="S300" s="290"/>
      <c r="T300" s="290"/>
      <c r="U300" s="290"/>
      <c r="V300" s="291"/>
      <c r="W300" s="251"/>
      <c r="X300" s="284"/>
      <c r="Y300" s="285"/>
      <c r="Z300" s="292"/>
      <c r="AA300" s="292"/>
      <c r="AB300" s="292"/>
      <c r="AC300" s="292"/>
      <c r="AD300" s="293"/>
      <c r="AE300" s="293"/>
    </row>
    <row r="301" spans="1:31" ht="32.25" thickBot="1">
      <c r="A301" s="294"/>
      <c r="B301" s="295"/>
      <c r="C301" s="256" t="s">
        <v>221</v>
      </c>
      <c r="D301" s="296">
        <f t="shared" ref="D301:P301" si="96">IF(((D299="")*AND(D300="")),"",(D299-D300)*2)</f>
        <v>2054.5600000000004</v>
      </c>
      <c r="E301" s="296">
        <f t="shared" si="96"/>
        <v>2079.4599999999996</v>
      </c>
      <c r="F301" s="296">
        <f t="shared" si="96"/>
        <v>2086.2999999999997</v>
      </c>
      <c r="G301" s="296">
        <f t="shared" si="96"/>
        <v>2084.3000000000006</v>
      </c>
      <c r="H301" s="296">
        <f t="shared" si="96"/>
        <v>2086.6199999999994</v>
      </c>
      <c r="I301" s="296">
        <f t="shared" si="96"/>
        <v>2106.56</v>
      </c>
      <c r="J301" s="296">
        <f t="shared" si="96"/>
        <v>2097.6400000000003</v>
      </c>
      <c r="K301" s="296">
        <f t="shared" si="96"/>
        <v>2090.84</v>
      </c>
      <c r="L301" s="296">
        <f t="shared" si="96"/>
        <v>2059.2399999999998</v>
      </c>
      <c r="M301" s="296">
        <f t="shared" si="96"/>
        <v>2076.5000000000005</v>
      </c>
      <c r="N301" s="296">
        <f t="shared" si="96"/>
        <v>2102.7199999999998</v>
      </c>
      <c r="O301" s="296">
        <f t="shared" si="96"/>
        <v>2104.12</v>
      </c>
      <c r="P301" s="296">
        <f t="shared" si="96"/>
        <v>2075</v>
      </c>
      <c r="Q301" s="277"/>
      <c r="R301" s="295"/>
      <c r="S301" s="295"/>
      <c r="T301" s="295"/>
      <c r="U301" s="295"/>
      <c r="V301" s="297"/>
      <c r="W301" s="260"/>
      <c r="X301" s="284"/>
      <c r="Y301" s="285"/>
      <c r="Z301" s="292"/>
      <c r="AA301" s="292"/>
      <c r="AB301" s="292"/>
      <c r="AC301" s="292"/>
      <c r="AD301" s="293"/>
      <c r="AE301" s="293"/>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83" t="str">
        <f>IF(P303="","",IF(U302&lt;5,IF(S302&gt;1900,IF(S302&lt;2250,"Pass","Fail"),"Fail"),"Fail"))</f>
        <v>Pass</v>
      </c>
      <c r="W302" s="298">
        <v>1335</v>
      </c>
      <c r="X302" s="284"/>
      <c r="Y302" s="285"/>
      <c r="Z302" s="286">
        <v>1600</v>
      </c>
      <c r="AA302" s="286">
        <v>2600</v>
      </c>
      <c r="AB302" s="287">
        <v>1900</v>
      </c>
      <c r="AC302" s="287">
        <v>2250</v>
      </c>
      <c r="AD302" s="288">
        <v>10</v>
      </c>
      <c r="AE302" s="288">
        <v>3.6</v>
      </c>
    </row>
    <row r="303" spans="1:31">
      <c r="A303" s="289"/>
      <c r="B303" s="290"/>
      <c r="C303" s="290"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90"/>
      <c r="R303" s="290"/>
      <c r="S303" s="290"/>
      <c r="T303" s="290"/>
      <c r="U303" s="290"/>
      <c r="V303" s="291"/>
      <c r="W303" s="251"/>
      <c r="X303" s="284"/>
      <c r="Y303" s="285"/>
      <c r="Z303" s="292"/>
      <c r="AA303" s="292"/>
      <c r="AB303" s="292"/>
      <c r="AC303" s="292"/>
      <c r="AD303" s="293"/>
      <c r="AE303" s="293"/>
    </row>
    <row r="304" spans="1:31" ht="32.25" thickBot="1">
      <c r="A304" s="294"/>
      <c r="B304" s="295"/>
      <c r="C304" s="256" t="s">
        <v>221</v>
      </c>
      <c r="D304" s="296">
        <f t="shared" ref="D304:P304" si="97">IF(((D302="")*AND(D303="")),"",(D302-D303)*2)</f>
        <v>2052.44</v>
      </c>
      <c r="E304" s="296">
        <f t="shared" si="97"/>
        <v>2085.8799999999997</v>
      </c>
      <c r="F304" s="296">
        <f t="shared" si="97"/>
        <v>2080.8599999999997</v>
      </c>
      <c r="G304" s="296">
        <f t="shared" si="97"/>
        <v>2099.1800000000003</v>
      </c>
      <c r="H304" s="296">
        <f t="shared" si="97"/>
        <v>2086.5000000000005</v>
      </c>
      <c r="I304" s="296">
        <f t="shared" si="97"/>
        <v>2089.44</v>
      </c>
      <c r="J304" s="296">
        <f t="shared" si="97"/>
        <v>2097.4</v>
      </c>
      <c r="K304" s="296">
        <f t="shared" si="97"/>
        <v>2103.52</v>
      </c>
      <c r="L304" s="296">
        <f t="shared" si="97"/>
        <v>2073.8199999999997</v>
      </c>
      <c r="M304" s="296">
        <f t="shared" si="97"/>
        <v>2100.2400000000002</v>
      </c>
      <c r="N304" s="296">
        <f t="shared" si="97"/>
        <v>2114.5000000000005</v>
      </c>
      <c r="O304" s="296">
        <f t="shared" si="97"/>
        <v>2102.9999999999995</v>
      </c>
      <c r="P304" s="296">
        <f t="shared" si="97"/>
        <v>2093.54</v>
      </c>
      <c r="Q304" s="277"/>
      <c r="R304" s="295"/>
      <c r="S304" s="295"/>
      <c r="T304" s="295"/>
      <c r="U304" s="295"/>
      <c r="V304" s="297"/>
      <c r="W304" s="260"/>
      <c r="X304" s="284"/>
      <c r="Y304" s="285"/>
      <c r="Z304" s="292"/>
      <c r="AA304" s="292"/>
      <c r="AB304" s="292"/>
      <c r="AC304" s="292"/>
      <c r="AD304" s="293"/>
      <c r="AE304" s="293"/>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83" t="str">
        <f>IF(P306="","",IF(U305&lt;5,IF(S305&gt;1900,IF(S305&lt;2250,"Pass","Fail"),"Fail"),"Fail"))</f>
        <v>Pass</v>
      </c>
      <c r="W305" s="298">
        <v>102</v>
      </c>
      <c r="X305" s="284" t="s">
        <v>161</v>
      </c>
      <c r="Y305" s="285"/>
      <c r="Z305" s="286">
        <v>1600</v>
      </c>
      <c r="AA305" s="286">
        <v>2600</v>
      </c>
      <c r="AB305" s="287">
        <v>1900</v>
      </c>
      <c r="AC305" s="287">
        <v>2250</v>
      </c>
      <c r="AD305" s="288">
        <v>10</v>
      </c>
      <c r="AE305" s="288">
        <v>3.6</v>
      </c>
    </row>
    <row r="306" spans="1:32">
      <c r="A306" s="289"/>
      <c r="B306" s="290"/>
      <c r="C306" s="290"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90"/>
      <c r="R306" s="290"/>
      <c r="S306" s="290"/>
      <c r="T306" s="290"/>
      <c r="U306" s="290"/>
      <c r="V306" s="291"/>
      <c r="W306" s="251"/>
      <c r="X306" s="284"/>
      <c r="Y306" s="285"/>
      <c r="Z306" s="285"/>
      <c r="AA306" s="292"/>
      <c r="AB306" s="292"/>
      <c r="AC306" s="292"/>
      <c r="AD306" s="292"/>
      <c r="AE306" s="293"/>
      <c r="AF306" s="293"/>
    </row>
    <row r="307" spans="1:32" ht="32.25" thickBot="1">
      <c r="A307" s="294"/>
      <c r="B307" s="295"/>
      <c r="C307" s="256" t="s">
        <v>221</v>
      </c>
      <c r="D307" s="296">
        <f t="shared" ref="D307:P307" si="98">IF(((D305="")*AND(D306="")),"",(D305-D306)*2)</f>
        <v>2081.4</v>
      </c>
      <c r="E307" s="296">
        <f t="shared" si="98"/>
        <v>2104.42</v>
      </c>
      <c r="F307" s="296">
        <f t="shared" si="98"/>
        <v>2124.0599999999995</v>
      </c>
      <c r="G307" s="296">
        <f t="shared" si="98"/>
        <v>2122.1799999999998</v>
      </c>
      <c r="H307" s="296">
        <f t="shared" si="98"/>
        <v>2123.1600000000003</v>
      </c>
      <c r="I307" s="296">
        <f t="shared" si="98"/>
        <v>2103.34</v>
      </c>
      <c r="J307" s="296">
        <f t="shared" si="98"/>
        <v>2124.4200000000005</v>
      </c>
      <c r="K307" s="296">
        <f t="shared" si="98"/>
        <v>2128.2799999999997</v>
      </c>
      <c r="L307" s="296">
        <f t="shared" si="98"/>
        <v>2096.7600000000002</v>
      </c>
      <c r="M307" s="296">
        <f t="shared" si="98"/>
        <v>2103.8000000000006</v>
      </c>
      <c r="N307" s="296">
        <f t="shared" si="98"/>
        <v>2127.46</v>
      </c>
      <c r="O307" s="296">
        <f t="shared" si="98"/>
        <v>2127.66</v>
      </c>
      <c r="P307" s="296">
        <f t="shared" si="98"/>
        <v>2117.0999999999995</v>
      </c>
      <c r="Q307" s="277"/>
      <c r="R307" s="295"/>
      <c r="S307" s="295"/>
      <c r="T307" s="295"/>
      <c r="U307" s="295"/>
      <c r="V307" s="297"/>
      <c r="W307" s="260"/>
      <c r="X307" s="284"/>
      <c r="Y307" s="285"/>
      <c r="Z307" s="285"/>
      <c r="AA307" s="292"/>
      <c r="AB307" s="292"/>
      <c r="AC307" s="292"/>
      <c r="AD307" s="292"/>
      <c r="AE307" s="293"/>
      <c r="AF307" s="293"/>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83" t="str">
        <f>IF(P309="","",IF(U308&lt;5,IF(S308&gt;1900,IF(S308&lt;2250,"Pass","Fail"),"Fail"),"Fail"))</f>
        <v>Pass</v>
      </c>
      <c r="W308" s="298">
        <v>1159</v>
      </c>
      <c r="X308" s="284" t="s">
        <v>169</v>
      </c>
      <c r="Y308" s="285"/>
      <c r="Z308" s="286">
        <v>1600</v>
      </c>
      <c r="AA308" s="286">
        <v>2600</v>
      </c>
      <c r="AB308" s="287">
        <v>1900</v>
      </c>
      <c r="AC308" s="287">
        <v>2250</v>
      </c>
      <c r="AD308" s="288">
        <v>10</v>
      </c>
      <c r="AE308" s="288">
        <v>3.6</v>
      </c>
    </row>
    <row r="309" spans="1:32">
      <c r="A309" s="289"/>
      <c r="B309" s="290"/>
      <c r="C309" s="290"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90"/>
      <c r="R309" s="290"/>
      <c r="S309" s="290"/>
      <c r="T309" s="290"/>
      <c r="U309" s="290"/>
      <c r="V309" s="291"/>
      <c r="W309" s="251"/>
      <c r="X309" s="284"/>
      <c r="Y309" s="285"/>
    </row>
    <row r="310" spans="1:32" ht="32.25" thickBot="1">
      <c r="A310" s="304"/>
      <c r="B310" s="295"/>
      <c r="C310" s="256" t="s">
        <v>221</v>
      </c>
      <c r="D310" s="296">
        <f t="shared" ref="D310:P310" si="99">IF(((D308="")*AND(D309="")),"",(D308-D309)*2)</f>
        <v>2105.7799999999997</v>
      </c>
      <c r="E310" s="296">
        <f t="shared" si="99"/>
        <v>2137.1999999999998</v>
      </c>
      <c r="F310" s="296">
        <f t="shared" si="99"/>
        <v>2136.2400000000002</v>
      </c>
      <c r="G310" s="296">
        <f t="shared" si="99"/>
        <v>2150.7800000000002</v>
      </c>
      <c r="H310" s="296">
        <f t="shared" si="99"/>
        <v>2141.5199999999995</v>
      </c>
      <c r="I310" s="296">
        <f t="shared" si="99"/>
        <v>2171.3799999999997</v>
      </c>
      <c r="J310" s="296">
        <f t="shared" si="99"/>
        <v>2146.6200000000003</v>
      </c>
      <c r="K310" s="296">
        <f t="shared" si="99"/>
        <v>2136.6200000000003</v>
      </c>
      <c r="L310" s="296">
        <f t="shared" si="99"/>
        <v>2115.0000000000005</v>
      </c>
      <c r="M310" s="296">
        <f t="shared" si="99"/>
        <v>2148.2400000000002</v>
      </c>
      <c r="N310" s="296">
        <f t="shared" si="99"/>
        <v>2164.1999999999994</v>
      </c>
      <c r="O310" s="296">
        <f t="shared" si="99"/>
        <v>2151.3999999999996</v>
      </c>
      <c r="P310" s="296">
        <f t="shared" si="99"/>
        <v>2141.1200000000003</v>
      </c>
      <c r="Q310" s="277"/>
      <c r="R310" s="295"/>
      <c r="S310" s="295"/>
      <c r="T310" s="295"/>
      <c r="U310" s="295"/>
      <c r="V310" s="297"/>
      <c r="W310" s="260"/>
      <c r="X310" s="284"/>
      <c r="Y310" s="285"/>
    </row>
    <row r="311" spans="1:32">
      <c r="A311" s="305">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83" t="str">
        <f>IF(P312="","",IF(U311&lt;5,IF(S311&gt;1900,IF(S311&lt;2250,"Pass","Fail"),"Fail"),"Fail"))</f>
        <v>Pass</v>
      </c>
      <c r="W311" s="298">
        <v>74</v>
      </c>
      <c r="X311" s="306" t="s">
        <v>170</v>
      </c>
      <c r="Y311" s="285"/>
      <c r="Z311" s="286">
        <v>1600</v>
      </c>
      <c r="AA311" s="286">
        <v>2600</v>
      </c>
      <c r="AB311" s="287">
        <v>1900</v>
      </c>
      <c r="AC311" s="287">
        <v>2250</v>
      </c>
      <c r="AD311" s="288">
        <v>10</v>
      </c>
      <c r="AE311" s="288">
        <v>3.6</v>
      </c>
    </row>
    <row r="312" spans="1:32">
      <c r="A312" s="307"/>
      <c r="B312" s="290"/>
      <c r="C312" s="290"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90"/>
      <c r="R312" s="290"/>
      <c r="S312" s="290"/>
      <c r="T312" s="290"/>
      <c r="U312" s="290"/>
      <c r="V312" s="291"/>
      <c r="W312" s="251"/>
      <c r="X312" s="306"/>
      <c r="Y312" s="285"/>
    </row>
    <row r="313" spans="1:32" ht="32.25" thickBot="1">
      <c r="A313" s="308"/>
      <c r="B313" s="295"/>
      <c r="C313" s="256" t="s">
        <v>221</v>
      </c>
      <c r="D313" s="296">
        <f t="shared" ref="D313:P313" si="100">IF(((D311="")*AND(D312="")),"",(D311-D312)*2)</f>
        <v>2041.06</v>
      </c>
      <c r="E313" s="296">
        <f t="shared" si="100"/>
        <v>2081.64</v>
      </c>
      <c r="F313" s="296">
        <f t="shared" si="100"/>
        <v>2073.2199999999993</v>
      </c>
      <c r="G313" s="296">
        <f t="shared" si="100"/>
        <v>2079.88</v>
      </c>
      <c r="H313" s="296">
        <f t="shared" si="100"/>
        <v>2101.8399999999997</v>
      </c>
      <c r="I313" s="296">
        <f t="shared" si="100"/>
        <v>2078.3799999999997</v>
      </c>
      <c r="J313" s="296">
        <f t="shared" si="100"/>
        <v>2080.0200000000004</v>
      </c>
      <c r="K313" s="296">
        <f t="shared" si="100"/>
        <v>2061.36</v>
      </c>
      <c r="L313" s="296">
        <f t="shared" si="100"/>
        <v>2072.8999999999996</v>
      </c>
      <c r="M313" s="296">
        <f t="shared" si="100"/>
        <v>2070.2599999999998</v>
      </c>
      <c r="N313" s="296">
        <f t="shared" si="100"/>
        <v>2098.8200000000002</v>
      </c>
      <c r="O313" s="296">
        <f t="shared" si="100"/>
        <v>2067.9399999999996</v>
      </c>
      <c r="P313" s="296">
        <f t="shared" si="100"/>
        <v>2076.64</v>
      </c>
      <c r="Q313" s="277"/>
      <c r="R313" s="295"/>
      <c r="S313" s="295"/>
      <c r="T313" s="295"/>
      <c r="U313" s="295"/>
      <c r="V313" s="297"/>
      <c r="W313" s="260"/>
      <c r="X313" s="306"/>
      <c r="Y313" s="285"/>
    </row>
    <row r="314" spans="1:32">
      <c r="A314" s="305">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83" t="str">
        <f>IF(P315="","",IF(U314&lt;5,IF(S314&gt;1900,IF(S314&lt;2250,"Pass","Fail"),"Fail"),"Fail"))</f>
        <v>Pass</v>
      </c>
      <c r="W314" s="298">
        <v>1340</v>
      </c>
      <c r="X314" s="124" t="s">
        <v>171</v>
      </c>
      <c r="Y314" s="285"/>
      <c r="Z314" s="286">
        <v>1600</v>
      </c>
      <c r="AA314" s="286">
        <v>2600</v>
      </c>
      <c r="AB314" s="287">
        <v>1900</v>
      </c>
      <c r="AC314" s="287">
        <v>2250</v>
      </c>
      <c r="AD314" s="288">
        <v>10</v>
      </c>
      <c r="AE314" s="288">
        <v>3.6</v>
      </c>
    </row>
    <row r="315" spans="1:32">
      <c r="A315" s="307"/>
      <c r="B315" s="290"/>
      <c r="C315" s="290"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90"/>
      <c r="R315" s="290"/>
      <c r="S315" s="290"/>
      <c r="T315" s="290"/>
      <c r="U315" s="290"/>
      <c r="V315" s="291"/>
      <c r="W315" s="251"/>
      <c r="Y315" s="285"/>
    </row>
    <row r="316" spans="1:32" ht="32.25" thickBot="1">
      <c r="A316" s="308"/>
      <c r="B316" s="295"/>
      <c r="C316" s="256" t="s">
        <v>221</v>
      </c>
      <c r="D316" s="296">
        <f t="shared" ref="D316:P316" si="101">IF(((D314="")*AND(D315="")),"",(D314-D315)*2)</f>
        <v>2045.2999999999997</v>
      </c>
      <c r="E316" s="296">
        <f t="shared" si="101"/>
        <v>2033.88</v>
      </c>
      <c r="F316" s="296">
        <f t="shared" si="101"/>
        <v>2063.9199999999996</v>
      </c>
      <c r="G316" s="296">
        <f t="shared" si="101"/>
        <v>2072.44</v>
      </c>
      <c r="H316" s="296">
        <f t="shared" si="101"/>
        <v>2107.86</v>
      </c>
      <c r="I316" s="296">
        <f t="shared" si="101"/>
        <v>2069.7600000000002</v>
      </c>
      <c r="J316" s="296">
        <f t="shared" si="101"/>
        <v>2070.0800000000004</v>
      </c>
      <c r="K316" s="296">
        <f t="shared" si="101"/>
        <v>2072.08</v>
      </c>
      <c r="L316" s="296">
        <f t="shared" si="101"/>
        <v>2031.8799999999997</v>
      </c>
      <c r="M316" s="296">
        <f t="shared" si="101"/>
        <v>2045.0199999999995</v>
      </c>
      <c r="N316" s="296">
        <f t="shared" si="101"/>
        <v>2083.42</v>
      </c>
      <c r="O316" s="296">
        <f t="shared" si="101"/>
        <v>2078.62</v>
      </c>
      <c r="P316" s="296">
        <f t="shared" si="101"/>
        <v>2043.92</v>
      </c>
      <c r="Q316" s="277"/>
      <c r="R316" s="295"/>
      <c r="S316" s="295"/>
      <c r="T316" s="295"/>
      <c r="U316" s="295"/>
      <c r="V316" s="297"/>
      <c r="W316" s="260"/>
      <c r="Y316" s="285"/>
    </row>
    <row r="317" spans="1:32">
      <c r="A317" s="305">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83" t="str">
        <f>IF(P318="","",IF(U317&lt;5,IF(S317&gt;1900,IF(S317&lt;2250,"Pass","Fail"),"Fail"),"Fail"))</f>
        <v>Pass</v>
      </c>
      <c r="W317" s="298">
        <v>1159</v>
      </c>
      <c r="X317" s="124" t="s">
        <v>176</v>
      </c>
      <c r="Y317" s="285"/>
      <c r="Z317" s="286">
        <v>1600</v>
      </c>
      <c r="AA317" s="286">
        <v>2600</v>
      </c>
      <c r="AB317" s="287">
        <v>1900</v>
      </c>
      <c r="AC317" s="287">
        <v>2250</v>
      </c>
      <c r="AD317" s="288">
        <v>10</v>
      </c>
      <c r="AE317" s="288">
        <v>3.6</v>
      </c>
    </row>
    <row r="318" spans="1:32">
      <c r="A318" s="307"/>
      <c r="B318" s="290"/>
      <c r="C318" s="290"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90"/>
      <c r="R318" s="290"/>
      <c r="S318" s="290"/>
      <c r="T318" s="290"/>
      <c r="U318" s="290"/>
      <c r="V318" s="291"/>
      <c r="W318" s="251"/>
      <c r="Y318" s="285"/>
    </row>
    <row r="319" spans="1:32" ht="32.25" thickBot="1">
      <c r="A319" s="308"/>
      <c r="B319" s="295"/>
      <c r="C319" s="256" t="s">
        <v>221</v>
      </c>
      <c r="D319" s="296">
        <f t="shared" ref="D319:P319" si="102">IF(((D317="")*AND(D318="")),"",(D317-D318)*2)</f>
        <v>2107.7200000000003</v>
      </c>
      <c r="E319" s="296">
        <f t="shared" si="102"/>
        <v>2131.2199999999998</v>
      </c>
      <c r="F319" s="296">
        <f t="shared" si="102"/>
        <v>2141.2599999999998</v>
      </c>
      <c r="G319" s="296">
        <f t="shared" si="102"/>
        <v>2160.3399999999997</v>
      </c>
      <c r="H319" s="296">
        <f t="shared" si="102"/>
        <v>2184.1799999999998</v>
      </c>
      <c r="I319" s="296">
        <f t="shared" si="102"/>
        <v>2148.88</v>
      </c>
      <c r="J319" s="296">
        <f t="shared" si="102"/>
        <v>2140.2599999999998</v>
      </c>
      <c r="K319" s="296">
        <f t="shared" si="102"/>
        <v>2144.42</v>
      </c>
      <c r="L319" s="296">
        <f t="shared" si="102"/>
        <v>2113.5399999999995</v>
      </c>
      <c r="M319" s="296">
        <f t="shared" si="102"/>
        <v>2129.5800000000004</v>
      </c>
      <c r="N319" s="296">
        <f t="shared" si="102"/>
        <v>2152.7399999999998</v>
      </c>
      <c r="O319" s="296">
        <f t="shared" si="102"/>
        <v>2141.8200000000002</v>
      </c>
      <c r="P319" s="296">
        <f t="shared" si="102"/>
        <v>2135.2600000000002</v>
      </c>
      <c r="Q319" s="277"/>
      <c r="R319" s="295"/>
      <c r="S319" s="295"/>
      <c r="T319" s="295"/>
      <c r="U319" s="295"/>
      <c r="V319" s="297"/>
      <c r="W319" s="260"/>
      <c r="Y319" s="285"/>
    </row>
    <row r="320" spans="1:32">
      <c r="A320" s="305">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83" t="str">
        <f>IF(P321="","",IF(U320&lt;5,IF(S320&gt;1900,IF(S320&lt;2250,"Pass","Fail"),"Fail"),"Fail"))</f>
        <v>Pass</v>
      </c>
      <c r="W320" s="298" t="s">
        <v>177</v>
      </c>
      <c r="X320" s="124" t="s">
        <v>178</v>
      </c>
      <c r="Y320" s="285"/>
      <c r="Z320" s="286">
        <v>1600</v>
      </c>
      <c r="AA320" s="286">
        <v>2600</v>
      </c>
      <c r="AB320" s="287">
        <v>1900</v>
      </c>
      <c r="AC320" s="287">
        <v>2250</v>
      </c>
      <c r="AD320" s="288">
        <v>10</v>
      </c>
      <c r="AE320" s="288">
        <v>3.6</v>
      </c>
    </row>
    <row r="321" spans="1:31">
      <c r="A321" s="307"/>
      <c r="B321" s="290"/>
      <c r="C321" s="290"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90"/>
      <c r="R321" s="290"/>
      <c r="S321" s="290"/>
      <c r="T321" s="290"/>
      <c r="U321" s="290"/>
      <c r="V321" s="291"/>
      <c r="W321" s="251"/>
      <c r="Y321" s="285"/>
    </row>
    <row r="322" spans="1:31" ht="32.25" thickBot="1">
      <c r="A322" s="308"/>
      <c r="B322" s="295"/>
      <c r="C322" s="256" t="s">
        <v>221</v>
      </c>
      <c r="D322" s="296">
        <f t="shared" ref="D322:P322" si="103">IF(((D320="")*AND(D321="")),"",(D320-D321)*2)</f>
        <v>2137.3599999999997</v>
      </c>
      <c r="E322" s="296">
        <f t="shared" si="103"/>
        <v>2149.48</v>
      </c>
      <c r="F322" s="296">
        <f t="shared" si="103"/>
        <v>2165.0400000000004</v>
      </c>
      <c r="G322" s="296">
        <f t="shared" si="103"/>
        <v>2189.2799999999997</v>
      </c>
      <c r="H322" s="296">
        <f t="shared" si="103"/>
        <v>2212.3000000000002</v>
      </c>
      <c r="I322" s="296">
        <f t="shared" si="103"/>
        <v>2178.46</v>
      </c>
      <c r="J322" s="296">
        <f t="shared" si="103"/>
        <v>2169.2199999999998</v>
      </c>
      <c r="K322" s="296">
        <f t="shared" si="103"/>
        <v>2170.1400000000003</v>
      </c>
      <c r="L322" s="296">
        <f t="shared" si="103"/>
        <v>2144.94</v>
      </c>
      <c r="M322" s="296">
        <f t="shared" si="103"/>
        <v>2170.8399999999997</v>
      </c>
      <c r="N322" s="296">
        <f t="shared" si="103"/>
        <v>2192.7199999999998</v>
      </c>
      <c r="O322" s="296">
        <f t="shared" si="103"/>
        <v>2192.58</v>
      </c>
      <c r="P322" s="296">
        <f t="shared" si="103"/>
        <v>2155.2999999999997</v>
      </c>
      <c r="Q322" s="277"/>
      <c r="R322" s="295"/>
      <c r="S322" s="295"/>
      <c r="T322" s="295"/>
      <c r="U322" s="295"/>
      <c r="V322" s="297"/>
      <c r="W322" s="260"/>
      <c r="Y322" s="285"/>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83" t="str">
        <f>IF(P324="","",IF(U323&lt;5,IF(S323&gt;1900,IF(S323&lt;2250,"Pass","Fail"),"Fail"),"Fail"))</f>
        <v>Pass</v>
      </c>
      <c r="W323" s="298">
        <v>121</v>
      </c>
      <c r="X323" s="124" t="s">
        <v>179</v>
      </c>
      <c r="Y323" s="285"/>
      <c r="Z323" s="286">
        <v>1600</v>
      </c>
      <c r="AA323" s="286">
        <v>2600</v>
      </c>
      <c r="AB323" s="287">
        <v>1900</v>
      </c>
      <c r="AC323" s="287">
        <v>2250</v>
      </c>
      <c r="AD323" s="288">
        <v>10</v>
      </c>
      <c r="AE323" s="288">
        <v>3.6</v>
      </c>
    </row>
    <row r="324" spans="1:31">
      <c r="A324" s="307"/>
      <c r="B324" s="290"/>
      <c r="C324" s="290"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90"/>
      <c r="R324" s="290"/>
      <c r="S324" s="290"/>
      <c r="T324" s="290"/>
      <c r="U324" s="290"/>
      <c r="V324" s="291"/>
      <c r="W324" s="251"/>
      <c r="Y324" s="285"/>
    </row>
    <row r="325" spans="1:31" ht="32.25" thickBot="1">
      <c r="A325" s="308"/>
      <c r="B325" s="295"/>
      <c r="C325" s="256" t="s">
        <v>221</v>
      </c>
      <c r="D325" s="296">
        <f t="shared" ref="D325:P325" si="104">IF(((D323="")*AND(D324="")),"",(D323-D324)*2)</f>
        <v>2126.3600000000006</v>
      </c>
      <c r="E325" s="296">
        <f t="shared" si="104"/>
        <v>2151.06</v>
      </c>
      <c r="F325" s="296">
        <f t="shared" si="104"/>
        <v>2155.34</v>
      </c>
      <c r="G325" s="296">
        <f t="shared" si="104"/>
        <v>2171.3200000000002</v>
      </c>
      <c r="H325" s="296">
        <f t="shared" si="104"/>
        <v>2214.02</v>
      </c>
      <c r="I325" s="296">
        <f t="shared" si="104"/>
        <v>2161.8200000000002</v>
      </c>
      <c r="J325" s="296">
        <f t="shared" si="104"/>
        <v>2159.8799999999997</v>
      </c>
      <c r="K325" s="296">
        <f t="shared" si="104"/>
        <v>2165.1</v>
      </c>
      <c r="L325" s="296">
        <f t="shared" si="104"/>
        <v>2143.44</v>
      </c>
      <c r="M325" s="296">
        <f t="shared" si="104"/>
        <v>2155.0799999999995</v>
      </c>
      <c r="N325" s="296">
        <f t="shared" si="104"/>
        <v>2178.6400000000003</v>
      </c>
      <c r="O325" s="296">
        <f t="shared" si="104"/>
        <v>2180.7599999999998</v>
      </c>
      <c r="P325" s="296">
        <f t="shared" si="104"/>
        <v>2154.2999999999997</v>
      </c>
      <c r="Q325" s="277"/>
      <c r="R325" s="295"/>
      <c r="S325" s="295"/>
      <c r="T325" s="295"/>
      <c r="U325" s="295"/>
      <c r="V325" s="297"/>
      <c r="W325" s="260"/>
      <c r="Y325" s="285"/>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83" t="str">
        <f>IF(P327="","",IF(U326&lt;5,IF(S326&gt;1900,IF(S326&lt;2250,"Pass","Fail"),"Fail"),"Fail"))</f>
        <v>Pass</v>
      </c>
      <c r="W326" s="298">
        <v>1340</v>
      </c>
      <c r="X326" s="124" t="s">
        <v>180</v>
      </c>
      <c r="Y326" s="285"/>
      <c r="Z326" s="286">
        <v>1600</v>
      </c>
      <c r="AA326" s="286">
        <v>2600</v>
      </c>
      <c r="AB326" s="287">
        <v>1900</v>
      </c>
      <c r="AC326" s="287">
        <v>2250</v>
      </c>
      <c r="AD326" s="288">
        <v>10</v>
      </c>
      <c r="AE326" s="288">
        <v>3.6</v>
      </c>
    </row>
    <row r="327" spans="1:31">
      <c r="A327" s="307"/>
      <c r="B327" s="290"/>
      <c r="C327" s="290"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90"/>
      <c r="R327" s="290"/>
      <c r="S327" s="290"/>
      <c r="T327" s="290"/>
      <c r="U327" s="290"/>
      <c r="V327" s="291"/>
      <c r="W327" s="251"/>
      <c r="Y327" s="285"/>
    </row>
    <row r="328" spans="1:31" ht="32.25" thickBot="1">
      <c r="A328" s="308"/>
      <c r="B328" s="295"/>
      <c r="C328" s="256" t="s">
        <v>221</v>
      </c>
      <c r="D328" s="296">
        <f t="shared" ref="D328:P328" si="105">IF(((D326="")*AND(D327="")),"",(D326-D327)*2)</f>
        <v>2106.4199999999996</v>
      </c>
      <c r="E328" s="296">
        <f t="shared" si="105"/>
        <v>2115.8200000000002</v>
      </c>
      <c r="F328" s="296">
        <f t="shared" si="105"/>
        <v>2134.2799999999997</v>
      </c>
      <c r="G328" s="296">
        <f t="shared" si="105"/>
        <v>2145</v>
      </c>
      <c r="H328" s="296">
        <f t="shared" si="105"/>
        <v>2190.08</v>
      </c>
      <c r="I328" s="296">
        <f t="shared" si="105"/>
        <v>2116.16</v>
      </c>
      <c r="J328" s="296">
        <f t="shared" si="105"/>
        <v>2119.8399999999997</v>
      </c>
      <c r="K328" s="296">
        <f t="shared" si="105"/>
        <v>2131.5400000000004</v>
      </c>
      <c r="L328" s="296">
        <f t="shared" si="105"/>
        <v>2119.08</v>
      </c>
      <c r="M328" s="296">
        <f t="shared" si="105"/>
        <v>2124.4800000000005</v>
      </c>
      <c r="N328" s="296">
        <f t="shared" si="105"/>
        <v>2149.0200000000004</v>
      </c>
      <c r="O328" s="296">
        <f t="shared" si="105"/>
        <v>2136.98</v>
      </c>
      <c r="P328" s="296">
        <f t="shared" si="105"/>
        <v>2130.56</v>
      </c>
      <c r="Q328" s="277"/>
      <c r="R328" s="295"/>
      <c r="S328" s="295"/>
      <c r="T328" s="295"/>
      <c r="U328" s="295"/>
      <c r="V328" s="297"/>
      <c r="W328" s="260"/>
      <c r="Y328" s="285"/>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83" t="str">
        <f>IF(P330="","",IF(U329&lt;5,IF(S329&gt;1900,IF(S329&lt;2250,"Pass","Fail"),"Fail"),"Fail"))</f>
        <v>Pass</v>
      </c>
      <c r="W329" s="298">
        <v>1335</v>
      </c>
      <c r="X329" s="124" t="s">
        <v>181</v>
      </c>
      <c r="Y329" s="285"/>
      <c r="Z329" s="286">
        <v>1600</v>
      </c>
      <c r="AA329" s="286">
        <v>2600</v>
      </c>
      <c r="AB329" s="287">
        <v>1900</v>
      </c>
      <c r="AC329" s="287">
        <v>2250</v>
      </c>
      <c r="AD329" s="288">
        <v>10</v>
      </c>
      <c r="AE329" s="288">
        <v>3.6</v>
      </c>
    </row>
    <row r="330" spans="1:31">
      <c r="A330" s="307"/>
      <c r="B330" s="290"/>
      <c r="C330" s="290"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90"/>
      <c r="R330" s="290"/>
      <c r="S330" s="290"/>
      <c r="T330" s="290"/>
      <c r="U330" s="290"/>
      <c r="V330" s="291"/>
      <c r="W330" s="251"/>
      <c r="Y330" s="285"/>
    </row>
    <row r="331" spans="1:31" ht="32.25" thickBot="1">
      <c r="A331" s="308"/>
      <c r="B331" s="295"/>
      <c r="C331" s="256" t="s">
        <v>221</v>
      </c>
      <c r="D331" s="296">
        <f t="shared" ref="D331:P331" si="106">IF(((D329="")*AND(D330="")),"",(D329-D330)*2)</f>
        <v>2046.06</v>
      </c>
      <c r="E331" s="296">
        <f t="shared" si="106"/>
        <v>2026.4400000000005</v>
      </c>
      <c r="F331" s="296">
        <f t="shared" si="106"/>
        <v>2035.06</v>
      </c>
      <c r="G331" s="296">
        <f t="shared" si="106"/>
        <v>2046.3999999999996</v>
      </c>
      <c r="H331" s="296">
        <f t="shared" si="106"/>
        <v>2100.66</v>
      </c>
      <c r="I331" s="296">
        <f t="shared" si="106"/>
        <v>2054.8999999999996</v>
      </c>
      <c r="J331" s="296">
        <f t="shared" si="106"/>
        <v>2035.4000000000005</v>
      </c>
      <c r="K331" s="296">
        <f t="shared" si="106"/>
        <v>2045.1800000000003</v>
      </c>
      <c r="L331" s="296">
        <f t="shared" si="106"/>
        <v>2015.2000000000003</v>
      </c>
      <c r="M331" s="296">
        <f t="shared" si="106"/>
        <v>2059.3199999999997</v>
      </c>
      <c r="N331" s="296">
        <f t="shared" si="106"/>
        <v>2049.88</v>
      </c>
      <c r="O331" s="296">
        <f t="shared" si="106"/>
        <v>2054.2000000000003</v>
      </c>
      <c r="P331" s="296">
        <f t="shared" si="106"/>
        <v>2028.48</v>
      </c>
      <c r="Q331" s="277"/>
      <c r="R331" s="295"/>
      <c r="S331" s="295"/>
      <c r="T331" s="295"/>
      <c r="U331" s="295"/>
      <c r="V331" s="297"/>
      <c r="W331" s="260"/>
      <c r="Y331" s="285"/>
    </row>
    <row r="332" spans="1:31">
      <c r="A332" s="305">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83" t="str">
        <f>IF(P333="","",IF(U332&lt;5,IF(S332&gt;1900,IF(S332&lt;2250,"Pass","Fail"),"Fail"),"Fail"))</f>
        <v>Pass</v>
      </c>
      <c r="W332" s="298" t="s">
        <v>182</v>
      </c>
      <c r="X332" s="124" t="s">
        <v>184</v>
      </c>
      <c r="Y332" s="285"/>
      <c r="Z332" s="286">
        <v>1600</v>
      </c>
      <c r="AA332" s="286">
        <v>2600</v>
      </c>
      <c r="AB332" s="287">
        <v>1900</v>
      </c>
      <c r="AC332" s="287">
        <v>2250</v>
      </c>
      <c r="AD332" s="288">
        <v>10</v>
      </c>
      <c r="AE332" s="288">
        <v>3.6</v>
      </c>
    </row>
    <row r="333" spans="1:31">
      <c r="A333" s="307"/>
      <c r="B333" s="290"/>
      <c r="C333" s="290"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90"/>
      <c r="R333" s="290"/>
      <c r="S333" s="290"/>
      <c r="T333" s="290"/>
      <c r="U333" s="290"/>
      <c r="V333" s="291"/>
      <c r="W333" s="251"/>
      <c r="Y333" s="285"/>
    </row>
    <row r="334" spans="1:31" ht="32.25" thickBot="1">
      <c r="A334" s="308"/>
      <c r="B334" s="295"/>
      <c r="C334" s="256" t="s">
        <v>221</v>
      </c>
      <c r="D334" s="296">
        <f t="shared" ref="D334:P334" si="107">IF(((D332="")*AND(D333="")),"",(D332-D333)*2)</f>
        <v>2099.7200000000003</v>
      </c>
      <c r="E334" s="296">
        <f t="shared" si="107"/>
        <v>2116.4</v>
      </c>
      <c r="F334" s="296">
        <f t="shared" si="107"/>
        <v>2107.3200000000002</v>
      </c>
      <c r="G334" s="296">
        <f t="shared" si="107"/>
        <v>2121.84</v>
      </c>
      <c r="H334" s="296">
        <f t="shared" si="107"/>
        <v>2177.8200000000006</v>
      </c>
      <c r="I334" s="296">
        <f t="shared" si="107"/>
        <v>2129.9199999999996</v>
      </c>
      <c r="J334" s="296">
        <f t="shared" si="107"/>
        <v>2116.6999999999998</v>
      </c>
      <c r="K334" s="296">
        <f t="shared" si="107"/>
        <v>2127.96</v>
      </c>
      <c r="L334" s="296">
        <f t="shared" si="107"/>
        <v>2114.64</v>
      </c>
      <c r="M334" s="296">
        <f t="shared" si="107"/>
        <v>2118.2400000000002</v>
      </c>
      <c r="N334" s="296">
        <f t="shared" si="107"/>
        <v>2153.2599999999998</v>
      </c>
      <c r="O334" s="296">
        <f t="shared" si="107"/>
        <v>2126.98</v>
      </c>
      <c r="P334" s="296">
        <f t="shared" si="107"/>
        <v>2111.5</v>
      </c>
      <c r="Q334" s="277"/>
      <c r="R334" s="295"/>
      <c r="S334" s="295"/>
      <c r="T334" s="295"/>
      <c r="U334" s="295"/>
      <c r="V334" s="297"/>
      <c r="W334" s="260"/>
      <c r="Y334" s="285"/>
    </row>
    <row r="335" spans="1:31">
      <c r="A335" s="305">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83" t="str">
        <f>IF(P336="","",IF(U335&lt;5,IF(S335&gt;1900,IF(S335&lt;2250,"Pass","Fail"),"Fail"),"Fail"))</f>
        <v>Pass</v>
      </c>
      <c r="W335" s="298">
        <v>1428</v>
      </c>
      <c r="Y335" s="285"/>
      <c r="Z335" s="286">
        <v>1600</v>
      </c>
      <c r="AA335" s="286">
        <v>2600</v>
      </c>
      <c r="AB335" s="287">
        <v>1900</v>
      </c>
      <c r="AC335" s="287">
        <v>2250</v>
      </c>
      <c r="AD335" s="288">
        <v>10</v>
      </c>
      <c r="AE335" s="288">
        <v>3.6</v>
      </c>
    </row>
    <row r="336" spans="1:31">
      <c r="A336" s="307"/>
      <c r="B336" s="290"/>
      <c r="C336" s="290"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90"/>
      <c r="R336" s="290"/>
      <c r="S336" s="290"/>
      <c r="T336" s="290"/>
      <c r="U336" s="290"/>
      <c r="V336" s="291"/>
      <c r="W336" s="251"/>
      <c r="Y336" s="285"/>
    </row>
    <row r="337" spans="1:31" ht="32.25" thickBot="1">
      <c r="A337" s="308"/>
      <c r="B337" s="295"/>
      <c r="C337" s="256" t="s">
        <v>221</v>
      </c>
      <c r="D337" s="296">
        <f t="shared" ref="D337:P337" si="108">IF(((D335="")*AND(D336="")),"",(D335-D336)*2)</f>
        <v>2143.54</v>
      </c>
      <c r="E337" s="296">
        <f t="shared" si="108"/>
        <v>2157.3399999999997</v>
      </c>
      <c r="F337" s="296">
        <f t="shared" si="108"/>
        <v>2164.6999999999998</v>
      </c>
      <c r="G337" s="296">
        <f t="shared" si="108"/>
        <v>2176.54</v>
      </c>
      <c r="H337" s="296">
        <f t="shared" si="108"/>
        <v>2194.1799999999998</v>
      </c>
      <c r="I337" s="296">
        <f t="shared" si="108"/>
        <v>2151.14</v>
      </c>
      <c r="J337" s="296">
        <f t="shared" si="108"/>
        <v>2162.06</v>
      </c>
      <c r="K337" s="296">
        <f t="shared" si="108"/>
        <v>2170.84</v>
      </c>
      <c r="L337" s="296">
        <f t="shared" si="108"/>
        <v>2135.12</v>
      </c>
      <c r="M337" s="296">
        <f t="shared" si="108"/>
        <v>2166.3199999999997</v>
      </c>
      <c r="N337" s="296">
        <f t="shared" si="108"/>
        <v>2188.1200000000003</v>
      </c>
      <c r="O337" s="296">
        <f t="shared" si="108"/>
        <v>2191.36</v>
      </c>
      <c r="P337" s="296">
        <f t="shared" si="108"/>
        <v>2171.46</v>
      </c>
      <c r="Q337" s="277"/>
      <c r="R337" s="295"/>
      <c r="S337" s="295"/>
      <c r="T337" s="295"/>
      <c r="U337" s="295"/>
      <c r="V337" s="297"/>
      <c r="W337" s="260"/>
      <c r="Y337" s="285"/>
    </row>
    <row r="338" spans="1:31">
      <c r="A338" s="305">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83" t="str">
        <f>IF(P339="","",IF(U338&lt;5,IF(S338&gt;1900,IF(S338&lt;2250,"Pass","Fail"),"Fail"),"Fail"))</f>
        <v>Pass</v>
      </c>
      <c r="W338" s="298">
        <v>1159</v>
      </c>
      <c r="X338" s="124" t="s">
        <v>186</v>
      </c>
      <c r="Y338" s="285"/>
      <c r="Z338" s="286">
        <v>1600</v>
      </c>
      <c r="AA338" s="286">
        <v>2600</v>
      </c>
      <c r="AB338" s="287">
        <v>1900</v>
      </c>
      <c r="AC338" s="287">
        <v>2250</v>
      </c>
      <c r="AD338" s="288">
        <v>10</v>
      </c>
      <c r="AE338" s="288">
        <v>3.6</v>
      </c>
    </row>
    <row r="339" spans="1:31">
      <c r="A339" s="307"/>
      <c r="B339" s="290"/>
      <c r="C339" s="290"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90"/>
      <c r="R339" s="290"/>
      <c r="S339" s="290"/>
      <c r="T339" s="290"/>
      <c r="U339" s="290"/>
      <c r="V339" s="291"/>
      <c r="W339" s="251"/>
      <c r="Y339" s="285"/>
    </row>
    <row r="340" spans="1:31" ht="32.25" thickBot="1">
      <c r="A340" s="308"/>
      <c r="B340" s="295"/>
      <c r="C340" s="256" t="s">
        <v>221</v>
      </c>
      <c r="D340" s="296">
        <f t="shared" ref="D340:P340" si="109">IF(((D338="")*AND(D339="")),"",(D338-D339)*2)</f>
        <v>2105.54</v>
      </c>
      <c r="E340" s="296">
        <f t="shared" si="109"/>
        <v>2110.6</v>
      </c>
      <c r="F340" s="296">
        <f t="shared" si="109"/>
        <v>2100.9399999999996</v>
      </c>
      <c r="G340" s="296">
        <f t="shared" si="109"/>
        <v>2121.9999999999995</v>
      </c>
      <c r="H340" s="296">
        <f t="shared" si="109"/>
        <v>2132.8999999999996</v>
      </c>
      <c r="I340" s="296">
        <f t="shared" si="109"/>
        <v>2099.1400000000003</v>
      </c>
      <c r="J340" s="296">
        <f t="shared" si="109"/>
        <v>2108.88</v>
      </c>
      <c r="K340" s="296">
        <f t="shared" si="109"/>
        <v>2108.84</v>
      </c>
      <c r="L340" s="296">
        <f t="shared" si="109"/>
        <v>2085.7599999999998</v>
      </c>
      <c r="M340" s="296">
        <f t="shared" si="109"/>
        <v>2108.3999999999996</v>
      </c>
      <c r="N340" s="296">
        <f t="shared" si="109"/>
        <v>2133.2000000000003</v>
      </c>
      <c r="O340" s="296">
        <f t="shared" si="109"/>
        <v>2130.7200000000003</v>
      </c>
      <c r="P340" s="296">
        <f t="shared" si="109"/>
        <v>2108.6</v>
      </c>
      <c r="Q340" s="277"/>
      <c r="R340" s="295"/>
      <c r="S340" s="295"/>
      <c r="T340" s="295"/>
      <c r="U340" s="295"/>
      <c r="V340" s="297"/>
      <c r="W340" s="260"/>
      <c r="Y340" s="285"/>
    </row>
    <row r="341" spans="1:31">
      <c r="A341" s="305">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83" t="str">
        <f>IF(P342="","",IF(U341&lt;5,IF(S341&gt;1900,IF(S341&lt;2250,"Pass","Fail"),"Fail"),"Fail"))</f>
        <v>Pass</v>
      </c>
      <c r="W341" s="298"/>
      <c r="Y341" s="285"/>
      <c r="Z341" s="286">
        <v>1600</v>
      </c>
      <c r="AA341" s="286">
        <v>2600</v>
      </c>
      <c r="AB341" s="287">
        <v>1900</v>
      </c>
      <c r="AC341" s="287">
        <v>2250</v>
      </c>
      <c r="AD341" s="288">
        <v>10</v>
      </c>
      <c r="AE341" s="288">
        <v>3.6</v>
      </c>
    </row>
    <row r="342" spans="1:31">
      <c r="A342" s="307"/>
      <c r="B342" s="290"/>
      <c r="C342" s="290"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90"/>
      <c r="R342" s="290"/>
      <c r="S342" s="290"/>
      <c r="T342" s="290"/>
      <c r="U342" s="290"/>
      <c r="V342" s="291"/>
      <c r="W342" s="251"/>
      <c r="Y342" s="285"/>
    </row>
    <row r="343" spans="1:31" ht="32.25" thickBot="1">
      <c r="A343" s="308"/>
      <c r="B343" s="295"/>
      <c r="C343" s="256" t="s">
        <v>221</v>
      </c>
      <c r="D343" s="296">
        <f t="shared" ref="D343:P343" si="110">IF(((D341="")*AND(D342="")),"",(D341-D342)*2)</f>
        <v>2133.6400000000003</v>
      </c>
      <c r="E343" s="296">
        <f t="shared" si="110"/>
        <v>2131.14</v>
      </c>
      <c r="F343" s="296">
        <f t="shared" si="110"/>
        <v>2119.6799999999998</v>
      </c>
      <c r="G343" s="296">
        <f t="shared" si="110"/>
        <v>2134.1799999999998</v>
      </c>
      <c r="H343" s="296">
        <f t="shared" si="110"/>
        <v>2163.7400000000002</v>
      </c>
      <c r="I343" s="296">
        <f t="shared" si="110"/>
        <v>2126.1000000000004</v>
      </c>
      <c r="J343" s="296">
        <f t="shared" si="110"/>
        <v>2134.44</v>
      </c>
      <c r="K343" s="296">
        <f t="shared" si="110"/>
        <v>2140.54</v>
      </c>
      <c r="L343" s="296">
        <f t="shared" si="110"/>
        <v>2126.9800000000005</v>
      </c>
      <c r="M343" s="296">
        <f t="shared" si="110"/>
        <v>2138.46</v>
      </c>
      <c r="N343" s="296">
        <f t="shared" si="110"/>
        <v>2150.48</v>
      </c>
      <c r="O343" s="296">
        <f t="shared" si="110"/>
        <v>2154.6000000000004</v>
      </c>
      <c r="P343" s="296">
        <f t="shared" si="110"/>
        <v>2135.0599999999995</v>
      </c>
      <c r="Q343" s="277"/>
      <c r="R343" s="295"/>
      <c r="S343" s="295"/>
      <c r="T343" s="295"/>
      <c r="U343" s="295"/>
      <c r="V343" s="297"/>
      <c r="W343" s="260"/>
      <c r="Y343" s="285"/>
    </row>
    <row r="344" spans="1:31">
      <c r="A344" s="305">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83" t="str">
        <f>IF(P345="","",IF(U344&lt;5,IF(S344&gt;1900,IF(S344&lt;2250,"Pass","Fail"),"Fail"),"Fail"))</f>
        <v>Pass</v>
      </c>
      <c r="W344" s="298">
        <v>1159</v>
      </c>
      <c r="X344" s="124" t="s">
        <v>189</v>
      </c>
      <c r="Y344" s="285"/>
      <c r="Z344" s="286">
        <v>1600</v>
      </c>
      <c r="AA344" s="286">
        <v>2600</v>
      </c>
      <c r="AB344" s="287">
        <v>1900</v>
      </c>
      <c r="AC344" s="287">
        <v>2250</v>
      </c>
      <c r="AD344" s="288">
        <v>10</v>
      </c>
      <c r="AE344" s="288">
        <v>3.6</v>
      </c>
    </row>
    <row r="345" spans="1:31">
      <c r="A345" s="307"/>
      <c r="B345" s="290"/>
      <c r="C345" s="290"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90"/>
      <c r="R345" s="290"/>
      <c r="S345" s="290"/>
      <c r="T345" s="290"/>
      <c r="U345" s="290"/>
      <c r="V345" s="291"/>
      <c r="W345" s="251"/>
      <c r="Y345" s="285"/>
    </row>
    <row r="346" spans="1:31" ht="32.25" thickBot="1">
      <c r="A346" s="308"/>
      <c r="B346" s="295"/>
      <c r="C346" s="256" t="s">
        <v>221</v>
      </c>
      <c r="D346" s="296">
        <f t="shared" ref="D346:P346" si="111">IF(((D344="")*AND(D345="")),"",(D344-D345)*2)</f>
        <v>2125.3399999999997</v>
      </c>
      <c r="E346" s="296">
        <f t="shared" si="111"/>
        <v>2121.08</v>
      </c>
      <c r="F346" s="296">
        <f t="shared" si="111"/>
        <v>2118.08</v>
      </c>
      <c r="G346" s="296">
        <f t="shared" si="111"/>
        <v>2138.3199999999997</v>
      </c>
      <c r="H346" s="296">
        <f t="shared" si="111"/>
        <v>2150.8599999999997</v>
      </c>
      <c r="I346" s="296">
        <f t="shared" si="111"/>
        <v>2115.6999999999998</v>
      </c>
      <c r="J346" s="296">
        <f t="shared" si="111"/>
        <v>2116.4800000000005</v>
      </c>
      <c r="K346" s="296">
        <f t="shared" si="111"/>
        <v>2133.3200000000002</v>
      </c>
      <c r="L346" s="296">
        <f t="shared" si="111"/>
        <v>2089.9200000000005</v>
      </c>
      <c r="M346" s="296">
        <f t="shared" si="111"/>
        <v>2120.3200000000002</v>
      </c>
      <c r="N346" s="296">
        <f t="shared" si="111"/>
        <v>2148.34</v>
      </c>
      <c r="O346" s="296">
        <f t="shared" si="111"/>
        <v>2140.9599999999996</v>
      </c>
      <c r="P346" s="296">
        <f t="shared" si="111"/>
        <v>2109.9</v>
      </c>
      <c r="Q346" s="277"/>
      <c r="R346" s="295"/>
      <c r="S346" s="295"/>
      <c r="T346" s="295"/>
      <c r="U346" s="295"/>
      <c r="V346" s="297"/>
      <c r="W346" s="260"/>
      <c r="Y346" s="285"/>
    </row>
    <row r="347" spans="1:31">
      <c r="A347" s="305">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83" t="str">
        <f>IF(P348="","",IF(U347&lt;5,IF(S347&gt;1900,IF(S347&lt;2250,"Pass","Fail"),"Fail"),"Fail"))</f>
        <v>Pass</v>
      </c>
      <c r="W347" s="298">
        <v>1340</v>
      </c>
      <c r="X347" s="124" t="s">
        <v>190</v>
      </c>
      <c r="Y347" s="285"/>
      <c r="Z347" s="286">
        <v>1600</v>
      </c>
      <c r="AA347" s="286">
        <v>2600</v>
      </c>
      <c r="AB347" s="287">
        <v>1900</v>
      </c>
      <c r="AC347" s="287">
        <v>2250</v>
      </c>
      <c r="AD347" s="288">
        <v>10</v>
      </c>
      <c r="AE347" s="288">
        <v>3.6</v>
      </c>
    </row>
    <row r="348" spans="1:31">
      <c r="A348" s="307"/>
      <c r="B348" s="290"/>
      <c r="C348" s="290"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90"/>
      <c r="R348" s="290"/>
      <c r="S348" s="290"/>
      <c r="T348" s="290"/>
      <c r="U348" s="290"/>
      <c r="V348" s="291"/>
      <c r="W348" s="251"/>
      <c r="Y348" s="285"/>
    </row>
    <row r="349" spans="1:31" ht="32.25" thickBot="1">
      <c r="A349" s="308"/>
      <c r="B349" s="295"/>
      <c r="C349" s="256" t="s">
        <v>221</v>
      </c>
      <c r="D349" s="296">
        <f t="shared" ref="D349:P349" si="112">IF(((D347="")*AND(D348="")),"",(D347-D348)*2)</f>
        <v>2170.3199999999997</v>
      </c>
      <c r="E349" s="296">
        <f t="shared" si="112"/>
        <v>2149.4599999999996</v>
      </c>
      <c r="F349" s="296">
        <f t="shared" si="112"/>
        <v>2170.3400000000006</v>
      </c>
      <c r="G349" s="296">
        <f t="shared" si="112"/>
        <v>2184.7800000000002</v>
      </c>
      <c r="H349" s="296">
        <f t="shared" si="112"/>
        <v>2218.3200000000002</v>
      </c>
      <c r="I349" s="296">
        <f t="shared" si="112"/>
        <v>2160.02</v>
      </c>
      <c r="J349" s="296">
        <f t="shared" si="112"/>
        <v>2180.4400000000005</v>
      </c>
      <c r="K349" s="296">
        <f t="shared" si="112"/>
        <v>2181.9000000000005</v>
      </c>
      <c r="L349" s="296">
        <f t="shared" si="112"/>
        <v>2138.7200000000003</v>
      </c>
      <c r="M349" s="296">
        <f t="shared" si="112"/>
        <v>2169.9200000000005</v>
      </c>
      <c r="N349" s="296">
        <f t="shared" si="112"/>
        <v>2190.6200000000003</v>
      </c>
      <c r="O349" s="296">
        <f t="shared" si="112"/>
        <v>2170.8000000000002</v>
      </c>
      <c r="P349" s="296">
        <f t="shared" si="112"/>
        <v>2171.16</v>
      </c>
      <c r="Q349" s="277"/>
      <c r="R349" s="295"/>
      <c r="S349" s="295"/>
      <c r="T349" s="295"/>
      <c r="U349" s="295"/>
      <c r="V349" s="297"/>
      <c r="W349" s="260"/>
      <c r="Y349" s="285"/>
    </row>
    <row r="350" spans="1:31">
      <c r="A350" s="305">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83" t="str">
        <f>IF(P351="","",IF(U350&lt;5,IF(S350&gt;1900,IF(S350&lt;2250,"Pass","Fail"),"Fail"),"Fail"))</f>
        <v>Pass</v>
      </c>
      <c r="W350" s="298">
        <v>1159</v>
      </c>
      <c r="X350" s="124" t="s">
        <v>191</v>
      </c>
      <c r="Y350" s="285"/>
      <c r="Z350" s="286">
        <v>1600</v>
      </c>
      <c r="AA350" s="286">
        <v>2600</v>
      </c>
      <c r="AB350" s="287">
        <v>1900</v>
      </c>
      <c r="AC350" s="287">
        <v>2250</v>
      </c>
      <c r="AD350" s="288">
        <v>10</v>
      </c>
      <c r="AE350" s="288">
        <v>3.6</v>
      </c>
    </row>
    <row r="351" spans="1:31">
      <c r="A351" s="307"/>
      <c r="B351" s="290"/>
      <c r="C351" s="290"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90"/>
      <c r="R351" s="290"/>
      <c r="S351" s="290"/>
      <c r="T351" s="290"/>
      <c r="U351" s="290"/>
      <c r="V351" s="291"/>
      <c r="W351" s="251"/>
      <c r="Y351" s="285"/>
    </row>
    <row r="352" spans="1:31" ht="32.25" thickBot="1">
      <c r="A352" s="308"/>
      <c r="B352" s="295"/>
      <c r="C352" s="256" t="s">
        <v>221</v>
      </c>
      <c r="D352" s="296">
        <f t="shared" ref="D352:P352" si="113">IF(((D350="")*AND(D351="")),"",(D350-D351)*2)</f>
        <v>2106.6799999999998</v>
      </c>
      <c r="E352" s="296">
        <f t="shared" si="113"/>
        <v>2118.3199999999997</v>
      </c>
      <c r="F352" s="296">
        <f t="shared" si="113"/>
        <v>2129.42</v>
      </c>
      <c r="G352" s="296">
        <f t="shared" si="113"/>
        <v>2132.6600000000003</v>
      </c>
      <c r="H352" s="296">
        <f t="shared" si="113"/>
        <v>2185.9</v>
      </c>
      <c r="I352" s="296">
        <f t="shared" si="113"/>
        <v>2101.98</v>
      </c>
      <c r="J352" s="296">
        <f t="shared" si="113"/>
        <v>2131.1999999999994</v>
      </c>
      <c r="K352" s="296">
        <f t="shared" si="113"/>
        <v>2133.5799999999995</v>
      </c>
      <c r="L352" s="296">
        <f t="shared" si="113"/>
        <v>2101.7199999999998</v>
      </c>
      <c r="M352" s="296">
        <f t="shared" si="113"/>
        <v>2113.9799999999996</v>
      </c>
      <c r="N352" s="296">
        <f t="shared" si="113"/>
        <v>2150.94</v>
      </c>
      <c r="O352" s="296">
        <f t="shared" si="113"/>
        <v>2138.58</v>
      </c>
      <c r="P352" s="296">
        <f t="shared" si="113"/>
        <v>2113.8599999999997</v>
      </c>
      <c r="Q352" s="277"/>
      <c r="R352" s="295"/>
      <c r="S352" s="295"/>
      <c r="T352" s="295"/>
      <c r="U352" s="295"/>
      <c r="V352" s="297"/>
      <c r="W352" s="260"/>
      <c r="Y352" s="285"/>
    </row>
    <row r="353" spans="1:31">
      <c r="A353" s="305">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83" t="str">
        <f>IF(P354="","",IF(U353&lt;5,IF(S353&gt;1900,IF(S353&lt;2250,"Pass","Fail"),"Fail"),"Fail"))</f>
        <v>Pass</v>
      </c>
      <c r="W353" s="298">
        <v>1335</v>
      </c>
      <c r="X353" s="124" t="s">
        <v>192</v>
      </c>
      <c r="Y353" s="285"/>
      <c r="Z353" s="286">
        <v>1600</v>
      </c>
      <c r="AA353" s="286">
        <v>2600</v>
      </c>
      <c r="AB353" s="287">
        <v>1900</v>
      </c>
      <c r="AC353" s="287">
        <v>2250</v>
      </c>
      <c r="AD353" s="288">
        <v>10</v>
      </c>
      <c r="AE353" s="288">
        <v>3.6</v>
      </c>
    </row>
    <row r="354" spans="1:31">
      <c r="A354" s="307"/>
      <c r="B354" s="290"/>
      <c r="C354" s="290"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90"/>
      <c r="R354" s="290"/>
      <c r="S354" s="290"/>
      <c r="T354" s="290"/>
      <c r="U354" s="290"/>
      <c r="V354" s="291"/>
      <c r="W354" s="251"/>
      <c r="Y354" s="285"/>
    </row>
    <row r="355" spans="1:31" ht="32.25" thickBot="1">
      <c r="A355" s="308"/>
      <c r="B355" s="295"/>
      <c r="C355" s="256" t="s">
        <v>221</v>
      </c>
      <c r="D355" s="296">
        <f t="shared" ref="D355:P355" si="114">IF(((D353="")*AND(D354="")),"",(D353-D354)*2)</f>
        <v>1972.0599999999995</v>
      </c>
      <c r="E355" s="296">
        <f t="shared" si="114"/>
        <v>1932.6599999999999</v>
      </c>
      <c r="F355" s="296">
        <f t="shared" si="114"/>
        <v>1923.4999999999995</v>
      </c>
      <c r="G355" s="296">
        <f t="shared" si="114"/>
        <v>1948.56</v>
      </c>
      <c r="H355" s="296">
        <f t="shared" si="114"/>
        <v>1989.4800000000005</v>
      </c>
      <c r="I355" s="296">
        <f t="shared" si="114"/>
        <v>1965.88</v>
      </c>
      <c r="J355" s="296">
        <f t="shared" si="114"/>
        <v>1933.62</v>
      </c>
      <c r="K355" s="296">
        <f t="shared" si="114"/>
        <v>1928.6599999999999</v>
      </c>
      <c r="L355" s="296">
        <f t="shared" si="114"/>
        <v>1955.02</v>
      </c>
      <c r="M355" s="296">
        <f t="shared" si="114"/>
        <v>1931.6800000000003</v>
      </c>
      <c r="N355" s="296">
        <f t="shared" si="114"/>
        <v>1959</v>
      </c>
      <c r="O355" s="296">
        <f t="shared" si="114"/>
        <v>1958.8400000000001</v>
      </c>
      <c r="P355" s="296">
        <f t="shared" si="114"/>
        <v>1924.3400000000001</v>
      </c>
      <c r="Q355" s="277"/>
      <c r="R355" s="295"/>
      <c r="S355" s="295"/>
      <c r="T355" s="295"/>
      <c r="U355" s="295"/>
      <c r="V355" s="297"/>
      <c r="W355" s="260"/>
      <c r="Y355" s="285"/>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83" t="str">
        <f>IF(P357="","",IF(U356&lt;5,IF(S356&gt;1900,IF(S356&lt;2250,"Pass","Fail"),"Fail"),"Fail"))</f>
        <v>Pass</v>
      </c>
      <c r="W356" s="298">
        <v>121</v>
      </c>
      <c r="Y356" s="285"/>
      <c r="Z356" s="286">
        <v>1600</v>
      </c>
      <c r="AA356" s="286">
        <v>2600</v>
      </c>
      <c r="AB356" s="287">
        <v>1900</v>
      </c>
      <c r="AC356" s="287">
        <v>2250</v>
      </c>
      <c r="AD356" s="288">
        <v>10</v>
      </c>
      <c r="AE356" s="288">
        <v>3.6</v>
      </c>
    </row>
    <row r="357" spans="1:31">
      <c r="A357" s="307"/>
      <c r="B357" s="290"/>
      <c r="C357" s="290"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90"/>
      <c r="R357" s="290"/>
      <c r="S357" s="290"/>
      <c r="T357" s="290"/>
      <c r="U357" s="290"/>
      <c r="V357" s="291"/>
      <c r="W357" s="251"/>
      <c r="Y357" s="285"/>
    </row>
    <row r="358" spans="1:31" ht="32.25" thickBot="1">
      <c r="A358" s="308"/>
      <c r="B358" s="295"/>
      <c r="C358" s="256" t="s">
        <v>221</v>
      </c>
      <c r="D358" s="296">
        <f t="shared" ref="D358:P358" si="115">IF(((D356="")*AND(D357="")),"",(D356-D357)*2)</f>
        <v>2035.3199999999997</v>
      </c>
      <c r="E358" s="296">
        <f t="shared" si="115"/>
        <v>2056.04</v>
      </c>
      <c r="F358" s="296">
        <f t="shared" si="115"/>
        <v>2053.3399999999997</v>
      </c>
      <c r="G358" s="296">
        <f t="shared" si="115"/>
        <v>2067.5600000000004</v>
      </c>
      <c r="H358" s="296">
        <f t="shared" si="115"/>
        <v>2107.6599999999994</v>
      </c>
      <c r="I358" s="296">
        <f t="shared" si="115"/>
        <v>2070.1999999999998</v>
      </c>
      <c r="J358" s="296">
        <f t="shared" si="115"/>
        <v>2061.56</v>
      </c>
      <c r="K358" s="296">
        <f t="shared" si="115"/>
        <v>2059.8799999999997</v>
      </c>
      <c r="L358" s="296">
        <f t="shared" si="115"/>
        <v>2029.8399999999997</v>
      </c>
      <c r="M358" s="296">
        <f t="shared" si="115"/>
        <v>2058.1400000000003</v>
      </c>
      <c r="N358" s="296">
        <f t="shared" si="115"/>
        <v>2081.0800000000004</v>
      </c>
      <c r="O358" s="296">
        <f t="shared" si="115"/>
        <v>2092.36</v>
      </c>
      <c r="P358" s="296">
        <f t="shared" si="115"/>
        <v>2041.92</v>
      </c>
      <c r="Q358" s="277"/>
      <c r="R358" s="295"/>
      <c r="S358" s="295"/>
      <c r="T358" s="295"/>
      <c r="U358" s="295"/>
      <c r="V358" s="297"/>
      <c r="W358" s="260"/>
      <c r="Y358" s="285"/>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83" t="str">
        <f>IF(P360="","",IF(U359&lt;5,IF(S359&gt;1900,IF(S359&lt;2250,"Pass","Fail"),"Fail"),"Fail"))</f>
        <v>Pass</v>
      </c>
      <c r="W359" s="298" t="s">
        <v>205</v>
      </c>
      <c r="X359" s="401" t="s">
        <v>206</v>
      </c>
      <c r="Y359" s="285"/>
      <c r="Z359" s="286">
        <v>1600</v>
      </c>
      <c r="AA359" s="286">
        <v>2600</v>
      </c>
      <c r="AB359" s="287">
        <v>1900</v>
      </c>
      <c r="AC359" s="287">
        <v>2250</v>
      </c>
      <c r="AD359" s="288">
        <v>10</v>
      </c>
      <c r="AE359" s="288">
        <v>3.6</v>
      </c>
    </row>
    <row r="360" spans="1:31">
      <c r="A360" s="307"/>
      <c r="B360" s="290"/>
      <c r="C360" s="290" t="s">
        <v>78</v>
      </c>
      <c r="D360">
        <v>1838.94</v>
      </c>
      <c r="E360">
        <v>1738.85</v>
      </c>
      <c r="F360">
        <v>1725.78</v>
      </c>
      <c r="G360">
        <v>1730.81</v>
      </c>
      <c r="H360">
        <v>1819.82</v>
      </c>
      <c r="I360">
        <v>1809.72</v>
      </c>
      <c r="J360">
        <v>1739.77</v>
      </c>
      <c r="K360">
        <v>1737.83</v>
      </c>
      <c r="L360">
        <v>1819</v>
      </c>
      <c r="M360">
        <v>1744.05</v>
      </c>
      <c r="N360">
        <v>1737.87</v>
      </c>
      <c r="O360">
        <v>1747</v>
      </c>
      <c r="P360">
        <v>1753.95</v>
      </c>
      <c r="Q360" s="290"/>
      <c r="R360" s="290"/>
      <c r="S360" s="290"/>
      <c r="T360" s="290"/>
      <c r="U360" s="290"/>
      <c r="V360" s="291"/>
      <c r="W360" s="251"/>
      <c r="Y360" s="285"/>
    </row>
    <row r="361" spans="1:31" ht="32.25" thickBot="1">
      <c r="A361" s="308"/>
      <c r="B361" s="295"/>
      <c r="C361" s="256" t="s">
        <v>221</v>
      </c>
      <c r="D361" s="296">
        <f t="shared" ref="D361:P361" si="116">IF(((D359="")*AND(D360="")),"",(D359-D360)*2)</f>
        <v>2064.84</v>
      </c>
      <c r="E361" s="296">
        <f t="shared" si="116"/>
        <v>2071.92</v>
      </c>
      <c r="F361" s="296">
        <f t="shared" si="116"/>
        <v>2101.5000000000005</v>
      </c>
      <c r="G361" s="296">
        <f t="shared" si="116"/>
        <v>2106.38</v>
      </c>
      <c r="H361" s="296">
        <f t="shared" si="116"/>
        <v>2132.6600000000003</v>
      </c>
      <c r="I361" s="296">
        <f t="shared" si="116"/>
        <v>2063.6200000000003</v>
      </c>
      <c r="J361" s="296">
        <f t="shared" si="116"/>
        <v>2070.5600000000004</v>
      </c>
      <c r="K361" s="296">
        <f t="shared" si="116"/>
        <v>2076.58</v>
      </c>
      <c r="L361" s="296">
        <f t="shared" si="116"/>
        <v>2069.88</v>
      </c>
      <c r="M361" s="296">
        <f t="shared" si="116"/>
        <v>2074.1200000000003</v>
      </c>
      <c r="N361" s="296">
        <f t="shared" si="116"/>
        <v>2117.04</v>
      </c>
      <c r="O361" s="296">
        <f t="shared" si="116"/>
        <v>2106.3199999999997</v>
      </c>
      <c r="P361" s="296">
        <f t="shared" si="116"/>
        <v>2072.2400000000002</v>
      </c>
      <c r="Q361" s="277"/>
      <c r="R361" s="295"/>
      <c r="S361" s="295"/>
      <c r="T361" s="295"/>
      <c r="U361" s="295"/>
      <c r="V361" s="297"/>
      <c r="W361" s="260"/>
      <c r="Y361" s="285"/>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83" t="str">
        <f>IF(P363="","",IF(U362&lt;5,IF(S362&gt;1900,IF(S362&lt;2250,"Pass","Fail"),"Fail"),"Fail"))</f>
        <v>Pass</v>
      </c>
      <c r="W362" s="298">
        <v>64</v>
      </c>
      <c r="X362" s="124" t="s">
        <v>208</v>
      </c>
      <c r="Y362" s="285"/>
      <c r="Z362" s="286">
        <v>1600</v>
      </c>
      <c r="AA362" s="286">
        <v>2600</v>
      </c>
      <c r="AB362" s="287">
        <v>1900</v>
      </c>
      <c r="AC362" s="287">
        <v>2250</v>
      </c>
      <c r="AD362" s="288">
        <v>10</v>
      </c>
      <c r="AE362" s="288">
        <v>3.6</v>
      </c>
    </row>
    <row r="363" spans="1:31">
      <c r="A363" s="307"/>
      <c r="B363" s="290"/>
      <c r="C363" s="290" t="s">
        <v>78</v>
      </c>
      <c r="D363">
        <v>2044.02</v>
      </c>
      <c r="E363">
        <v>1899.77</v>
      </c>
      <c r="F363">
        <v>1888.85</v>
      </c>
      <c r="G363">
        <v>1880.46</v>
      </c>
      <c r="H363">
        <v>1941.8</v>
      </c>
      <c r="I363">
        <v>1968.48</v>
      </c>
      <c r="J363">
        <v>1891.88</v>
      </c>
      <c r="K363">
        <v>1890.8</v>
      </c>
      <c r="L363">
        <v>1956.56</v>
      </c>
      <c r="M363">
        <v>1914.76</v>
      </c>
      <c r="N363">
        <v>1881.6</v>
      </c>
      <c r="O363">
        <v>1890.93</v>
      </c>
      <c r="P363">
        <v>1910.18</v>
      </c>
      <c r="Q363" s="290"/>
      <c r="R363" s="290"/>
      <c r="S363" s="290"/>
      <c r="T363" s="290"/>
      <c r="U363" s="290"/>
      <c r="V363" s="291"/>
      <c r="W363" s="251"/>
      <c r="Y363" s="285"/>
    </row>
    <row r="364" spans="1:31" ht="32.25" thickBot="1">
      <c r="A364" s="308"/>
      <c r="B364" s="295"/>
      <c r="C364" s="256" t="s">
        <v>221</v>
      </c>
      <c r="D364" s="296">
        <f t="shared" ref="D364:P364" si="117">IF(((D362="")*AND(D363="")),"",(D362-D363)*2)</f>
        <v>2176.7600000000002</v>
      </c>
      <c r="E364" s="296">
        <f t="shared" si="117"/>
        <v>2185.5200000000004</v>
      </c>
      <c r="F364" s="296">
        <f t="shared" si="117"/>
        <v>2157.08</v>
      </c>
      <c r="G364" s="296">
        <f t="shared" si="117"/>
        <v>2184.4399999999996</v>
      </c>
      <c r="H364" s="296">
        <f t="shared" si="117"/>
        <v>2270.44</v>
      </c>
      <c r="I364" s="296">
        <f t="shared" si="117"/>
        <v>2208.1000000000004</v>
      </c>
      <c r="J364" s="296">
        <f t="shared" si="117"/>
        <v>2175.3199999999997</v>
      </c>
      <c r="K364" s="296">
        <f t="shared" si="117"/>
        <v>2170.4</v>
      </c>
      <c r="L364" s="296">
        <f t="shared" si="117"/>
        <v>2199.6999999999998</v>
      </c>
      <c r="M364" s="296">
        <f t="shared" si="117"/>
        <v>2176.94</v>
      </c>
      <c r="N364" s="296">
        <f t="shared" si="117"/>
        <v>2197.54</v>
      </c>
      <c r="O364" s="296">
        <f t="shared" si="117"/>
        <v>2182.7800000000002</v>
      </c>
      <c r="P364" s="296">
        <f t="shared" si="117"/>
        <v>2186.6799999999998</v>
      </c>
      <c r="Q364" s="277"/>
      <c r="R364" s="295"/>
      <c r="S364" s="295"/>
      <c r="T364" s="295"/>
      <c r="U364" s="295"/>
      <c r="V364" s="297"/>
      <c r="W364" s="260"/>
      <c r="Y364" s="285"/>
    </row>
    <row r="365" spans="1:31">
      <c r="A365" s="305">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83" t="str">
        <f>IF(P366="","",IF(U365&lt;5,IF(S365&gt;1900,IF(S365&lt;2250,"Pass","Fail"),"Fail"),"Fail"))</f>
        <v>Pass</v>
      </c>
      <c r="W365" s="298">
        <v>1340</v>
      </c>
      <c r="Y365" s="285"/>
      <c r="Z365" s="286">
        <v>1600</v>
      </c>
      <c r="AA365" s="286">
        <v>2600</v>
      </c>
      <c r="AB365" s="287">
        <v>1900</v>
      </c>
      <c r="AC365" s="287">
        <v>2250</v>
      </c>
      <c r="AD365" s="288">
        <v>10</v>
      </c>
      <c r="AE365" s="288">
        <v>3.6</v>
      </c>
    </row>
    <row r="366" spans="1:31">
      <c r="A366" s="307"/>
      <c r="B366" s="290"/>
      <c r="C366" s="290" t="s">
        <v>78</v>
      </c>
      <c r="D366">
        <v>2015.91</v>
      </c>
      <c r="E366">
        <v>1905.35</v>
      </c>
      <c r="F366">
        <v>1902.47</v>
      </c>
      <c r="G366">
        <v>1896.9</v>
      </c>
      <c r="H366">
        <v>1954.56</v>
      </c>
      <c r="I366">
        <v>2032.1</v>
      </c>
      <c r="J366">
        <v>1914.06</v>
      </c>
      <c r="K366">
        <v>1903.95</v>
      </c>
      <c r="L366">
        <v>1997.98</v>
      </c>
      <c r="M366">
        <v>1928.55</v>
      </c>
      <c r="N366">
        <v>1899.3</v>
      </c>
      <c r="O366">
        <v>1912.27</v>
      </c>
      <c r="P366">
        <v>1908.4</v>
      </c>
      <c r="Q366" s="290"/>
      <c r="R366" s="290"/>
      <c r="S366" s="290"/>
      <c r="T366" s="290"/>
      <c r="U366" s="290"/>
      <c r="V366" s="291"/>
      <c r="W366" s="251"/>
      <c r="Y366" s="285"/>
    </row>
    <row r="367" spans="1:31" ht="32.25" thickBot="1">
      <c r="A367" s="308"/>
      <c r="B367" s="295"/>
      <c r="C367" s="256" t="s">
        <v>221</v>
      </c>
      <c r="D367" s="296">
        <f t="shared" ref="D367:P367" si="118">IF(((D365="")*AND(D366="")),"",(D365-D366)*2)</f>
        <v>2139.9999999999995</v>
      </c>
      <c r="E367" s="296">
        <f t="shared" si="118"/>
        <v>2149.84</v>
      </c>
      <c r="F367" s="296">
        <f t="shared" si="118"/>
        <v>2131.6</v>
      </c>
      <c r="G367" s="296">
        <f t="shared" si="118"/>
        <v>2159.0999999999995</v>
      </c>
      <c r="H367" s="296">
        <f t="shared" si="118"/>
        <v>2230.16</v>
      </c>
      <c r="I367" s="296">
        <f t="shared" si="118"/>
        <v>2198.7200000000003</v>
      </c>
      <c r="J367" s="296">
        <f t="shared" si="118"/>
        <v>2154.2399999999998</v>
      </c>
      <c r="K367" s="296">
        <f t="shared" si="118"/>
        <v>2136.06</v>
      </c>
      <c r="L367" s="296">
        <f t="shared" si="118"/>
        <v>2141.92</v>
      </c>
      <c r="M367" s="296">
        <f t="shared" si="118"/>
        <v>2156.2000000000003</v>
      </c>
      <c r="N367" s="296">
        <f t="shared" si="118"/>
        <v>2166.64</v>
      </c>
      <c r="O367" s="296">
        <f t="shared" si="118"/>
        <v>2172.66</v>
      </c>
      <c r="P367" s="296">
        <f t="shared" si="118"/>
        <v>2144.96</v>
      </c>
      <c r="Q367" s="277"/>
      <c r="R367" s="295"/>
      <c r="S367" s="295"/>
      <c r="T367" s="295"/>
      <c r="U367" s="295"/>
      <c r="V367" s="297"/>
      <c r="W367" s="260"/>
      <c r="Y367" s="285"/>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83" t="str">
        <f>IF(P369="","",IF(U368&lt;5,IF(S368&gt;1900,IF(S368&lt;2250,"Pass","Fail"),"Fail"),"Fail"))</f>
        <v>Pass</v>
      </c>
      <c r="W368" s="298">
        <v>1340</v>
      </c>
      <c r="X368" s="401" t="s">
        <v>209</v>
      </c>
      <c r="Y368" s="285"/>
      <c r="Z368" s="286">
        <v>1600</v>
      </c>
      <c r="AA368" s="286">
        <v>2600</v>
      </c>
      <c r="AB368" s="287">
        <v>1900</v>
      </c>
      <c r="AC368" s="287">
        <v>2250</v>
      </c>
      <c r="AD368" s="288">
        <v>10</v>
      </c>
      <c r="AE368" s="288">
        <v>3.6</v>
      </c>
    </row>
    <row r="369" spans="1:31">
      <c r="A369" s="307"/>
      <c r="B369" s="290"/>
      <c r="C369" s="290" t="s">
        <v>78</v>
      </c>
      <c r="D369">
        <v>1959.03</v>
      </c>
      <c r="E369">
        <v>1894.98</v>
      </c>
      <c r="F369">
        <v>1883.75</v>
      </c>
      <c r="G369">
        <v>1879.49</v>
      </c>
      <c r="H369">
        <v>1943.71</v>
      </c>
      <c r="I369">
        <v>2012.04</v>
      </c>
      <c r="J369">
        <v>1890.77</v>
      </c>
      <c r="K369">
        <v>1878.1</v>
      </c>
      <c r="L369">
        <v>1960.81</v>
      </c>
      <c r="M369">
        <v>1904.83</v>
      </c>
      <c r="N369">
        <v>1875.81</v>
      </c>
      <c r="O369">
        <v>1895.31</v>
      </c>
      <c r="P369">
        <v>1895.02</v>
      </c>
      <c r="Q369" s="290"/>
      <c r="R369" s="290"/>
      <c r="S369" s="290"/>
      <c r="T369" s="290"/>
      <c r="U369" s="290"/>
      <c r="V369" s="291"/>
      <c r="W369" s="251"/>
      <c r="Y369" s="285"/>
    </row>
    <row r="370" spans="1:31" ht="32.25" thickBot="1">
      <c r="A370" s="308"/>
      <c r="B370" s="295"/>
      <c r="C370" s="256" t="s">
        <v>221</v>
      </c>
      <c r="D370" s="296">
        <f t="shared" ref="D370:P370" si="119">IF(((D368="")*AND(D369="")),"",(D368-D369)*2)</f>
        <v>2224.7599999999998</v>
      </c>
      <c r="E370" s="296">
        <f t="shared" si="119"/>
        <v>2169.2799999999997</v>
      </c>
      <c r="F370" s="296">
        <f t="shared" si="119"/>
        <v>2170.7600000000002</v>
      </c>
      <c r="G370" s="296">
        <f t="shared" si="119"/>
        <v>2202.52</v>
      </c>
      <c r="H370" s="296">
        <f t="shared" si="119"/>
        <v>2263.62</v>
      </c>
      <c r="I370" s="296">
        <f t="shared" si="119"/>
        <v>2231.62</v>
      </c>
      <c r="J370" s="296">
        <f t="shared" si="119"/>
        <v>2199</v>
      </c>
      <c r="K370" s="296">
        <f t="shared" si="119"/>
        <v>2194.1000000000004</v>
      </c>
      <c r="L370" s="296">
        <f t="shared" si="119"/>
        <v>2230.7200000000003</v>
      </c>
      <c r="M370" s="296">
        <f t="shared" si="119"/>
        <v>2205.3000000000002</v>
      </c>
      <c r="N370" s="296">
        <f t="shared" si="119"/>
        <v>2211.42</v>
      </c>
      <c r="O370" s="296">
        <f t="shared" si="119"/>
        <v>2207.42</v>
      </c>
      <c r="P370" s="296">
        <f t="shared" si="119"/>
        <v>2172.92</v>
      </c>
      <c r="Q370" s="277"/>
      <c r="R370" s="295"/>
      <c r="S370" s="295"/>
      <c r="T370" s="295"/>
      <c r="U370" s="295"/>
      <c r="V370" s="297"/>
      <c r="W370" s="260"/>
      <c r="Y370" s="285"/>
    </row>
    <row r="371" spans="1:31">
      <c r="A371" s="305">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83" t="str">
        <f>IF(P372="","",IF(U371&lt;5,IF(S371&gt;1900,IF(S371&lt;2250,"Pass","Fail"),"Fail"),"Fail"))</f>
        <v>Pass</v>
      </c>
      <c r="W371" s="298">
        <v>1428</v>
      </c>
      <c r="X371" s="124" t="s">
        <v>210</v>
      </c>
      <c r="Y371" s="285"/>
      <c r="Z371" s="286">
        <v>1600</v>
      </c>
      <c r="AA371" s="286">
        <v>2600</v>
      </c>
      <c r="AB371" s="287">
        <v>1900</v>
      </c>
      <c r="AC371" s="287">
        <v>2250</v>
      </c>
      <c r="AD371" s="288">
        <v>10</v>
      </c>
      <c r="AE371" s="288">
        <v>3.6</v>
      </c>
    </row>
    <row r="372" spans="1:31">
      <c r="A372" s="307"/>
      <c r="B372" s="290"/>
      <c r="C372" s="290" t="s">
        <v>78</v>
      </c>
      <c r="D372">
        <v>2035.8</v>
      </c>
      <c r="E372">
        <v>1932.54</v>
      </c>
      <c r="F372">
        <v>1933.13</v>
      </c>
      <c r="G372">
        <v>1926.34</v>
      </c>
      <c r="H372">
        <v>2009.25</v>
      </c>
      <c r="I372">
        <v>2098.56</v>
      </c>
      <c r="J372">
        <v>1943.46</v>
      </c>
      <c r="K372">
        <v>1931.37</v>
      </c>
      <c r="L372">
        <v>2036.24</v>
      </c>
      <c r="M372">
        <v>1951.32</v>
      </c>
      <c r="N372">
        <v>1931.22</v>
      </c>
      <c r="O372">
        <v>1938.26</v>
      </c>
      <c r="P372">
        <v>1942.61</v>
      </c>
      <c r="Q372" s="290"/>
      <c r="R372" s="290"/>
      <c r="S372" s="290"/>
      <c r="T372" s="290"/>
      <c r="U372" s="290"/>
      <c r="V372" s="291"/>
      <c r="W372" s="251"/>
      <c r="Y372" s="285"/>
    </row>
    <row r="373" spans="1:31" ht="32.25" thickBot="1">
      <c r="A373" s="308"/>
      <c r="B373" s="295"/>
      <c r="C373" s="256" t="s">
        <v>221</v>
      </c>
      <c r="D373" s="296">
        <f t="shared" ref="D373:P373" si="120">IF(((D371="")*AND(D372="")),"",(D371-D372)*2)</f>
        <v>2099.2999999999997</v>
      </c>
      <c r="E373" s="296">
        <f t="shared" si="120"/>
        <v>2096.2600000000002</v>
      </c>
      <c r="F373" s="296">
        <f t="shared" si="120"/>
        <v>2075.46</v>
      </c>
      <c r="G373" s="296">
        <f t="shared" si="120"/>
        <v>2102.2999999999997</v>
      </c>
      <c r="H373" s="296">
        <f t="shared" si="120"/>
        <v>2122.38</v>
      </c>
      <c r="I373" s="296">
        <f t="shared" si="120"/>
        <v>2062.12</v>
      </c>
      <c r="J373" s="296">
        <f t="shared" si="120"/>
        <v>2096.3199999999997</v>
      </c>
      <c r="K373" s="296">
        <f t="shared" si="120"/>
        <v>2080.16</v>
      </c>
      <c r="L373" s="296">
        <f t="shared" si="120"/>
        <v>2066.6200000000003</v>
      </c>
      <c r="M373" s="296">
        <f t="shared" si="120"/>
        <v>2112.8399999999997</v>
      </c>
      <c r="N373" s="296">
        <f t="shared" si="120"/>
        <v>2103.6799999999998</v>
      </c>
      <c r="O373" s="296">
        <f t="shared" si="120"/>
        <v>2120.1799999999998</v>
      </c>
      <c r="P373" s="296">
        <f t="shared" si="120"/>
        <v>2078.52</v>
      </c>
      <c r="Q373" s="277"/>
      <c r="R373" s="295"/>
      <c r="S373" s="295"/>
      <c r="T373" s="295"/>
      <c r="U373" s="295"/>
      <c r="V373" s="297"/>
      <c r="W373" s="260"/>
      <c r="Y373" s="285"/>
    </row>
    <row r="374" spans="1:31">
      <c r="A374" s="305">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83" t="str">
        <f>IF(P375="","",IF(U374&lt;5,IF(S374&gt;1900,IF(S374&lt;2250,"Pass","Fail"),"Fail"),"Fail"))</f>
        <v>Pass</v>
      </c>
      <c r="W374" s="298">
        <v>1428</v>
      </c>
      <c r="X374" s="401" t="s">
        <v>211</v>
      </c>
      <c r="Y374" s="285"/>
      <c r="Z374" s="286">
        <v>1600</v>
      </c>
      <c r="AA374" s="286">
        <v>2600</v>
      </c>
      <c r="AB374" s="287">
        <v>1900</v>
      </c>
      <c r="AC374" s="287">
        <v>2250</v>
      </c>
      <c r="AD374" s="288">
        <v>10</v>
      </c>
      <c r="AE374" s="288">
        <v>3.6</v>
      </c>
    </row>
    <row r="375" spans="1:31">
      <c r="A375" s="307"/>
      <c r="B375" s="290"/>
      <c r="C375" s="290" t="s">
        <v>78</v>
      </c>
      <c r="D375">
        <v>1970.92</v>
      </c>
      <c r="E375">
        <v>1900.89</v>
      </c>
      <c r="F375">
        <v>1901.81</v>
      </c>
      <c r="G375">
        <v>1876.35</v>
      </c>
      <c r="H375">
        <v>1952.37</v>
      </c>
      <c r="I375">
        <v>2041.02</v>
      </c>
      <c r="J375">
        <v>1902.21</v>
      </c>
      <c r="K375">
        <v>1887.36</v>
      </c>
      <c r="L375">
        <v>1968.67</v>
      </c>
      <c r="M375">
        <v>1917.09</v>
      </c>
      <c r="N375">
        <v>1892.8</v>
      </c>
      <c r="O375">
        <v>1894.15</v>
      </c>
      <c r="P375">
        <v>1911.89</v>
      </c>
      <c r="Q375" s="290"/>
      <c r="R375" s="290"/>
      <c r="S375" s="290"/>
      <c r="T375" s="290"/>
      <c r="U375" s="290"/>
      <c r="V375" s="291"/>
      <c r="W375" s="251"/>
      <c r="Y375" s="285"/>
    </row>
    <row r="376" spans="1:31" ht="32.25" thickBot="1">
      <c r="A376" s="308"/>
      <c r="B376" s="295"/>
      <c r="C376" s="256" t="s">
        <v>221</v>
      </c>
      <c r="D376" s="296">
        <f t="shared" ref="D376:P376" si="121">IF(((D374="")*AND(D375="")),"",(D374-D375)*2)</f>
        <v>2192.8199999999997</v>
      </c>
      <c r="E376" s="296">
        <f t="shared" si="121"/>
        <v>2104.94</v>
      </c>
      <c r="F376" s="296">
        <f t="shared" si="121"/>
        <v>2133.4000000000005</v>
      </c>
      <c r="G376" s="296">
        <f t="shared" si="121"/>
        <v>2194.12</v>
      </c>
      <c r="H376" s="296">
        <f t="shared" si="121"/>
        <v>2233.88</v>
      </c>
      <c r="I376" s="296">
        <f t="shared" si="121"/>
        <v>2180.3599999999997</v>
      </c>
      <c r="J376" s="296">
        <f t="shared" si="121"/>
        <v>2178.1800000000003</v>
      </c>
      <c r="K376" s="296">
        <f t="shared" si="121"/>
        <v>2169.2400000000002</v>
      </c>
      <c r="L376" s="296">
        <f t="shared" si="121"/>
        <v>2214.04</v>
      </c>
      <c r="M376" s="296">
        <f t="shared" si="121"/>
        <v>2138.0400000000004</v>
      </c>
      <c r="N376" s="296">
        <f t="shared" si="121"/>
        <v>2160.98</v>
      </c>
      <c r="O376" s="296">
        <f t="shared" si="121"/>
        <v>2226.58</v>
      </c>
      <c r="P376" s="296">
        <f t="shared" si="121"/>
        <v>2142.4999999999995</v>
      </c>
      <c r="Q376" s="277"/>
      <c r="R376" s="295"/>
      <c r="S376" s="295"/>
      <c r="T376" s="295"/>
      <c r="U376" s="295"/>
      <c r="V376" s="297"/>
      <c r="W376" s="260"/>
      <c r="Y376" s="285"/>
    </row>
    <row r="377" spans="1:31">
      <c r="A377" s="305">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83" t="str">
        <f>IF(P378="","",IF(U377&lt;5,IF(S377&gt;1900,IF(S377&lt;2250,"Pass","Fail"),"Fail"),"Fail"))</f>
        <v>Pass</v>
      </c>
      <c r="W377" s="298">
        <v>1428</v>
      </c>
      <c r="X377" s="401" t="s">
        <v>212</v>
      </c>
      <c r="Y377" s="285"/>
      <c r="Z377" s="286">
        <v>1600</v>
      </c>
      <c r="AA377" s="286">
        <v>2600</v>
      </c>
      <c r="AB377" s="287">
        <v>1900</v>
      </c>
      <c r="AC377" s="287">
        <v>2250</v>
      </c>
      <c r="AD377" s="288">
        <v>10</v>
      </c>
      <c r="AE377" s="288">
        <v>3.6</v>
      </c>
    </row>
    <row r="378" spans="1:31">
      <c r="A378" s="307"/>
      <c r="B378" s="290"/>
      <c r="C378" s="290" t="s">
        <v>78</v>
      </c>
      <c r="D378">
        <v>1993.86</v>
      </c>
      <c r="E378">
        <v>1899.86</v>
      </c>
      <c r="F378">
        <v>1891.07</v>
      </c>
      <c r="G378">
        <v>1886.52</v>
      </c>
      <c r="H378">
        <v>1952.84</v>
      </c>
      <c r="I378">
        <v>2028.01</v>
      </c>
      <c r="J378">
        <v>1906.75</v>
      </c>
      <c r="K378">
        <v>1891.27</v>
      </c>
      <c r="L378">
        <v>1967.82</v>
      </c>
      <c r="M378">
        <v>1919.84</v>
      </c>
      <c r="N378">
        <v>1887.82</v>
      </c>
      <c r="O378">
        <v>1904.41</v>
      </c>
      <c r="P378">
        <v>1905.37</v>
      </c>
      <c r="Q378" s="290"/>
      <c r="R378" s="290"/>
      <c r="S378" s="290"/>
      <c r="T378" s="290"/>
      <c r="U378" s="290"/>
      <c r="V378" s="291"/>
      <c r="W378" s="251"/>
      <c r="Y378" s="285"/>
    </row>
    <row r="379" spans="1:31" ht="32.25" thickBot="1">
      <c r="A379" s="308"/>
      <c r="B379" s="295"/>
      <c r="C379" s="256" t="s">
        <v>221</v>
      </c>
      <c r="D379" s="296">
        <f t="shared" ref="D379:P379" si="122">IF(((D377="")*AND(D378="")),"",(D377-D378)*2)</f>
        <v>2173.5000000000005</v>
      </c>
      <c r="E379" s="296">
        <f t="shared" si="122"/>
        <v>2161.8800000000006</v>
      </c>
      <c r="F379" s="296">
        <f t="shared" si="122"/>
        <v>2163.2599999999998</v>
      </c>
      <c r="G379" s="296">
        <f t="shared" si="122"/>
        <v>2182.92</v>
      </c>
      <c r="H379" s="296">
        <f t="shared" si="122"/>
        <v>2236.3200000000002</v>
      </c>
      <c r="I379" s="296">
        <f t="shared" si="122"/>
        <v>2202.8799999999997</v>
      </c>
      <c r="J379" s="296">
        <f t="shared" si="122"/>
        <v>2177.96</v>
      </c>
      <c r="K379" s="296">
        <f t="shared" si="122"/>
        <v>2161.46</v>
      </c>
      <c r="L379" s="296">
        <f t="shared" si="122"/>
        <v>2189.8399999999997</v>
      </c>
      <c r="M379" s="296">
        <f t="shared" si="122"/>
        <v>2170.0000000000005</v>
      </c>
      <c r="N379" s="296">
        <f t="shared" si="122"/>
        <v>2188.5800000000004</v>
      </c>
      <c r="O379" s="296">
        <f t="shared" si="122"/>
        <v>2191.64</v>
      </c>
      <c r="P379" s="296">
        <f t="shared" si="122"/>
        <v>2152.5200000000004</v>
      </c>
      <c r="Q379" s="277"/>
      <c r="R379" s="295"/>
      <c r="S379" s="295"/>
      <c r="T379" s="295"/>
      <c r="U379" s="295"/>
      <c r="V379" s="297"/>
      <c r="W379" s="260"/>
      <c r="Y379" s="285"/>
    </row>
    <row r="380" spans="1:31">
      <c r="A380" s="305">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83" t="str">
        <f>IF(P381="","",IF(U380&lt;5,IF(S380&gt;1900,IF(S380&lt;2250,"Pass","Fail"),"Fail"),"Fail"))</f>
        <v>Pass</v>
      </c>
      <c r="W380" s="298">
        <v>1335</v>
      </c>
      <c r="X380" s="401" t="s">
        <v>213</v>
      </c>
      <c r="Y380" s="285"/>
      <c r="Z380" s="286">
        <v>1600</v>
      </c>
      <c r="AA380" s="286">
        <v>2600</v>
      </c>
      <c r="AB380" s="287">
        <v>1900</v>
      </c>
      <c r="AC380" s="287">
        <v>2250</v>
      </c>
      <c r="AD380" s="288">
        <v>10</v>
      </c>
      <c r="AE380" s="288">
        <v>3.6</v>
      </c>
    </row>
    <row r="381" spans="1:31">
      <c r="A381" s="307"/>
      <c r="B381" s="290"/>
      <c r="C381" s="290" t="s">
        <v>78</v>
      </c>
      <c r="D381">
        <v>1946.23</v>
      </c>
      <c r="E381">
        <v>1875.44</v>
      </c>
      <c r="F381">
        <v>1870.47</v>
      </c>
      <c r="G381">
        <v>1873.87</v>
      </c>
      <c r="H381">
        <v>1925.08</v>
      </c>
      <c r="I381">
        <v>2001.29</v>
      </c>
      <c r="J381">
        <v>1882.04</v>
      </c>
      <c r="K381">
        <v>1866.01</v>
      </c>
      <c r="L381">
        <v>1940.83</v>
      </c>
      <c r="M381">
        <v>1897.2</v>
      </c>
      <c r="N381">
        <v>1866.72</v>
      </c>
      <c r="O381">
        <v>1888.25</v>
      </c>
      <c r="P381">
        <v>1873.28</v>
      </c>
      <c r="Q381" s="290"/>
      <c r="R381" s="290"/>
      <c r="S381" s="290"/>
      <c r="T381" s="290"/>
      <c r="U381" s="290"/>
      <c r="V381" s="291"/>
      <c r="W381" s="251"/>
      <c r="Y381" s="285"/>
    </row>
    <row r="382" spans="1:31" ht="32.25" thickBot="1">
      <c r="A382" s="308"/>
      <c r="B382" s="295"/>
      <c r="C382" s="256" t="s">
        <v>221</v>
      </c>
      <c r="D382" s="296">
        <f t="shared" ref="D382:P382" si="123">IF(((D380="")*AND(D381="")),"",(D380-D381)*2)</f>
        <v>2219.96</v>
      </c>
      <c r="E382" s="296">
        <f t="shared" si="123"/>
        <v>2211.92</v>
      </c>
      <c r="F382" s="296">
        <f t="shared" si="123"/>
        <v>2200.6200000000003</v>
      </c>
      <c r="G382" s="296">
        <f t="shared" si="123"/>
        <v>2209.88</v>
      </c>
      <c r="H382" s="296">
        <f t="shared" si="123"/>
        <v>2282.88</v>
      </c>
      <c r="I382" s="296">
        <f t="shared" si="123"/>
        <v>2250.04</v>
      </c>
      <c r="J382" s="296">
        <f t="shared" si="123"/>
        <v>2218.08</v>
      </c>
      <c r="K382" s="296">
        <f t="shared" si="123"/>
        <v>2205.8200000000002</v>
      </c>
      <c r="L382" s="296">
        <f t="shared" si="123"/>
        <v>2242.1999999999998</v>
      </c>
      <c r="M382" s="296">
        <f t="shared" si="123"/>
        <v>2213.9</v>
      </c>
      <c r="N382" s="296">
        <f t="shared" si="123"/>
        <v>2225.6600000000003</v>
      </c>
      <c r="O382" s="296">
        <f t="shared" si="123"/>
        <v>2226.7200000000003</v>
      </c>
      <c r="P382" s="296">
        <f t="shared" si="123"/>
        <v>2208.56</v>
      </c>
      <c r="Q382" s="277"/>
      <c r="R382" s="295"/>
      <c r="S382" s="295"/>
      <c r="T382" s="295"/>
      <c r="U382" s="295"/>
      <c r="V382" s="297"/>
      <c r="W382" s="260"/>
      <c r="Y382" s="285"/>
    </row>
    <row r="383" spans="1:31">
      <c r="A383" s="305">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83" t="str">
        <f>IF(P384="","",IF(U383&lt;5,IF(S383&gt;1900,IF(S383&lt;2250,"Pass","Fail"),"Fail"),"Fail"))</f>
        <v>Pass</v>
      </c>
      <c r="W383" s="298">
        <v>74</v>
      </c>
      <c r="Y383" s="285"/>
      <c r="Z383" s="286">
        <v>1600</v>
      </c>
      <c r="AA383" s="286">
        <v>2600</v>
      </c>
      <c r="AB383" s="287">
        <v>1900</v>
      </c>
      <c r="AC383" s="287">
        <v>2250</v>
      </c>
      <c r="AD383" s="288">
        <v>10</v>
      </c>
      <c r="AE383" s="288">
        <v>3.6</v>
      </c>
    </row>
    <row r="384" spans="1:31">
      <c r="A384" s="307"/>
      <c r="B384" s="290"/>
      <c r="C384" s="290" t="s">
        <v>78</v>
      </c>
      <c r="D384">
        <v>1963.18</v>
      </c>
      <c r="E384">
        <v>1889.83</v>
      </c>
      <c r="F384">
        <v>1880.71</v>
      </c>
      <c r="G384">
        <v>1884.19</v>
      </c>
      <c r="H384">
        <v>2009.15</v>
      </c>
      <c r="I384">
        <v>1967.14</v>
      </c>
      <c r="J384">
        <v>1881.1</v>
      </c>
      <c r="K384">
        <v>1883.14</v>
      </c>
      <c r="L384">
        <v>1961.16</v>
      </c>
      <c r="M384">
        <v>1892.98</v>
      </c>
      <c r="N384">
        <v>1889.23</v>
      </c>
      <c r="O384">
        <v>1895.63</v>
      </c>
      <c r="P384">
        <v>1892.03</v>
      </c>
      <c r="Q384" s="290"/>
      <c r="R384" s="290"/>
      <c r="S384" s="290"/>
      <c r="T384" s="290"/>
      <c r="U384" s="290"/>
      <c r="V384" s="291"/>
      <c r="W384" s="251"/>
      <c r="Y384" s="285"/>
    </row>
    <row r="385" spans="1:31" ht="32.25" thickBot="1">
      <c r="A385" s="308"/>
      <c r="B385" s="295"/>
      <c r="C385" s="256" t="s">
        <v>221</v>
      </c>
      <c r="D385" s="296">
        <f t="shared" ref="D385:P385" si="124">IF(((D383="")*AND(D384="")),"",(D383-D384)*2)</f>
        <v>2222.6</v>
      </c>
      <c r="E385" s="296">
        <f t="shared" si="124"/>
        <v>2140.8000000000002</v>
      </c>
      <c r="F385" s="296">
        <f t="shared" si="124"/>
        <v>2150.6400000000003</v>
      </c>
      <c r="G385" s="296">
        <f t="shared" si="124"/>
        <v>2192.2600000000002</v>
      </c>
      <c r="H385" s="296">
        <f t="shared" si="124"/>
        <v>2236.8999999999996</v>
      </c>
      <c r="I385" s="296">
        <f t="shared" si="124"/>
        <v>2216.6799999999998</v>
      </c>
      <c r="J385" s="296">
        <f t="shared" si="124"/>
        <v>2180.6000000000004</v>
      </c>
      <c r="K385" s="296">
        <f t="shared" si="124"/>
        <v>2159.2599999999998</v>
      </c>
      <c r="L385" s="296">
        <f t="shared" si="124"/>
        <v>2229.2000000000003</v>
      </c>
      <c r="M385" s="296">
        <f t="shared" si="124"/>
        <v>2157.1400000000003</v>
      </c>
      <c r="N385" s="296">
        <f t="shared" si="124"/>
        <v>2198.1400000000003</v>
      </c>
      <c r="O385" s="296">
        <f t="shared" si="124"/>
        <v>2201.6799999999994</v>
      </c>
      <c r="P385" s="296">
        <f t="shared" si="124"/>
        <v>2153.64</v>
      </c>
      <c r="Q385" s="277"/>
      <c r="R385" s="295"/>
      <c r="S385" s="295"/>
      <c r="T385" s="295"/>
      <c r="U385" s="295"/>
      <c r="V385" s="297"/>
      <c r="W385" s="260"/>
      <c r="Y385" s="285"/>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83" t="str">
        <f>IF(P387="","",IF(U386&lt;5,IF(S386&gt;1900,IF(S386&lt;2250,"Pass","Fail"),"Fail"),"Fail"))</f>
        <v>Pass</v>
      </c>
      <c r="W386" s="298">
        <v>121</v>
      </c>
      <c r="X386" s="124" t="s">
        <v>214</v>
      </c>
      <c r="Y386" s="403" t="s">
        <v>215</v>
      </c>
      <c r="Z386" s="286">
        <v>1600</v>
      </c>
      <c r="AA386" s="286">
        <v>2600</v>
      </c>
      <c r="AB386" s="287">
        <v>1900</v>
      </c>
      <c r="AC386" s="287">
        <v>2250</v>
      </c>
      <c r="AD386" s="288">
        <v>10</v>
      </c>
      <c r="AE386" s="288">
        <v>3.6</v>
      </c>
    </row>
    <row r="387" spans="1:31">
      <c r="A387" s="307"/>
      <c r="B387" s="290"/>
      <c r="C387" s="290" t="s">
        <v>78</v>
      </c>
      <c r="D387">
        <v>1014.7</v>
      </c>
      <c r="E387">
        <v>860.02</v>
      </c>
      <c r="F387">
        <v>853.94</v>
      </c>
      <c r="G387">
        <v>858.78</v>
      </c>
      <c r="H387">
        <v>1010.09</v>
      </c>
      <c r="I387">
        <v>993.5</v>
      </c>
      <c r="J387">
        <v>860.83</v>
      </c>
      <c r="K387">
        <v>847.87</v>
      </c>
      <c r="L387">
        <v>1003</v>
      </c>
      <c r="M387">
        <v>865.63</v>
      </c>
      <c r="N387">
        <v>858.67</v>
      </c>
      <c r="O387">
        <v>874.19</v>
      </c>
      <c r="P387">
        <v>862.46</v>
      </c>
      <c r="Q387" s="290"/>
      <c r="R387" s="290"/>
      <c r="S387" s="290"/>
      <c r="T387" s="290"/>
      <c r="U387" s="290"/>
      <c r="V387" s="291"/>
      <c r="W387" s="251"/>
      <c r="Y387" s="285"/>
    </row>
    <row r="388" spans="1:31" ht="32.25" thickBot="1">
      <c r="A388" s="308"/>
      <c r="B388" s="295"/>
      <c r="C388" s="256" t="s">
        <v>221</v>
      </c>
      <c r="D388" s="296">
        <f t="shared" ref="D388:P388" si="125">IF(((D386="")*AND(D387="")),"",(D386-D387)*2)</f>
        <v>1909.42</v>
      </c>
      <c r="E388" s="296">
        <f t="shared" si="125"/>
        <v>2046.1399999999999</v>
      </c>
      <c r="F388" s="296">
        <f t="shared" si="125"/>
        <v>2033.48</v>
      </c>
      <c r="G388" s="296">
        <f t="shared" si="125"/>
        <v>2059.2800000000002</v>
      </c>
      <c r="H388" s="296">
        <f t="shared" si="125"/>
        <v>1981.28</v>
      </c>
      <c r="I388" s="296">
        <f t="shared" si="125"/>
        <v>1960.94</v>
      </c>
      <c r="J388" s="296">
        <f t="shared" si="125"/>
        <v>2060.3999999999996</v>
      </c>
      <c r="K388" s="296">
        <f t="shared" si="125"/>
        <v>2066.5</v>
      </c>
      <c r="L388" s="296">
        <f t="shared" si="125"/>
        <v>1954.88</v>
      </c>
      <c r="M388" s="296">
        <f t="shared" si="125"/>
        <v>2064.38</v>
      </c>
      <c r="N388" s="296">
        <f t="shared" si="125"/>
        <v>2056.4800000000005</v>
      </c>
      <c r="O388" s="296">
        <f t="shared" si="125"/>
        <v>2054.4</v>
      </c>
      <c r="P388" s="296">
        <f t="shared" si="125"/>
        <v>2058.7199999999998</v>
      </c>
      <c r="Q388" s="277"/>
      <c r="R388" s="295"/>
      <c r="S388" s="295"/>
      <c r="T388" s="295"/>
      <c r="U388" s="295"/>
      <c r="V388" s="297"/>
      <c r="W388" s="260"/>
      <c r="Y388" s="285"/>
    </row>
    <row r="389" spans="1:31">
      <c r="A389" s="305">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83" t="str">
        <f>IF(P390="","",IF(U389&lt;5,IF(S389&gt;1900,IF(S389&lt;2250,"Pass","Fail"),"Fail"),"Fail"))</f>
        <v>Pass</v>
      </c>
      <c r="W389" s="298">
        <v>1159</v>
      </c>
      <c r="X389" s="401" t="s">
        <v>216</v>
      </c>
      <c r="Y389" s="285"/>
      <c r="Z389" s="286">
        <v>1600</v>
      </c>
      <c r="AA389" s="286">
        <v>2600</v>
      </c>
      <c r="AB389" s="287">
        <v>1900</v>
      </c>
      <c r="AC389" s="287">
        <v>2250</v>
      </c>
      <c r="AD389" s="288">
        <v>10</v>
      </c>
      <c r="AE389" s="288">
        <v>3.6</v>
      </c>
    </row>
    <row r="390" spans="1:31">
      <c r="A390" s="307"/>
      <c r="B390" s="290"/>
      <c r="C390" s="290" t="s">
        <v>78</v>
      </c>
      <c r="D390">
        <v>2069.34</v>
      </c>
      <c r="E390">
        <v>1906.04</v>
      </c>
      <c r="F390">
        <v>1899.52</v>
      </c>
      <c r="G390">
        <v>1893.66</v>
      </c>
      <c r="H390">
        <v>1967.21</v>
      </c>
      <c r="I390">
        <v>1971.47</v>
      </c>
      <c r="J390">
        <v>1904.08</v>
      </c>
      <c r="K390">
        <v>1906.07</v>
      </c>
      <c r="L390">
        <v>1998.96</v>
      </c>
      <c r="M390">
        <v>1919.2</v>
      </c>
      <c r="N390">
        <v>1903.43</v>
      </c>
      <c r="O390">
        <v>1899.39</v>
      </c>
      <c r="P390">
        <v>1929.71</v>
      </c>
      <c r="Q390" s="290"/>
      <c r="R390" s="290"/>
      <c r="S390" s="290"/>
      <c r="T390" s="290"/>
      <c r="U390" s="290"/>
      <c r="V390" s="291"/>
      <c r="W390" s="251"/>
      <c r="Y390" s="285"/>
    </row>
    <row r="391" spans="1:31" ht="32.25" thickBot="1">
      <c r="A391" s="308"/>
      <c r="B391" s="295"/>
      <c r="C391" s="256" t="s">
        <v>221</v>
      </c>
      <c r="D391" s="296">
        <f t="shared" ref="D391:P391" si="126">IF(((D389="")*AND(D390="")),"",(D389-D390)*2)</f>
        <v>2114.3999999999996</v>
      </c>
      <c r="E391" s="296">
        <f t="shared" si="126"/>
        <v>2153.1800000000003</v>
      </c>
      <c r="F391" s="296">
        <f t="shared" si="126"/>
        <v>2115.3999999999996</v>
      </c>
      <c r="G391" s="296">
        <f t="shared" si="126"/>
        <v>2137.3799999999997</v>
      </c>
      <c r="H391" s="296">
        <f t="shared" si="126"/>
        <v>2209.5199999999995</v>
      </c>
      <c r="I391" s="296">
        <f t="shared" si="126"/>
        <v>2188.1200000000003</v>
      </c>
      <c r="J391" s="296">
        <f t="shared" si="126"/>
        <v>2125.4800000000005</v>
      </c>
      <c r="K391" s="296">
        <f t="shared" si="126"/>
        <v>2129.2599999999998</v>
      </c>
      <c r="L391" s="296">
        <f t="shared" si="126"/>
        <v>2122.88</v>
      </c>
      <c r="M391" s="296">
        <f t="shared" si="126"/>
        <v>2146.4</v>
      </c>
      <c r="N391" s="296">
        <f t="shared" si="126"/>
        <v>2141.3200000000002</v>
      </c>
      <c r="O391" s="296">
        <f t="shared" si="126"/>
        <v>2144.36</v>
      </c>
      <c r="P391" s="296">
        <f t="shared" si="126"/>
        <v>2132.1000000000004</v>
      </c>
      <c r="Q391" s="277"/>
      <c r="R391" s="295"/>
      <c r="S391" s="295"/>
      <c r="T391" s="295"/>
      <c r="U391" s="295"/>
      <c r="V391" s="297"/>
      <c r="W391" s="260"/>
      <c r="Y391" s="285"/>
    </row>
    <row r="392" spans="1:31">
      <c r="A392" s="305">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83" t="str">
        <f>IF(P393="","",IF(U392&lt;5,IF(S392&gt;1900,IF(S392&lt;2250,"Pass","Fail"),"Fail"),"Fail"))</f>
        <v>Pass</v>
      </c>
      <c r="W392" s="298">
        <v>1335</v>
      </c>
      <c r="Y392" s="285"/>
      <c r="Z392" s="286">
        <v>1600</v>
      </c>
      <c r="AA392" s="286">
        <v>2600</v>
      </c>
      <c r="AB392" s="287">
        <v>1900</v>
      </c>
      <c r="AC392" s="287">
        <v>2250</v>
      </c>
      <c r="AD392" s="288">
        <v>10</v>
      </c>
      <c r="AE392" s="288">
        <v>3.6</v>
      </c>
    </row>
    <row r="393" spans="1:31">
      <c r="A393" s="307"/>
      <c r="B393" s="290"/>
      <c r="C393" s="290" t="s">
        <v>78</v>
      </c>
      <c r="D393">
        <v>2060.9699999999998</v>
      </c>
      <c r="E393">
        <v>1901.79</v>
      </c>
      <c r="F393">
        <v>1885.66</v>
      </c>
      <c r="G393">
        <v>1876.82</v>
      </c>
      <c r="H393">
        <v>1960.82</v>
      </c>
      <c r="I393">
        <v>1972.92</v>
      </c>
      <c r="J393">
        <v>1889.08</v>
      </c>
      <c r="K393">
        <v>1889.85</v>
      </c>
      <c r="L393">
        <v>1976.59</v>
      </c>
      <c r="M393">
        <v>1911.94</v>
      </c>
      <c r="N393">
        <v>1886.75</v>
      </c>
      <c r="O393">
        <v>1887.53</v>
      </c>
      <c r="P393">
        <v>1914.17</v>
      </c>
      <c r="Q393" s="290"/>
      <c r="R393" s="290"/>
      <c r="S393" s="290"/>
      <c r="T393" s="290"/>
      <c r="U393" s="290"/>
      <c r="V393" s="291"/>
      <c r="W393" s="251"/>
      <c r="Y393" s="285"/>
    </row>
    <row r="394" spans="1:31" ht="32.25" thickBot="1">
      <c r="A394" s="308"/>
      <c r="B394" s="295"/>
      <c r="C394" s="256" t="s">
        <v>221</v>
      </c>
      <c r="D394" s="296">
        <f t="shared" ref="D394:P394" si="127">IF(((D392="")*AND(D393="")),"",(D392-D393)*2)</f>
        <v>2148.9400000000005</v>
      </c>
      <c r="E394" s="296">
        <f t="shared" si="127"/>
        <v>2183.2600000000002</v>
      </c>
      <c r="F394" s="296">
        <f t="shared" si="127"/>
        <v>2164.4199999999996</v>
      </c>
      <c r="G394" s="296">
        <f t="shared" si="127"/>
        <v>2187.6</v>
      </c>
      <c r="H394" s="296">
        <f t="shared" si="127"/>
        <v>2241.1799999999998</v>
      </c>
      <c r="I394" s="296">
        <f t="shared" si="127"/>
        <v>2199.6399999999994</v>
      </c>
      <c r="J394" s="296">
        <f t="shared" si="127"/>
        <v>2177.54</v>
      </c>
      <c r="K394" s="296">
        <f t="shared" si="127"/>
        <v>2177.9000000000005</v>
      </c>
      <c r="L394" s="296">
        <f t="shared" si="127"/>
        <v>2180.52</v>
      </c>
      <c r="M394" s="296">
        <f t="shared" si="127"/>
        <v>2177.8599999999997</v>
      </c>
      <c r="N394" s="296">
        <f t="shared" si="127"/>
        <v>2188.3000000000002</v>
      </c>
      <c r="O394" s="296">
        <f t="shared" si="127"/>
        <v>2187.2800000000002</v>
      </c>
      <c r="P394" s="296">
        <f t="shared" si="127"/>
        <v>2182.0199999999995</v>
      </c>
      <c r="Q394" s="277"/>
      <c r="R394" s="295"/>
      <c r="S394" s="295"/>
      <c r="T394" s="295"/>
      <c r="U394" s="295"/>
      <c r="V394" s="297"/>
      <c r="W394" s="260"/>
      <c r="Y394" s="285"/>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83" t="str">
        <f>IF(P396="","",IF(U395&lt;5,IF(S395&gt;1900,IF(S395&lt;2250,"Pass","Fail"),"Fail"),"Fail"))</f>
        <v>Pass</v>
      </c>
      <c r="W395" s="298" t="s">
        <v>138</v>
      </c>
      <c r="X395" s="124" t="s">
        <v>217</v>
      </c>
      <c r="Y395" s="407" t="s">
        <v>218</v>
      </c>
      <c r="Z395" s="286">
        <v>1600</v>
      </c>
      <c r="AA395" s="286">
        <v>2600</v>
      </c>
      <c r="AB395" s="287">
        <v>1900</v>
      </c>
      <c r="AC395" s="287">
        <v>2250</v>
      </c>
      <c r="AD395" s="288">
        <v>10</v>
      </c>
      <c r="AE395" s="288">
        <v>3.6</v>
      </c>
    </row>
    <row r="396" spans="1:31">
      <c r="A396" s="307"/>
      <c r="B396" s="290"/>
      <c r="C396" s="290" t="s">
        <v>78</v>
      </c>
      <c r="D396">
        <v>2173.96</v>
      </c>
      <c r="E396">
        <v>2024.3</v>
      </c>
      <c r="F396">
        <v>1985.07</v>
      </c>
      <c r="G396">
        <v>2000.31</v>
      </c>
      <c r="H396">
        <v>2115.7199999999998</v>
      </c>
      <c r="I396">
        <v>2122.58</v>
      </c>
      <c r="J396">
        <v>2001.21</v>
      </c>
      <c r="K396">
        <v>2001.35</v>
      </c>
      <c r="L396">
        <v>2078.12</v>
      </c>
      <c r="M396">
        <v>2032.32</v>
      </c>
      <c r="N396">
        <v>1993</v>
      </c>
      <c r="O396">
        <v>2001.68</v>
      </c>
      <c r="P396">
        <v>2034.72</v>
      </c>
      <c r="Q396" s="290"/>
      <c r="R396" s="290"/>
      <c r="S396" s="290"/>
      <c r="T396" s="290"/>
      <c r="U396" s="290"/>
      <c r="V396" s="291"/>
      <c r="W396" s="251"/>
      <c r="Y396" s="285"/>
    </row>
    <row r="397" spans="1:31" ht="32.25" thickBot="1">
      <c r="A397" s="308"/>
      <c r="B397" s="295"/>
      <c r="C397" s="256" t="s">
        <v>221</v>
      </c>
      <c r="D397" s="296">
        <f t="shared" ref="D397:P397" si="128">IF(((D395="")*AND(D396="")),"",(D395-D396)*2)</f>
        <v>1915.5199999999995</v>
      </c>
      <c r="E397" s="296">
        <f t="shared" si="128"/>
        <v>1930.06</v>
      </c>
      <c r="F397" s="296">
        <f t="shared" si="128"/>
        <v>1959.2599999999998</v>
      </c>
      <c r="G397" s="296">
        <f t="shared" si="128"/>
        <v>1931.1599999999999</v>
      </c>
      <c r="H397" s="296">
        <f t="shared" si="128"/>
        <v>1925.7600000000002</v>
      </c>
      <c r="I397" s="296">
        <f t="shared" si="128"/>
        <v>1887.1800000000003</v>
      </c>
      <c r="J397" s="296">
        <f t="shared" si="128"/>
        <v>1947.2200000000003</v>
      </c>
      <c r="K397" s="296">
        <f t="shared" si="128"/>
        <v>1946</v>
      </c>
      <c r="L397" s="296">
        <f t="shared" si="128"/>
        <v>1970.1400000000003</v>
      </c>
      <c r="M397" s="296">
        <f t="shared" si="128"/>
        <v>1927.8600000000001</v>
      </c>
      <c r="N397" s="296">
        <f t="shared" si="128"/>
        <v>1968.0200000000004</v>
      </c>
      <c r="O397" s="296">
        <f t="shared" si="128"/>
        <v>1947.2199999999998</v>
      </c>
      <c r="P397" s="296">
        <f t="shared" si="128"/>
        <v>1933.52</v>
      </c>
      <c r="Q397" s="277"/>
      <c r="R397" s="295"/>
      <c r="S397" s="295"/>
      <c r="T397" s="295"/>
      <c r="U397" s="295"/>
      <c r="V397" s="297"/>
      <c r="W397" s="260"/>
      <c r="Y397" s="285"/>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83" t="str">
        <f>IF(P399="","",IF(U398&lt;5,IF(S398&gt;1900,IF(S398&lt;2250,"Pass","Fail"),"Fail"),"Fail"))</f>
        <v>Pass</v>
      </c>
      <c r="W398" s="298">
        <v>121</v>
      </c>
      <c r="X398" s="124" t="s">
        <v>219</v>
      </c>
      <c r="Y398" s="285"/>
      <c r="Z398" s="286">
        <v>1600</v>
      </c>
      <c r="AA398" s="286">
        <v>2600</v>
      </c>
      <c r="AB398" s="287">
        <v>1900</v>
      </c>
      <c r="AC398" s="287">
        <v>2250</v>
      </c>
      <c r="AD398" s="288">
        <v>10</v>
      </c>
      <c r="AE398" s="288">
        <v>3.6</v>
      </c>
    </row>
    <row r="399" spans="1:31">
      <c r="A399" s="307"/>
      <c r="B399" s="290"/>
      <c r="C399" s="290"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90"/>
      <c r="R399" s="290"/>
      <c r="S399" s="290"/>
      <c r="T399" s="290"/>
      <c r="U399" s="290"/>
      <c r="V399" s="291"/>
      <c r="W399" s="251"/>
      <c r="Y399" s="285"/>
    </row>
    <row r="400" spans="1:31" ht="32.25" thickBot="1">
      <c r="A400" s="308"/>
      <c r="B400" s="295"/>
      <c r="C400" s="256" t="s">
        <v>221</v>
      </c>
      <c r="D400" s="296">
        <f t="shared" ref="D400:P400" si="129">IF(((D398="")*AND(D399="")),"",(D398-D399)*2)</f>
        <v>1938.8199999999997</v>
      </c>
      <c r="E400" s="296">
        <f t="shared" si="129"/>
        <v>1960.5199999999995</v>
      </c>
      <c r="F400" s="296">
        <f t="shared" si="129"/>
        <v>1978.98</v>
      </c>
      <c r="G400" s="296">
        <f t="shared" si="129"/>
        <v>1960.06</v>
      </c>
      <c r="H400" s="296">
        <f t="shared" si="129"/>
        <v>1932.6999999999998</v>
      </c>
      <c r="I400" s="296">
        <f t="shared" si="129"/>
        <v>1895.3199999999997</v>
      </c>
      <c r="J400" s="296">
        <f t="shared" si="129"/>
        <v>1936.8999999999996</v>
      </c>
      <c r="K400" s="296">
        <f t="shared" si="129"/>
        <v>1979.6599999999999</v>
      </c>
      <c r="L400" s="296">
        <f t="shared" si="129"/>
        <v>1969.8400000000001</v>
      </c>
      <c r="M400" s="296">
        <f t="shared" si="129"/>
        <v>1942.54</v>
      </c>
      <c r="N400" s="296">
        <f t="shared" si="129"/>
        <v>1971.8200000000006</v>
      </c>
      <c r="O400" s="296">
        <f t="shared" si="129"/>
        <v>1949.1599999999999</v>
      </c>
      <c r="P400" s="296">
        <f t="shared" si="129"/>
        <v>1957.7200000000003</v>
      </c>
      <c r="Q400" s="277"/>
      <c r="R400" s="295"/>
      <c r="S400" s="295"/>
      <c r="T400" s="295"/>
      <c r="U400" s="295"/>
      <c r="V400" s="297"/>
      <c r="W400" s="260"/>
      <c r="Y400" s="285"/>
    </row>
    <row r="401" spans="1:31">
      <c r="A401" s="305">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83" t="str">
        <f>IF(P402="","",IF(U401&lt;5,IF(S401&gt;1900,IF(S401&lt;2250,"Pass","Fail"),"Fail"),"Fail"))</f>
        <v>Fail</v>
      </c>
      <c r="W401" s="298">
        <v>1428</v>
      </c>
      <c r="X401" s="401" t="s">
        <v>220</v>
      </c>
      <c r="Y401" s="285"/>
      <c r="Z401" s="286">
        <v>1600</v>
      </c>
      <c r="AA401" s="286">
        <v>2600</v>
      </c>
      <c r="AB401" s="287">
        <v>1900</v>
      </c>
      <c r="AC401" s="287">
        <v>2250</v>
      </c>
      <c r="AD401" s="288">
        <v>10</v>
      </c>
      <c r="AE401" s="288">
        <v>3.6</v>
      </c>
    </row>
    <row r="402" spans="1:31">
      <c r="A402" s="307"/>
      <c r="B402" s="290"/>
      <c r="C402" s="290" t="s">
        <v>78</v>
      </c>
      <c r="D402">
        <v>2232.52</v>
      </c>
      <c r="E402">
        <v>2103.52</v>
      </c>
      <c r="F402">
        <v>2059.46</v>
      </c>
      <c r="G402">
        <v>2062.19</v>
      </c>
      <c r="H402">
        <v>2132.41</v>
      </c>
      <c r="I402">
        <v>2236.06</v>
      </c>
      <c r="J402">
        <v>2103.56</v>
      </c>
      <c r="K402">
        <v>2069.29</v>
      </c>
      <c r="L402">
        <v>2125.16</v>
      </c>
      <c r="M402">
        <v>2138.13</v>
      </c>
      <c r="N402">
        <v>2058.35</v>
      </c>
      <c r="O402">
        <v>2090.13</v>
      </c>
      <c r="P402">
        <v>2104.21</v>
      </c>
      <c r="Q402" s="290"/>
      <c r="R402" s="290"/>
      <c r="S402" s="290"/>
      <c r="T402" s="290"/>
      <c r="U402" s="290"/>
      <c r="V402" s="291"/>
      <c r="W402" s="251"/>
      <c r="Y402" s="285"/>
    </row>
    <row r="403" spans="1:31" ht="32.25" thickBot="1">
      <c r="A403" s="308"/>
      <c r="B403" s="295"/>
      <c r="C403" s="256" t="s">
        <v>221</v>
      </c>
      <c r="D403" s="296">
        <f t="shared" ref="D403:P403" si="130">IF(((D401="")*AND(D402="")),"",(D401-D402)*2)</f>
        <v>1870.6000000000004</v>
      </c>
      <c r="E403" s="296">
        <f t="shared" si="130"/>
        <v>1869.0200000000004</v>
      </c>
      <c r="F403" s="296">
        <f t="shared" si="130"/>
        <v>1903.2799999999997</v>
      </c>
      <c r="G403" s="296">
        <f t="shared" si="130"/>
        <v>1893.3400000000001</v>
      </c>
      <c r="H403" s="296">
        <f t="shared" si="130"/>
        <v>1860.96</v>
      </c>
      <c r="I403" s="296">
        <f t="shared" si="130"/>
        <v>1813.3599999999997</v>
      </c>
      <c r="J403" s="296">
        <f t="shared" si="130"/>
        <v>1850.7200000000003</v>
      </c>
      <c r="K403" s="296">
        <f t="shared" si="130"/>
        <v>1886.54</v>
      </c>
      <c r="L403" s="296">
        <f t="shared" si="130"/>
        <v>1900.0200000000004</v>
      </c>
      <c r="M403" s="296">
        <f t="shared" si="130"/>
        <v>1841.42</v>
      </c>
      <c r="N403" s="296">
        <f t="shared" si="130"/>
        <v>1905.8400000000001</v>
      </c>
      <c r="O403" s="296">
        <f t="shared" si="130"/>
        <v>1868.1599999999999</v>
      </c>
      <c r="P403" s="296">
        <f t="shared" si="130"/>
        <v>1869.2799999999997</v>
      </c>
      <c r="Q403" s="277"/>
      <c r="R403" s="295"/>
      <c r="S403" s="295"/>
      <c r="T403" s="295"/>
      <c r="U403" s="295"/>
      <c r="V403" s="297"/>
      <c r="W403" s="260"/>
      <c r="Y403" s="285"/>
    </row>
    <row r="404" spans="1:31">
      <c r="A404" s="305"/>
      <c r="B404" s="281" t="s">
        <v>76</v>
      </c>
      <c r="C404" s="282" t="s">
        <v>77</v>
      </c>
      <c r="Q404" s="282" t="str">
        <f>IF((P405=""),"",MAX(D406:P406))</f>
        <v/>
      </c>
      <c r="R404" s="282" t="str">
        <f>IF(P405="","",MIN(D406:P406))</f>
        <v/>
      </c>
      <c r="S404" s="282" t="str">
        <f>IF((P406=""),"",AVERAGE(D406:P406))</f>
        <v/>
      </c>
      <c r="T404" s="282" t="str">
        <f>IF((P405=""),"",STDEV(D406:P406))</f>
        <v/>
      </c>
      <c r="U404" s="282" t="str">
        <f>IF((P405=""),"",((Q404-R404)/(Q404+R404))*100)</f>
        <v/>
      </c>
      <c r="V404" s="283" t="str">
        <f>IF(P405="","",IF(U404&lt;5,IF(S404&gt;1900,IF(S404&lt;2250,"Pass","Fail"),"Fail"),"Fail"))</f>
        <v/>
      </c>
      <c r="W404" s="298"/>
      <c r="Y404" s="285"/>
      <c r="Z404" s="286">
        <v>1600</v>
      </c>
      <c r="AA404" s="286">
        <v>2600</v>
      </c>
      <c r="AB404" s="287">
        <v>1900</v>
      </c>
      <c r="AC404" s="287">
        <v>2250</v>
      </c>
      <c r="AD404" s="288">
        <v>10</v>
      </c>
      <c r="AE404" s="288">
        <v>3.6</v>
      </c>
    </row>
    <row r="405" spans="1:31">
      <c r="A405" s="307"/>
      <c r="B405" s="290"/>
      <c r="C405" s="290" t="s">
        <v>78</v>
      </c>
      <c r="Q405" s="290"/>
      <c r="R405" s="290"/>
      <c r="S405" s="290"/>
      <c r="T405" s="290"/>
      <c r="U405" s="290"/>
      <c r="V405" s="291"/>
      <c r="W405" s="251"/>
      <c r="Y405" s="285"/>
    </row>
    <row r="406" spans="1:31" ht="32.25" thickBot="1">
      <c r="A406" s="308"/>
      <c r="B406" s="295"/>
      <c r="C406" s="256" t="s">
        <v>221</v>
      </c>
      <c r="D406" s="296" t="str">
        <f t="shared" ref="D406:P406" si="131">IF(((D404="")*AND(D405="")),"",(D404-D405)*2)</f>
        <v/>
      </c>
      <c r="E406" s="296" t="str">
        <f t="shared" si="131"/>
        <v/>
      </c>
      <c r="F406" s="296" t="str">
        <f t="shared" si="131"/>
        <v/>
      </c>
      <c r="G406" s="296" t="str">
        <f t="shared" si="131"/>
        <v/>
      </c>
      <c r="H406" s="296" t="str">
        <f t="shared" si="131"/>
        <v/>
      </c>
      <c r="I406" s="296" t="str">
        <f t="shared" si="131"/>
        <v/>
      </c>
      <c r="J406" s="296" t="str">
        <f t="shared" si="131"/>
        <v/>
      </c>
      <c r="K406" s="296" t="str">
        <f t="shared" si="131"/>
        <v/>
      </c>
      <c r="L406" s="296" t="str">
        <f t="shared" si="131"/>
        <v/>
      </c>
      <c r="M406" s="296" t="str">
        <f t="shared" si="131"/>
        <v/>
      </c>
      <c r="N406" s="296" t="str">
        <f t="shared" si="131"/>
        <v/>
      </c>
      <c r="O406" s="296" t="str">
        <f t="shared" si="131"/>
        <v/>
      </c>
      <c r="P406" s="296" t="str">
        <f t="shared" si="131"/>
        <v/>
      </c>
      <c r="Q406" s="277"/>
      <c r="R406" s="295"/>
      <c r="S406" s="295"/>
      <c r="T406" s="295"/>
      <c r="U406" s="295"/>
      <c r="V406" s="297"/>
      <c r="W406" s="260"/>
      <c r="Y406" s="285"/>
    </row>
    <row r="407" spans="1:31">
      <c r="A407" s="305"/>
      <c r="B407" s="281" t="s">
        <v>76</v>
      </c>
      <c r="C407" s="282" t="s">
        <v>77</v>
      </c>
      <c r="Q407" s="282" t="str">
        <f>IF((P408=""),"",MAX(D409:P409))</f>
        <v/>
      </c>
      <c r="R407" s="282" t="str">
        <f>IF(P408="","",MIN(D409:P409))</f>
        <v/>
      </c>
      <c r="S407" s="282" t="str">
        <f>IF((P409=""),"",AVERAGE(D409:P409))</f>
        <v/>
      </c>
      <c r="T407" s="282" t="str">
        <f>IF((P408=""),"",STDEV(D409:P409))</f>
        <v/>
      </c>
      <c r="U407" s="282" t="str">
        <f>IF((P408=""),"",((Q407-R407)/(Q407+R407))*100)</f>
        <v/>
      </c>
      <c r="V407" s="283" t="str">
        <f>IF(P408="","",IF(U407&lt;5,IF(S407&gt;1900,IF(S407&lt;2250,"Pass","Fail"),"Fail"),"Fail"))</f>
        <v/>
      </c>
      <c r="W407" s="298"/>
      <c r="Y407" s="285"/>
      <c r="Z407" s="286">
        <v>1600</v>
      </c>
      <c r="AA407" s="286">
        <v>2600</v>
      </c>
      <c r="AB407" s="287">
        <v>1900</v>
      </c>
      <c r="AC407" s="287">
        <v>2250</v>
      </c>
      <c r="AD407" s="288">
        <v>10</v>
      </c>
      <c r="AE407" s="288">
        <v>3.6</v>
      </c>
    </row>
    <row r="408" spans="1:31">
      <c r="A408" s="307"/>
      <c r="B408" s="290"/>
      <c r="C408" s="290" t="s">
        <v>78</v>
      </c>
      <c r="Q408" s="290"/>
      <c r="R408" s="290"/>
      <c r="S408" s="290"/>
      <c r="T408" s="290"/>
      <c r="U408" s="290"/>
      <c r="V408" s="291"/>
      <c r="W408" s="251"/>
      <c r="Y408" s="285"/>
    </row>
    <row r="409" spans="1:31" ht="32.25" thickBot="1">
      <c r="A409" s="308"/>
      <c r="B409" s="295"/>
      <c r="C409" s="256" t="s">
        <v>221</v>
      </c>
      <c r="D409" s="296" t="str">
        <f t="shared" ref="D409:P409" si="132">IF(((D407="")*AND(D408="")),"",(D407-D408)*2)</f>
        <v/>
      </c>
      <c r="E409" s="296" t="str">
        <f t="shared" si="132"/>
        <v/>
      </c>
      <c r="F409" s="296" t="str">
        <f t="shared" si="132"/>
        <v/>
      </c>
      <c r="G409" s="296" t="str">
        <f t="shared" si="132"/>
        <v/>
      </c>
      <c r="H409" s="296" t="str">
        <f t="shared" si="132"/>
        <v/>
      </c>
      <c r="I409" s="296" t="str">
        <f t="shared" si="132"/>
        <v/>
      </c>
      <c r="J409" s="296" t="str">
        <f t="shared" si="132"/>
        <v/>
      </c>
      <c r="K409" s="296" t="str">
        <f t="shared" si="132"/>
        <v/>
      </c>
      <c r="L409" s="296" t="str">
        <f t="shared" si="132"/>
        <v/>
      </c>
      <c r="M409" s="296" t="str">
        <f t="shared" si="132"/>
        <v/>
      </c>
      <c r="N409" s="296" t="str">
        <f t="shared" si="132"/>
        <v/>
      </c>
      <c r="O409" s="296" t="str">
        <f t="shared" si="132"/>
        <v/>
      </c>
      <c r="P409" s="296" t="str">
        <f t="shared" si="132"/>
        <v/>
      </c>
      <c r="Q409" s="277"/>
      <c r="R409" s="295"/>
      <c r="S409" s="295"/>
      <c r="T409" s="295"/>
      <c r="U409" s="295"/>
      <c r="V409" s="297"/>
      <c r="W409" s="260"/>
      <c r="Y409" s="285"/>
    </row>
    <row r="410" spans="1:31">
      <c r="A410" s="305"/>
      <c r="B410" s="281" t="s">
        <v>76</v>
      </c>
      <c r="C410" s="282" t="s">
        <v>77</v>
      </c>
      <c r="Q410" s="282" t="str">
        <f>IF((P411=""),"",MAX(D412:P412))</f>
        <v/>
      </c>
      <c r="R410" s="282" t="str">
        <f>IF(P411="","",MIN(D412:P412))</f>
        <v/>
      </c>
      <c r="S410" s="282" t="str">
        <f>IF((P412=""),"",AVERAGE(D412:P412))</f>
        <v/>
      </c>
      <c r="T410" s="282" t="str">
        <f>IF((P411=""),"",STDEV(D412:P412))</f>
        <v/>
      </c>
      <c r="U410" s="282" t="str">
        <f>IF((P411=""),"",((Q410-R410)/(Q410+R410))*100)</f>
        <v/>
      </c>
      <c r="V410" s="283" t="str">
        <f>IF(P411="","",IF(U410&lt;5,IF(S410&gt;1900,IF(S410&lt;2250,"Pass","Fail"),"Fail"),"Fail"))</f>
        <v/>
      </c>
      <c r="W410" s="298"/>
      <c r="Y410" s="285"/>
      <c r="Z410" s="286">
        <v>1600</v>
      </c>
      <c r="AA410" s="286">
        <v>2600</v>
      </c>
      <c r="AB410" s="287">
        <v>1900</v>
      </c>
      <c r="AC410" s="287">
        <v>2250</v>
      </c>
      <c r="AD410" s="288">
        <v>10</v>
      </c>
      <c r="AE410" s="288">
        <v>3.6</v>
      </c>
    </row>
    <row r="411" spans="1:31">
      <c r="A411" s="307"/>
      <c r="B411" s="290"/>
      <c r="C411" s="290" t="s">
        <v>78</v>
      </c>
      <c r="Q411" s="290"/>
      <c r="R411" s="290"/>
      <c r="S411" s="290"/>
      <c r="T411" s="290"/>
      <c r="U411" s="290"/>
      <c r="V411" s="291"/>
      <c r="W411" s="251"/>
      <c r="Y411" s="285"/>
    </row>
    <row r="412" spans="1:31" ht="32.25" thickBot="1">
      <c r="A412" s="308"/>
      <c r="B412" s="295"/>
      <c r="C412" s="256" t="s">
        <v>221</v>
      </c>
      <c r="D412" s="296" t="str">
        <f t="shared" ref="D412:P412" si="133">IF(((D410="")*AND(D411="")),"",(D410-D411)*2)</f>
        <v/>
      </c>
      <c r="E412" s="296" t="str">
        <f t="shared" si="133"/>
        <v/>
      </c>
      <c r="F412" s="296" t="str">
        <f t="shared" si="133"/>
        <v/>
      </c>
      <c r="G412" s="296" t="str">
        <f t="shared" si="133"/>
        <v/>
      </c>
      <c r="H412" s="296" t="str">
        <f t="shared" si="133"/>
        <v/>
      </c>
      <c r="I412" s="296" t="str">
        <f t="shared" si="133"/>
        <v/>
      </c>
      <c r="J412" s="296" t="str">
        <f t="shared" si="133"/>
        <v/>
      </c>
      <c r="K412" s="296" t="str">
        <f t="shared" si="133"/>
        <v/>
      </c>
      <c r="L412" s="296" t="str">
        <f t="shared" si="133"/>
        <v/>
      </c>
      <c r="M412" s="296" t="str">
        <f t="shared" si="133"/>
        <v/>
      </c>
      <c r="N412" s="296" t="str">
        <f t="shared" si="133"/>
        <v/>
      </c>
      <c r="O412" s="296" t="str">
        <f t="shared" si="133"/>
        <v/>
      </c>
      <c r="P412" s="296" t="str">
        <f t="shared" si="133"/>
        <v/>
      </c>
      <c r="Q412" s="277"/>
      <c r="R412" s="295"/>
      <c r="S412" s="295"/>
      <c r="T412" s="295"/>
      <c r="U412" s="295"/>
      <c r="V412" s="297"/>
      <c r="W412" s="260"/>
      <c r="Y412" s="285"/>
    </row>
    <row r="413" spans="1:31">
      <c r="A413" s="305"/>
      <c r="B413" s="281" t="s">
        <v>76</v>
      </c>
      <c r="C413" s="282" t="s">
        <v>77</v>
      </c>
      <c r="Q413" s="282" t="str">
        <f>IF((P414=""),"",MAX(D415:P415))</f>
        <v/>
      </c>
      <c r="R413" s="282" t="str">
        <f>IF(P414="","",MIN(D415:P415))</f>
        <v/>
      </c>
      <c r="S413" s="282" t="str">
        <f>IF((P415=""),"",AVERAGE(D415:P415))</f>
        <v/>
      </c>
      <c r="T413" s="282" t="str">
        <f>IF((P414=""),"",STDEV(D415:P415))</f>
        <v/>
      </c>
      <c r="U413" s="282" t="str">
        <f>IF((P414=""),"",((Q413-R413)/(Q413+R413))*100)</f>
        <v/>
      </c>
      <c r="V413" s="283" t="str">
        <f>IF(P414="","",IF(U413&lt;5,IF(S413&gt;1900,IF(S413&lt;2250,"Pass","Fail"),"Fail"),"Fail"))</f>
        <v/>
      </c>
      <c r="W413" s="298"/>
      <c r="Y413" s="285"/>
      <c r="Z413" s="286">
        <v>1600</v>
      </c>
      <c r="AA413" s="286">
        <v>2600</v>
      </c>
      <c r="AB413" s="287">
        <v>1900</v>
      </c>
      <c r="AC413" s="287">
        <v>2250</v>
      </c>
      <c r="AD413" s="288">
        <v>10</v>
      </c>
      <c r="AE413" s="288">
        <v>3.6</v>
      </c>
    </row>
    <row r="414" spans="1:31">
      <c r="A414" s="307"/>
      <c r="B414" s="290"/>
      <c r="C414" s="290" t="s">
        <v>78</v>
      </c>
      <c r="Q414" s="290"/>
      <c r="R414" s="290"/>
      <c r="S414" s="290"/>
      <c r="T414" s="290"/>
      <c r="U414" s="290"/>
      <c r="V414" s="291"/>
      <c r="W414" s="251"/>
      <c r="Y414" s="285"/>
    </row>
    <row r="415" spans="1:31" ht="32.25" thickBot="1">
      <c r="A415" s="308"/>
      <c r="B415" s="295"/>
      <c r="C415" s="256" t="s">
        <v>221</v>
      </c>
      <c r="D415" s="296" t="str">
        <f t="shared" ref="D415:P415" si="134">IF(((D413="")*AND(D414="")),"",(D413-D414)*2)</f>
        <v/>
      </c>
      <c r="E415" s="296" t="str">
        <f t="shared" si="134"/>
        <v/>
      </c>
      <c r="F415" s="296" t="str">
        <f t="shared" si="134"/>
        <v/>
      </c>
      <c r="G415" s="296" t="str">
        <f t="shared" si="134"/>
        <v/>
      </c>
      <c r="H415" s="296" t="str">
        <f t="shared" si="134"/>
        <v/>
      </c>
      <c r="I415" s="296" t="str">
        <f t="shared" si="134"/>
        <v/>
      </c>
      <c r="J415" s="296" t="str">
        <f t="shared" si="134"/>
        <v/>
      </c>
      <c r="K415" s="296" t="str">
        <f t="shared" si="134"/>
        <v/>
      </c>
      <c r="L415" s="296" t="str">
        <f t="shared" si="134"/>
        <v/>
      </c>
      <c r="M415" s="296" t="str">
        <f t="shared" si="134"/>
        <v/>
      </c>
      <c r="N415" s="296" t="str">
        <f t="shared" si="134"/>
        <v/>
      </c>
      <c r="O415" s="296" t="str">
        <f t="shared" si="134"/>
        <v/>
      </c>
      <c r="P415" s="296" t="str">
        <f t="shared" si="134"/>
        <v/>
      </c>
      <c r="Q415" s="277"/>
      <c r="R415" s="295"/>
      <c r="S415" s="295"/>
      <c r="T415" s="295"/>
      <c r="U415" s="295"/>
      <c r="V415" s="297"/>
      <c r="W415" s="260"/>
      <c r="Y415" s="285"/>
    </row>
    <row r="416" spans="1:31">
      <c r="A416" s="305"/>
      <c r="B416" s="281" t="s">
        <v>76</v>
      </c>
      <c r="C416" s="282" t="s">
        <v>77</v>
      </c>
      <c r="Q416" s="282" t="str">
        <f>IF((P417=""),"",MAX(D418:P418))</f>
        <v/>
      </c>
      <c r="R416" s="282" t="str">
        <f>IF(P417="","",MIN(D418:P418))</f>
        <v/>
      </c>
      <c r="S416" s="282" t="str">
        <f>IF((P418=""),"",AVERAGE(D418:P418))</f>
        <v/>
      </c>
      <c r="T416" s="282" t="str">
        <f>IF((P417=""),"",STDEV(D418:P418))</f>
        <v/>
      </c>
      <c r="U416" s="282" t="str">
        <f>IF((P417=""),"",((Q416-R416)/(Q416+R416))*100)</f>
        <v/>
      </c>
      <c r="V416" s="283" t="str">
        <f>IF(P417="","",IF(U416&lt;5,IF(S416&gt;1900,IF(S416&lt;2250,"Pass","Fail"),"Fail"),"Fail"))</f>
        <v/>
      </c>
      <c r="W416" s="298"/>
      <c r="Y416" s="285"/>
      <c r="Z416" s="286">
        <v>1600</v>
      </c>
      <c r="AA416" s="286">
        <v>2600</v>
      </c>
      <c r="AB416" s="287">
        <v>1900</v>
      </c>
      <c r="AC416" s="287">
        <v>2250</v>
      </c>
      <c r="AD416" s="288">
        <v>10</v>
      </c>
      <c r="AE416" s="288">
        <v>3.6</v>
      </c>
    </row>
    <row r="417" spans="1:31">
      <c r="A417" s="307"/>
      <c r="B417" s="290"/>
      <c r="C417" s="290" t="s">
        <v>78</v>
      </c>
      <c r="Q417" s="290"/>
      <c r="R417" s="290"/>
      <c r="S417" s="290"/>
      <c r="T417" s="290"/>
      <c r="U417" s="290"/>
      <c r="V417" s="291"/>
      <c r="W417" s="251"/>
      <c r="Y417" s="285"/>
    </row>
    <row r="418" spans="1:31" ht="32.25" thickBot="1">
      <c r="A418" s="308"/>
      <c r="B418" s="295"/>
      <c r="C418" s="256" t="s">
        <v>221</v>
      </c>
      <c r="D418" s="296" t="str">
        <f t="shared" ref="D418:P418" si="135">IF(((D416="")*AND(D417="")),"",(D416-D417)*2)</f>
        <v/>
      </c>
      <c r="E418" s="296" t="str">
        <f t="shared" si="135"/>
        <v/>
      </c>
      <c r="F418" s="296" t="str">
        <f t="shared" si="135"/>
        <v/>
      </c>
      <c r="G418" s="296" t="str">
        <f t="shared" si="135"/>
        <v/>
      </c>
      <c r="H418" s="296" t="str">
        <f t="shared" si="135"/>
        <v/>
      </c>
      <c r="I418" s="296" t="str">
        <f t="shared" si="135"/>
        <v/>
      </c>
      <c r="J418" s="296" t="str">
        <f t="shared" si="135"/>
        <v/>
      </c>
      <c r="K418" s="296" t="str">
        <f t="shared" si="135"/>
        <v/>
      </c>
      <c r="L418" s="296" t="str">
        <f t="shared" si="135"/>
        <v/>
      </c>
      <c r="M418" s="296" t="str">
        <f t="shared" si="135"/>
        <v/>
      </c>
      <c r="N418" s="296" t="str">
        <f t="shared" si="135"/>
        <v/>
      </c>
      <c r="O418" s="296" t="str">
        <f t="shared" si="135"/>
        <v/>
      </c>
      <c r="P418" s="296" t="str">
        <f t="shared" si="135"/>
        <v/>
      </c>
      <c r="Q418" s="277"/>
      <c r="R418" s="295"/>
      <c r="S418" s="295"/>
      <c r="T418" s="295"/>
      <c r="U418" s="295"/>
      <c r="V418" s="297"/>
      <c r="W418" s="260"/>
      <c r="Y418" s="285"/>
    </row>
    <row r="419" spans="1:31">
      <c r="A419" s="305"/>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83" t="str">
        <f>IF(P420="","",IF(U419&lt;5,IF(S419&gt;1900,IF(S419&lt;2250,"Pass","Fail"),"Fail"),"Fail"))</f>
        <v/>
      </c>
      <c r="W419" s="298"/>
      <c r="Y419" s="285"/>
      <c r="Z419" s="286">
        <v>1600</v>
      </c>
      <c r="AA419" s="286">
        <v>2600</v>
      </c>
      <c r="AB419" s="287">
        <v>1900</v>
      </c>
      <c r="AC419" s="287">
        <v>2250</v>
      </c>
      <c r="AD419" s="288">
        <v>10</v>
      </c>
      <c r="AE419" s="288">
        <v>3.6</v>
      </c>
    </row>
    <row r="420" spans="1:31">
      <c r="A420" s="307"/>
      <c r="B420" s="290"/>
      <c r="C420" s="290" t="s">
        <v>78</v>
      </c>
      <c r="Q420" s="290"/>
      <c r="R420" s="290"/>
      <c r="S420" s="290"/>
      <c r="T420" s="290"/>
      <c r="U420" s="290"/>
      <c r="V420" s="291"/>
      <c r="W420" s="251"/>
      <c r="Y420" s="285"/>
    </row>
    <row r="421" spans="1:31" ht="32.25" thickBot="1">
      <c r="A421" s="308"/>
      <c r="B421" s="295"/>
      <c r="C421" s="256" t="s">
        <v>221</v>
      </c>
      <c r="D421" s="296" t="str">
        <f t="shared" ref="D421:P421" si="136">IF(((D419="")*AND(D420="")),"",(D419-D420)*2)</f>
        <v/>
      </c>
      <c r="E421" s="296" t="str">
        <f t="shared" si="136"/>
        <v/>
      </c>
      <c r="F421" s="296" t="str">
        <f t="shared" si="136"/>
        <v/>
      </c>
      <c r="G421" s="296" t="str">
        <f t="shared" si="136"/>
        <v/>
      </c>
      <c r="H421" s="296" t="str">
        <f t="shared" si="136"/>
        <v/>
      </c>
      <c r="I421" s="296" t="str">
        <f t="shared" si="136"/>
        <v/>
      </c>
      <c r="J421" s="296" t="str">
        <f t="shared" si="136"/>
        <v/>
      </c>
      <c r="K421" s="296" t="str">
        <f t="shared" si="136"/>
        <v/>
      </c>
      <c r="L421" s="296" t="str">
        <f t="shared" si="136"/>
        <v/>
      </c>
      <c r="M421" s="296" t="str">
        <f t="shared" si="136"/>
        <v/>
      </c>
      <c r="N421" s="296" t="str">
        <f t="shared" si="136"/>
        <v/>
      </c>
      <c r="O421" s="296" t="str">
        <f t="shared" si="136"/>
        <v/>
      </c>
      <c r="P421" s="296" t="str">
        <f t="shared" si="136"/>
        <v/>
      </c>
      <c r="Q421" s="277"/>
      <c r="R421" s="295"/>
      <c r="S421" s="295"/>
      <c r="T421" s="295"/>
      <c r="U421" s="295"/>
      <c r="V421" s="297"/>
      <c r="W421" s="260"/>
      <c r="Y421" s="285"/>
    </row>
    <row r="422" spans="1:31">
      <c r="A422" s="305"/>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83" t="str">
        <f>IF(P423="","",IF(U422&lt;5,IF(S422&gt;1900,IF(S422&lt;2250,"Pass","Fail"),"Fail"),"Fail"))</f>
        <v/>
      </c>
      <c r="W422" s="298"/>
      <c r="Y422" s="285"/>
      <c r="Z422" s="286">
        <v>1600</v>
      </c>
      <c r="AA422" s="286">
        <v>2600</v>
      </c>
      <c r="AB422" s="287">
        <v>1900</v>
      </c>
      <c r="AC422" s="287">
        <v>2250</v>
      </c>
      <c r="AD422" s="288">
        <v>10</v>
      </c>
      <c r="AE422" s="288">
        <v>3.6</v>
      </c>
    </row>
    <row r="423" spans="1:31">
      <c r="A423" s="307"/>
      <c r="B423" s="290"/>
      <c r="C423" s="290" t="s">
        <v>78</v>
      </c>
      <c r="Q423" s="290"/>
      <c r="R423" s="290"/>
      <c r="S423" s="290"/>
      <c r="T423" s="290"/>
      <c r="U423" s="290"/>
      <c r="V423" s="291"/>
      <c r="W423" s="251"/>
      <c r="Y423" s="285"/>
    </row>
    <row r="424" spans="1:31" ht="32.25" thickBot="1">
      <c r="A424" s="308"/>
      <c r="B424" s="295"/>
      <c r="C424" s="256" t="s">
        <v>221</v>
      </c>
      <c r="D424" s="296" t="str">
        <f t="shared" ref="D424:P424" si="137">IF(((D422="")*AND(D423="")),"",(D422-D423)*2)</f>
        <v/>
      </c>
      <c r="E424" s="296" t="str">
        <f t="shared" si="137"/>
        <v/>
      </c>
      <c r="F424" s="296" t="str">
        <f t="shared" si="137"/>
        <v/>
      </c>
      <c r="G424" s="296" t="str">
        <f t="shared" si="137"/>
        <v/>
      </c>
      <c r="H424" s="296" t="str">
        <f t="shared" si="137"/>
        <v/>
      </c>
      <c r="I424" s="296" t="str">
        <f t="shared" si="137"/>
        <v/>
      </c>
      <c r="J424" s="296" t="str">
        <f t="shared" si="137"/>
        <v/>
      </c>
      <c r="K424" s="296" t="str">
        <f t="shared" si="137"/>
        <v/>
      </c>
      <c r="L424" s="296" t="str">
        <f t="shared" si="137"/>
        <v/>
      </c>
      <c r="M424" s="296" t="str">
        <f t="shared" si="137"/>
        <v/>
      </c>
      <c r="N424" s="296" t="str">
        <f t="shared" si="137"/>
        <v/>
      </c>
      <c r="O424" s="296" t="str">
        <f t="shared" si="137"/>
        <v/>
      </c>
      <c r="P424" s="296" t="str">
        <f t="shared" si="137"/>
        <v/>
      </c>
      <c r="Q424" s="277"/>
      <c r="R424" s="295"/>
      <c r="S424" s="295"/>
      <c r="T424" s="295"/>
      <c r="U424" s="295"/>
      <c r="V424" s="297"/>
      <c r="W424" s="260"/>
      <c r="Y424" s="285"/>
    </row>
    <row r="425" spans="1:31">
      <c r="A425" s="305"/>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83" t="str">
        <f>IF(P426="","",IF(U425&lt;5,IF(S425&gt;1900,IF(S425&lt;2250,"Pass","Fail"),"Fail"),"Fail"))</f>
        <v/>
      </c>
      <c r="W425" s="298"/>
      <c r="Y425" s="285"/>
      <c r="Z425" s="286">
        <v>1600</v>
      </c>
      <c r="AA425" s="286">
        <v>2600</v>
      </c>
      <c r="AB425" s="287">
        <v>1900</v>
      </c>
      <c r="AC425" s="287">
        <v>2250</v>
      </c>
      <c r="AD425" s="288">
        <v>10</v>
      </c>
      <c r="AE425" s="288">
        <v>3.6</v>
      </c>
    </row>
    <row r="426" spans="1:31">
      <c r="A426" s="307"/>
      <c r="B426" s="290"/>
      <c r="C426" s="290" t="s">
        <v>78</v>
      </c>
      <c r="Q426" s="290"/>
      <c r="R426" s="290"/>
      <c r="S426" s="290"/>
      <c r="T426" s="290"/>
      <c r="U426" s="290"/>
      <c r="V426" s="291"/>
      <c r="W426" s="251"/>
      <c r="Y426" s="285"/>
    </row>
    <row r="427" spans="1:31" ht="32.25" thickBot="1">
      <c r="A427" s="308"/>
      <c r="B427" s="295"/>
      <c r="C427" s="256" t="s">
        <v>221</v>
      </c>
      <c r="D427" s="296" t="str">
        <f t="shared" ref="D427:P427" si="138">IF(((D425="")*AND(D426="")),"",(D425-D426)*2)</f>
        <v/>
      </c>
      <c r="E427" s="296" t="str">
        <f t="shared" si="138"/>
        <v/>
      </c>
      <c r="F427" s="296" t="str">
        <f t="shared" si="138"/>
        <v/>
      </c>
      <c r="G427" s="296" t="str">
        <f t="shared" si="138"/>
        <v/>
      </c>
      <c r="H427" s="296" t="str">
        <f t="shared" si="138"/>
        <v/>
      </c>
      <c r="I427" s="296" t="str">
        <f t="shared" si="138"/>
        <v/>
      </c>
      <c r="J427" s="296" t="str">
        <f t="shared" si="138"/>
        <v/>
      </c>
      <c r="K427" s="296" t="str">
        <f t="shared" si="138"/>
        <v/>
      </c>
      <c r="L427" s="296" t="str">
        <f t="shared" si="138"/>
        <v/>
      </c>
      <c r="M427" s="296" t="str">
        <f t="shared" si="138"/>
        <v/>
      </c>
      <c r="N427" s="296" t="str">
        <f t="shared" si="138"/>
        <v/>
      </c>
      <c r="O427" s="296" t="str">
        <f t="shared" si="138"/>
        <v/>
      </c>
      <c r="P427" s="296" t="str">
        <f t="shared" si="138"/>
        <v/>
      </c>
      <c r="Q427" s="277"/>
      <c r="R427" s="295"/>
      <c r="S427" s="295"/>
      <c r="T427" s="295"/>
      <c r="U427" s="295"/>
      <c r="V427" s="297"/>
      <c r="W427" s="260"/>
      <c r="Y427" s="285"/>
    </row>
    <row r="428" spans="1:31">
      <c r="A428" s="305"/>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83" t="str">
        <f>IF(P429="","",IF(U428&lt;5,IF(S428&gt;1900,IF(S428&lt;2250,"Pass","Fail"),"Fail"),"Fail"))</f>
        <v/>
      </c>
      <c r="W428" s="298"/>
      <c r="Y428" s="285"/>
      <c r="Z428" s="286">
        <v>1600</v>
      </c>
      <c r="AA428" s="286">
        <v>2600</v>
      </c>
      <c r="AB428" s="287">
        <v>1900</v>
      </c>
      <c r="AC428" s="287">
        <v>2250</v>
      </c>
      <c r="AD428" s="288">
        <v>10</v>
      </c>
      <c r="AE428" s="288">
        <v>3.6</v>
      </c>
    </row>
    <row r="429" spans="1:31">
      <c r="A429" s="307"/>
      <c r="B429" s="290"/>
      <c r="C429" s="290" t="s">
        <v>78</v>
      </c>
      <c r="Q429" s="290"/>
      <c r="R429" s="290"/>
      <c r="S429" s="290"/>
      <c r="T429" s="290"/>
      <c r="U429" s="290"/>
      <c r="V429" s="291"/>
      <c r="W429" s="251"/>
      <c r="Y429" s="285"/>
    </row>
    <row r="430" spans="1:31" ht="32.25" thickBot="1">
      <c r="A430" s="308"/>
      <c r="B430" s="295"/>
      <c r="C430" s="256" t="s">
        <v>221</v>
      </c>
      <c r="D430" s="296" t="str">
        <f t="shared" ref="D430:P430" si="139">IF(((D428="")*AND(D429="")),"",(D428-D429)*2)</f>
        <v/>
      </c>
      <c r="E430" s="296" t="str">
        <f t="shared" si="139"/>
        <v/>
      </c>
      <c r="F430" s="296" t="str">
        <f t="shared" si="139"/>
        <v/>
      </c>
      <c r="G430" s="296" t="str">
        <f t="shared" si="139"/>
        <v/>
      </c>
      <c r="H430" s="296" t="str">
        <f t="shared" si="139"/>
        <v/>
      </c>
      <c r="I430" s="296" t="str">
        <f t="shared" si="139"/>
        <v/>
      </c>
      <c r="J430" s="296" t="str">
        <f t="shared" si="139"/>
        <v/>
      </c>
      <c r="K430" s="296" t="str">
        <f t="shared" si="139"/>
        <v/>
      </c>
      <c r="L430" s="296" t="str">
        <f t="shared" si="139"/>
        <v/>
      </c>
      <c r="M430" s="296" t="str">
        <f t="shared" si="139"/>
        <v/>
      </c>
      <c r="N430" s="296" t="str">
        <f t="shared" si="139"/>
        <v/>
      </c>
      <c r="O430" s="296" t="str">
        <f t="shared" si="139"/>
        <v/>
      </c>
      <c r="P430" s="296" t="str">
        <f t="shared" si="139"/>
        <v/>
      </c>
      <c r="Q430" s="277"/>
      <c r="R430" s="295"/>
      <c r="S430" s="295"/>
      <c r="T430" s="295"/>
      <c r="U430" s="295"/>
      <c r="V430" s="297"/>
      <c r="W430" s="260"/>
      <c r="Y430" s="285"/>
    </row>
    <row r="431" spans="1:31">
      <c r="A431" s="305"/>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83" t="str">
        <f>IF(P432="","",IF(U431&lt;5,IF(S431&gt;1900,IF(S431&lt;2250,"Pass","Fail"),"Fail"),"Fail"))</f>
        <v/>
      </c>
      <c r="W431" s="298"/>
      <c r="Y431" s="285"/>
      <c r="Z431" s="286">
        <v>1600</v>
      </c>
      <c r="AA431" s="286">
        <v>2600</v>
      </c>
      <c r="AB431" s="287">
        <v>1900</v>
      </c>
      <c r="AC431" s="287">
        <v>2250</v>
      </c>
      <c r="AD431" s="288">
        <v>10</v>
      </c>
      <c r="AE431" s="288">
        <v>3.6</v>
      </c>
    </row>
    <row r="432" spans="1:31">
      <c r="A432" s="307"/>
      <c r="B432" s="290"/>
      <c r="C432" s="290" t="s">
        <v>78</v>
      </c>
      <c r="Q432" s="290"/>
      <c r="R432" s="290"/>
      <c r="S432" s="290"/>
      <c r="T432" s="290"/>
      <c r="U432" s="290"/>
      <c r="V432" s="291"/>
      <c r="W432" s="251"/>
      <c r="Y432" s="285"/>
    </row>
    <row r="433" spans="1:31" ht="32.25" thickBot="1">
      <c r="A433" s="308"/>
      <c r="B433" s="295"/>
      <c r="C433" s="256" t="s">
        <v>221</v>
      </c>
      <c r="D433" s="296" t="str">
        <f t="shared" ref="D433:P433" si="140">IF(((D431="")*AND(D432="")),"",(D431-D432)*2)</f>
        <v/>
      </c>
      <c r="E433" s="296" t="str">
        <f t="shared" si="140"/>
        <v/>
      </c>
      <c r="F433" s="296" t="str">
        <f t="shared" si="140"/>
        <v/>
      </c>
      <c r="G433" s="296" t="str">
        <f t="shared" si="140"/>
        <v/>
      </c>
      <c r="H433" s="296" t="str">
        <f t="shared" si="140"/>
        <v/>
      </c>
      <c r="I433" s="296" t="str">
        <f t="shared" si="140"/>
        <v/>
      </c>
      <c r="J433" s="296" t="str">
        <f t="shared" si="140"/>
        <v/>
      </c>
      <c r="K433" s="296" t="str">
        <f t="shared" si="140"/>
        <v/>
      </c>
      <c r="L433" s="296" t="str">
        <f t="shared" si="140"/>
        <v/>
      </c>
      <c r="M433" s="296" t="str">
        <f t="shared" si="140"/>
        <v/>
      </c>
      <c r="N433" s="296" t="str">
        <f t="shared" si="140"/>
        <v/>
      </c>
      <c r="O433" s="296" t="str">
        <f t="shared" si="140"/>
        <v/>
      </c>
      <c r="P433" s="296" t="str">
        <f t="shared" si="140"/>
        <v/>
      </c>
      <c r="Q433" s="277"/>
      <c r="R433" s="295"/>
      <c r="S433" s="295"/>
      <c r="T433" s="295"/>
      <c r="U433" s="295"/>
      <c r="V433" s="297"/>
      <c r="W433" s="260"/>
      <c r="Y433" s="285"/>
    </row>
    <row r="434" spans="1:31">
      <c r="A434" s="305"/>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83" t="str">
        <f>IF(P435="","",IF(U434&lt;5,IF(S434&gt;1900,IF(S434&lt;2250,"Pass","Fail"),"Fail"),"Fail"))</f>
        <v/>
      </c>
      <c r="W434" s="298"/>
      <c r="Y434" s="285"/>
      <c r="Z434" s="286">
        <v>1600</v>
      </c>
      <c r="AA434" s="286">
        <v>2600</v>
      </c>
      <c r="AB434" s="287">
        <v>1900</v>
      </c>
      <c r="AC434" s="287">
        <v>2250</v>
      </c>
      <c r="AD434" s="288">
        <v>10</v>
      </c>
      <c r="AE434" s="288">
        <v>3.6</v>
      </c>
    </row>
    <row r="435" spans="1:31">
      <c r="A435" s="307"/>
      <c r="B435" s="290"/>
      <c r="C435" s="290" t="s">
        <v>78</v>
      </c>
      <c r="Q435" s="290"/>
      <c r="R435" s="290"/>
      <c r="S435" s="290"/>
      <c r="T435" s="290"/>
      <c r="U435" s="290"/>
      <c r="V435" s="291"/>
      <c r="W435" s="251"/>
      <c r="Y435" s="285"/>
    </row>
    <row r="436" spans="1:31" ht="32.25" thickBot="1">
      <c r="A436" s="308"/>
      <c r="B436" s="295"/>
      <c r="C436" s="256" t="s">
        <v>221</v>
      </c>
      <c r="D436" s="296" t="str">
        <f t="shared" ref="D436:P436" si="141">IF(((D434="")*AND(D435="")),"",(D434-D435)*2)</f>
        <v/>
      </c>
      <c r="E436" s="296" t="str">
        <f t="shared" si="141"/>
        <v/>
      </c>
      <c r="F436" s="296" t="str">
        <f t="shared" si="141"/>
        <v/>
      </c>
      <c r="G436" s="296" t="str">
        <f t="shared" si="141"/>
        <v/>
      </c>
      <c r="H436" s="296" t="str">
        <f t="shared" si="141"/>
        <v/>
      </c>
      <c r="I436" s="296" t="str">
        <f t="shared" si="141"/>
        <v/>
      </c>
      <c r="J436" s="296" t="str">
        <f t="shared" si="141"/>
        <v/>
      </c>
      <c r="K436" s="296" t="str">
        <f t="shared" si="141"/>
        <v/>
      </c>
      <c r="L436" s="296" t="str">
        <f t="shared" si="141"/>
        <v/>
      </c>
      <c r="M436" s="296" t="str">
        <f t="shared" si="141"/>
        <v/>
      </c>
      <c r="N436" s="296" t="str">
        <f t="shared" si="141"/>
        <v/>
      </c>
      <c r="O436" s="296" t="str">
        <f t="shared" si="141"/>
        <v/>
      </c>
      <c r="P436" s="296" t="str">
        <f t="shared" si="141"/>
        <v/>
      </c>
      <c r="Q436" s="277"/>
      <c r="R436" s="295"/>
      <c r="S436" s="295"/>
      <c r="T436" s="295"/>
      <c r="U436" s="295"/>
      <c r="V436" s="297"/>
      <c r="W436" s="260"/>
      <c r="Y436" s="285"/>
    </row>
    <row r="437" spans="1:31">
      <c r="A437" s="305"/>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83" t="str">
        <f>IF(P438="","",IF(U437&lt;5,IF(S437&gt;1900,IF(S437&lt;2250,"Pass","Fail"),"Fail"),"Fail"))</f>
        <v/>
      </c>
      <c r="W437" s="298"/>
      <c r="Y437" s="285"/>
      <c r="Z437" s="286">
        <v>1600</v>
      </c>
      <c r="AA437" s="286">
        <v>2600</v>
      </c>
      <c r="AB437" s="287">
        <v>1900</v>
      </c>
      <c r="AC437" s="287">
        <v>2250</v>
      </c>
      <c r="AD437" s="288">
        <v>10</v>
      </c>
      <c r="AE437" s="288">
        <v>3.6</v>
      </c>
    </row>
    <row r="438" spans="1:31">
      <c r="A438" s="307"/>
      <c r="B438" s="290"/>
      <c r="C438" s="290" t="s">
        <v>78</v>
      </c>
      <c r="Q438" s="290"/>
      <c r="R438" s="290"/>
      <c r="S438" s="290"/>
      <c r="T438" s="290"/>
      <c r="U438" s="290"/>
      <c r="V438" s="291"/>
      <c r="W438" s="251"/>
      <c r="Y438" s="285"/>
    </row>
    <row r="439" spans="1:31" ht="32.25" thickBot="1">
      <c r="A439" s="308"/>
      <c r="B439" s="295"/>
      <c r="C439" s="256" t="s">
        <v>221</v>
      </c>
      <c r="D439" s="296" t="str">
        <f t="shared" ref="D439:P439" si="142">IF(((D437="")*AND(D438="")),"",(D437-D438)*2)</f>
        <v/>
      </c>
      <c r="E439" s="296" t="str">
        <f t="shared" si="142"/>
        <v/>
      </c>
      <c r="F439" s="296" t="str">
        <f t="shared" si="142"/>
        <v/>
      </c>
      <c r="G439" s="296" t="str">
        <f t="shared" si="142"/>
        <v/>
      </c>
      <c r="H439" s="296" t="str">
        <f t="shared" si="142"/>
        <v/>
      </c>
      <c r="I439" s="296" t="str">
        <f t="shared" si="142"/>
        <v/>
      </c>
      <c r="J439" s="296" t="str">
        <f t="shared" si="142"/>
        <v/>
      </c>
      <c r="K439" s="296" t="str">
        <f t="shared" si="142"/>
        <v/>
      </c>
      <c r="L439" s="296" t="str">
        <f t="shared" si="142"/>
        <v/>
      </c>
      <c r="M439" s="296" t="str">
        <f t="shared" si="142"/>
        <v/>
      </c>
      <c r="N439" s="296" t="str">
        <f t="shared" si="142"/>
        <v/>
      </c>
      <c r="O439" s="296" t="str">
        <f t="shared" si="142"/>
        <v/>
      </c>
      <c r="P439" s="296" t="str">
        <f t="shared" si="142"/>
        <v/>
      </c>
      <c r="Q439" s="277"/>
      <c r="R439" s="295"/>
      <c r="S439" s="295"/>
      <c r="T439" s="295"/>
      <c r="U439" s="295"/>
      <c r="V439" s="297"/>
      <c r="W439" s="260"/>
      <c r="Y439" s="285"/>
    </row>
    <row r="440" spans="1:31">
      <c r="A440" s="305"/>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83" t="str">
        <f>IF(P441="","",IF(U440&lt;5,IF(S440&gt;1900,IF(S440&lt;2250,"Pass","Fail"),"Fail"),"Fail"))</f>
        <v/>
      </c>
      <c r="W440" s="298"/>
      <c r="Y440" s="285"/>
      <c r="Z440" s="286">
        <v>1600</v>
      </c>
      <c r="AA440" s="286">
        <v>2600</v>
      </c>
      <c r="AB440" s="287">
        <v>1900</v>
      </c>
      <c r="AC440" s="287">
        <v>2250</v>
      </c>
      <c r="AD440" s="288">
        <v>10</v>
      </c>
      <c r="AE440" s="288">
        <v>3.6</v>
      </c>
    </row>
    <row r="441" spans="1:31">
      <c r="A441" s="307"/>
      <c r="B441" s="290"/>
      <c r="C441" s="290" t="s">
        <v>78</v>
      </c>
      <c r="Q441" s="290"/>
      <c r="R441" s="290"/>
      <c r="S441" s="290"/>
      <c r="T441" s="290"/>
      <c r="U441" s="290"/>
      <c r="V441" s="291"/>
      <c r="W441" s="251"/>
      <c r="Y441" s="285"/>
    </row>
    <row r="442" spans="1:31" ht="32.25" thickBot="1">
      <c r="A442" s="308"/>
      <c r="B442" s="295"/>
      <c r="C442" s="256" t="s">
        <v>221</v>
      </c>
      <c r="D442" s="296" t="str">
        <f t="shared" ref="D442:P442" si="143">IF(((D440="")*AND(D441="")),"",(D440-D441)*2)</f>
        <v/>
      </c>
      <c r="E442" s="296" t="str">
        <f t="shared" si="143"/>
        <v/>
      </c>
      <c r="F442" s="296" t="str">
        <f t="shared" si="143"/>
        <v/>
      </c>
      <c r="G442" s="296" t="str">
        <f t="shared" si="143"/>
        <v/>
      </c>
      <c r="H442" s="296" t="str">
        <f t="shared" si="143"/>
        <v/>
      </c>
      <c r="I442" s="296" t="str">
        <f t="shared" si="143"/>
        <v/>
      </c>
      <c r="J442" s="296" t="str">
        <f t="shared" si="143"/>
        <v/>
      </c>
      <c r="K442" s="296" t="str">
        <f t="shared" si="143"/>
        <v/>
      </c>
      <c r="L442" s="296" t="str">
        <f t="shared" si="143"/>
        <v/>
      </c>
      <c r="M442" s="296" t="str">
        <f t="shared" si="143"/>
        <v/>
      </c>
      <c r="N442" s="296" t="str">
        <f t="shared" si="143"/>
        <v/>
      </c>
      <c r="O442" s="296" t="str">
        <f t="shared" si="143"/>
        <v/>
      </c>
      <c r="P442" s="296" t="str">
        <f t="shared" si="143"/>
        <v/>
      </c>
      <c r="Q442" s="277"/>
      <c r="R442" s="295"/>
      <c r="S442" s="295"/>
      <c r="T442" s="295"/>
      <c r="U442" s="295"/>
      <c r="V442" s="297"/>
      <c r="W442" s="260"/>
      <c r="Y442" s="285"/>
    </row>
    <row r="443" spans="1:31">
      <c r="A443" s="305"/>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83" t="str">
        <f>IF(P444="","",IF(U443&lt;5,IF(S443&gt;1900,IF(S443&lt;2250,"Pass","Fail"),"Fail"),"Fail"))</f>
        <v/>
      </c>
      <c r="W443" s="298"/>
      <c r="Y443" s="285"/>
      <c r="Z443" s="286">
        <v>1600</v>
      </c>
      <c r="AA443" s="286">
        <v>2600</v>
      </c>
      <c r="AB443" s="287">
        <v>1900</v>
      </c>
      <c r="AC443" s="287">
        <v>2250</v>
      </c>
      <c r="AD443" s="288">
        <v>10</v>
      </c>
      <c r="AE443" s="288">
        <v>3.6</v>
      </c>
    </row>
    <row r="444" spans="1:31">
      <c r="A444" s="307"/>
      <c r="B444" s="290"/>
      <c r="C444" s="290" t="s">
        <v>78</v>
      </c>
      <c r="Q444" s="290"/>
      <c r="R444" s="290"/>
      <c r="S444" s="290"/>
      <c r="T444" s="290"/>
      <c r="U444" s="290"/>
      <c r="V444" s="291"/>
      <c r="W444" s="251"/>
      <c r="Y444" s="285"/>
    </row>
    <row r="445" spans="1:31" ht="32.25" thickBot="1">
      <c r="A445" s="308"/>
      <c r="B445" s="295"/>
      <c r="C445" s="256" t="s">
        <v>221</v>
      </c>
      <c r="D445" s="296" t="str">
        <f t="shared" ref="D445:P445" si="144">IF(((D443="")*AND(D444="")),"",(D443-D444)*2)</f>
        <v/>
      </c>
      <c r="E445" s="296" t="str">
        <f t="shared" si="144"/>
        <v/>
      </c>
      <c r="F445" s="296" t="str">
        <f t="shared" si="144"/>
        <v/>
      </c>
      <c r="G445" s="296" t="str">
        <f t="shared" si="144"/>
        <v/>
      </c>
      <c r="H445" s="296" t="str">
        <f t="shared" si="144"/>
        <v/>
      </c>
      <c r="I445" s="296" t="str">
        <f t="shared" si="144"/>
        <v/>
      </c>
      <c r="J445" s="296" t="str">
        <f t="shared" si="144"/>
        <v/>
      </c>
      <c r="K445" s="296" t="str">
        <f t="shared" si="144"/>
        <v/>
      </c>
      <c r="L445" s="296" t="str">
        <f t="shared" si="144"/>
        <v/>
      </c>
      <c r="M445" s="296" t="str">
        <f t="shared" si="144"/>
        <v/>
      </c>
      <c r="N445" s="296" t="str">
        <f t="shared" si="144"/>
        <v/>
      </c>
      <c r="O445" s="296" t="str">
        <f t="shared" si="144"/>
        <v/>
      </c>
      <c r="P445" s="296" t="str">
        <f t="shared" si="144"/>
        <v/>
      </c>
      <c r="Q445" s="277"/>
      <c r="R445" s="295"/>
      <c r="S445" s="295"/>
      <c r="T445" s="295"/>
      <c r="U445" s="295"/>
      <c r="V445" s="297"/>
      <c r="W445" s="260"/>
      <c r="Y445" s="285"/>
    </row>
    <row r="446" spans="1:31">
      <c r="A446" s="305"/>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83" t="str">
        <f>IF(P447="","",IF(U446&lt;5,IF(S446&gt;1900,IF(S446&lt;2250,"Pass","Fail"),"Fail"),"Fail"))</f>
        <v/>
      </c>
      <c r="W446" s="298"/>
      <c r="Y446" s="285"/>
      <c r="Z446" s="286">
        <v>1600</v>
      </c>
      <c r="AA446" s="286">
        <v>2600</v>
      </c>
      <c r="AB446" s="287">
        <v>1900</v>
      </c>
      <c r="AC446" s="287">
        <v>2250</v>
      </c>
      <c r="AD446" s="288">
        <v>10</v>
      </c>
      <c r="AE446" s="288">
        <v>3.6</v>
      </c>
    </row>
    <row r="447" spans="1:31">
      <c r="A447" s="307"/>
      <c r="B447" s="290"/>
      <c r="C447" s="290" t="s">
        <v>78</v>
      </c>
      <c r="Q447" s="290"/>
      <c r="R447" s="290"/>
      <c r="S447" s="290"/>
      <c r="T447" s="290"/>
      <c r="U447" s="290"/>
      <c r="V447" s="291"/>
      <c r="W447" s="251"/>
      <c r="Y447" s="285"/>
    </row>
    <row r="448" spans="1:31" ht="32.25" thickBot="1">
      <c r="A448" s="308"/>
      <c r="B448" s="295"/>
      <c r="C448" s="256" t="s">
        <v>221</v>
      </c>
      <c r="D448" s="296" t="str">
        <f t="shared" ref="D448:P448" si="145">IF(((D446="")*AND(D447="")),"",(D446-D447)*2)</f>
        <v/>
      </c>
      <c r="E448" s="296" t="str">
        <f t="shared" si="145"/>
        <v/>
      </c>
      <c r="F448" s="296" t="str">
        <f t="shared" si="145"/>
        <v/>
      </c>
      <c r="G448" s="296" t="str">
        <f t="shared" si="145"/>
        <v/>
      </c>
      <c r="H448" s="296" t="str">
        <f t="shared" si="145"/>
        <v/>
      </c>
      <c r="I448" s="296" t="str">
        <f t="shared" si="145"/>
        <v/>
      </c>
      <c r="J448" s="296" t="str">
        <f t="shared" si="145"/>
        <v/>
      </c>
      <c r="K448" s="296" t="str">
        <f t="shared" si="145"/>
        <v/>
      </c>
      <c r="L448" s="296" t="str">
        <f t="shared" si="145"/>
        <v/>
      </c>
      <c r="M448" s="296" t="str">
        <f t="shared" si="145"/>
        <v/>
      </c>
      <c r="N448" s="296" t="str">
        <f t="shared" si="145"/>
        <v/>
      </c>
      <c r="O448" s="296" t="str">
        <f t="shared" si="145"/>
        <v/>
      </c>
      <c r="P448" s="296" t="str">
        <f t="shared" si="145"/>
        <v/>
      </c>
      <c r="Q448" s="277"/>
      <c r="R448" s="295"/>
      <c r="S448" s="295"/>
      <c r="T448" s="295"/>
      <c r="U448" s="295"/>
      <c r="V448" s="297"/>
      <c r="W448" s="260"/>
      <c r="Y448" s="285"/>
    </row>
    <row r="449" spans="1:31">
      <c r="A449" s="305"/>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83" t="str">
        <f>IF(P450="","",IF(U449&lt;5,IF(S449&gt;1900,IF(S449&lt;2250,"Pass","Fail"),"Fail"),"Fail"))</f>
        <v/>
      </c>
      <c r="W449" s="298"/>
      <c r="Y449" s="285"/>
      <c r="Z449" s="286">
        <v>1600</v>
      </c>
      <c r="AA449" s="286">
        <v>2600</v>
      </c>
      <c r="AB449" s="287">
        <v>1900</v>
      </c>
      <c r="AC449" s="287">
        <v>2250</v>
      </c>
      <c r="AD449" s="288">
        <v>10</v>
      </c>
      <c r="AE449" s="288">
        <v>3.6</v>
      </c>
    </row>
    <row r="450" spans="1:31">
      <c r="A450" s="307"/>
      <c r="B450" s="290"/>
      <c r="C450" s="290" t="s">
        <v>78</v>
      </c>
      <c r="Q450" s="290"/>
      <c r="R450" s="290"/>
      <c r="S450" s="290"/>
      <c r="T450" s="290"/>
      <c r="U450" s="290"/>
      <c r="V450" s="291"/>
      <c r="W450" s="251"/>
      <c r="Y450" s="285"/>
    </row>
    <row r="451" spans="1:31" ht="32.25" thickBot="1">
      <c r="A451" s="308"/>
      <c r="B451" s="295"/>
      <c r="C451" s="256" t="s">
        <v>221</v>
      </c>
      <c r="D451" s="296" t="str">
        <f t="shared" ref="D451:P451" si="146">IF(((D449="")*AND(D450="")),"",(D449-D450)*2)</f>
        <v/>
      </c>
      <c r="E451" s="296" t="str">
        <f t="shared" si="146"/>
        <v/>
      </c>
      <c r="F451" s="296" t="str">
        <f t="shared" si="146"/>
        <v/>
      </c>
      <c r="G451" s="296" t="str">
        <f t="shared" si="146"/>
        <v/>
      </c>
      <c r="H451" s="296" t="str">
        <f t="shared" si="146"/>
        <v/>
      </c>
      <c r="I451" s="296" t="str">
        <f t="shared" si="146"/>
        <v/>
      </c>
      <c r="J451" s="296" t="str">
        <f t="shared" si="146"/>
        <v/>
      </c>
      <c r="K451" s="296" t="str">
        <f t="shared" si="146"/>
        <v/>
      </c>
      <c r="L451" s="296" t="str">
        <f t="shared" si="146"/>
        <v/>
      </c>
      <c r="M451" s="296" t="str">
        <f t="shared" si="146"/>
        <v/>
      </c>
      <c r="N451" s="296" t="str">
        <f t="shared" si="146"/>
        <v/>
      </c>
      <c r="O451" s="296" t="str">
        <f t="shared" si="146"/>
        <v/>
      </c>
      <c r="P451" s="296" t="str">
        <f t="shared" si="146"/>
        <v/>
      </c>
      <c r="Q451" s="277"/>
      <c r="R451" s="295"/>
      <c r="S451" s="295"/>
      <c r="T451" s="295"/>
      <c r="U451" s="295"/>
      <c r="V451" s="297"/>
      <c r="W451" s="260"/>
      <c r="Y451" s="285"/>
    </row>
    <row r="452" spans="1:31">
      <c r="A452" s="305"/>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83" t="str">
        <f>IF(P453="","",IF(U452&lt;5,IF(S452&gt;1900,IF(S452&lt;2250,"Pass","Fail"),"Fail"),"Fail"))</f>
        <v/>
      </c>
      <c r="W452" s="298"/>
      <c r="Y452" s="285"/>
      <c r="Z452" s="286">
        <v>1600</v>
      </c>
      <c r="AA452" s="286">
        <v>2600</v>
      </c>
      <c r="AB452" s="287">
        <v>1900</v>
      </c>
      <c r="AC452" s="287">
        <v>2250</v>
      </c>
      <c r="AD452" s="288">
        <v>10</v>
      </c>
      <c r="AE452" s="288">
        <v>3.6</v>
      </c>
    </row>
    <row r="453" spans="1:31">
      <c r="A453" s="307"/>
      <c r="B453" s="290"/>
      <c r="C453" s="290" t="s">
        <v>78</v>
      </c>
      <c r="Q453" s="290"/>
      <c r="R453" s="290"/>
      <c r="S453" s="290"/>
      <c r="T453" s="290"/>
      <c r="U453" s="290"/>
      <c r="V453" s="291"/>
      <c r="W453" s="251"/>
      <c r="Y453" s="285"/>
    </row>
    <row r="454" spans="1:31" ht="32.25" thickBot="1">
      <c r="A454" s="308"/>
      <c r="B454" s="295"/>
      <c r="C454" s="256" t="s">
        <v>221</v>
      </c>
      <c r="D454" s="296" t="str">
        <f t="shared" ref="D454:P454" si="147">IF(((D452="")*AND(D453="")),"",(D452-D453)*2)</f>
        <v/>
      </c>
      <c r="E454" s="296" t="str">
        <f t="shared" si="147"/>
        <v/>
      </c>
      <c r="F454" s="296" t="str">
        <f t="shared" si="147"/>
        <v/>
      </c>
      <c r="G454" s="296" t="str">
        <f t="shared" si="147"/>
        <v/>
      </c>
      <c r="H454" s="296" t="str">
        <f t="shared" si="147"/>
        <v/>
      </c>
      <c r="I454" s="296" t="str">
        <f t="shared" si="147"/>
        <v/>
      </c>
      <c r="J454" s="296" t="str">
        <f t="shared" si="147"/>
        <v/>
      </c>
      <c r="K454" s="296" t="str">
        <f t="shared" si="147"/>
        <v/>
      </c>
      <c r="L454" s="296" t="str">
        <f t="shared" si="147"/>
        <v/>
      </c>
      <c r="M454" s="296" t="str">
        <f t="shared" si="147"/>
        <v/>
      </c>
      <c r="N454" s="296" t="str">
        <f t="shared" si="147"/>
        <v/>
      </c>
      <c r="O454" s="296" t="str">
        <f t="shared" si="147"/>
        <v/>
      </c>
      <c r="P454" s="296" t="str">
        <f t="shared" si="147"/>
        <v/>
      </c>
      <c r="Q454" s="277"/>
      <c r="R454" s="295"/>
      <c r="S454" s="295"/>
      <c r="T454" s="295"/>
      <c r="U454" s="295"/>
      <c r="V454" s="297"/>
      <c r="W454" s="260"/>
      <c r="Y454" s="285"/>
    </row>
    <row r="455" spans="1:31">
      <c r="A455" s="305"/>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83" t="str">
        <f>IF(P456="","",IF(U455&lt;5,IF(S455&gt;1900,IF(S455&lt;2250,"Pass","Fail"),"Fail"),"Fail"))</f>
        <v/>
      </c>
      <c r="W455" s="298"/>
      <c r="Y455" s="285"/>
      <c r="Z455" s="286">
        <v>1600</v>
      </c>
      <c r="AA455" s="286">
        <v>2600</v>
      </c>
      <c r="AB455" s="287">
        <v>1900</v>
      </c>
      <c r="AC455" s="287">
        <v>2250</v>
      </c>
      <c r="AD455" s="288">
        <v>10</v>
      </c>
      <c r="AE455" s="288">
        <v>3.6</v>
      </c>
    </row>
    <row r="456" spans="1:31">
      <c r="A456" s="307"/>
      <c r="B456" s="290"/>
      <c r="C456" s="290" t="s">
        <v>78</v>
      </c>
      <c r="Q456" s="290"/>
      <c r="R456" s="290"/>
      <c r="S456" s="290"/>
      <c r="T456" s="290"/>
      <c r="U456" s="290"/>
      <c r="V456" s="291"/>
      <c r="W456" s="251"/>
      <c r="Y456" s="285"/>
    </row>
    <row r="457" spans="1:31" ht="32.25" thickBot="1">
      <c r="A457" s="308"/>
      <c r="B457" s="295"/>
      <c r="C457" s="256" t="s">
        <v>221</v>
      </c>
      <c r="D457" s="296" t="str">
        <f t="shared" ref="D457:P457" si="148">IF(((D455="")*AND(D456="")),"",(D455-D456)*2)</f>
        <v/>
      </c>
      <c r="E457" s="296" t="str">
        <f t="shared" si="148"/>
        <v/>
      </c>
      <c r="F457" s="296" t="str">
        <f t="shared" si="148"/>
        <v/>
      </c>
      <c r="G457" s="296" t="str">
        <f t="shared" si="148"/>
        <v/>
      </c>
      <c r="H457" s="296" t="str">
        <f t="shared" si="148"/>
        <v/>
      </c>
      <c r="I457" s="296" t="str">
        <f t="shared" si="148"/>
        <v/>
      </c>
      <c r="J457" s="296" t="str">
        <f t="shared" si="148"/>
        <v/>
      </c>
      <c r="K457" s="296" t="str">
        <f t="shared" si="148"/>
        <v/>
      </c>
      <c r="L457" s="296" t="str">
        <f t="shared" si="148"/>
        <v/>
      </c>
      <c r="M457" s="296" t="str">
        <f t="shared" si="148"/>
        <v/>
      </c>
      <c r="N457" s="296" t="str">
        <f t="shared" si="148"/>
        <v/>
      </c>
      <c r="O457" s="296" t="str">
        <f t="shared" si="148"/>
        <v/>
      </c>
      <c r="P457" s="296" t="str">
        <f t="shared" si="148"/>
        <v/>
      </c>
      <c r="Q457" s="277"/>
      <c r="R457" s="295"/>
      <c r="S457" s="295"/>
      <c r="T457" s="295"/>
      <c r="U457" s="295"/>
      <c r="V457" s="297"/>
      <c r="W457" s="260"/>
      <c r="Y457" s="285"/>
    </row>
    <row r="458" spans="1:31">
      <c r="A458" s="305"/>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83" t="str">
        <f>IF(P459="","",IF(U458&lt;5,IF(S458&gt;1900,IF(S458&lt;2250,"Pass","Fail"),"Fail"),"Fail"))</f>
        <v/>
      </c>
      <c r="W458" s="298"/>
      <c r="Y458" s="285"/>
      <c r="Z458" s="286">
        <v>1600</v>
      </c>
      <c r="AA458" s="286">
        <v>2600</v>
      </c>
      <c r="AB458" s="287">
        <v>1900</v>
      </c>
      <c r="AC458" s="287">
        <v>2250</v>
      </c>
      <c r="AD458" s="288">
        <v>10</v>
      </c>
      <c r="AE458" s="288">
        <v>3.6</v>
      </c>
    </row>
    <row r="459" spans="1:31">
      <c r="A459" s="307"/>
      <c r="B459" s="290"/>
      <c r="C459" s="290" t="s">
        <v>78</v>
      </c>
      <c r="Q459" s="290"/>
      <c r="R459" s="290"/>
      <c r="S459" s="290"/>
      <c r="T459" s="290"/>
      <c r="U459" s="290"/>
      <c r="V459" s="291"/>
      <c r="W459" s="251"/>
      <c r="Y459" s="285"/>
    </row>
    <row r="460" spans="1:31" ht="32.25" thickBot="1">
      <c r="A460" s="308"/>
      <c r="B460" s="295"/>
      <c r="C460" s="256" t="s">
        <v>221</v>
      </c>
      <c r="D460" s="296" t="str">
        <f t="shared" ref="D460:P460" si="149">IF(((D458="")*AND(D459="")),"",(D458-D459)*2)</f>
        <v/>
      </c>
      <c r="E460" s="296" t="str">
        <f t="shared" si="149"/>
        <v/>
      </c>
      <c r="F460" s="296" t="str">
        <f t="shared" si="149"/>
        <v/>
      </c>
      <c r="G460" s="296" t="str">
        <f t="shared" si="149"/>
        <v/>
      </c>
      <c r="H460" s="296" t="str">
        <f t="shared" si="149"/>
        <v/>
      </c>
      <c r="I460" s="296" t="str">
        <f t="shared" si="149"/>
        <v/>
      </c>
      <c r="J460" s="296" t="str">
        <f t="shared" si="149"/>
        <v/>
      </c>
      <c r="K460" s="296" t="str">
        <f t="shared" si="149"/>
        <v/>
      </c>
      <c r="L460" s="296" t="str">
        <f t="shared" si="149"/>
        <v/>
      </c>
      <c r="M460" s="296" t="str">
        <f t="shared" si="149"/>
        <v/>
      </c>
      <c r="N460" s="296" t="str">
        <f t="shared" si="149"/>
        <v/>
      </c>
      <c r="O460" s="296" t="str">
        <f t="shared" si="149"/>
        <v/>
      </c>
      <c r="P460" s="296" t="str">
        <f t="shared" si="149"/>
        <v/>
      </c>
      <c r="Q460" s="277"/>
      <c r="R460" s="295"/>
      <c r="S460" s="295"/>
      <c r="T460" s="295"/>
      <c r="U460" s="295"/>
      <c r="V460" s="297"/>
      <c r="W460" s="260"/>
      <c r="Y460" s="285"/>
    </row>
    <row r="461" spans="1:31">
      <c r="A461" s="305"/>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83" t="str">
        <f>IF(P462="","",IF(U461&lt;5,IF(S461&gt;1900,IF(S461&lt;2250,"Pass","Fail"),"Fail"),"Fail"))</f>
        <v/>
      </c>
      <c r="W461" s="298"/>
      <c r="Y461" s="285"/>
      <c r="Z461" s="286">
        <v>1600</v>
      </c>
      <c r="AA461" s="286">
        <v>2600</v>
      </c>
      <c r="AB461" s="287">
        <v>1900</v>
      </c>
      <c r="AC461" s="287">
        <v>2250</v>
      </c>
      <c r="AD461" s="288">
        <v>10</v>
      </c>
      <c r="AE461" s="288">
        <v>3.6</v>
      </c>
    </row>
    <row r="462" spans="1:31">
      <c r="A462" s="307"/>
      <c r="B462" s="290"/>
      <c r="C462" s="290" t="s">
        <v>78</v>
      </c>
      <c r="Q462" s="290"/>
      <c r="R462" s="290"/>
      <c r="S462" s="290"/>
      <c r="T462" s="290"/>
      <c r="U462" s="290"/>
      <c r="V462" s="291"/>
      <c r="W462" s="251"/>
      <c r="Y462" s="285"/>
    </row>
    <row r="463" spans="1:31" ht="32.25" thickBot="1">
      <c r="A463" s="308"/>
      <c r="B463" s="295"/>
      <c r="C463" s="256" t="s">
        <v>221</v>
      </c>
      <c r="D463" s="296" t="str">
        <f t="shared" ref="D463:P463" si="150">IF(((D461="")*AND(D462="")),"",(D461-D462)*2)</f>
        <v/>
      </c>
      <c r="E463" s="296" t="str">
        <f t="shared" si="150"/>
        <v/>
      </c>
      <c r="F463" s="296" t="str">
        <f t="shared" si="150"/>
        <v/>
      </c>
      <c r="G463" s="296" t="str">
        <f t="shared" si="150"/>
        <v/>
      </c>
      <c r="H463" s="296" t="str">
        <f t="shared" si="150"/>
        <v/>
      </c>
      <c r="I463" s="296" t="str">
        <f t="shared" si="150"/>
        <v/>
      </c>
      <c r="J463" s="296" t="str">
        <f t="shared" si="150"/>
        <v/>
      </c>
      <c r="K463" s="296" t="str">
        <f t="shared" si="150"/>
        <v/>
      </c>
      <c r="L463" s="296" t="str">
        <f t="shared" si="150"/>
        <v/>
      </c>
      <c r="M463" s="296" t="str">
        <f t="shared" si="150"/>
        <v/>
      </c>
      <c r="N463" s="296" t="str">
        <f t="shared" si="150"/>
        <v/>
      </c>
      <c r="O463" s="296" t="str">
        <f t="shared" si="150"/>
        <v/>
      </c>
      <c r="P463" s="296" t="str">
        <f t="shared" si="150"/>
        <v/>
      </c>
      <c r="Q463" s="277"/>
      <c r="R463" s="295"/>
      <c r="S463" s="295"/>
      <c r="T463" s="295"/>
      <c r="U463" s="295"/>
      <c r="V463" s="297"/>
      <c r="W463" s="260"/>
      <c r="Y463" s="285"/>
    </row>
    <row r="464" spans="1:31">
      <c r="A464" s="305"/>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83" t="str">
        <f>IF(P465="","",IF(U464&lt;5,IF(S464&gt;1900,IF(S464&lt;2250,"Pass","Fail"),"Fail"),"Fail"))</f>
        <v/>
      </c>
      <c r="W464" s="298"/>
      <c r="Y464" s="285"/>
      <c r="Z464" s="286">
        <v>1600</v>
      </c>
      <c r="AA464" s="286">
        <v>2600</v>
      </c>
      <c r="AB464" s="287">
        <v>1900</v>
      </c>
      <c r="AC464" s="287">
        <v>2250</v>
      </c>
      <c r="AD464" s="288">
        <v>10</v>
      </c>
      <c r="AE464" s="288">
        <v>3.6</v>
      </c>
    </row>
    <row r="465" spans="1:31">
      <c r="A465" s="307"/>
      <c r="B465" s="290"/>
      <c r="C465" s="290" t="s">
        <v>78</v>
      </c>
      <c r="Q465" s="290"/>
      <c r="R465" s="290"/>
      <c r="S465" s="290"/>
      <c r="T465" s="290"/>
      <c r="U465" s="290"/>
      <c r="V465" s="291"/>
      <c r="W465" s="251"/>
      <c r="Y465" s="285"/>
    </row>
    <row r="466" spans="1:31" ht="32.25" thickBot="1">
      <c r="A466" s="308"/>
      <c r="B466" s="295"/>
      <c r="C466" s="256" t="s">
        <v>221</v>
      </c>
      <c r="D466" s="296" t="str">
        <f t="shared" ref="D466:P466" si="151">IF(((D464="")*AND(D465="")),"",(D464-D465)*2)</f>
        <v/>
      </c>
      <c r="E466" s="296" t="str">
        <f t="shared" si="151"/>
        <v/>
      </c>
      <c r="F466" s="296" t="str">
        <f t="shared" si="151"/>
        <v/>
      </c>
      <c r="G466" s="296" t="str">
        <f t="shared" si="151"/>
        <v/>
      </c>
      <c r="H466" s="296" t="str">
        <f t="shared" si="151"/>
        <v/>
      </c>
      <c r="I466" s="296" t="str">
        <f t="shared" si="151"/>
        <v/>
      </c>
      <c r="J466" s="296" t="str">
        <f t="shared" si="151"/>
        <v/>
      </c>
      <c r="K466" s="296" t="str">
        <f t="shared" si="151"/>
        <v/>
      </c>
      <c r="L466" s="296" t="str">
        <f t="shared" si="151"/>
        <v/>
      </c>
      <c r="M466" s="296" t="str">
        <f t="shared" si="151"/>
        <v/>
      </c>
      <c r="N466" s="296" t="str">
        <f t="shared" si="151"/>
        <v/>
      </c>
      <c r="O466" s="296" t="str">
        <f t="shared" si="151"/>
        <v/>
      </c>
      <c r="P466" s="296" t="str">
        <f t="shared" si="151"/>
        <v/>
      </c>
      <c r="Q466" s="277"/>
      <c r="R466" s="295"/>
      <c r="S466" s="295"/>
      <c r="T466" s="295"/>
      <c r="U466" s="295"/>
      <c r="V466" s="297"/>
      <c r="W466" s="260"/>
      <c r="Y466" s="285"/>
    </row>
    <row r="467" spans="1:31">
      <c r="A467" s="305"/>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83" t="str">
        <f>IF(P468="","",IF(U467&lt;5,IF(S467&gt;1900,IF(S467&lt;2250,"Pass","Fail"),"Fail"),"Fail"))</f>
        <v/>
      </c>
      <c r="W467" s="298"/>
      <c r="Y467" s="285"/>
      <c r="Z467" s="286">
        <v>1600</v>
      </c>
      <c r="AA467" s="286">
        <v>2600</v>
      </c>
      <c r="AB467" s="287">
        <v>1900</v>
      </c>
      <c r="AC467" s="287">
        <v>2250</v>
      </c>
      <c r="AD467" s="288">
        <v>10</v>
      </c>
      <c r="AE467" s="288">
        <v>3.6</v>
      </c>
    </row>
    <row r="468" spans="1:31">
      <c r="A468" s="307"/>
      <c r="B468" s="290"/>
      <c r="C468" s="290" t="s">
        <v>78</v>
      </c>
      <c r="Q468" s="290"/>
      <c r="R468" s="290"/>
      <c r="S468" s="290"/>
      <c r="T468" s="290"/>
      <c r="U468" s="290"/>
      <c r="V468" s="291"/>
      <c r="W468" s="251"/>
      <c r="Y468" s="285"/>
    </row>
    <row r="469" spans="1:31" ht="32.25" thickBot="1">
      <c r="A469" s="308"/>
      <c r="B469" s="295"/>
      <c r="C469" s="256" t="s">
        <v>221</v>
      </c>
      <c r="D469" s="296" t="str">
        <f t="shared" ref="D469:P469" si="152">IF(((D467="")*AND(D468="")),"",(D467-D468)*2)</f>
        <v/>
      </c>
      <c r="E469" s="296" t="str">
        <f t="shared" si="152"/>
        <v/>
      </c>
      <c r="F469" s="296" t="str">
        <f t="shared" si="152"/>
        <v/>
      </c>
      <c r="G469" s="296" t="str">
        <f t="shared" si="152"/>
        <v/>
      </c>
      <c r="H469" s="296" t="str">
        <f t="shared" si="152"/>
        <v/>
      </c>
      <c r="I469" s="296" t="str">
        <f t="shared" si="152"/>
        <v/>
      </c>
      <c r="J469" s="296" t="str">
        <f t="shared" si="152"/>
        <v/>
      </c>
      <c r="K469" s="296" t="str">
        <f t="shared" si="152"/>
        <v/>
      </c>
      <c r="L469" s="296" t="str">
        <f t="shared" si="152"/>
        <v/>
      </c>
      <c r="M469" s="296" t="str">
        <f t="shared" si="152"/>
        <v/>
      </c>
      <c r="N469" s="296" t="str">
        <f t="shared" si="152"/>
        <v/>
      </c>
      <c r="O469" s="296" t="str">
        <f t="shared" si="152"/>
        <v/>
      </c>
      <c r="P469" s="296" t="str">
        <f t="shared" si="152"/>
        <v/>
      </c>
      <c r="Q469" s="277"/>
      <c r="R469" s="295"/>
      <c r="S469" s="295"/>
      <c r="T469" s="295"/>
      <c r="U469" s="295"/>
      <c r="V469" s="297"/>
      <c r="W469" s="260"/>
      <c r="Y469" s="285"/>
    </row>
    <row r="470" spans="1:31">
      <c r="A470" s="305"/>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83" t="str">
        <f>IF(P471="","",IF(U470&lt;5,IF(S470&gt;1900,IF(S470&lt;2250,"Pass","Fail"),"Fail"),"Fail"))</f>
        <v/>
      </c>
      <c r="W470" s="298"/>
      <c r="Y470" s="285"/>
      <c r="Z470" s="286">
        <v>1600</v>
      </c>
      <c r="AA470" s="286">
        <v>2600</v>
      </c>
      <c r="AB470" s="287">
        <v>1900</v>
      </c>
      <c r="AC470" s="287">
        <v>2250</v>
      </c>
      <c r="AD470" s="288">
        <v>10</v>
      </c>
      <c r="AE470" s="288">
        <v>3.6</v>
      </c>
    </row>
    <row r="471" spans="1:31">
      <c r="A471" s="307"/>
      <c r="B471" s="290"/>
      <c r="C471" s="290" t="s">
        <v>78</v>
      </c>
      <c r="Q471" s="290"/>
      <c r="R471" s="290"/>
      <c r="S471" s="290"/>
      <c r="T471" s="290"/>
      <c r="U471" s="290"/>
      <c r="V471" s="291"/>
      <c r="W471" s="251"/>
      <c r="Y471" s="285"/>
    </row>
    <row r="472" spans="1:31" ht="32.25" thickBot="1">
      <c r="A472" s="308"/>
      <c r="B472" s="295"/>
      <c r="C472" s="256" t="s">
        <v>221</v>
      </c>
      <c r="D472" s="296" t="str">
        <f t="shared" ref="D472:P472" si="153">IF(((D470="")*AND(D471="")),"",(D470-D471)*2)</f>
        <v/>
      </c>
      <c r="E472" s="296" t="str">
        <f t="shared" si="153"/>
        <v/>
      </c>
      <c r="F472" s="296" t="str">
        <f t="shared" si="153"/>
        <v/>
      </c>
      <c r="G472" s="296" t="str">
        <f t="shared" si="153"/>
        <v/>
      </c>
      <c r="H472" s="296" t="str">
        <f t="shared" si="153"/>
        <v/>
      </c>
      <c r="I472" s="296" t="str">
        <f t="shared" si="153"/>
        <v/>
      </c>
      <c r="J472" s="296" t="str">
        <f t="shared" si="153"/>
        <v/>
      </c>
      <c r="K472" s="296" t="str">
        <f t="shared" si="153"/>
        <v/>
      </c>
      <c r="L472" s="296" t="str">
        <f t="shared" si="153"/>
        <v/>
      </c>
      <c r="M472" s="296" t="str">
        <f t="shared" si="153"/>
        <v/>
      </c>
      <c r="N472" s="296" t="str">
        <f t="shared" si="153"/>
        <v/>
      </c>
      <c r="O472" s="296" t="str">
        <f t="shared" si="153"/>
        <v/>
      </c>
      <c r="P472" s="296" t="str">
        <f t="shared" si="153"/>
        <v/>
      </c>
      <c r="Q472" s="277"/>
      <c r="R472" s="295"/>
      <c r="S472" s="295"/>
      <c r="T472" s="295"/>
      <c r="U472" s="295"/>
      <c r="V472" s="297"/>
      <c r="W472" s="260"/>
      <c r="Y472" s="285"/>
    </row>
    <row r="473" spans="1:31">
      <c r="A473" s="305"/>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83" t="str">
        <f>IF(P474="","",IF(U473&lt;5,IF(S473&gt;1900,IF(S473&lt;2250,"Pass","Fail"),"Fail"),"Fail"))</f>
        <v/>
      </c>
      <c r="W473" s="298"/>
      <c r="Y473" s="285"/>
      <c r="Z473" s="286">
        <v>1600</v>
      </c>
      <c r="AA473" s="286">
        <v>2600</v>
      </c>
      <c r="AB473" s="287">
        <v>1900</v>
      </c>
      <c r="AC473" s="287">
        <v>2250</v>
      </c>
      <c r="AD473" s="288">
        <v>10</v>
      </c>
      <c r="AE473" s="288">
        <v>3.6</v>
      </c>
    </row>
    <row r="474" spans="1:31">
      <c r="A474" s="307"/>
      <c r="B474" s="290"/>
      <c r="C474" s="290" t="s">
        <v>78</v>
      </c>
      <c r="Q474" s="290"/>
      <c r="R474" s="290"/>
      <c r="S474" s="290"/>
      <c r="T474" s="290"/>
      <c r="U474" s="290"/>
      <c r="V474" s="291"/>
      <c r="W474" s="251"/>
      <c r="Y474" s="285"/>
    </row>
    <row r="475" spans="1:31" ht="32.25" thickBot="1">
      <c r="A475" s="308"/>
      <c r="B475" s="295"/>
      <c r="C475" s="256" t="s">
        <v>221</v>
      </c>
      <c r="D475" s="296" t="str">
        <f t="shared" ref="D475:P475" si="154">IF(((D473="")*AND(D474="")),"",(D473-D474)*2)</f>
        <v/>
      </c>
      <c r="E475" s="296" t="str">
        <f t="shared" si="154"/>
        <v/>
      </c>
      <c r="F475" s="296" t="str">
        <f t="shared" si="154"/>
        <v/>
      </c>
      <c r="G475" s="296" t="str">
        <f t="shared" si="154"/>
        <v/>
      </c>
      <c r="H475" s="296" t="str">
        <f t="shared" si="154"/>
        <v/>
      </c>
      <c r="I475" s="296" t="str">
        <f t="shared" si="154"/>
        <v/>
      </c>
      <c r="J475" s="296" t="str">
        <f t="shared" si="154"/>
        <v/>
      </c>
      <c r="K475" s="296" t="str">
        <f t="shared" si="154"/>
        <v/>
      </c>
      <c r="L475" s="296" t="str">
        <f t="shared" si="154"/>
        <v/>
      </c>
      <c r="M475" s="296" t="str">
        <f t="shared" si="154"/>
        <v/>
      </c>
      <c r="N475" s="296" t="str">
        <f t="shared" si="154"/>
        <v/>
      </c>
      <c r="O475" s="296" t="str">
        <f t="shared" si="154"/>
        <v/>
      </c>
      <c r="P475" s="296" t="str">
        <f t="shared" si="154"/>
        <v/>
      </c>
      <c r="Q475" s="277"/>
      <c r="R475" s="295"/>
      <c r="S475" s="295"/>
      <c r="T475" s="295"/>
      <c r="U475" s="295"/>
      <c r="V475" s="297"/>
      <c r="W475" s="260"/>
      <c r="Y475" s="285"/>
    </row>
    <row r="476" spans="1:31">
      <c r="A476" s="305"/>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83" t="str">
        <f>IF(P477="","",IF(U476&lt;5,IF(S476&gt;1900,IF(S476&lt;2250,"Pass","Fail"),"Fail"),"Fail"))</f>
        <v/>
      </c>
      <c r="W476" s="298"/>
      <c r="Y476" s="285"/>
      <c r="Z476" s="286">
        <v>1600</v>
      </c>
      <c r="AA476" s="286">
        <v>2600</v>
      </c>
      <c r="AB476" s="287">
        <v>1900</v>
      </c>
      <c r="AC476" s="287">
        <v>2250</v>
      </c>
      <c r="AD476" s="288">
        <v>10</v>
      </c>
      <c r="AE476" s="288">
        <v>3.6</v>
      </c>
    </row>
    <row r="477" spans="1:31">
      <c r="A477" s="307"/>
      <c r="B477" s="290"/>
      <c r="C477" s="290" t="s">
        <v>78</v>
      </c>
      <c r="Q477" s="290"/>
      <c r="R477" s="290"/>
      <c r="S477" s="290"/>
      <c r="T477" s="290"/>
      <c r="U477" s="290"/>
      <c r="V477" s="291"/>
      <c r="W477" s="251"/>
      <c r="Y477" s="285"/>
    </row>
    <row r="478" spans="1:31" ht="32.25" thickBot="1">
      <c r="A478" s="308"/>
      <c r="B478" s="295"/>
      <c r="C478" s="256" t="s">
        <v>221</v>
      </c>
      <c r="D478" s="296" t="str">
        <f t="shared" ref="D478:P478" si="155">IF(((D476="")*AND(D477="")),"",(D476-D477)*2)</f>
        <v/>
      </c>
      <c r="E478" s="296" t="str">
        <f t="shared" si="155"/>
        <v/>
      </c>
      <c r="F478" s="296" t="str">
        <f t="shared" si="155"/>
        <v/>
      </c>
      <c r="G478" s="296" t="str">
        <f t="shared" si="155"/>
        <v/>
      </c>
      <c r="H478" s="296" t="str">
        <f t="shared" si="155"/>
        <v/>
      </c>
      <c r="I478" s="296" t="str">
        <f t="shared" si="155"/>
        <v/>
      </c>
      <c r="J478" s="296" t="str">
        <f t="shared" si="155"/>
        <v/>
      </c>
      <c r="K478" s="296" t="str">
        <f t="shared" si="155"/>
        <v/>
      </c>
      <c r="L478" s="296" t="str">
        <f t="shared" si="155"/>
        <v/>
      </c>
      <c r="M478" s="296" t="str">
        <f t="shared" si="155"/>
        <v/>
      </c>
      <c r="N478" s="296" t="str">
        <f t="shared" si="155"/>
        <v/>
      </c>
      <c r="O478" s="296" t="str">
        <f t="shared" si="155"/>
        <v/>
      </c>
      <c r="P478" s="296" t="str">
        <f t="shared" si="155"/>
        <v/>
      </c>
      <c r="Q478" s="277"/>
      <c r="R478" s="295"/>
      <c r="S478" s="295"/>
      <c r="T478" s="295"/>
      <c r="U478" s="295"/>
      <c r="V478" s="297"/>
      <c r="W478" s="260"/>
      <c r="Y478" s="285"/>
    </row>
    <row r="479" spans="1:31">
      <c r="A479" s="305"/>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83" t="str">
        <f>IF(P480="","",IF(U479&lt;5,IF(S479&gt;1900,IF(S479&lt;2250,"Pass","Fail"),"Fail"),"Fail"))</f>
        <v/>
      </c>
      <c r="W479" s="298"/>
      <c r="Y479" s="285"/>
      <c r="Z479" s="286">
        <v>1600</v>
      </c>
      <c r="AA479" s="286">
        <v>2600</v>
      </c>
      <c r="AB479" s="287">
        <v>1900</v>
      </c>
      <c r="AC479" s="287">
        <v>2250</v>
      </c>
      <c r="AD479" s="288">
        <v>10</v>
      </c>
      <c r="AE479" s="288">
        <v>3.6</v>
      </c>
    </row>
    <row r="480" spans="1:31">
      <c r="A480" s="307"/>
      <c r="B480" s="290"/>
      <c r="C480" s="290" t="s">
        <v>78</v>
      </c>
      <c r="Q480" s="290"/>
      <c r="R480" s="290"/>
      <c r="S480" s="290"/>
      <c r="T480" s="290"/>
      <c r="U480" s="290"/>
      <c r="V480" s="291"/>
      <c r="W480" s="251"/>
      <c r="Y480" s="285"/>
    </row>
    <row r="481" spans="1:31" ht="32.25" thickBot="1">
      <c r="A481" s="308"/>
      <c r="B481" s="295"/>
      <c r="C481" s="256" t="s">
        <v>221</v>
      </c>
      <c r="D481" s="296" t="str">
        <f t="shared" ref="D481:P481" si="156">IF(((D479="")*AND(D480="")),"",(D479-D480)*2)</f>
        <v/>
      </c>
      <c r="E481" s="296" t="str">
        <f t="shared" si="156"/>
        <v/>
      </c>
      <c r="F481" s="296" t="str">
        <f t="shared" si="156"/>
        <v/>
      </c>
      <c r="G481" s="296" t="str">
        <f t="shared" si="156"/>
        <v/>
      </c>
      <c r="H481" s="296" t="str">
        <f t="shared" si="156"/>
        <v/>
      </c>
      <c r="I481" s="296" t="str">
        <f t="shared" si="156"/>
        <v/>
      </c>
      <c r="J481" s="296" t="str">
        <f t="shared" si="156"/>
        <v/>
      </c>
      <c r="K481" s="296" t="str">
        <f t="shared" si="156"/>
        <v/>
      </c>
      <c r="L481" s="296" t="str">
        <f t="shared" si="156"/>
        <v/>
      </c>
      <c r="M481" s="296" t="str">
        <f t="shared" si="156"/>
        <v/>
      </c>
      <c r="N481" s="296" t="str">
        <f t="shared" si="156"/>
        <v/>
      </c>
      <c r="O481" s="296" t="str">
        <f t="shared" si="156"/>
        <v/>
      </c>
      <c r="P481" s="296" t="str">
        <f t="shared" si="156"/>
        <v/>
      </c>
      <c r="Q481" s="277"/>
      <c r="R481" s="295"/>
      <c r="S481" s="295"/>
      <c r="T481" s="295"/>
      <c r="U481" s="295"/>
      <c r="V481" s="297"/>
      <c r="W481" s="260"/>
      <c r="Y481" s="285"/>
    </row>
    <row r="482" spans="1:31">
      <c r="A482" s="305"/>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83" t="str">
        <f>IF(P483="","",IF(U482&lt;5,IF(S482&gt;1900,IF(S482&lt;2250,"Pass","Fail"),"Fail"),"Fail"))</f>
        <v/>
      </c>
      <c r="W482" s="298"/>
      <c r="Y482" s="285"/>
      <c r="Z482" s="286">
        <v>1600</v>
      </c>
      <c r="AA482" s="286">
        <v>2600</v>
      </c>
      <c r="AB482" s="287">
        <v>1900</v>
      </c>
      <c r="AC482" s="287">
        <v>2250</v>
      </c>
      <c r="AD482" s="288">
        <v>10</v>
      </c>
      <c r="AE482" s="288">
        <v>3.6</v>
      </c>
    </row>
    <row r="483" spans="1:31">
      <c r="A483" s="307"/>
      <c r="B483" s="290"/>
      <c r="C483" s="290" t="s">
        <v>78</v>
      </c>
      <c r="Q483" s="290"/>
      <c r="R483" s="290"/>
      <c r="S483" s="290"/>
      <c r="T483" s="290"/>
      <c r="U483" s="290"/>
      <c r="V483" s="291"/>
      <c r="W483" s="251"/>
      <c r="Y483" s="285"/>
    </row>
    <row r="484" spans="1:31" ht="32.25" thickBot="1">
      <c r="A484" s="308"/>
      <c r="B484" s="295"/>
      <c r="C484" s="256" t="s">
        <v>221</v>
      </c>
      <c r="D484" s="296" t="str">
        <f t="shared" ref="D484:P484" si="157">IF(((D482="")*AND(D483="")),"",(D482-D483)*2)</f>
        <v/>
      </c>
      <c r="E484" s="296" t="str">
        <f t="shared" si="157"/>
        <v/>
      </c>
      <c r="F484" s="296" t="str">
        <f t="shared" si="157"/>
        <v/>
      </c>
      <c r="G484" s="296" t="str">
        <f t="shared" si="157"/>
        <v/>
      </c>
      <c r="H484" s="296" t="str">
        <f t="shared" si="157"/>
        <v/>
      </c>
      <c r="I484" s="296" t="str">
        <f t="shared" si="157"/>
        <v/>
      </c>
      <c r="J484" s="296" t="str">
        <f t="shared" si="157"/>
        <v/>
      </c>
      <c r="K484" s="296" t="str">
        <f t="shared" si="157"/>
        <v/>
      </c>
      <c r="L484" s="296" t="str">
        <f t="shared" si="157"/>
        <v/>
      </c>
      <c r="M484" s="296" t="str">
        <f t="shared" si="157"/>
        <v/>
      </c>
      <c r="N484" s="296" t="str">
        <f t="shared" si="157"/>
        <v/>
      </c>
      <c r="O484" s="296" t="str">
        <f t="shared" si="157"/>
        <v/>
      </c>
      <c r="P484" s="296" t="str">
        <f t="shared" si="157"/>
        <v/>
      </c>
      <c r="Q484" s="277"/>
      <c r="R484" s="295"/>
      <c r="S484" s="295"/>
      <c r="T484" s="295"/>
      <c r="U484" s="295"/>
      <c r="V484" s="297"/>
      <c r="W484" s="260"/>
      <c r="Y484" s="285"/>
    </row>
    <row r="485" spans="1:31">
      <c r="A485" s="305"/>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83" t="str">
        <f>IF(P486="","",IF(U485&lt;5,IF(S485&gt;1900,IF(S485&lt;2250,"Pass","Fail"),"Fail"),"Fail"))</f>
        <v/>
      </c>
      <c r="W485" s="298"/>
      <c r="Y485" s="285"/>
      <c r="Z485" s="286">
        <v>1600</v>
      </c>
      <c r="AA485" s="286">
        <v>2600</v>
      </c>
      <c r="AB485" s="287">
        <v>1900</v>
      </c>
      <c r="AC485" s="287">
        <v>2250</v>
      </c>
      <c r="AD485" s="288">
        <v>10</v>
      </c>
      <c r="AE485" s="288">
        <v>3.6</v>
      </c>
    </row>
    <row r="486" spans="1:31">
      <c r="A486" s="307"/>
      <c r="B486" s="290"/>
      <c r="C486" s="290" t="s">
        <v>78</v>
      </c>
      <c r="Q486" s="290"/>
      <c r="R486" s="290"/>
      <c r="S486" s="290"/>
      <c r="T486" s="290"/>
      <c r="U486" s="290"/>
      <c r="V486" s="291"/>
      <c r="W486" s="251"/>
      <c r="Y486" s="285"/>
    </row>
    <row r="487" spans="1:31" ht="32.25" thickBot="1">
      <c r="A487" s="308"/>
      <c r="B487" s="295"/>
      <c r="C487" s="256" t="s">
        <v>221</v>
      </c>
      <c r="D487" s="296" t="str">
        <f t="shared" ref="D487:P487" si="158">IF(((D485="")*AND(D486="")),"",(D485-D486)*2)</f>
        <v/>
      </c>
      <c r="E487" s="296" t="str">
        <f t="shared" si="158"/>
        <v/>
      </c>
      <c r="F487" s="296" t="str">
        <f t="shared" si="158"/>
        <v/>
      </c>
      <c r="G487" s="296" t="str">
        <f t="shared" si="158"/>
        <v/>
      </c>
      <c r="H487" s="296" t="str">
        <f t="shared" si="158"/>
        <v/>
      </c>
      <c r="I487" s="296" t="str">
        <f t="shared" si="158"/>
        <v/>
      </c>
      <c r="J487" s="296" t="str">
        <f t="shared" si="158"/>
        <v/>
      </c>
      <c r="K487" s="296" t="str">
        <f t="shared" si="158"/>
        <v/>
      </c>
      <c r="L487" s="296" t="str">
        <f t="shared" si="158"/>
        <v/>
      </c>
      <c r="M487" s="296" t="str">
        <f t="shared" si="158"/>
        <v/>
      </c>
      <c r="N487" s="296" t="str">
        <f t="shared" si="158"/>
        <v/>
      </c>
      <c r="O487" s="296" t="str">
        <f t="shared" si="158"/>
        <v/>
      </c>
      <c r="P487" s="296" t="str">
        <f t="shared" si="158"/>
        <v/>
      </c>
      <c r="Q487" s="277"/>
      <c r="R487" s="295"/>
      <c r="S487" s="295"/>
      <c r="T487" s="295"/>
      <c r="U487" s="295"/>
      <c r="V487" s="297"/>
      <c r="W487" s="260"/>
      <c r="Y487" s="285"/>
    </row>
    <row r="488" spans="1:31">
      <c r="A488" s="305"/>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83" t="str">
        <f>IF(P489="","",IF(U488&lt;5,IF(S488&gt;1900,IF(S488&lt;2250,"Pass","Fail"),"Fail"),"Fail"))</f>
        <v/>
      </c>
      <c r="W488" s="298"/>
      <c r="Y488" s="285"/>
      <c r="Z488" s="286">
        <v>1600</v>
      </c>
      <c r="AA488" s="286">
        <v>2600</v>
      </c>
      <c r="AB488" s="287">
        <v>1900</v>
      </c>
      <c r="AC488" s="287">
        <v>2250</v>
      </c>
      <c r="AD488" s="288">
        <v>10</v>
      </c>
      <c r="AE488" s="288">
        <v>3.6</v>
      </c>
    </row>
    <row r="489" spans="1:31">
      <c r="A489" s="307"/>
      <c r="B489" s="290"/>
      <c r="C489" s="290" t="s">
        <v>78</v>
      </c>
      <c r="Q489" s="290"/>
      <c r="R489" s="290"/>
      <c r="S489" s="290"/>
      <c r="T489" s="290"/>
      <c r="U489" s="290"/>
      <c r="V489" s="291"/>
      <c r="W489" s="251"/>
      <c r="Y489" s="285"/>
    </row>
    <row r="490" spans="1:31" ht="32.25" thickBot="1">
      <c r="A490" s="308"/>
      <c r="B490" s="295"/>
      <c r="C490" s="256" t="s">
        <v>221</v>
      </c>
      <c r="D490" s="296" t="str">
        <f t="shared" ref="D490:P490" si="159">IF(((D488="")*AND(D489="")),"",(D488-D489)*2)</f>
        <v/>
      </c>
      <c r="E490" s="296" t="str">
        <f t="shared" si="159"/>
        <v/>
      </c>
      <c r="F490" s="296" t="str">
        <f t="shared" si="159"/>
        <v/>
      </c>
      <c r="G490" s="296" t="str">
        <f t="shared" si="159"/>
        <v/>
      </c>
      <c r="H490" s="296" t="str">
        <f t="shared" si="159"/>
        <v/>
      </c>
      <c r="I490" s="296" t="str">
        <f t="shared" si="159"/>
        <v/>
      </c>
      <c r="J490" s="296" t="str">
        <f t="shared" si="159"/>
        <v/>
      </c>
      <c r="K490" s="296" t="str">
        <f t="shared" si="159"/>
        <v/>
      </c>
      <c r="L490" s="296" t="str">
        <f t="shared" si="159"/>
        <v/>
      </c>
      <c r="M490" s="296" t="str">
        <f t="shared" si="159"/>
        <v/>
      </c>
      <c r="N490" s="296" t="str">
        <f t="shared" si="159"/>
        <v/>
      </c>
      <c r="O490" s="296" t="str">
        <f t="shared" si="159"/>
        <v/>
      </c>
      <c r="P490" s="296" t="str">
        <f t="shared" si="159"/>
        <v/>
      </c>
      <c r="Q490" s="277"/>
      <c r="R490" s="295"/>
      <c r="S490" s="295"/>
      <c r="T490" s="295"/>
      <c r="U490" s="295"/>
      <c r="V490" s="297"/>
      <c r="W490" s="260"/>
      <c r="Y490" s="285"/>
    </row>
    <row r="491" spans="1:31">
      <c r="A491" s="305"/>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83" t="str">
        <f>IF(P492="","",IF(U491&lt;5,IF(S491&gt;1900,IF(S491&lt;2250,"Pass","Fail"),"Fail"),"Fail"))</f>
        <v/>
      </c>
      <c r="W491" s="298"/>
      <c r="Y491" s="285"/>
      <c r="Z491" s="286">
        <v>1600</v>
      </c>
      <c r="AA491" s="286">
        <v>2600</v>
      </c>
      <c r="AB491" s="287">
        <v>1900</v>
      </c>
      <c r="AC491" s="287">
        <v>2250</v>
      </c>
      <c r="AD491" s="288">
        <v>10</v>
      </c>
      <c r="AE491" s="288">
        <v>3.6</v>
      </c>
    </row>
    <row r="492" spans="1:31">
      <c r="A492" s="307"/>
      <c r="B492" s="290"/>
      <c r="C492" s="290" t="s">
        <v>78</v>
      </c>
      <c r="Q492" s="290"/>
      <c r="R492" s="290"/>
      <c r="S492" s="290"/>
      <c r="T492" s="290"/>
      <c r="U492" s="290"/>
      <c r="V492" s="291"/>
      <c r="W492" s="251"/>
      <c r="Y492" s="285"/>
    </row>
    <row r="493" spans="1:31" ht="32.25" thickBot="1">
      <c r="A493" s="308"/>
      <c r="B493" s="295"/>
      <c r="C493" s="256" t="s">
        <v>221</v>
      </c>
      <c r="D493" s="296" t="str">
        <f t="shared" ref="D493:P493" si="160">IF(((D491="")*AND(D492="")),"",(D491-D492)*2)</f>
        <v/>
      </c>
      <c r="E493" s="296" t="str">
        <f t="shared" si="160"/>
        <v/>
      </c>
      <c r="F493" s="296" t="str">
        <f t="shared" si="160"/>
        <v/>
      </c>
      <c r="G493" s="296" t="str">
        <f t="shared" si="160"/>
        <v/>
      </c>
      <c r="H493" s="296" t="str">
        <f t="shared" si="160"/>
        <v/>
      </c>
      <c r="I493" s="296" t="str">
        <f t="shared" si="160"/>
        <v/>
      </c>
      <c r="J493" s="296" t="str">
        <f t="shared" si="160"/>
        <v/>
      </c>
      <c r="K493" s="296" t="str">
        <f t="shared" si="160"/>
        <v/>
      </c>
      <c r="L493" s="296" t="str">
        <f t="shared" si="160"/>
        <v/>
      </c>
      <c r="M493" s="296" t="str">
        <f t="shared" si="160"/>
        <v/>
      </c>
      <c r="N493" s="296" t="str">
        <f t="shared" si="160"/>
        <v/>
      </c>
      <c r="O493" s="296" t="str">
        <f t="shared" si="160"/>
        <v/>
      </c>
      <c r="P493" s="296" t="str">
        <f t="shared" si="160"/>
        <v/>
      </c>
      <c r="Q493" s="277"/>
      <c r="R493" s="295"/>
      <c r="S493" s="295"/>
      <c r="T493" s="295"/>
      <c r="U493" s="295"/>
      <c r="V493" s="297"/>
      <c r="W493" s="260"/>
      <c r="Y493" s="285"/>
    </row>
    <row r="494" spans="1:31">
      <c r="A494" s="305"/>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83" t="str">
        <f>IF(P495="","",IF(U494&lt;5,IF(S494&gt;1900,IF(S494&lt;2250,"Pass","Fail"),"Fail"),"Fail"))</f>
        <v/>
      </c>
      <c r="W494" s="298"/>
      <c r="Y494" s="285"/>
      <c r="Z494" s="286">
        <v>1600</v>
      </c>
      <c r="AA494" s="286">
        <v>2600</v>
      </c>
      <c r="AB494" s="287">
        <v>1900</v>
      </c>
      <c r="AC494" s="287">
        <v>2250</v>
      </c>
      <c r="AD494" s="288">
        <v>10</v>
      </c>
      <c r="AE494" s="288">
        <v>3.6</v>
      </c>
    </row>
    <row r="495" spans="1:31">
      <c r="A495" s="307"/>
      <c r="B495" s="290"/>
      <c r="C495" s="290" t="s">
        <v>78</v>
      </c>
      <c r="Q495" s="290"/>
      <c r="R495" s="290"/>
      <c r="S495" s="290"/>
      <c r="T495" s="290"/>
      <c r="U495" s="290"/>
      <c r="V495" s="291"/>
      <c r="W495" s="251"/>
      <c r="Y495" s="285"/>
    </row>
    <row r="496" spans="1:31" ht="32.25" thickBot="1">
      <c r="A496" s="308"/>
      <c r="B496" s="295"/>
      <c r="C496" s="256" t="s">
        <v>221</v>
      </c>
      <c r="D496" s="296" t="str">
        <f t="shared" ref="D496:P496" si="161">IF(((D494="")*AND(D495="")),"",(D494-D495)*2)</f>
        <v/>
      </c>
      <c r="E496" s="296" t="str">
        <f t="shared" si="161"/>
        <v/>
      </c>
      <c r="F496" s="296" t="str">
        <f t="shared" si="161"/>
        <v/>
      </c>
      <c r="G496" s="296" t="str">
        <f t="shared" si="161"/>
        <v/>
      </c>
      <c r="H496" s="296" t="str">
        <f t="shared" si="161"/>
        <v/>
      </c>
      <c r="I496" s="296" t="str">
        <f t="shared" si="161"/>
        <v/>
      </c>
      <c r="J496" s="296" t="str">
        <f t="shared" si="161"/>
        <v/>
      </c>
      <c r="K496" s="296" t="str">
        <f t="shared" si="161"/>
        <v/>
      </c>
      <c r="L496" s="296" t="str">
        <f t="shared" si="161"/>
        <v/>
      </c>
      <c r="M496" s="296" t="str">
        <f t="shared" si="161"/>
        <v/>
      </c>
      <c r="N496" s="296" t="str">
        <f t="shared" si="161"/>
        <v/>
      </c>
      <c r="O496" s="296" t="str">
        <f t="shared" si="161"/>
        <v/>
      </c>
      <c r="P496" s="296" t="str">
        <f t="shared" si="161"/>
        <v/>
      </c>
      <c r="Q496" s="277"/>
      <c r="R496" s="295"/>
      <c r="S496" s="295"/>
      <c r="T496" s="295"/>
      <c r="U496" s="295"/>
      <c r="V496" s="297"/>
      <c r="W496" s="260"/>
      <c r="Y496" s="285"/>
    </row>
    <row r="497" spans="1:31">
      <c r="A497" s="305"/>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83" t="str">
        <f>IF(P498="","",IF(U497&lt;5,IF(S497&gt;1900,IF(S497&lt;2250,"Pass","Fail"),"Fail"),"Fail"))</f>
        <v/>
      </c>
      <c r="W497" s="298"/>
      <c r="Y497" s="285"/>
      <c r="Z497" s="286">
        <v>1600</v>
      </c>
      <c r="AA497" s="286">
        <v>2600</v>
      </c>
      <c r="AB497" s="287">
        <v>1900</v>
      </c>
      <c r="AC497" s="287">
        <v>2250</v>
      </c>
      <c r="AD497" s="288">
        <v>10</v>
      </c>
      <c r="AE497" s="288">
        <v>3.6</v>
      </c>
    </row>
    <row r="498" spans="1:31">
      <c r="A498" s="307"/>
      <c r="B498" s="290"/>
      <c r="C498" s="290" t="s">
        <v>78</v>
      </c>
      <c r="Q498" s="290"/>
      <c r="R498" s="290"/>
      <c r="S498" s="290"/>
      <c r="T498" s="290"/>
      <c r="U498" s="290"/>
      <c r="V498" s="291"/>
      <c r="W498" s="251"/>
      <c r="Y498" s="285"/>
    </row>
    <row r="499" spans="1:31" ht="32.25" thickBot="1">
      <c r="A499" s="308"/>
      <c r="B499" s="295"/>
      <c r="C499" s="256" t="s">
        <v>221</v>
      </c>
      <c r="D499" s="296" t="str">
        <f t="shared" ref="D499:P499" si="162">IF(((D497="")*AND(D498="")),"",(D497-D498)*2)</f>
        <v/>
      </c>
      <c r="E499" s="296" t="str">
        <f t="shared" si="162"/>
        <v/>
      </c>
      <c r="F499" s="296" t="str">
        <f t="shared" si="162"/>
        <v/>
      </c>
      <c r="G499" s="296" t="str">
        <f t="shared" si="162"/>
        <v/>
      </c>
      <c r="H499" s="296" t="str">
        <f t="shared" si="162"/>
        <v/>
      </c>
      <c r="I499" s="296" t="str">
        <f t="shared" si="162"/>
        <v/>
      </c>
      <c r="J499" s="296" t="str">
        <f t="shared" si="162"/>
        <v/>
      </c>
      <c r="K499" s="296" t="str">
        <f t="shared" si="162"/>
        <v/>
      </c>
      <c r="L499" s="296" t="str">
        <f t="shared" si="162"/>
        <v/>
      </c>
      <c r="M499" s="296" t="str">
        <f t="shared" si="162"/>
        <v/>
      </c>
      <c r="N499" s="296" t="str">
        <f t="shared" si="162"/>
        <v/>
      </c>
      <c r="O499" s="296" t="str">
        <f t="shared" si="162"/>
        <v/>
      </c>
      <c r="P499" s="296" t="str">
        <f t="shared" si="162"/>
        <v/>
      </c>
      <c r="Q499" s="277"/>
      <c r="R499" s="295"/>
      <c r="S499" s="295"/>
      <c r="T499" s="295"/>
      <c r="U499" s="295"/>
      <c r="V499" s="297"/>
      <c r="W499" s="260"/>
      <c r="Y499" s="285"/>
    </row>
    <row r="500" spans="1:31">
      <c r="A500" s="305"/>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83" t="str">
        <f>IF(P501="","",IF(U500&lt;5,IF(S500&gt;1900,IF(S500&lt;2250,"Pass","Fail"),"Fail"),"Fail"))</f>
        <v/>
      </c>
      <c r="W500" s="298"/>
      <c r="Y500" s="285"/>
      <c r="Z500" s="286">
        <v>1600</v>
      </c>
      <c r="AA500" s="286">
        <v>2600</v>
      </c>
      <c r="AB500" s="287">
        <v>1900</v>
      </c>
      <c r="AC500" s="287">
        <v>2250</v>
      </c>
      <c r="AD500" s="288">
        <v>10</v>
      </c>
      <c r="AE500" s="288">
        <v>3.6</v>
      </c>
    </row>
    <row r="501" spans="1:31">
      <c r="A501" s="307"/>
      <c r="B501" s="290"/>
      <c r="C501" s="290" t="s">
        <v>78</v>
      </c>
      <c r="Q501" s="290"/>
      <c r="R501" s="290"/>
      <c r="S501" s="290"/>
      <c r="T501" s="290"/>
      <c r="U501" s="290"/>
      <c r="V501" s="291"/>
      <c r="W501" s="251"/>
      <c r="Y501" s="285"/>
    </row>
    <row r="502" spans="1:31" ht="32.25" thickBot="1">
      <c r="A502" s="308"/>
      <c r="B502" s="295"/>
      <c r="C502" s="256" t="s">
        <v>221</v>
      </c>
      <c r="D502" s="296" t="str">
        <f t="shared" ref="D502:P502" si="163">IF(((D500="")*AND(D501="")),"",(D500-D501)*2)</f>
        <v/>
      </c>
      <c r="E502" s="296" t="str">
        <f t="shared" si="163"/>
        <v/>
      </c>
      <c r="F502" s="296" t="str">
        <f t="shared" si="163"/>
        <v/>
      </c>
      <c r="G502" s="296" t="str">
        <f t="shared" si="163"/>
        <v/>
      </c>
      <c r="H502" s="296" t="str">
        <f t="shared" si="163"/>
        <v/>
      </c>
      <c r="I502" s="296" t="str">
        <f t="shared" si="163"/>
        <v/>
      </c>
      <c r="J502" s="296" t="str">
        <f t="shared" si="163"/>
        <v/>
      </c>
      <c r="K502" s="296" t="str">
        <f t="shared" si="163"/>
        <v/>
      </c>
      <c r="L502" s="296" t="str">
        <f t="shared" si="163"/>
        <v/>
      </c>
      <c r="M502" s="296" t="str">
        <f t="shared" si="163"/>
        <v/>
      </c>
      <c r="N502" s="296" t="str">
        <f t="shared" si="163"/>
        <v/>
      </c>
      <c r="O502" s="296" t="str">
        <f t="shared" si="163"/>
        <v/>
      </c>
      <c r="P502" s="296" t="str">
        <f t="shared" si="163"/>
        <v/>
      </c>
      <c r="Q502" s="277"/>
      <c r="R502" s="295"/>
      <c r="S502" s="295"/>
      <c r="T502" s="295"/>
      <c r="U502" s="295"/>
      <c r="V502" s="297"/>
      <c r="W502" s="260"/>
      <c r="Y502" s="285"/>
    </row>
    <row r="503" spans="1:31">
      <c r="A503" s="305"/>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83" t="str">
        <f>IF(P504="","",IF(U503&lt;5,IF(S503&gt;1900,IF(S503&lt;2250,"Pass","Fail"),"Fail"),"Fail"))</f>
        <v/>
      </c>
      <c r="W503" s="298"/>
      <c r="Y503" s="285"/>
      <c r="Z503" s="286">
        <v>1600</v>
      </c>
      <c r="AA503" s="286">
        <v>2600</v>
      </c>
      <c r="AB503" s="287">
        <v>1900</v>
      </c>
      <c r="AC503" s="287">
        <v>2250</v>
      </c>
      <c r="AD503" s="288">
        <v>10</v>
      </c>
      <c r="AE503" s="288">
        <v>3.6</v>
      </c>
    </row>
    <row r="504" spans="1:31">
      <c r="A504" s="307"/>
      <c r="B504" s="290"/>
      <c r="C504" s="290" t="s">
        <v>78</v>
      </c>
      <c r="Q504" s="290"/>
      <c r="R504" s="290"/>
      <c r="S504" s="290"/>
      <c r="T504" s="290"/>
      <c r="U504" s="290"/>
      <c r="V504" s="291"/>
      <c r="W504" s="251"/>
      <c r="Y504" s="285"/>
    </row>
    <row r="505" spans="1:31" ht="32.25" thickBot="1">
      <c r="A505" s="308"/>
      <c r="B505" s="295"/>
      <c r="C505" s="256" t="s">
        <v>221</v>
      </c>
      <c r="D505" s="296" t="str">
        <f t="shared" ref="D505:P505" si="164">IF(((D503="")*AND(D504="")),"",(D503-D504)*2)</f>
        <v/>
      </c>
      <c r="E505" s="296" t="str">
        <f t="shared" si="164"/>
        <v/>
      </c>
      <c r="F505" s="296" t="str">
        <f t="shared" si="164"/>
        <v/>
      </c>
      <c r="G505" s="296" t="str">
        <f t="shared" si="164"/>
        <v/>
      </c>
      <c r="H505" s="296" t="str">
        <f t="shared" si="164"/>
        <v/>
      </c>
      <c r="I505" s="296" t="str">
        <f t="shared" si="164"/>
        <v/>
      </c>
      <c r="J505" s="296" t="str">
        <f t="shared" si="164"/>
        <v/>
      </c>
      <c r="K505" s="296" t="str">
        <f t="shared" si="164"/>
        <v/>
      </c>
      <c r="L505" s="296" t="str">
        <f t="shared" si="164"/>
        <v/>
      </c>
      <c r="M505" s="296" t="str">
        <f t="shared" si="164"/>
        <v/>
      </c>
      <c r="N505" s="296" t="str">
        <f t="shared" si="164"/>
        <v/>
      </c>
      <c r="O505" s="296" t="str">
        <f t="shared" si="164"/>
        <v/>
      </c>
      <c r="P505" s="296" t="str">
        <f t="shared" si="164"/>
        <v/>
      </c>
      <c r="Q505" s="277"/>
      <c r="R505" s="295"/>
      <c r="S505" s="295"/>
      <c r="T505" s="295"/>
      <c r="U505" s="295"/>
      <c r="V505" s="297"/>
      <c r="W505" s="260"/>
      <c r="Y505" s="285"/>
    </row>
    <row r="506" spans="1:31">
      <c r="A506" s="305"/>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83" t="str">
        <f>IF(P507="","",IF(U506&lt;5,IF(S506&gt;1900,IF(S506&lt;2250,"Pass","Fail"),"Fail"),"Fail"))</f>
        <v/>
      </c>
      <c r="W506" s="298"/>
      <c r="Y506" s="285"/>
      <c r="Z506" s="286">
        <v>1600</v>
      </c>
      <c r="AA506" s="286">
        <v>2600</v>
      </c>
      <c r="AB506" s="287">
        <v>1900</v>
      </c>
      <c r="AC506" s="287">
        <v>2250</v>
      </c>
      <c r="AD506" s="288">
        <v>10</v>
      </c>
      <c r="AE506" s="288">
        <v>3.6</v>
      </c>
    </row>
    <row r="507" spans="1:31">
      <c r="A507" s="307"/>
      <c r="B507" s="290"/>
      <c r="C507" s="290" t="s">
        <v>78</v>
      </c>
      <c r="Q507" s="290"/>
      <c r="R507" s="290"/>
      <c r="S507" s="290"/>
      <c r="T507" s="290"/>
      <c r="U507" s="290"/>
      <c r="V507" s="291"/>
      <c r="W507" s="251"/>
      <c r="Y507" s="285"/>
    </row>
    <row r="508" spans="1:31" ht="32.25" thickBot="1">
      <c r="A508" s="308"/>
      <c r="B508" s="295"/>
      <c r="C508" s="256" t="s">
        <v>221</v>
      </c>
      <c r="D508" s="296" t="str">
        <f t="shared" ref="D508:P508" si="165">IF(((D506="")*AND(D507="")),"",(D506-D507)*2)</f>
        <v/>
      </c>
      <c r="E508" s="296" t="str">
        <f t="shared" si="165"/>
        <v/>
      </c>
      <c r="F508" s="296" t="str">
        <f t="shared" si="165"/>
        <v/>
      </c>
      <c r="G508" s="296" t="str">
        <f t="shared" si="165"/>
        <v/>
      </c>
      <c r="H508" s="296" t="str">
        <f t="shared" si="165"/>
        <v/>
      </c>
      <c r="I508" s="296" t="str">
        <f t="shared" si="165"/>
        <v/>
      </c>
      <c r="J508" s="296" t="str">
        <f t="shared" si="165"/>
        <v/>
      </c>
      <c r="K508" s="296" t="str">
        <f t="shared" si="165"/>
        <v/>
      </c>
      <c r="L508" s="296" t="str">
        <f t="shared" si="165"/>
        <v/>
      </c>
      <c r="M508" s="296" t="str">
        <f t="shared" si="165"/>
        <v/>
      </c>
      <c r="N508" s="296" t="str">
        <f t="shared" si="165"/>
        <v/>
      </c>
      <c r="O508" s="296" t="str">
        <f t="shared" si="165"/>
        <v/>
      </c>
      <c r="P508" s="296" t="str">
        <f t="shared" si="165"/>
        <v/>
      </c>
      <c r="Q508" s="277"/>
      <c r="R508" s="295"/>
      <c r="S508" s="295"/>
      <c r="T508" s="295"/>
      <c r="U508" s="295"/>
      <c r="V508" s="297"/>
      <c r="W508" s="260"/>
      <c r="Y508" s="285"/>
    </row>
    <row r="509" spans="1:31">
      <c r="A509" s="305"/>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83" t="str">
        <f>IF(P510="","",IF(U509&lt;5,IF(S509&gt;1900,IF(S509&lt;2250,"Pass","Fail"),"Fail"),"Fail"))</f>
        <v/>
      </c>
      <c r="W509" s="298"/>
      <c r="Y509" s="285"/>
      <c r="Z509" s="286">
        <v>1600</v>
      </c>
      <c r="AA509" s="286">
        <v>2600</v>
      </c>
      <c r="AB509" s="287">
        <v>1900</v>
      </c>
      <c r="AC509" s="287">
        <v>2250</v>
      </c>
      <c r="AD509" s="288">
        <v>10</v>
      </c>
      <c r="AE509" s="288">
        <v>3.6</v>
      </c>
    </row>
    <row r="510" spans="1:31">
      <c r="A510" s="307"/>
      <c r="B510" s="290"/>
      <c r="C510" s="290" t="s">
        <v>78</v>
      </c>
      <c r="Q510" s="290"/>
      <c r="R510" s="290"/>
      <c r="S510" s="290"/>
      <c r="T510" s="290"/>
      <c r="U510" s="290"/>
      <c r="V510" s="291"/>
      <c r="W510" s="251"/>
      <c r="Y510" s="285"/>
    </row>
    <row r="511" spans="1:31" ht="32.25" thickBot="1">
      <c r="A511" s="308"/>
      <c r="B511" s="295"/>
      <c r="C511" s="256" t="s">
        <v>221</v>
      </c>
      <c r="D511" s="296" t="str">
        <f t="shared" ref="D511:P511" si="166">IF(((D509="")*AND(D510="")),"",(D509-D510)*2)</f>
        <v/>
      </c>
      <c r="E511" s="296" t="str">
        <f t="shared" si="166"/>
        <v/>
      </c>
      <c r="F511" s="296" t="str">
        <f t="shared" si="166"/>
        <v/>
      </c>
      <c r="G511" s="296" t="str">
        <f t="shared" si="166"/>
        <v/>
      </c>
      <c r="H511" s="296" t="str">
        <f t="shared" si="166"/>
        <v/>
      </c>
      <c r="I511" s="296" t="str">
        <f t="shared" si="166"/>
        <v/>
      </c>
      <c r="J511" s="296" t="str">
        <f t="shared" si="166"/>
        <v/>
      </c>
      <c r="K511" s="296" t="str">
        <f t="shared" si="166"/>
        <v/>
      </c>
      <c r="L511" s="296" t="str">
        <f t="shared" si="166"/>
        <v/>
      </c>
      <c r="M511" s="296" t="str">
        <f t="shared" si="166"/>
        <v/>
      </c>
      <c r="N511" s="296" t="str">
        <f t="shared" si="166"/>
        <v/>
      </c>
      <c r="O511" s="296" t="str">
        <f t="shared" si="166"/>
        <v/>
      </c>
      <c r="P511" s="296" t="str">
        <f t="shared" si="166"/>
        <v/>
      </c>
      <c r="Q511" s="277"/>
      <c r="R511" s="295"/>
      <c r="S511" s="295"/>
      <c r="T511" s="295"/>
      <c r="U511" s="295"/>
      <c r="V511" s="297"/>
      <c r="W511" s="260"/>
      <c r="Y511" s="285"/>
    </row>
    <row r="512" spans="1:31">
      <c r="A512" s="305"/>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83" t="str">
        <f>IF(P513="","",IF(U512&lt;5,IF(S512&gt;1900,IF(S512&lt;2250,"Pass","Fail"),"Fail"),"Fail"))</f>
        <v/>
      </c>
      <c r="W512" s="298"/>
      <c r="Y512" s="285"/>
      <c r="Z512" s="286">
        <v>1600</v>
      </c>
      <c r="AA512" s="286">
        <v>2600</v>
      </c>
      <c r="AB512" s="287">
        <v>1900</v>
      </c>
      <c r="AC512" s="287">
        <v>2250</v>
      </c>
      <c r="AD512" s="288">
        <v>10</v>
      </c>
      <c r="AE512" s="288">
        <v>3.6</v>
      </c>
    </row>
    <row r="513" spans="1:31">
      <c r="A513" s="307"/>
      <c r="B513" s="290"/>
      <c r="C513" s="290" t="s">
        <v>78</v>
      </c>
      <c r="Q513" s="290"/>
      <c r="R513" s="290"/>
      <c r="S513" s="290"/>
      <c r="T513" s="290"/>
      <c r="U513" s="290"/>
      <c r="V513" s="291"/>
      <c r="W513" s="251"/>
      <c r="Y513" s="285"/>
    </row>
    <row r="514" spans="1:31" ht="32.25" thickBot="1">
      <c r="A514" s="308"/>
      <c r="B514" s="295"/>
      <c r="C514" s="256" t="s">
        <v>221</v>
      </c>
      <c r="D514" s="296" t="str">
        <f t="shared" ref="D514:P514" si="167">IF(((D512="")*AND(D513="")),"",(D512-D513)*2)</f>
        <v/>
      </c>
      <c r="E514" s="296" t="str">
        <f t="shared" si="167"/>
        <v/>
      </c>
      <c r="F514" s="296" t="str">
        <f t="shared" si="167"/>
        <v/>
      </c>
      <c r="G514" s="296" t="str">
        <f t="shared" si="167"/>
        <v/>
      </c>
      <c r="H514" s="296" t="str">
        <f t="shared" si="167"/>
        <v/>
      </c>
      <c r="I514" s="296" t="str">
        <f t="shared" si="167"/>
        <v/>
      </c>
      <c r="J514" s="296" t="str">
        <f t="shared" si="167"/>
        <v/>
      </c>
      <c r="K514" s="296" t="str">
        <f t="shared" si="167"/>
        <v/>
      </c>
      <c r="L514" s="296" t="str">
        <f t="shared" si="167"/>
        <v/>
      </c>
      <c r="M514" s="296" t="str">
        <f t="shared" si="167"/>
        <v/>
      </c>
      <c r="N514" s="296" t="str">
        <f t="shared" si="167"/>
        <v/>
      </c>
      <c r="O514" s="296" t="str">
        <f t="shared" si="167"/>
        <v/>
      </c>
      <c r="P514" s="296" t="str">
        <f t="shared" si="167"/>
        <v/>
      </c>
      <c r="Q514" s="277"/>
      <c r="R514" s="295"/>
      <c r="S514" s="295"/>
      <c r="T514" s="295"/>
      <c r="U514" s="295"/>
      <c r="V514" s="297"/>
      <c r="W514" s="260"/>
      <c r="Y514" s="285"/>
    </row>
    <row r="515" spans="1:31">
      <c r="A515" s="305"/>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83" t="str">
        <f>IF(P516="","",IF(U515&lt;5,IF(S515&gt;1900,IF(S515&lt;2250,"Pass","Fail"),"Fail"),"Fail"))</f>
        <v/>
      </c>
      <c r="W515" s="298"/>
      <c r="Y515" s="285"/>
      <c r="Z515" s="286">
        <v>1600</v>
      </c>
      <c r="AA515" s="286">
        <v>2600</v>
      </c>
      <c r="AB515" s="287">
        <v>1900</v>
      </c>
      <c r="AC515" s="287">
        <v>2250</v>
      </c>
      <c r="AD515" s="288">
        <v>10</v>
      </c>
      <c r="AE515" s="288">
        <v>3.6</v>
      </c>
    </row>
    <row r="516" spans="1:31">
      <c r="A516" s="307"/>
      <c r="B516" s="290"/>
      <c r="C516" s="290" t="s">
        <v>78</v>
      </c>
      <c r="Q516" s="290"/>
      <c r="R516" s="290"/>
      <c r="S516" s="290"/>
      <c r="T516" s="290"/>
      <c r="U516" s="290"/>
      <c r="V516" s="291"/>
      <c r="W516" s="251"/>
      <c r="Y516" s="285"/>
    </row>
    <row r="517" spans="1:31" ht="32.25" thickBot="1">
      <c r="A517" s="308"/>
      <c r="B517" s="295"/>
      <c r="C517" s="256" t="s">
        <v>221</v>
      </c>
      <c r="D517" s="296" t="str">
        <f t="shared" ref="D517:P517" si="168">IF(((D515="")*AND(D516="")),"",(D515-D516)*2)</f>
        <v/>
      </c>
      <c r="E517" s="296" t="str">
        <f t="shared" si="168"/>
        <v/>
      </c>
      <c r="F517" s="296" t="str">
        <f t="shared" si="168"/>
        <v/>
      </c>
      <c r="G517" s="296" t="str">
        <f t="shared" si="168"/>
        <v/>
      </c>
      <c r="H517" s="296" t="str">
        <f t="shared" si="168"/>
        <v/>
      </c>
      <c r="I517" s="296" t="str">
        <f t="shared" si="168"/>
        <v/>
      </c>
      <c r="J517" s="296" t="str">
        <f t="shared" si="168"/>
        <v/>
      </c>
      <c r="K517" s="296" t="str">
        <f t="shared" si="168"/>
        <v/>
      </c>
      <c r="L517" s="296" t="str">
        <f t="shared" si="168"/>
        <v/>
      </c>
      <c r="M517" s="296" t="str">
        <f t="shared" si="168"/>
        <v/>
      </c>
      <c r="N517" s="296" t="str">
        <f t="shared" si="168"/>
        <v/>
      </c>
      <c r="O517" s="296" t="str">
        <f t="shared" si="168"/>
        <v/>
      </c>
      <c r="P517" s="296" t="str">
        <f t="shared" si="168"/>
        <v/>
      </c>
      <c r="Q517" s="277"/>
      <c r="R517" s="295"/>
      <c r="S517" s="295"/>
      <c r="T517" s="295"/>
      <c r="U517" s="295"/>
      <c r="V517" s="297"/>
      <c r="W517" s="260"/>
      <c r="Y517" s="285"/>
    </row>
    <row r="518" spans="1:31">
      <c r="A518" s="305"/>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83" t="str">
        <f>IF(P519="","",IF(U518&lt;5,IF(S518&gt;1900,IF(S518&lt;2250,"Pass","Fail"),"Fail"),"Fail"))</f>
        <v/>
      </c>
      <c r="W518" s="298"/>
      <c r="Y518" s="285"/>
      <c r="Z518" s="286">
        <v>1600</v>
      </c>
      <c r="AA518" s="286">
        <v>2600</v>
      </c>
      <c r="AB518" s="287">
        <v>1900</v>
      </c>
      <c r="AC518" s="287">
        <v>2250</v>
      </c>
      <c r="AD518" s="288">
        <v>10</v>
      </c>
      <c r="AE518" s="288">
        <v>3.6</v>
      </c>
    </row>
    <row r="519" spans="1:31">
      <c r="A519" s="307"/>
      <c r="B519" s="290"/>
      <c r="C519" s="290" t="s">
        <v>78</v>
      </c>
      <c r="Q519" s="290"/>
      <c r="R519" s="290"/>
      <c r="S519" s="290"/>
      <c r="T519" s="290"/>
      <c r="U519" s="290"/>
      <c r="V519" s="291"/>
      <c r="W519" s="251"/>
      <c r="Y519" s="285"/>
    </row>
    <row r="520" spans="1:31" ht="32.25" thickBot="1">
      <c r="A520" s="308"/>
      <c r="B520" s="295"/>
      <c r="C520" s="256" t="s">
        <v>221</v>
      </c>
      <c r="D520" s="296" t="str">
        <f t="shared" ref="D520:P520" si="169">IF(((D518="")*AND(D519="")),"",(D518-D519)*2)</f>
        <v/>
      </c>
      <c r="E520" s="296" t="str">
        <f t="shared" si="169"/>
        <v/>
      </c>
      <c r="F520" s="296" t="str">
        <f t="shared" si="169"/>
        <v/>
      </c>
      <c r="G520" s="296" t="str">
        <f t="shared" si="169"/>
        <v/>
      </c>
      <c r="H520" s="296" t="str">
        <f t="shared" si="169"/>
        <v/>
      </c>
      <c r="I520" s="296" t="str">
        <f t="shared" si="169"/>
        <v/>
      </c>
      <c r="J520" s="296" t="str">
        <f t="shared" si="169"/>
        <v/>
      </c>
      <c r="K520" s="296" t="str">
        <f t="shared" si="169"/>
        <v/>
      </c>
      <c r="L520" s="296" t="str">
        <f t="shared" si="169"/>
        <v/>
      </c>
      <c r="M520" s="296" t="str">
        <f t="shared" si="169"/>
        <v/>
      </c>
      <c r="N520" s="296" t="str">
        <f t="shared" si="169"/>
        <v/>
      </c>
      <c r="O520" s="296" t="str">
        <f t="shared" si="169"/>
        <v/>
      </c>
      <c r="P520" s="296" t="str">
        <f t="shared" si="169"/>
        <v/>
      </c>
      <c r="Q520" s="277"/>
      <c r="R520" s="295"/>
      <c r="S520" s="295"/>
      <c r="T520" s="295"/>
      <c r="U520" s="295"/>
      <c r="V520" s="297"/>
      <c r="W520" s="260"/>
      <c r="Y520" s="285"/>
    </row>
    <row r="521" spans="1:31">
      <c r="A521" s="305"/>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83" t="str">
        <f>IF(P522="","",IF(U521&lt;5,IF(S521&gt;1900,IF(S521&lt;2250,"Pass","Fail"),"Fail"),"Fail"))</f>
        <v/>
      </c>
      <c r="W521" s="298"/>
      <c r="Y521" s="285"/>
      <c r="Z521" s="286">
        <v>1600</v>
      </c>
      <c r="AA521" s="286">
        <v>2600</v>
      </c>
      <c r="AB521" s="287">
        <v>1900</v>
      </c>
      <c r="AC521" s="287">
        <v>2250</v>
      </c>
      <c r="AD521" s="288">
        <v>10</v>
      </c>
      <c r="AE521" s="288">
        <v>3.6</v>
      </c>
    </row>
    <row r="522" spans="1:31">
      <c r="A522" s="307"/>
      <c r="B522" s="290"/>
      <c r="C522" s="290" t="s">
        <v>78</v>
      </c>
      <c r="Q522" s="290"/>
      <c r="R522" s="290"/>
      <c r="S522" s="290"/>
      <c r="T522" s="290"/>
      <c r="U522" s="290"/>
      <c r="V522" s="291"/>
      <c r="W522" s="251"/>
      <c r="Y522" s="285"/>
    </row>
    <row r="523" spans="1:31" ht="32.25" thickBot="1">
      <c r="A523" s="308"/>
      <c r="B523" s="295"/>
      <c r="C523" s="256" t="s">
        <v>221</v>
      </c>
      <c r="D523" s="296" t="str">
        <f t="shared" ref="D523:P523" si="170">IF(((D521="")*AND(D522="")),"",(D521-D522)*2)</f>
        <v/>
      </c>
      <c r="E523" s="296" t="str">
        <f t="shared" si="170"/>
        <v/>
      </c>
      <c r="F523" s="296" t="str">
        <f t="shared" si="170"/>
        <v/>
      </c>
      <c r="G523" s="296" t="str">
        <f t="shared" si="170"/>
        <v/>
      </c>
      <c r="H523" s="296" t="str">
        <f t="shared" si="170"/>
        <v/>
      </c>
      <c r="I523" s="296" t="str">
        <f t="shared" si="170"/>
        <v/>
      </c>
      <c r="J523" s="296" t="str">
        <f t="shared" si="170"/>
        <v/>
      </c>
      <c r="K523" s="296" t="str">
        <f t="shared" si="170"/>
        <v/>
      </c>
      <c r="L523" s="296" t="str">
        <f t="shared" si="170"/>
        <v/>
      </c>
      <c r="M523" s="296" t="str">
        <f t="shared" si="170"/>
        <v/>
      </c>
      <c r="N523" s="296" t="str">
        <f t="shared" si="170"/>
        <v/>
      </c>
      <c r="O523" s="296" t="str">
        <f t="shared" si="170"/>
        <v/>
      </c>
      <c r="P523" s="296" t="str">
        <f t="shared" si="170"/>
        <v/>
      </c>
      <c r="Q523" s="277"/>
      <c r="R523" s="295"/>
      <c r="S523" s="295"/>
      <c r="T523" s="295"/>
      <c r="U523" s="295"/>
      <c r="V523" s="297"/>
      <c r="W523" s="260"/>
      <c r="Y523" s="285"/>
    </row>
    <row r="524" spans="1:31">
      <c r="A524" s="305"/>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83" t="str">
        <f>IF(P525="","",IF(U524&lt;5,IF(S524&gt;1900,IF(S524&lt;2250,"Pass","Fail"),"Fail"),"Fail"))</f>
        <v/>
      </c>
      <c r="W524" s="298"/>
      <c r="Y524" s="285"/>
      <c r="Z524" s="286">
        <v>1600</v>
      </c>
      <c r="AA524" s="286">
        <v>2600</v>
      </c>
      <c r="AB524" s="287">
        <v>1900</v>
      </c>
      <c r="AC524" s="287">
        <v>2250</v>
      </c>
      <c r="AD524" s="288">
        <v>10</v>
      </c>
      <c r="AE524" s="288">
        <v>3.6</v>
      </c>
    </row>
    <row r="525" spans="1:31">
      <c r="A525" s="307"/>
      <c r="B525" s="290"/>
      <c r="C525" s="290" t="s">
        <v>78</v>
      </c>
      <c r="Q525" s="290"/>
      <c r="R525" s="290"/>
      <c r="S525" s="290"/>
      <c r="T525" s="290"/>
      <c r="U525" s="290"/>
      <c r="V525" s="291"/>
      <c r="W525" s="251"/>
      <c r="Y525" s="285"/>
    </row>
    <row r="526" spans="1:31" ht="32.25" thickBot="1">
      <c r="A526" s="308"/>
      <c r="B526" s="295"/>
      <c r="C526" s="256" t="s">
        <v>221</v>
      </c>
      <c r="D526" s="296" t="str">
        <f t="shared" ref="D526:P526" si="171">IF(((D524="")*AND(D525="")),"",(D524-D525)*2)</f>
        <v/>
      </c>
      <c r="E526" s="296" t="str">
        <f t="shared" si="171"/>
        <v/>
      </c>
      <c r="F526" s="296" t="str">
        <f t="shared" si="171"/>
        <v/>
      </c>
      <c r="G526" s="296" t="str">
        <f t="shared" si="171"/>
        <v/>
      </c>
      <c r="H526" s="296" t="str">
        <f t="shared" si="171"/>
        <v/>
      </c>
      <c r="I526" s="296" t="str">
        <f t="shared" si="171"/>
        <v/>
      </c>
      <c r="J526" s="296" t="str">
        <f t="shared" si="171"/>
        <v/>
      </c>
      <c r="K526" s="296" t="str">
        <f t="shared" si="171"/>
        <v/>
      </c>
      <c r="L526" s="296" t="str">
        <f t="shared" si="171"/>
        <v/>
      </c>
      <c r="M526" s="296" t="str">
        <f t="shared" si="171"/>
        <v/>
      </c>
      <c r="N526" s="296" t="str">
        <f t="shared" si="171"/>
        <v/>
      </c>
      <c r="O526" s="296" t="str">
        <f t="shared" si="171"/>
        <v/>
      </c>
      <c r="P526" s="296" t="str">
        <f t="shared" si="171"/>
        <v/>
      </c>
      <c r="Q526" s="277"/>
      <c r="R526" s="295"/>
      <c r="S526" s="295"/>
      <c r="T526" s="295"/>
      <c r="U526" s="295"/>
      <c r="V526" s="297"/>
      <c r="W526" s="260"/>
      <c r="Y526" s="285"/>
    </row>
    <row r="527" spans="1:31">
      <c r="A527" s="305"/>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83" t="str">
        <f>IF(P528="","",IF(U527&lt;5,IF(S527&gt;1900,IF(S527&lt;2250,"Pass","Fail"),"Fail"),"Fail"))</f>
        <v/>
      </c>
      <c r="W527" s="298"/>
      <c r="Y527" s="285"/>
      <c r="Z527" s="286">
        <v>1600</v>
      </c>
      <c r="AA527" s="286">
        <v>2600</v>
      </c>
      <c r="AB527" s="287">
        <v>1900</v>
      </c>
      <c r="AC527" s="287">
        <v>2250</v>
      </c>
      <c r="AD527" s="288">
        <v>10</v>
      </c>
      <c r="AE527" s="288">
        <v>3.6</v>
      </c>
    </row>
    <row r="528" spans="1:31">
      <c r="A528" s="307"/>
      <c r="B528" s="290"/>
      <c r="C528" s="290" t="s">
        <v>78</v>
      </c>
      <c r="Q528" s="290"/>
      <c r="R528" s="290"/>
      <c r="S528" s="290"/>
      <c r="T528" s="290"/>
      <c r="U528" s="290"/>
      <c r="V528" s="291"/>
      <c r="W528" s="251"/>
      <c r="Y528" s="285"/>
    </row>
    <row r="529" spans="1:31" ht="32.25" thickBot="1">
      <c r="A529" s="308"/>
      <c r="B529" s="295"/>
      <c r="C529" s="256" t="s">
        <v>221</v>
      </c>
      <c r="D529" s="296" t="str">
        <f t="shared" ref="D529:P529" si="172">IF(((D527="")*AND(D528="")),"",(D527-D528)*2)</f>
        <v/>
      </c>
      <c r="E529" s="296" t="str">
        <f t="shared" si="172"/>
        <v/>
      </c>
      <c r="F529" s="296" t="str">
        <f t="shared" si="172"/>
        <v/>
      </c>
      <c r="G529" s="296" t="str">
        <f t="shared" si="172"/>
        <v/>
      </c>
      <c r="H529" s="296" t="str">
        <f t="shared" si="172"/>
        <v/>
      </c>
      <c r="I529" s="296" t="str">
        <f t="shared" si="172"/>
        <v/>
      </c>
      <c r="J529" s="296" t="str">
        <f t="shared" si="172"/>
        <v/>
      </c>
      <c r="K529" s="296" t="str">
        <f t="shared" si="172"/>
        <v/>
      </c>
      <c r="L529" s="296" t="str">
        <f t="shared" si="172"/>
        <v/>
      </c>
      <c r="M529" s="296" t="str">
        <f t="shared" si="172"/>
        <v/>
      </c>
      <c r="N529" s="296" t="str">
        <f t="shared" si="172"/>
        <v/>
      </c>
      <c r="O529" s="296" t="str">
        <f t="shared" si="172"/>
        <v/>
      </c>
      <c r="P529" s="296" t="str">
        <f t="shared" si="172"/>
        <v/>
      </c>
      <c r="Q529" s="277"/>
      <c r="R529" s="295"/>
      <c r="S529" s="295"/>
      <c r="T529" s="295"/>
      <c r="U529" s="295"/>
      <c r="V529" s="297"/>
      <c r="W529" s="260"/>
      <c r="Y529" s="285"/>
    </row>
    <row r="530" spans="1:31">
      <c r="A530" s="305"/>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83" t="str">
        <f>IF(P531="","",IF(U530&lt;5,IF(S530&gt;1900,IF(S530&lt;2250,"Pass","Fail"),"Fail"),"Fail"))</f>
        <v/>
      </c>
      <c r="W530" s="298"/>
      <c r="Y530" s="285"/>
      <c r="Z530" s="286">
        <v>1600</v>
      </c>
      <c r="AA530" s="286">
        <v>2600</v>
      </c>
      <c r="AB530" s="287">
        <v>1900</v>
      </c>
      <c r="AC530" s="287">
        <v>2250</v>
      </c>
      <c r="AD530" s="288">
        <v>10</v>
      </c>
      <c r="AE530" s="288">
        <v>3.6</v>
      </c>
    </row>
    <row r="531" spans="1:31">
      <c r="A531" s="307"/>
      <c r="B531" s="290"/>
      <c r="C531" s="290" t="s">
        <v>78</v>
      </c>
      <c r="Q531" s="290"/>
      <c r="R531" s="290"/>
      <c r="S531" s="290"/>
      <c r="T531" s="290"/>
      <c r="U531" s="290"/>
      <c r="V531" s="291"/>
      <c r="W531" s="251"/>
      <c r="Y531" s="285"/>
    </row>
    <row r="532" spans="1:31" ht="32.25" thickBot="1">
      <c r="A532" s="308"/>
      <c r="B532" s="295"/>
      <c r="C532" s="256" t="s">
        <v>221</v>
      </c>
      <c r="D532" s="296" t="str">
        <f t="shared" ref="D532:P532" si="173">IF(((D530="")*AND(D531="")),"",(D530-D531)*2)</f>
        <v/>
      </c>
      <c r="E532" s="296" t="str">
        <f t="shared" si="173"/>
        <v/>
      </c>
      <c r="F532" s="296" t="str">
        <f t="shared" si="173"/>
        <v/>
      </c>
      <c r="G532" s="296" t="str">
        <f t="shared" si="173"/>
        <v/>
      </c>
      <c r="H532" s="296" t="str">
        <f t="shared" si="173"/>
        <v/>
      </c>
      <c r="I532" s="296" t="str">
        <f t="shared" si="173"/>
        <v/>
      </c>
      <c r="J532" s="296" t="str">
        <f t="shared" si="173"/>
        <v/>
      </c>
      <c r="K532" s="296" t="str">
        <f t="shared" si="173"/>
        <v/>
      </c>
      <c r="L532" s="296" t="str">
        <f t="shared" si="173"/>
        <v/>
      </c>
      <c r="M532" s="296" t="str">
        <f t="shared" si="173"/>
        <v/>
      </c>
      <c r="N532" s="296" t="str">
        <f t="shared" si="173"/>
        <v/>
      </c>
      <c r="O532" s="296" t="str">
        <f t="shared" si="173"/>
        <v/>
      </c>
      <c r="P532" s="296" t="str">
        <f t="shared" si="173"/>
        <v/>
      </c>
      <c r="Q532" s="277"/>
      <c r="R532" s="295"/>
      <c r="S532" s="295"/>
      <c r="T532" s="295"/>
      <c r="U532" s="295"/>
      <c r="V532" s="297"/>
      <c r="W532" s="260"/>
      <c r="Y532" s="285"/>
    </row>
    <row r="533" spans="1:31">
      <c r="A533" s="305"/>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83" t="str">
        <f>IF(P534="","",IF(U533&lt;5,IF(S533&gt;1900,IF(S533&lt;2250,"Pass","Fail"),"Fail"),"Fail"))</f>
        <v/>
      </c>
      <c r="W533" s="298"/>
      <c r="Y533" s="285"/>
      <c r="Z533" s="286">
        <v>1600</v>
      </c>
      <c r="AA533" s="286">
        <v>2600</v>
      </c>
      <c r="AB533" s="287">
        <v>1900</v>
      </c>
      <c r="AC533" s="287">
        <v>2250</v>
      </c>
      <c r="AD533" s="288">
        <v>10</v>
      </c>
      <c r="AE533" s="288">
        <v>3.6</v>
      </c>
    </row>
    <row r="534" spans="1:31">
      <c r="A534" s="307"/>
      <c r="B534" s="290"/>
      <c r="C534" s="290" t="s">
        <v>78</v>
      </c>
      <c r="Q534" s="290"/>
      <c r="R534" s="290"/>
      <c r="S534" s="290"/>
      <c r="T534" s="290"/>
      <c r="U534" s="290"/>
      <c r="V534" s="291"/>
      <c r="W534" s="251"/>
      <c r="Y534" s="285"/>
    </row>
    <row r="535" spans="1:31" ht="32.25" thickBot="1">
      <c r="A535" s="308"/>
      <c r="B535" s="295"/>
      <c r="C535" s="256" t="s">
        <v>221</v>
      </c>
      <c r="D535" s="296" t="str">
        <f t="shared" ref="D535:P535" si="174">IF(((D533="")*AND(D534="")),"",(D533-D534)*2)</f>
        <v/>
      </c>
      <c r="E535" s="296" t="str">
        <f t="shared" si="174"/>
        <v/>
      </c>
      <c r="F535" s="296" t="str">
        <f t="shared" si="174"/>
        <v/>
      </c>
      <c r="G535" s="296" t="str">
        <f t="shared" si="174"/>
        <v/>
      </c>
      <c r="H535" s="296" t="str">
        <f t="shared" si="174"/>
        <v/>
      </c>
      <c r="I535" s="296" t="str">
        <f t="shared" si="174"/>
        <v/>
      </c>
      <c r="J535" s="296" t="str">
        <f t="shared" si="174"/>
        <v/>
      </c>
      <c r="K535" s="296" t="str">
        <f t="shared" si="174"/>
        <v/>
      </c>
      <c r="L535" s="296" t="str">
        <f t="shared" si="174"/>
        <v/>
      </c>
      <c r="M535" s="296" t="str">
        <f t="shared" si="174"/>
        <v/>
      </c>
      <c r="N535" s="296" t="str">
        <f t="shared" si="174"/>
        <v/>
      </c>
      <c r="O535" s="296" t="str">
        <f t="shared" si="174"/>
        <v/>
      </c>
      <c r="P535" s="296" t="str">
        <f t="shared" si="174"/>
        <v/>
      </c>
      <c r="Q535" s="277"/>
      <c r="R535" s="295"/>
      <c r="S535" s="295"/>
      <c r="T535" s="295"/>
      <c r="U535" s="295"/>
      <c r="V535" s="297"/>
      <c r="W535" s="260"/>
      <c r="Y535" s="285"/>
    </row>
    <row r="536" spans="1:31">
      <c r="A536" s="305"/>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83" t="str">
        <f>IF(P537="","",IF(U536&lt;5,IF(S536&gt;1900,IF(S536&lt;2250,"Pass","Fail"),"Fail"),"Fail"))</f>
        <v/>
      </c>
      <c r="W536" s="298"/>
      <c r="Y536" s="285"/>
      <c r="Z536" s="286">
        <v>1600</v>
      </c>
      <c r="AA536" s="286">
        <v>2600</v>
      </c>
      <c r="AB536" s="287">
        <v>1900</v>
      </c>
      <c r="AC536" s="287">
        <v>2250</v>
      </c>
      <c r="AD536" s="288">
        <v>10</v>
      </c>
      <c r="AE536" s="288">
        <v>3.6</v>
      </c>
    </row>
    <row r="537" spans="1:31">
      <c r="A537" s="307"/>
      <c r="B537" s="290"/>
      <c r="C537" s="290" t="s">
        <v>78</v>
      </c>
      <c r="Q537" s="290"/>
      <c r="R537" s="290"/>
      <c r="S537" s="290"/>
      <c r="T537" s="290"/>
      <c r="U537" s="290"/>
      <c r="V537" s="291"/>
      <c r="W537" s="251"/>
      <c r="Y537" s="285"/>
    </row>
    <row r="538" spans="1:31" ht="32.25" thickBot="1">
      <c r="A538" s="308"/>
      <c r="B538" s="295"/>
      <c r="C538" s="256" t="s">
        <v>221</v>
      </c>
      <c r="D538" s="296" t="str">
        <f t="shared" ref="D538:P538" si="175">IF(((D536="")*AND(D537="")),"",(D536-D537)*2)</f>
        <v/>
      </c>
      <c r="E538" s="296" t="str">
        <f t="shared" si="175"/>
        <v/>
      </c>
      <c r="F538" s="296" t="str">
        <f t="shared" si="175"/>
        <v/>
      </c>
      <c r="G538" s="296" t="str">
        <f t="shared" si="175"/>
        <v/>
      </c>
      <c r="H538" s="296" t="str">
        <f t="shared" si="175"/>
        <v/>
      </c>
      <c r="I538" s="296" t="str">
        <f t="shared" si="175"/>
        <v/>
      </c>
      <c r="J538" s="296" t="str">
        <f t="shared" si="175"/>
        <v/>
      </c>
      <c r="K538" s="296" t="str">
        <f t="shared" si="175"/>
        <v/>
      </c>
      <c r="L538" s="296" t="str">
        <f t="shared" si="175"/>
        <v/>
      </c>
      <c r="M538" s="296" t="str">
        <f t="shared" si="175"/>
        <v/>
      </c>
      <c r="N538" s="296" t="str">
        <f t="shared" si="175"/>
        <v/>
      </c>
      <c r="O538" s="296" t="str">
        <f t="shared" si="175"/>
        <v/>
      </c>
      <c r="P538" s="296" t="str">
        <f t="shared" si="175"/>
        <v/>
      </c>
      <c r="Q538" s="277"/>
      <c r="R538" s="295"/>
      <c r="S538" s="295"/>
      <c r="T538" s="295"/>
      <c r="U538" s="295"/>
      <c r="V538" s="297"/>
      <c r="W538" s="260"/>
      <c r="Y538" s="285"/>
    </row>
    <row r="539" spans="1:31">
      <c r="A539" s="305"/>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83" t="str">
        <f>IF(P540="","",IF(U539&lt;5,IF(S539&gt;1900,IF(S539&lt;2250,"Pass","Fail"),"Fail"),"Fail"))</f>
        <v/>
      </c>
      <c r="W539" s="298"/>
      <c r="Y539" s="285"/>
      <c r="Z539" s="286">
        <v>1600</v>
      </c>
      <c r="AA539" s="286">
        <v>2600</v>
      </c>
      <c r="AB539" s="287">
        <v>1900</v>
      </c>
      <c r="AC539" s="287">
        <v>2250</v>
      </c>
      <c r="AD539" s="288">
        <v>10</v>
      </c>
      <c r="AE539" s="288">
        <v>3.6</v>
      </c>
    </row>
    <row r="540" spans="1:31">
      <c r="A540" s="307"/>
      <c r="B540" s="290"/>
      <c r="C540" s="290" t="s">
        <v>78</v>
      </c>
      <c r="Q540" s="290"/>
      <c r="R540" s="290"/>
      <c r="S540" s="290"/>
      <c r="T540" s="290"/>
      <c r="U540" s="290"/>
      <c r="V540" s="291"/>
      <c r="W540" s="251"/>
      <c r="Y540" s="285"/>
    </row>
    <row r="541" spans="1:31" ht="32.25" thickBot="1">
      <c r="A541" s="308"/>
      <c r="B541" s="295"/>
      <c r="C541" s="256" t="s">
        <v>221</v>
      </c>
      <c r="D541" s="296" t="str">
        <f t="shared" ref="D541:P541" si="176">IF(((D539="")*AND(D540="")),"",(D539-D540)*2)</f>
        <v/>
      </c>
      <c r="E541" s="296" t="str">
        <f t="shared" si="176"/>
        <v/>
      </c>
      <c r="F541" s="296" t="str">
        <f t="shared" si="176"/>
        <v/>
      </c>
      <c r="G541" s="296" t="str">
        <f t="shared" si="176"/>
        <v/>
      </c>
      <c r="H541" s="296" t="str">
        <f t="shared" si="176"/>
        <v/>
      </c>
      <c r="I541" s="296" t="str">
        <f t="shared" si="176"/>
        <v/>
      </c>
      <c r="J541" s="296" t="str">
        <f t="shared" si="176"/>
        <v/>
      </c>
      <c r="K541" s="296" t="str">
        <f t="shared" si="176"/>
        <v/>
      </c>
      <c r="L541" s="296" t="str">
        <f t="shared" si="176"/>
        <v/>
      </c>
      <c r="M541" s="296" t="str">
        <f t="shared" si="176"/>
        <v/>
      </c>
      <c r="N541" s="296" t="str">
        <f t="shared" si="176"/>
        <v/>
      </c>
      <c r="O541" s="296" t="str">
        <f t="shared" si="176"/>
        <v/>
      </c>
      <c r="P541" s="296" t="str">
        <f t="shared" si="176"/>
        <v/>
      </c>
      <c r="Q541" s="277"/>
      <c r="R541" s="295"/>
      <c r="S541" s="295"/>
      <c r="T541" s="295"/>
      <c r="U541" s="295"/>
      <c r="V541" s="297"/>
      <c r="W541" s="260"/>
      <c r="Y541" s="285"/>
    </row>
    <row r="542" spans="1:31">
      <c r="A542" s="305"/>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83" t="str">
        <f>IF(P543="","",IF(U542&lt;5,IF(S542&gt;1900,IF(S542&lt;2250,"Pass","Fail"),"Fail"),"Fail"))</f>
        <v/>
      </c>
      <c r="W542" s="298"/>
      <c r="Y542" s="285"/>
      <c r="Z542" s="286">
        <v>1600</v>
      </c>
      <c r="AA542" s="286">
        <v>2600</v>
      </c>
      <c r="AB542" s="287">
        <v>1900</v>
      </c>
      <c r="AC542" s="287">
        <v>2250</v>
      </c>
      <c r="AD542" s="288">
        <v>10</v>
      </c>
      <c r="AE542" s="288">
        <v>3.6</v>
      </c>
    </row>
    <row r="543" spans="1:31">
      <c r="A543" s="307"/>
      <c r="B543" s="290"/>
      <c r="C543" s="290" t="s">
        <v>78</v>
      </c>
      <c r="Q543" s="290"/>
      <c r="R543" s="290"/>
      <c r="S543" s="290"/>
      <c r="T543" s="290"/>
      <c r="U543" s="290"/>
      <c r="V543" s="291"/>
      <c r="W543" s="251"/>
      <c r="Y543" s="285"/>
    </row>
    <row r="544" spans="1:31" ht="32.25" thickBot="1">
      <c r="A544" s="308"/>
      <c r="B544" s="295"/>
      <c r="C544" s="256" t="s">
        <v>221</v>
      </c>
      <c r="D544" s="296" t="str">
        <f t="shared" ref="D544:P544" si="177">IF(((D542="")*AND(D543="")),"",(D542-D543)*2)</f>
        <v/>
      </c>
      <c r="E544" s="296" t="str">
        <f t="shared" si="177"/>
        <v/>
      </c>
      <c r="F544" s="296" t="str">
        <f t="shared" si="177"/>
        <v/>
      </c>
      <c r="G544" s="296" t="str">
        <f t="shared" si="177"/>
        <v/>
      </c>
      <c r="H544" s="296" t="str">
        <f t="shared" si="177"/>
        <v/>
      </c>
      <c r="I544" s="296" t="str">
        <f t="shared" si="177"/>
        <v/>
      </c>
      <c r="J544" s="296" t="str">
        <f t="shared" si="177"/>
        <v/>
      </c>
      <c r="K544" s="296" t="str">
        <f t="shared" si="177"/>
        <v/>
      </c>
      <c r="L544" s="296" t="str">
        <f t="shared" si="177"/>
        <v/>
      </c>
      <c r="M544" s="296" t="str">
        <f t="shared" si="177"/>
        <v/>
      </c>
      <c r="N544" s="296" t="str">
        <f t="shared" si="177"/>
        <v/>
      </c>
      <c r="O544" s="296" t="str">
        <f t="shared" si="177"/>
        <v/>
      </c>
      <c r="P544" s="296" t="str">
        <f t="shared" si="177"/>
        <v/>
      </c>
      <c r="Q544" s="277"/>
      <c r="R544" s="295"/>
      <c r="S544" s="295"/>
      <c r="T544" s="295"/>
      <c r="U544" s="295"/>
      <c r="V544" s="297"/>
      <c r="W544" s="260"/>
      <c r="Y544" s="285"/>
    </row>
    <row r="545" spans="1:31">
      <c r="A545" s="305"/>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83" t="str">
        <f>IF(P546="","",IF(U545&lt;5,IF(S545&gt;1900,IF(S545&lt;2250,"Pass","Fail"),"Fail"),"Fail"))</f>
        <v/>
      </c>
      <c r="W545" s="298"/>
      <c r="Y545" s="285"/>
      <c r="Z545" s="286">
        <v>1600</v>
      </c>
      <c r="AA545" s="286">
        <v>2600</v>
      </c>
      <c r="AB545" s="287">
        <v>1900</v>
      </c>
      <c r="AC545" s="287">
        <v>2250</v>
      </c>
      <c r="AD545" s="288">
        <v>10</v>
      </c>
      <c r="AE545" s="288">
        <v>3.6</v>
      </c>
    </row>
    <row r="546" spans="1:31">
      <c r="A546" s="307"/>
      <c r="B546" s="290"/>
      <c r="C546" s="290" t="s">
        <v>78</v>
      </c>
      <c r="Q546" s="290"/>
      <c r="R546" s="290"/>
      <c r="S546" s="290"/>
      <c r="T546" s="290"/>
      <c r="U546" s="290"/>
      <c r="V546" s="291"/>
      <c r="W546" s="251"/>
      <c r="Y546" s="285"/>
    </row>
    <row r="547" spans="1:31" ht="32.25" thickBot="1">
      <c r="A547" s="308"/>
      <c r="B547" s="295"/>
      <c r="C547" s="256" t="s">
        <v>221</v>
      </c>
      <c r="D547" s="296" t="str">
        <f t="shared" ref="D547:P547" si="178">IF(((D545="")*AND(D546="")),"",(D545-D546)*2)</f>
        <v/>
      </c>
      <c r="E547" s="296" t="str">
        <f t="shared" si="178"/>
        <v/>
      </c>
      <c r="F547" s="296" t="str">
        <f t="shared" si="178"/>
        <v/>
      </c>
      <c r="G547" s="296" t="str">
        <f t="shared" si="178"/>
        <v/>
      </c>
      <c r="H547" s="296" t="str">
        <f t="shared" si="178"/>
        <v/>
      </c>
      <c r="I547" s="296" t="str">
        <f t="shared" si="178"/>
        <v/>
      </c>
      <c r="J547" s="296" t="str">
        <f t="shared" si="178"/>
        <v/>
      </c>
      <c r="K547" s="296" t="str">
        <f t="shared" si="178"/>
        <v/>
      </c>
      <c r="L547" s="296" t="str">
        <f t="shared" si="178"/>
        <v/>
      </c>
      <c r="M547" s="296" t="str">
        <f t="shared" si="178"/>
        <v/>
      </c>
      <c r="N547" s="296" t="str">
        <f t="shared" si="178"/>
        <v/>
      </c>
      <c r="O547" s="296" t="str">
        <f t="shared" si="178"/>
        <v/>
      </c>
      <c r="P547" s="296" t="str">
        <f t="shared" si="178"/>
        <v/>
      </c>
      <c r="Q547" s="277"/>
      <c r="R547" s="295"/>
      <c r="S547" s="295"/>
      <c r="T547" s="295"/>
      <c r="U547" s="295"/>
      <c r="V547" s="297"/>
      <c r="W547" s="260"/>
      <c r="Y547" s="285"/>
    </row>
    <row r="548" spans="1:31">
      <c r="A548" s="305"/>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83" t="str">
        <f>IF(P549="","",IF(U548&lt;5,IF(S548&gt;1900,IF(S548&lt;2250,"Pass","Fail"),"Fail"),"Fail"))</f>
        <v/>
      </c>
      <c r="W548" s="298"/>
      <c r="Y548" s="285"/>
      <c r="Z548" s="286">
        <v>1600</v>
      </c>
      <c r="AA548" s="286">
        <v>2600</v>
      </c>
      <c r="AB548" s="287">
        <v>1900</v>
      </c>
      <c r="AC548" s="287">
        <v>2250</v>
      </c>
      <c r="AD548" s="288">
        <v>10</v>
      </c>
      <c r="AE548" s="288">
        <v>3.6</v>
      </c>
    </row>
    <row r="549" spans="1:31">
      <c r="A549" s="307"/>
      <c r="B549" s="290"/>
      <c r="C549" s="290" t="s">
        <v>78</v>
      </c>
      <c r="Q549" s="290"/>
      <c r="R549" s="290"/>
      <c r="S549" s="290"/>
      <c r="T549" s="290"/>
      <c r="U549" s="290"/>
      <c r="V549" s="291"/>
      <c r="W549" s="251"/>
      <c r="Y549" s="285"/>
    </row>
    <row r="550" spans="1:31" ht="32.25" thickBot="1">
      <c r="A550" s="308"/>
      <c r="B550" s="295"/>
      <c r="C550" s="256" t="s">
        <v>221</v>
      </c>
      <c r="D550" s="296" t="str">
        <f t="shared" ref="D550:P550" si="179">IF(((D548="")*AND(D549="")),"",(D548-D549)*2)</f>
        <v/>
      </c>
      <c r="E550" s="296" t="str">
        <f t="shared" si="179"/>
        <v/>
      </c>
      <c r="F550" s="296" t="str">
        <f t="shared" si="179"/>
        <v/>
      </c>
      <c r="G550" s="296" t="str">
        <f t="shared" si="179"/>
        <v/>
      </c>
      <c r="H550" s="296" t="str">
        <f t="shared" si="179"/>
        <v/>
      </c>
      <c r="I550" s="296" t="str">
        <f t="shared" si="179"/>
        <v/>
      </c>
      <c r="J550" s="296" t="str">
        <f t="shared" si="179"/>
        <v/>
      </c>
      <c r="K550" s="296" t="str">
        <f t="shared" si="179"/>
        <v/>
      </c>
      <c r="L550" s="296" t="str">
        <f t="shared" si="179"/>
        <v/>
      </c>
      <c r="M550" s="296" t="str">
        <f t="shared" si="179"/>
        <v/>
      </c>
      <c r="N550" s="296" t="str">
        <f t="shared" si="179"/>
        <v/>
      </c>
      <c r="O550" s="296" t="str">
        <f t="shared" si="179"/>
        <v/>
      </c>
      <c r="P550" s="296" t="str">
        <f t="shared" si="179"/>
        <v/>
      </c>
      <c r="Q550" s="277"/>
      <c r="R550" s="295"/>
      <c r="S550" s="295"/>
      <c r="T550" s="295"/>
      <c r="U550" s="295"/>
      <c r="V550" s="297"/>
      <c r="W550" s="260"/>
      <c r="Y550" s="285"/>
    </row>
    <row r="551" spans="1:31">
      <c r="A551" s="305"/>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83" t="str">
        <f>IF(P552="","",IF(U551&lt;5,IF(S551&gt;1900,IF(S551&lt;2250,"Pass","Fail"),"Fail"),"Fail"))</f>
        <v/>
      </c>
      <c r="W551" s="298"/>
      <c r="Y551" s="285"/>
      <c r="Z551" s="286">
        <v>1600</v>
      </c>
      <c r="AA551" s="286">
        <v>2600</v>
      </c>
      <c r="AB551" s="287">
        <v>1900</v>
      </c>
      <c r="AC551" s="287">
        <v>2250</v>
      </c>
      <c r="AD551" s="288">
        <v>10</v>
      </c>
      <c r="AE551" s="288">
        <v>3.6</v>
      </c>
    </row>
    <row r="552" spans="1:31">
      <c r="A552" s="307"/>
      <c r="B552" s="290"/>
      <c r="C552" s="290" t="s">
        <v>78</v>
      </c>
      <c r="Q552" s="290"/>
      <c r="R552" s="290"/>
      <c r="S552" s="290"/>
      <c r="T552" s="290"/>
      <c r="U552" s="290"/>
      <c r="V552" s="291"/>
      <c r="W552" s="251"/>
      <c r="Y552" s="285"/>
    </row>
    <row r="553" spans="1:31" ht="32.25" thickBot="1">
      <c r="A553" s="308"/>
      <c r="B553" s="295"/>
      <c r="C553" s="256" t="s">
        <v>221</v>
      </c>
      <c r="D553" s="296" t="str">
        <f t="shared" ref="D553:P553" si="180">IF(((D551="")*AND(D552="")),"",(D551-D552)*2)</f>
        <v/>
      </c>
      <c r="E553" s="296" t="str">
        <f t="shared" si="180"/>
        <v/>
      </c>
      <c r="F553" s="296" t="str">
        <f t="shared" si="180"/>
        <v/>
      </c>
      <c r="G553" s="296" t="str">
        <f t="shared" si="180"/>
        <v/>
      </c>
      <c r="H553" s="296" t="str">
        <f t="shared" si="180"/>
        <v/>
      </c>
      <c r="I553" s="296" t="str">
        <f t="shared" si="180"/>
        <v/>
      </c>
      <c r="J553" s="296" t="str">
        <f t="shared" si="180"/>
        <v/>
      </c>
      <c r="K553" s="296" t="str">
        <f t="shared" si="180"/>
        <v/>
      </c>
      <c r="L553" s="296" t="str">
        <f t="shared" si="180"/>
        <v/>
      </c>
      <c r="M553" s="296" t="str">
        <f t="shared" si="180"/>
        <v/>
      </c>
      <c r="N553" s="296" t="str">
        <f t="shared" si="180"/>
        <v/>
      </c>
      <c r="O553" s="296" t="str">
        <f t="shared" si="180"/>
        <v/>
      </c>
      <c r="P553" s="296" t="str">
        <f t="shared" si="180"/>
        <v/>
      </c>
      <c r="Q553" s="277"/>
      <c r="R553" s="295"/>
      <c r="S553" s="295"/>
      <c r="T553" s="295"/>
      <c r="U553" s="295"/>
      <c r="V553" s="297"/>
      <c r="W553" s="260"/>
      <c r="Y553" s="285"/>
    </row>
    <row r="554" spans="1:31">
      <c r="A554" s="305"/>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83" t="str">
        <f>IF(P555="","",IF(U554&lt;5,IF(S554&gt;1900,IF(S554&lt;2250,"Pass","Fail"),"Fail"),"Fail"))</f>
        <v/>
      </c>
      <c r="W554" s="298"/>
      <c r="Y554" s="285"/>
      <c r="Z554" s="286">
        <v>1600</v>
      </c>
      <c r="AA554" s="286">
        <v>2600</v>
      </c>
      <c r="AB554" s="287">
        <v>1900</v>
      </c>
      <c r="AC554" s="287">
        <v>2250</v>
      </c>
      <c r="AD554" s="288">
        <v>10</v>
      </c>
      <c r="AE554" s="288">
        <v>3.6</v>
      </c>
    </row>
    <row r="555" spans="1:31">
      <c r="A555" s="307"/>
      <c r="B555" s="290"/>
      <c r="C555" s="290" t="s">
        <v>78</v>
      </c>
      <c r="Q555" s="290"/>
      <c r="R555" s="290"/>
      <c r="S555" s="290"/>
      <c r="T555" s="290"/>
      <c r="U555" s="290"/>
      <c r="V555" s="291"/>
      <c r="W555" s="251"/>
      <c r="Y555" s="285"/>
    </row>
    <row r="556" spans="1:31" ht="32.25" thickBot="1">
      <c r="A556" s="308"/>
      <c r="B556" s="295"/>
      <c r="C556" s="256" t="s">
        <v>221</v>
      </c>
      <c r="D556" s="296" t="str">
        <f t="shared" ref="D556:P556" si="181">IF(((D554="")*AND(D555="")),"",(D554-D555)*2)</f>
        <v/>
      </c>
      <c r="E556" s="296" t="str">
        <f t="shared" si="181"/>
        <v/>
      </c>
      <c r="F556" s="296" t="str">
        <f t="shared" si="181"/>
        <v/>
      </c>
      <c r="G556" s="296" t="str">
        <f t="shared" si="181"/>
        <v/>
      </c>
      <c r="H556" s="296" t="str">
        <f t="shared" si="181"/>
        <v/>
      </c>
      <c r="I556" s="296" t="str">
        <f t="shared" si="181"/>
        <v/>
      </c>
      <c r="J556" s="296" t="str">
        <f t="shared" si="181"/>
        <v/>
      </c>
      <c r="K556" s="296" t="str">
        <f t="shared" si="181"/>
        <v/>
      </c>
      <c r="L556" s="296" t="str">
        <f t="shared" si="181"/>
        <v/>
      </c>
      <c r="M556" s="296" t="str">
        <f t="shared" si="181"/>
        <v/>
      </c>
      <c r="N556" s="296" t="str">
        <f t="shared" si="181"/>
        <v/>
      </c>
      <c r="O556" s="296" t="str">
        <f t="shared" si="181"/>
        <v/>
      </c>
      <c r="P556" s="296" t="str">
        <f t="shared" si="181"/>
        <v/>
      </c>
      <c r="Q556" s="277"/>
      <c r="R556" s="295"/>
      <c r="S556" s="295"/>
      <c r="T556" s="295"/>
      <c r="U556" s="295"/>
      <c r="V556" s="297"/>
      <c r="W556" s="260"/>
      <c r="Y556" s="285"/>
    </row>
    <row r="557" spans="1:31">
      <c r="A557" s="305"/>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83" t="str">
        <f>IF(P558="","",IF(U557&lt;5,IF(S557&gt;1900,IF(S557&lt;2250,"Pass","Fail"),"Fail"),"Fail"))</f>
        <v/>
      </c>
      <c r="W557" s="298"/>
      <c r="Y557" s="285"/>
      <c r="Z557" s="286">
        <v>1600</v>
      </c>
      <c r="AA557" s="286">
        <v>2600</v>
      </c>
      <c r="AB557" s="287">
        <v>1900</v>
      </c>
      <c r="AC557" s="287">
        <v>2250</v>
      </c>
      <c r="AD557" s="288">
        <v>10</v>
      </c>
      <c r="AE557" s="288">
        <v>3.6</v>
      </c>
    </row>
    <row r="558" spans="1:31">
      <c r="A558" s="307"/>
      <c r="B558" s="290"/>
      <c r="C558" s="290" t="s">
        <v>78</v>
      </c>
      <c r="Q558" s="290"/>
      <c r="R558" s="290"/>
      <c r="S558" s="290"/>
      <c r="T558" s="290"/>
      <c r="U558" s="290"/>
      <c r="V558" s="291"/>
      <c r="W558" s="251"/>
      <c r="Y558" s="285"/>
    </row>
    <row r="559" spans="1:31" ht="32.25" thickBot="1">
      <c r="A559" s="308"/>
      <c r="B559" s="295"/>
      <c r="C559" s="256" t="s">
        <v>221</v>
      </c>
      <c r="D559" s="296" t="str">
        <f t="shared" ref="D559:P559" si="182">IF(((D557="")*AND(D558="")),"",(D557-D558)*2)</f>
        <v/>
      </c>
      <c r="E559" s="296" t="str">
        <f t="shared" si="182"/>
        <v/>
      </c>
      <c r="F559" s="296" t="str">
        <f t="shared" si="182"/>
        <v/>
      </c>
      <c r="G559" s="296" t="str">
        <f t="shared" si="182"/>
        <v/>
      </c>
      <c r="H559" s="296" t="str">
        <f t="shared" si="182"/>
        <v/>
      </c>
      <c r="I559" s="296" t="str">
        <f t="shared" si="182"/>
        <v/>
      </c>
      <c r="J559" s="296" t="str">
        <f t="shared" si="182"/>
        <v/>
      </c>
      <c r="K559" s="296" t="str">
        <f t="shared" si="182"/>
        <v/>
      </c>
      <c r="L559" s="296" t="str">
        <f t="shared" si="182"/>
        <v/>
      </c>
      <c r="M559" s="296" t="str">
        <f t="shared" si="182"/>
        <v/>
      </c>
      <c r="N559" s="296" t="str">
        <f t="shared" si="182"/>
        <v/>
      </c>
      <c r="O559" s="296" t="str">
        <f t="shared" si="182"/>
        <v/>
      </c>
      <c r="P559" s="296" t="str">
        <f t="shared" si="182"/>
        <v/>
      </c>
      <c r="Q559" s="277"/>
      <c r="R559" s="295"/>
      <c r="S559" s="295"/>
      <c r="T559" s="295"/>
      <c r="U559" s="295"/>
      <c r="V559" s="297"/>
      <c r="W559" s="260"/>
      <c r="Y559" s="285"/>
    </row>
    <row r="560" spans="1:31">
      <c r="A560" s="305"/>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83" t="str">
        <f>IF(P561="","",IF(U560&lt;5,IF(S560&gt;1900,IF(S560&lt;2250,"Pass","Fail"),"Fail"),"Fail"))</f>
        <v/>
      </c>
      <c r="W560" s="298"/>
      <c r="Y560" s="285"/>
      <c r="Z560" s="286">
        <v>1600</v>
      </c>
      <c r="AA560" s="286">
        <v>2600</v>
      </c>
      <c r="AB560" s="287">
        <v>1900</v>
      </c>
      <c r="AC560" s="287">
        <v>2250</v>
      </c>
      <c r="AD560" s="288">
        <v>10</v>
      </c>
      <c r="AE560" s="288">
        <v>3.6</v>
      </c>
    </row>
    <row r="561" spans="1:31">
      <c r="A561" s="307"/>
      <c r="B561" s="290"/>
      <c r="C561" s="290" t="s">
        <v>78</v>
      </c>
      <c r="Q561" s="290"/>
      <c r="R561" s="290"/>
      <c r="S561" s="290"/>
      <c r="T561" s="290"/>
      <c r="U561" s="290"/>
      <c r="V561" s="291"/>
      <c r="W561" s="251"/>
      <c r="Y561" s="285"/>
    </row>
    <row r="562" spans="1:31" ht="32.25" thickBot="1">
      <c r="A562" s="308"/>
      <c r="B562" s="295"/>
      <c r="C562" s="256" t="s">
        <v>221</v>
      </c>
      <c r="D562" s="296" t="str">
        <f t="shared" ref="D562:P562" si="183">IF(((D560="")*AND(D561="")),"",(D560-D561)*2)</f>
        <v/>
      </c>
      <c r="E562" s="296" t="str">
        <f t="shared" si="183"/>
        <v/>
      </c>
      <c r="F562" s="296" t="str">
        <f t="shared" si="183"/>
        <v/>
      </c>
      <c r="G562" s="296" t="str">
        <f t="shared" si="183"/>
        <v/>
      </c>
      <c r="H562" s="296" t="str">
        <f t="shared" si="183"/>
        <v/>
      </c>
      <c r="I562" s="296" t="str">
        <f t="shared" si="183"/>
        <v/>
      </c>
      <c r="J562" s="296" t="str">
        <f t="shared" si="183"/>
        <v/>
      </c>
      <c r="K562" s="296" t="str">
        <f t="shared" si="183"/>
        <v/>
      </c>
      <c r="L562" s="296" t="str">
        <f t="shared" si="183"/>
        <v/>
      </c>
      <c r="M562" s="296" t="str">
        <f t="shared" si="183"/>
        <v/>
      </c>
      <c r="N562" s="296" t="str">
        <f t="shared" si="183"/>
        <v/>
      </c>
      <c r="O562" s="296" t="str">
        <f t="shared" si="183"/>
        <v/>
      </c>
      <c r="P562" s="296" t="str">
        <f t="shared" si="183"/>
        <v/>
      </c>
      <c r="Q562" s="277"/>
      <c r="R562" s="295"/>
      <c r="S562" s="295"/>
      <c r="T562" s="295"/>
      <c r="U562" s="295"/>
      <c r="V562" s="297"/>
      <c r="W562" s="260"/>
      <c r="Y562" s="285"/>
    </row>
    <row r="563" spans="1:31">
      <c r="A563" s="305"/>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83" t="str">
        <f>IF(P564="","",IF(U563&lt;5,IF(S563&gt;1900,IF(S563&lt;2250,"Pass","Fail"),"Fail"),"Fail"))</f>
        <v/>
      </c>
      <c r="W563" s="298"/>
      <c r="Y563" s="285"/>
      <c r="Z563" s="286">
        <v>1600</v>
      </c>
      <c r="AA563" s="286">
        <v>2600</v>
      </c>
      <c r="AB563" s="287">
        <v>1900</v>
      </c>
      <c r="AC563" s="287">
        <v>2250</v>
      </c>
      <c r="AD563" s="288">
        <v>10</v>
      </c>
      <c r="AE563" s="288">
        <v>3.6</v>
      </c>
    </row>
    <row r="564" spans="1:31">
      <c r="A564" s="307"/>
      <c r="B564" s="290"/>
      <c r="C564" s="290" t="s">
        <v>78</v>
      </c>
      <c r="Q564" s="290"/>
      <c r="R564" s="290"/>
      <c r="S564" s="290"/>
      <c r="T564" s="290"/>
      <c r="U564" s="290"/>
      <c r="V564" s="291"/>
      <c r="W564" s="251"/>
      <c r="Y564" s="285"/>
    </row>
    <row r="565" spans="1:31" ht="32.25" thickBot="1">
      <c r="A565" s="308"/>
      <c r="B565" s="295"/>
      <c r="C565" s="256" t="s">
        <v>221</v>
      </c>
      <c r="D565" s="296" t="str">
        <f t="shared" ref="D565:P565" si="184">IF(((D563="")*AND(D564="")),"",(D563-D564)*2)</f>
        <v/>
      </c>
      <c r="E565" s="296" t="str">
        <f t="shared" si="184"/>
        <v/>
      </c>
      <c r="F565" s="296" t="str">
        <f t="shared" si="184"/>
        <v/>
      </c>
      <c r="G565" s="296" t="str">
        <f t="shared" si="184"/>
        <v/>
      </c>
      <c r="H565" s="296" t="str">
        <f t="shared" si="184"/>
        <v/>
      </c>
      <c r="I565" s="296" t="str">
        <f t="shared" si="184"/>
        <v/>
      </c>
      <c r="J565" s="296" t="str">
        <f t="shared" si="184"/>
        <v/>
      </c>
      <c r="K565" s="296" t="str">
        <f t="shared" si="184"/>
        <v/>
      </c>
      <c r="L565" s="296" t="str">
        <f t="shared" si="184"/>
        <v/>
      </c>
      <c r="M565" s="296" t="str">
        <f t="shared" si="184"/>
        <v/>
      </c>
      <c r="N565" s="296" t="str">
        <f t="shared" si="184"/>
        <v/>
      </c>
      <c r="O565" s="296" t="str">
        <f t="shared" si="184"/>
        <v/>
      </c>
      <c r="P565" s="296" t="str">
        <f t="shared" si="184"/>
        <v/>
      </c>
      <c r="Q565" s="277"/>
      <c r="R565" s="295"/>
      <c r="S565" s="295"/>
      <c r="T565" s="295"/>
      <c r="U565" s="295"/>
      <c r="V565" s="297"/>
      <c r="W565" s="260"/>
      <c r="Y565" s="285"/>
    </row>
    <row r="566" spans="1:31">
      <c r="A566" s="305"/>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83" t="str">
        <f>IF(P567="","",IF(U566&lt;5,IF(S566&gt;1900,IF(S566&lt;2250,"Pass","Fail"),"Fail"),"Fail"))</f>
        <v/>
      </c>
      <c r="W566" s="298"/>
      <c r="Y566" s="285"/>
      <c r="Z566" s="286">
        <v>1600</v>
      </c>
      <c r="AA566" s="286">
        <v>2600</v>
      </c>
      <c r="AB566" s="287">
        <v>1900</v>
      </c>
      <c r="AC566" s="287">
        <v>2250</v>
      </c>
      <c r="AD566" s="288">
        <v>10</v>
      </c>
      <c r="AE566" s="288">
        <v>3.6</v>
      </c>
    </row>
    <row r="567" spans="1:31">
      <c r="A567" s="307"/>
      <c r="B567" s="290"/>
      <c r="C567" s="290" t="s">
        <v>78</v>
      </c>
      <c r="Q567" s="290"/>
      <c r="R567" s="290"/>
      <c r="S567" s="290"/>
      <c r="T567" s="290"/>
      <c r="U567" s="290"/>
      <c r="V567" s="291"/>
      <c r="W567" s="251"/>
      <c r="Y567" s="285"/>
    </row>
    <row r="568" spans="1:31" ht="32.25" thickBot="1">
      <c r="A568" s="308"/>
      <c r="B568" s="295"/>
      <c r="C568" s="256" t="s">
        <v>221</v>
      </c>
      <c r="D568" s="296" t="str">
        <f t="shared" ref="D568:P568" si="185">IF(((D566="")*AND(D567="")),"",(D566-D567)*2)</f>
        <v/>
      </c>
      <c r="E568" s="296" t="str">
        <f t="shared" si="185"/>
        <v/>
      </c>
      <c r="F568" s="296" t="str">
        <f t="shared" si="185"/>
        <v/>
      </c>
      <c r="G568" s="296" t="str">
        <f t="shared" si="185"/>
        <v/>
      </c>
      <c r="H568" s="296" t="str">
        <f t="shared" si="185"/>
        <v/>
      </c>
      <c r="I568" s="296" t="str">
        <f t="shared" si="185"/>
        <v/>
      </c>
      <c r="J568" s="296" t="str">
        <f t="shared" si="185"/>
        <v/>
      </c>
      <c r="K568" s="296" t="str">
        <f t="shared" si="185"/>
        <v/>
      </c>
      <c r="L568" s="296" t="str">
        <f t="shared" si="185"/>
        <v/>
      </c>
      <c r="M568" s="296" t="str">
        <f t="shared" si="185"/>
        <v/>
      </c>
      <c r="N568" s="296" t="str">
        <f t="shared" si="185"/>
        <v/>
      </c>
      <c r="O568" s="296" t="str">
        <f t="shared" si="185"/>
        <v/>
      </c>
      <c r="P568" s="296" t="str">
        <f t="shared" si="185"/>
        <v/>
      </c>
      <c r="Q568" s="277"/>
      <c r="R568" s="295"/>
      <c r="S568" s="295"/>
      <c r="T568" s="295"/>
      <c r="U568" s="295"/>
      <c r="V568" s="297"/>
      <c r="W568" s="260"/>
      <c r="Y568" s="285"/>
    </row>
    <row r="569" spans="1:31">
      <c r="A569" s="305"/>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83" t="str">
        <f>IF(P570="","",IF(U569&lt;5,IF(S569&gt;1900,IF(S569&lt;2250,"Pass","Fail"),"Fail"),"Fail"))</f>
        <v/>
      </c>
      <c r="W569" s="298"/>
      <c r="Y569" s="285"/>
      <c r="Z569" s="286">
        <v>1600</v>
      </c>
      <c r="AA569" s="286">
        <v>2600</v>
      </c>
      <c r="AB569" s="287">
        <v>1900</v>
      </c>
      <c r="AC569" s="287">
        <v>2250</v>
      </c>
      <c r="AD569" s="288">
        <v>10</v>
      </c>
      <c r="AE569" s="288">
        <v>3.6</v>
      </c>
    </row>
    <row r="570" spans="1:31">
      <c r="A570" s="307"/>
      <c r="B570" s="290"/>
      <c r="C570" s="290" t="s">
        <v>78</v>
      </c>
      <c r="Q570" s="290"/>
      <c r="R570" s="290"/>
      <c r="S570" s="290"/>
      <c r="T570" s="290"/>
      <c r="U570" s="290"/>
      <c r="V570" s="291"/>
      <c r="W570" s="251"/>
      <c r="Y570" s="285"/>
    </row>
    <row r="571" spans="1:31" ht="32.25" thickBot="1">
      <c r="A571" s="308"/>
      <c r="B571" s="295"/>
      <c r="C571" s="256" t="s">
        <v>221</v>
      </c>
      <c r="D571" s="296" t="str">
        <f t="shared" ref="D571:P571" si="186">IF(((D569="")*AND(D570="")),"",(D569-D570)*2)</f>
        <v/>
      </c>
      <c r="E571" s="296" t="str">
        <f t="shared" si="186"/>
        <v/>
      </c>
      <c r="F571" s="296" t="str">
        <f t="shared" si="186"/>
        <v/>
      </c>
      <c r="G571" s="296" t="str">
        <f t="shared" si="186"/>
        <v/>
      </c>
      <c r="H571" s="296" t="str">
        <f t="shared" si="186"/>
        <v/>
      </c>
      <c r="I571" s="296" t="str">
        <f t="shared" si="186"/>
        <v/>
      </c>
      <c r="J571" s="296" t="str">
        <f t="shared" si="186"/>
        <v/>
      </c>
      <c r="K571" s="296" t="str">
        <f t="shared" si="186"/>
        <v/>
      </c>
      <c r="L571" s="296" t="str">
        <f t="shared" si="186"/>
        <v/>
      </c>
      <c r="M571" s="296" t="str">
        <f t="shared" si="186"/>
        <v/>
      </c>
      <c r="N571" s="296" t="str">
        <f t="shared" si="186"/>
        <v/>
      </c>
      <c r="O571" s="296" t="str">
        <f t="shared" si="186"/>
        <v/>
      </c>
      <c r="P571" s="296" t="str">
        <f t="shared" si="186"/>
        <v/>
      </c>
      <c r="Q571" s="277"/>
      <c r="R571" s="295"/>
      <c r="S571" s="295"/>
      <c r="T571" s="295"/>
      <c r="U571" s="295"/>
      <c r="V571" s="297"/>
      <c r="W571" s="260"/>
      <c r="Y571" s="285"/>
    </row>
    <row r="572" spans="1:31">
      <c r="A572" s="305"/>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83" t="str">
        <f>IF(P573="","",IF(U572&lt;5,IF(S572&gt;1900,IF(S572&lt;2250,"Pass","Fail"),"Fail"),"Fail"))</f>
        <v/>
      </c>
      <c r="W572" s="298"/>
      <c r="Y572" s="285"/>
      <c r="Z572" s="286">
        <v>1600</v>
      </c>
      <c r="AA572" s="286">
        <v>2600</v>
      </c>
      <c r="AB572" s="287">
        <v>1900</v>
      </c>
      <c r="AC572" s="287">
        <v>2250</v>
      </c>
      <c r="AD572" s="288">
        <v>10</v>
      </c>
      <c r="AE572" s="288">
        <v>3.6</v>
      </c>
    </row>
    <row r="573" spans="1:31">
      <c r="A573" s="307"/>
      <c r="B573" s="290"/>
      <c r="C573" s="290" t="s">
        <v>78</v>
      </c>
      <c r="Q573" s="290"/>
      <c r="R573" s="290"/>
      <c r="S573" s="290"/>
      <c r="T573" s="290"/>
      <c r="U573" s="290"/>
      <c r="V573" s="291"/>
      <c r="W573" s="251"/>
      <c r="Y573" s="285"/>
    </row>
    <row r="574" spans="1:31" ht="32.25" thickBot="1">
      <c r="A574" s="308"/>
      <c r="B574" s="295"/>
      <c r="C574" s="256" t="s">
        <v>221</v>
      </c>
      <c r="D574" s="296" t="str">
        <f t="shared" ref="D574:P574" si="187">IF(((D572="")*AND(D573="")),"",(D572-D573)*2)</f>
        <v/>
      </c>
      <c r="E574" s="296" t="str">
        <f t="shared" si="187"/>
        <v/>
      </c>
      <c r="F574" s="296" t="str">
        <f t="shared" si="187"/>
        <v/>
      </c>
      <c r="G574" s="296" t="str">
        <f t="shared" si="187"/>
        <v/>
      </c>
      <c r="H574" s="296" t="str">
        <f t="shared" si="187"/>
        <v/>
      </c>
      <c r="I574" s="296" t="str">
        <f t="shared" si="187"/>
        <v/>
      </c>
      <c r="J574" s="296" t="str">
        <f t="shared" si="187"/>
        <v/>
      </c>
      <c r="K574" s="296" t="str">
        <f t="shared" si="187"/>
        <v/>
      </c>
      <c r="L574" s="296" t="str">
        <f t="shared" si="187"/>
        <v/>
      </c>
      <c r="M574" s="296" t="str">
        <f t="shared" si="187"/>
        <v/>
      </c>
      <c r="N574" s="296" t="str">
        <f t="shared" si="187"/>
        <v/>
      </c>
      <c r="O574" s="296" t="str">
        <f t="shared" si="187"/>
        <v/>
      </c>
      <c r="P574" s="296" t="str">
        <f t="shared" si="187"/>
        <v/>
      </c>
      <c r="Q574" s="277"/>
      <c r="R574" s="295"/>
      <c r="S574" s="295"/>
      <c r="T574" s="295"/>
      <c r="U574" s="295"/>
      <c r="V574" s="297"/>
      <c r="W574" s="260"/>
      <c r="Y574" s="285"/>
    </row>
    <row r="575" spans="1:31">
      <c r="A575" s="305"/>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83" t="str">
        <f>IF(P576="","",IF(U575&lt;5,IF(S575&gt;1900,IF(S575&lt;2250,"Pass","Fail"),"Fail"),"Fail"))</f>
        <v/>
      </c>
      <c r="W575" s="298"/>
      <c r="Y575" s="285"/>
      <c r="Z575" s="286">
        <v>1600</v>
      </c>
      <c r="AA575" s="286">
        <v>2600</v>
      </c>
      <c r="AB575" s="287">
        <v>1900</v>
      </c>
      <c r="AC575" s="287">
        <v>2250</v>
      </c>
      <c r="AD575" s="288">
        <v>10</v>
      </c>
      <c r="AE575" s="288">
        <v>3.6</v>
      </c>
    </row>
    <row r="576" spans="1:31">
      <c r="A576" s="307"/>
      <c r="B576" s="290"/>
      <c r="C576" s="290" t="s">
        <v>78</v>
      </c>
      <c r="Q576" s="290"/>
      <c r="R576" s="290"/>
      <c r="S576" s="290"/>
      <c r="T576" s="290"/>
      <c r="U576" s="290"/>
      <c r="V576" s="291"/>
      <c r="W576" s="251"/>
      <c r="Y576" s="285"/>
    </row>
    <row r="577" spans="1:31" ht="32.25" thickBot="1">
      <c r="A577" s="308"/>
      <c r="B577" s="295"/>
      <c r="C577" s="256" t="s">
        <v>221</v>
      </c>
      <c r="D577" s="296" t="str">
        <f t="shared" ref="D577:P577" si="188">IF(((D575="")*AND(D576="")),"",(D575-D576)*2)</f>
        <v/>
      </c>
      <c r="E577" s="296" t="str">
        <f t="shared" si="188"/>
        <v/>
      </c>
      <c r="F577" s="296" t="str">
        <f t="shared" si="188"/>
        <v/>
      </c>
      <c r="G577" s="296" t="str">
        <f t="shared" si="188"/>
        <v/>
      </c>
      <c r="H577" s="296" t="str">
        <f t="shared" si="188"/>
        <v/>
      </c>
      <c r="I577" s="296" t="str">
        <f t="shared" si="188"/>
        <v/>
      </c>
      <c r="J577" s="296" t="str">
        <f t="shared" si="188"/>
        <v/>
      </c>
      <c r="K577" s="296" t="str">
        <f t="shared" si="188"/>
        <v/>
      </c>
      <c r="L577" s="296" t="str">
        <f t="shared" si="188"/>
        <v/>
      </c>
      <c r="M577" s="296" t="str">
        <f t="shared" si="188"/>
        <v/>
      </c>
      <c r="N577" s="296" t="str">
        <f t="shared" si="188"/>
        <v/>
      </c>
      <c r="O577" s="296" t="str">
        <f t="shared" si="188"/>
        <v/>
      </c>
      <c r="P577" s="296" t="str">
        <f t="shared" si="188"/>
        <v/>
      </c>
      <c r="Q577" s="277"/>
      <c r="R577" s="295"/>
      <c r="S577" s="295"/>
      <c r="T577" s="295"/>
      <c r="U577" s="295"/>
      <c r="V577" s="297"/>
      <c r="W577" s="260"/>
      <c r="Y577" s="285"/>
    </row>
    <row r="578" spans="1:31">
      <c r="A578" s="305"/>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83" t="str">
        <f>IF(P579="","",IF(U578&lt;5,IF(S578&gt;1900,IF(S578&lt;2250,"Pass","Fail"),"Fail"),"Fail"))</f>
        <v/>
      </c>
      <c r="W578" s="298"/>
      <c r="Y578" s="285"/>
      <c r="Z578" s="286">
        <v>1600</v>
      </c>
      <c r="AA578" s="286">
        <v>2600</v>
      </c>
      <c r="AB578" s="287">
        <v>1900</v>
      </c>
      <c r="AC578" s="287">
        <v>2250</v>
      </c>
      <c r="AD578" s="288">
        <v>10</v>
      </c>
      <c r="AE578" s="288">
        <v>3.6</v>
      </c>
    </row>
    <row r="579" spans="1:31">
      <c r="A579" s="307"/>
      <c r="B579" s="290"/>
      <c r="C579" s="290" t="s">
        <v>78</v>
      </c>
      <c r="Q579" s="290"/>
      <c r="R579" s="290"/>
      <c r="S579" s="290"/>
      <c r="T579" s="290"/>
      <c r="U579" s="290"/>
      <c r="V579" s="291"/>
      <c r="W579" s="251"/>
      <c r="Y579" s="285"/>
    </row>
    <row r="580" spans="1:31" ht="32.25" thickBot="1">
      <c r="A580" s="308"/>
      <c r="B580" s="295"/>
      <c r="C580" s="256" t="s">
        <v>221</v>
      </c>
      <c r="D580" s="296" t="str">
        <f t="shared" ref="D580:P580" si="189">IF(((D578="")*AND(D579="")),"",(D578-D579)*2)</f>
        <v/>
      </c>
      <c r="E580" s="296" t="str">
        <f t="shared" si="189"/>
        <v/>
      </c>
      <c r="F580" s="296" t="str">
        <f t="shared" si="189"/>
        <v/>
      </c>
      <c r="G580" s="296" t="str">
        <f t="shared" si="189"/>
        <v/>
      </c>
      <c r="H580" s="296" t="str">
        <f t="shared" si="189"/>
        <v/>
      </c>
      <c r="I580" s="296" t="str">
        <f t="shared" si="189"/>
        <v/>
      </c>
      <c r="J580" s="296" t="str">
        <f t="shared" si="189"/>
        <v/>
      </c>
      <c r="K580" s="296" t="str">
        <f t="shared" si="189"/>
        <v/>
      </c>
      <c r="L580" s="296" t="str">
        <f t="shared" si="189"/>
        <v/>
      </c>
      <c r="M580" s="296" t="str">
        <f t="shared" si="189"/>
        <v/>
      </c>
      <c r="N580" s="296" t="str">
        <f t="shared" si="189"/>
        <v/>
      </c>
      <c r="O580" s="296" t="str">
        <f t="shared" si="189"/>
        <v/>
      </c>
      <c r="P580" s="296" t="str">
        <f t="shared" si="189"/>
        <v/>
      </c>
      <c r="Q580" s="277"/>
      <c r="R580" s="295"/>
      <c r="S580" s="295"/>
      <c r="T580" s="295"/>
      <c r="U580" s="295"/>
      <c r="V580" s="297"/>
      <c r="W580" s="260"/>
      <c r="Y580" s="285"/>
    </row>
    <row r="581" spans="1:31">
      <c r="A581" s="305"/>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83" t="str">
        <f>IF(P582="","",IF(U581&lt;5,IF(S581&gt;1900,IF(S581&lt;2250,"Pass","Fail"),"Fail"),"Fail"))</f>
        <v/>
      </c>
      <c r="W581" s="298"/>
      <c r="Y581" s="285"/>
      <c r="Z581" s="286">
        <v>1600</v>
      </c>
      <c r="AA581" s="286">
        <v>2600</v>
      </c>
      <c r="AB581" s="287">
        <v>1900</v>
      </c>
      <c r="AC581" s="287">
        <v>2250</v>
      </c>
      <c r="AD581" s="288">
        <v>10</v>
      </c>
      <c r="AE581" s="288">
        <v>3.6</v>
      </c>
    </row>
    <row r="582" spans="1:31">
      <c r="A582" s="307"/>
      <c r="B582" s="290"/>
      <c r="C582" s="290" t="s">
        <v>78</v>
      </c>
      <c r="Q582" s="290"/>
      <c r="R582" s="290"/>
      <c r="S582" s="290"/>
      <c r="T582" s="290"/>
      <c r="U582" s="290"/>
      <c r="V582" s="291"/>
      <c r="W582" s="251"/>
      <c r="Y582" s="285"/>
    </row>
    <row r="583" spans="1:31" ht="32.25" thickBot="1">
      <c r="A583" s="308"/>
      <c r="B583" s="295"/>
      <c r="C583" s="256" t="s">
        <v>221</v>
      </c>
      <c r="D583" s="296" t="str">
        <f t="shared" ref="D583:P583" si="190">IF(((D581="")*AND(D582="")),"",(D581-D582)*2)</f>
        <v/>
      </c>
      <c r="E583" s="296" t="str">
        <f t="shared" si="190"/>
        <v/>
      </c>
      <c r="F583" s="296" t="str">
        <f t="shared" si="190"/>
        <v/>
      </c>
      <c r="G583" s="296" t="str">
        <f t="shared" si="190"/>
        <v/>
      </c>
      <c r="H583" s="296" t="str">
        <f t="shared" si="190"/>
        <v/>
      </c>
      <c r="I583" s="296" t="str">
        <f t="shared" si="190"/>
        <v/>
      </c>
      <c r="J583" s="296" t="str">
        <f t="shared" si="190"/>
        <v/>
      </c>
      <c r="K583" s="296" t="str">
        <f t="shared" si="190"/>
        <v/>
      </c>
      <c r="L583" s="296" t="str">
        <f t="shared" si="190"/>
        <v/>
      </c>
      <c r="M583" s="296" t="str">
        <f t="shared" si="190"/>
        <v/>
      </c>
      <c r="N583" s="296" t="str">
        <f t="shared" si="190"/>
        <v/>
      </c>
      <c r="O583" s="296" t="str">
        <f t="shared" si="190"/>
        <v/>
      </c>
      <c r="P583" s="296" t="str">
        <f t="shared" si="190"/>
        <v/>
      </c>
      <c r="Q583" s="277"/>
      <c r="R583" s="295"/>
      <c r="S583" s="295"/>
      <c r="T583" s="295"/>
      <c r="U583" s="295"/>
      <c r="V583" s="297"/>
      <c r="W583" s="260"/>
      <c r="Y583" s="285"/>
    </row>
    <row r="584" spans="1:31">
      <c r="A584" s="305"/>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83" t="str">
        <f>IF(P585="","",IF(U584&lt;5,IF(S584&gt;1900,IF(S584&lt;2250,"Pass","Fail"),"Fail"),"Fail"))</f>
        <v/>
      </c>
      <c r="W584" s="298"/>
      <c r="Y584" s="285"/>
      <c r="Z584" s="286">
        <v>1600</v>
      </c>
      <c r="AA584" s="286">
        <v>2600</v>
      </c>
      <c r="AB584" s="287">
        <v>1900</v>
      </c>
      <c r="AC584" s="287">
        <v>2250</v>
      </c>
      <c r="AD584" s="288">
        <v>10</v>
      </c>
      <c r="AE584" s="288">
        <v>3.6</v>
      </c>
    </row>
    <row r="585" spans="1:31">
      <c r="A585" s="307"/>
      <c r="B585" s="290"/>
      <c r="C585" s="290" t="s">
        <v>78</v>
      </c>
      <c r="Q585" s="290"/>
      <c r="R585" s="290"/>
      <c r="S585" s="290"/>
      <c r="T585" s="290"/>
      <c r="U585" s="290"/>
      <c r="V585" s="291"/>
      <c r="W585" s="251"/>
      <c r="Y585" s="285"/>
    </row>
    <row r="586" spans="1:31" ht="32.25" thickBot="1">
      <c r="A586" s="308"/>
      <c r="B586" s="295"/>
      <c r="C586" s="256" t="s">
        <v>221</v>
      </c>
      <c r="D586" s="296" t="str">
        <f t="shared" ref="D586:P586" si="191">IF(((D584="")*AND(D585="")),"",(D584-D585)*2)</f>
        <v/>
      </c>
      <c r="E586" s="296" t="str">
        <f t="shared" si="191"/>
        <v/>
      </c>
      <c r="F586" s="296" t="str">
        <f t="shared" si="191"/>
        <v/>
      </c>
      <c r="G586" s="296" t="str">
        <f t="shared" si="191"/>
        <v/>
      </c>
      <c r="H586" s="296" t="str">
        <f t="shared" si="191"/>
        <v/>
      </c>
      <c r="I586" s="296" t="str">
        <f t="shared" si="191"/>
        <v/>
      </c>
      <c r="J586" s="296" t="str">
        <f t="shared" si="191"/>
        <v/>
      </c>
      <c r="K586" s="296" t="str">
        <f t="shared" si="191"/>
        <v/>
      </c>
      <c r="L586" s="296" t="str">
        <f t="shared" si="191"/>
        <v/>
      </c>
      <c r="M586" s="296" t="str">
        <f t="shared" si="191"/>
        <v/>
      </c>
      <c r="N586" s="296" t="str">
        <f t="shared" si="191"/>
        <v/>
      </c>
      <c r="O586" s="296" t="str">
        <f t="shared" si="191"/>
        <v/>
      </c>
      <c r="P586" s="296" t="str">
        <f t="shared" si="191"/>
        <v/>
      </c>
      <c r="Q586" s="277"/>
      <c r="R586" s="295"/>
      <c r="S586" s="295"/>
      <c r="T586" s="295"/>
      <c r="U586" s="295"/>
      <c r="V586" s="297"/>
      <c r="W586" s="260"/>
      <c r="Y586" s="285"/>
    </row>
    <row r="587" spans="1:31">
      <c r="A587" s="305"/>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83" t="str">
        <f>IF(P588="","",IF(U587&lt;5,IF(S587&gt;1900,IF(S587&lt;2250,"Pass","Fail"),"Fail"),"Fail"))</f>
        <v/>
      </c>
      <c r="W587" s="298"/>
      <c r="Y587" s="285"/>
      <c r="Z587" s="286">
        <v>1600</v>
      </c>
      <c r="AA587" s="286">
        <v>2600</v>
      </c>
      <c r="AB587" s="287">
        <v>1900</v>
      </c>
      <c r="AC587" s="287">
        <v>2250</v>
      </c>
      <c r="AD587" s="288">
        <v>10</v>
      </c>
      <c r="AE587" s="288">
        <v>3.6</v>
      </c>
    </row>
    <row r="588" spans="1:31">
      <c r="A588" s="307"/>
      <c r="B588" s="290"/>
      <c r="C588" s="290" t="s">
        <v>78</v>
      </c>
      <c r="Q588" s="290"/>
      <c r="R588" s="290"/>
      <c r="S588" s="290"/>
      <c r="T588" s="290"/>
      <c r="U588" s="290"/>
      <c r="V588" s="291"/>
      <c r="W588" s="251"/>
      <c r="Y588" s="285"/>
    </row>
    <row r="589" spans="1:31" ht="32.25" thickBot="1">
      <c r="A589" s="308"/>
      <c r="B589" s="295"/>
      <c r="C589" s="256" t="s">
        <v>221</v>
      </c>
      <c r="D589" s="296" t="str">
        <f t="shared" ref="D589:P589" si="192">IF(((D587="")*AND(D588="")),"",(D587-D588)*2)</f>
        <v/>
      </c>
      <c r="E589" s="296" t="str">
        <f t="shared" si="192"/>
        <v/>
      </c>
      <c r="F589" s="296" t="str">
        <f t="shared" si="192"/>
        <v/>
      </c>
      <c r="G589" s="296" t="str">
        <f t="shared" si="192"/>
        <v/>
      </c>
      <c r="H589" s="296" t="str">
        <f t="shared" si="192"/>
        <v/>
      </c>
      <c r="I589" s="296" t="str">
        <f t="shared" si="192"/>
        <v/>
      </c>
      <c r="J589" s="296" t="str">
        <f t="shared" si="192"/>
        <v/>
      </c>
      <c r="K589" s="296" t="str">
        <f t="shared" si="192"/>
        <v/>
      </c>
      <c r="L589" s="296" t="str">
        <f t="shared" si="192"/>
        <v/>
      </c>
      <c r="M589" s="296" t="str">
        <f t="shared" si="192"/>
        <v/>
      </c>
      <c r="N589" s="296" t="str">
        <f t="shared" si="192"/>
        <v/>
      </c>
      <c r="O589" s="296" t="str">
        <f t="shared" si="192"/>
        <v/>
      </c>
      <c r="P589" s="296" t="str">
        <f t="shared" si="192"/>
        <v/>
      </c>
      <c r="Q589" s="277"/>
      <c r="R589" s="295"/>
      <c r="S589" s="295"/>
      <c r="T589" s="295"/>
      <c r="U589" s="295"/>
      <c r="V589" s="297"/>
      <c r="W589" s="260"/>
      <c r="Y589" s="285"/>
    </row>
    <row r="590" spans="1:31">
      <c r="A590" s="305"/>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83" t="str">
        <f>IF(P591="","",IF(U590&lt;5,IF(S590&gt;1900,IF(S590&lt;2250,"Pass","Fail"),"Fail"),"Fail"))</f>
        <v/>
      </c>
      <c r="W590" s="298"/>
      <c r="Y590" s="285"/>
      <c r="Z590" s="286">
        <v>1600</v>
      </c>
      <c r="AA590" s="286">
        <v>2600</v>
      </c>
      <c r="AB590" s="287">
        <v>1900</v>
      </c>
      <c r="AC590" s="287">
        <v>2250</v>
      </c>
      <c r="AD590" s="288">
        <v>10</v>
      </c>
      <c r="AE590" s="288">
        <v>3.6</v>
      </c>
    </row>
    <row r="591" spans="1:31">
      <c r="A591" s="307"/>
      <c r="B591" s="290"/>
      <c r="C591" s="290" t="s">
        <v>78</v>
      </c>
      <c r="Q591" s="290"/>
      <c r="R591" s="290"/>
      <c r="S591" s="290"/>
      <c r="T591" s="290"/>
      <c r="U591" s="290"/>
      <c r="V591" s="291"/>
      <c r="W591" s="251"/>
      <c r="Y591" s="285"/>
    </row>
    <row r="592" spans="1:31" ht="32.25" thickBot="1">
      <c r="A592" s="308"/>
      <c r="B592" s="295"/>
      <c r="C592" s="256" t="s">
        <v>221</v>
      </c>
      <c r="D592" s="296" t="str">
        <f t="shared" ref="D592:P592" si="193">IF(((D590="")*AND(D591="")),"",(D590-D591)*2)</f>
        <v/>
      </c>
      <c r="E592" s="296" t="str">
        <f t="shared" si="193"/>
        <v/>
      </c>
      <c r="F592" s="296" t="str">
        <f t="shared" si="193"/>
        <v/>
      </c>
      <c r="G592" s="296" t="str">
        <f t="shared" si="193"/>
        <v/>
      </c>
      <c r="H592" s="296" t="str">
        <f t="shared" si="193"/>
        <v/>
      </c>
      <c r="I592" s="296" t="str">
        <f t="shared" si="193"/>
        <v/>
      </c>
      <c r="J592" s="296" t="str">
        <f t="shared" si="193"/>
        <v/>
      </c>
      <c r="K592" s="296" t="str">
        <f t="shared" si="193"/>
        <v/>
      </c>
      <c r="L592" s="296" t="str">
        <f t="shared" si="193"/>
        <v/>
      </c>
      <c r="M592" s="296" t="str">
        <f t="shared" si="193"/>
        <v/>
      </c>
      <c r="N592" s="296" t="str">
        <f t="shared" si="193"/>
        <v/>
      </c>
      <c r="O592" s="296" t="str">
        <f t="shared" si="193"/>
        <v/>
      </c>
      <c r="P592" s="296" t="str">
        <f t="shared" si="193"/>
        <v/>
      </c>
      <c r="Q592" s="277"/>
      <c r="R592" s="295"/>
      <c r="S592" s="295"/>
      <c r="T592" s="295"/>
      <c r="U592" s="295"/>
      <c r="V592" s="297"/>
      <c r="W592" s="260"/>
      <c r="Y592" s="285"/>
    </row>
    <row r="593" spans="1:31">
      <c r="A593" s="305"/>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83" t="str">
        <f>IF(P594="","",IF(U593&lt;5,IF(S593&gt;1900,IF(S593&lt;2250,"Pass","Fail"),"Fail"),"Fail"))</f>
        <v/>
      </c>
      <c r="W593" s="298"/>
      <c r="Y593" s="285"/>
      <c r="Z593" s="286">
        <v>1600</v>
      </c>
      <c r="AA593" s="286">
        <v>2600</v>
      </c>
      <c r="AB593" s="287">
        <v>1900</v>
      </c>
      <c r="AC593" s="287">
        <v>2250</v>
      </c>
      <c r="AD593" s="288">
        <v>10</v>
      </c>
      <c r="AE593" s="288">
        <v>3.6</v>
      </c>
    </row>
    <row r="594" spans="1:31">
      <c r="A594" s="307"/>
      <c r="B594" s="290"/>
      <c r="C594" s="290" t="s">
        <v>78</v>
      </c>
      <c r="Q594" s="290"/>
      <c r="R594" s="290"/>
      <c r="S594" s="290"/>
      <c r="T594" s="290"/>
      <c r="U594" s="290"/>
      <c r="V594" s="291"/>
      <c r="W594" s="251"/>
      <c r="Y594" s="285"/>
    </row>
    <row r="595" spans="1:31" ht="32.25" thickBot="1">
      <c r="A595" s="308"/>
      <c r="B595" s="295"/>
      <c r="C595" s="256" t="s">
        <v>221</v>
      </c>
      <c r="D595" s="296" t="str">
        <f t="shared" ref="D595:P595" si="194">IF(((D593="")*AND(D594="")),"",(D593-D594)*2)</f>
        <v/>
      </c>
      <c r="E595" s="296" t="str">
        <f t="shared" si="194"/>
        <v/>
      </c>
      <c r="F595" s="296" t="str">
        <f t="shared" si="194"/>
        <v/>
      </c>
      <c r="G595" s="296" t="str">
        <f t="shared" si="194"/>
        <v/>
      </c>
      <c r="H595" s="296" t="str">
        <f t="shared" si="194"/>
        <v/>
      </c>
      <c r="I595" s="296" t="str">
        <f t="shared" si="194"/>
        <v/>
      </c>
      <c r="J595" s="296" t="str">
        <f t="shared" si="194"/>
        <v/>
      </c>
      <c r="K595" s="296" t="str">
        <f t="shared" si="194"/>
        <v/>
      </c>
      <c r="L595" s="296" t="str">
        <f t="shared" si="194"/>
        <v/>
      </c>
      <c r="M595" s="296" t="str">
        <f t="shared" si="194"/>
        <v/>
      </c>
      <c r="N595" s="296" t="str">
        <f t="shared" si="194"/>
        <v/>
      </c>
      <c r="O595" s="296" t="str">
        <f t="shared" si="194"/>
        <v/>
      </c>
      <c r="P595" s="296" t="str">
        <f t="shared" si="194"/>
        <v/>
      </c>
      <c r="Q595" s="277"/>
      <c r="R595" s="295"/>
      <c r="S595" s="295"/>
      <c r="T595" s="295"/>
      <c r="U595" s="295"/>
      <c r="V595" s="297"/>
      <c r="W595" s="260"/>
      <c r="Y595" s="285"/>
    </row>
    <row r="596" spans="1:31">
      <c r="A596" s="305"/>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83" t="str">
        <f>IF(P597="","",IF(U596&lt;5,IF(S596&gt;1900,IF(S596&lt;2250,"Pass","Fail"),"Fail"),"Fail"))</f>
        <v/>
      </c>
      <c r="W596" s="298"/>
      <c r="Y596" s="285"/>
      <c r="Z596" s="286">
        <v>1600</v>
      </c>
      <c r="AA596" s="286">
        <v>2600</v>
      </c>
      <c r="AB596" s="287">
        <v>1900</v>
      </c>
      <c r="AC596" s="287">
        <v>2250</v>
      </c>
      <c r="AD596" s="288">
        <v>10</v>
      </c>
      <c r="AE596" s="288">
        <v>3.6</v>
      </c>
    </row>
    <row r="597" spans="1:31">
      <c r="A597" s="307"/>
      <c r="B597" s="290"/>
      <c r="C597" s="290" t="s">
        <v>78</v>
      </c>
      <c r="Q597" s="290"/>
      <c r="R597" s="290"/>
      <c r="S597" s="290"/>
      <c r="T597" s="290"/>
      <c r="U597" s="290"/>
      <c r="V597" s="291"/>
      <c r="W597" s="251"/>
      <c r="Y597" s="285"/>
    </row>
    <row r="598" spans="1:31" ht="32.25" thickBot="1">
      <c r="A598" s="308"/>
      <c r="B598" s="295"/>
      <c r="C598" s="256" t="s">
        <v>221</v>
      </c>
      <c r="D598" s="296" t="str">
        <f t="shared" ref="D598:P598" si="195">IF(((D596="")*AND(D597="")),"",(D596-D597)*2)</f>
        <v/>
      </c>
      <c r="E598" s="296" t="str">
        <f t="shared" si="195"/>
        <v/>
      </c>
      <c r="F598" s="296" t="str">
        <f t="shared" si="195"/>
        <v/>
      </c>
      <c r="G598" s="296" t="str">
        <f t="shared" si="195"/>
        <v/>
      </c>
      <c r="H598" s="296" t="str">
        <f t="shared" si="195"/>
        <v/>
      </c>
      <c r="I598" s="296" t="str">
        <f t="shared" si="195"/>
        <v/>
      </c>
      <c r="J598" s="296" t="str">
        <f t="shared" si="195"/>
        <v/>
      </c>
      <c r="K598" s="296" t="str">
        <f t="shared" si="195"/>
        <v/>
      </c>
      <c r="L598" s="296" t="str">
        <f t="shared" si="195"/>
        <v/>
      </c>
      <c r="M598" s="296" t="str">
        <f t="shared" si="195"/>
        <v/>
      </c>
      <c r="N598" s="296" t="str">
        <f t="shared" si="195"/>
        <v/>
      </c>
      <c r="O598" s="296" t="str">
        <f t="shared" si="195"/>
        <v/>
      </c>
      <c r="P598" s="296" t="str">
        <f t="shared" si="195"/>
        <v/>
      </c>
      <c r="Q598" s="277"/>
      <c r="R598" s="295"/>
      <c r="S598" s="295"/>
      <c r="T598" s="295"/>
      <c r="U598" s="295"/>
      <c r="V598" s="297"/>
      <c r="W598" s="260"/>
      <c r="Y598" s="285"/>
    </row>
    <row r="599" spans="1:31">
      <c r="A599" s="305"/>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83" t="str">
        <f>IF(P600="","",IF(U599&lt;5,IF(S599&gt;1900,IF(S599&lt;2250,"Pass","Fail"),"Fail"),"Fail"))</f>
        <v/>
      </c>
      <c r="W599" s="298"/>
      <c r="Y599" s="285"/>
      <c r="Z599" s="286">
        <v>1600</v>
      </c>
      <c r="AA599" s="286">
        <v>2600</v>
      </c>
      <c r="AB599" s="287">
        <v>1900</v>
      </c>
      <c r="AC599" s="287">
        <v>2250</v>
      </c>
      <c r="AD599" s="288">
        <v>10</v>
      </c>
      <c r="AE599" s="288">
        <v>3.6</v>
      </c>
    </row>
    <row r="600" spans="1:31">
      <c r="A600" s="307"/>
      <c r="B600" s="290"/>
      <c r="C600" s="290" t="s">
        <v>78</v>
      </c>
      <c r="Q600" s="290"/>
      <c r="R600" s="290"/>
      <c r="S600" s="290"/>
      <c r="T600" s="290"/>
      <c r="U600" s="290"/>
      <c r="V600" s="291"/>
      <c r="W600" s="251"/>
      <c r="Y600" s="285"/>
    </row>
    <row r="601" spans="1:31" ht="32.25" thickBot="1">
      <c r="A601" s="308"/>
      <c r="B601" s="295"/>
      <c r="C601" s="256" t="s">
        <v>221</v>
      </c>
      <c r="D601" s="296" t="str">
        <f t="shared" ref="D601:P601" si="196">IF(((D599="")*AND(D600="")),"",(D599-D600)*2)</f>
        <v/>
      </c>
      <c r="E601" s="296" t="str">
        <f t="shared" si="196"/>
        <v/>
      </c>
      <c r="F601" s="296" t="str">
        <f t="shared" si="196"/>
        <v/>
      </c>
      <c r="G601" s="296" t="str">
        <f t="shared" si="196"/>
        <v/>
      </c>
      <c r="H601" s="296" t="str">
        <f t="shared" si="196"/>
        <v/>
      </c>
      <c r="I601" s="296" t="str">
        <f t="shared" si="196"/>
        <v/>
      </c>
      <c r="J601" s="296" t="str">
        <f t="shared" si="196"/>
        <v/>
      </c>
      <c r="K601" s="296" t="str">
        <f t="shared" si="196"/>
        <v/>
      </c>
      <c r="L601" s="296" t="str">
        <f t="shared" si="196"/>
        <v/>
      </c>
      <c r="M601" s="296" t="str">
        <f t="shared" si="196"/>
        <v/>
      </c>
      <c r="N601" s="296" t="str">
        <f t="shared" si="196"/>
        <v/>
      </c>
      <c r="O601" s="296" t="str">
        <f t="shared" si="196"/>
        <v/>
      </c>
      <c r="P601" s="296" t="str">
        <f t="shared" si="196"/>
        <v/>
      </c>
      <c r="Q601" s="277"/>
      <c r="R601" s="295"/>
      <c r="S601" s="295"/>
      <c r="T601" s="295"/>
      <c r="U601" s="295"/>
      <c r="V601" s="297"/>
      <c r="W601" s="260"/>
      <c r="Y601" s="285"/>
    </row>
    <row r="602" spans="1:31">
      <c r="A602" s="305"/>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83" t="str">
        <f>IF(P603="","",IF(U602&lt;5,IF(S602&gt;1900,IF(S602&lt;2250,"Pass","Fail"),"Fail"),"Fail"))</f>
        <v/>
      </c>
      <c r="W602" s="298"/>
      <c r="Y602" s="285"/>
      <c r="Z602" s="286">
        <v>1600</v>
      </c>
      <c r="AA602" s="286">
        <v>2600</v>
      </c>
      <c r="AB602" s="287">
        <v>1900</v>
      </c>
      <c r="AC602" s="287">
        <v>2250</v>
      </c>
      <c r="AD602" s="288">
        <v>10</v>
      </c>
      <c r="AE602" s="288">
        <v>3.6</v>
      </c>
    </row>
    <row r="603" spans="1:31">
      <c r="A603" s="307"/>
      <c r="B603" s="290"/>
      <c r="C603" s="290" t="s">
        <v>78</v>
      </c>
      <c r="Q603" s="290"/>
      <c r="R603" s="290"/>
      <c r="S603" s="290"/>
      <c r="T603" s="290"/>
      <c r="U603" s="290"/>
      <c r="V603" s="291"/>
      <c r="W603" s="251"/>
      <c r="Y603" s="285"/>
    </row>
    <row r="604" spans="1:31" ht="32.25" thickBot="1">
      <c r="A604" s="308"/>
      <c r="B604" s="295"/>
      <c r="C604" s="256" t="s">
        <v>221</v>
      </c>
      <c r="D604" s="296" t="str">
        <f t="shared" ref="D604:P604" si="197">IF(((D602="")*AND(D603="")),"",(D602-D603)*2)</f>
        <v/>
      </c>
      <c r="E604" s="296" t="str">
        <f t="shared" si="197"/>
        <v/>
      </c>
      <c r="F604" s="296" t="str">
        <f t="shared" si="197"/>
        <v/>
      </c>
      <c r="G604" s="296" t="str">
        <f t="shared" si="197"/>
        <v/>
      </c>
      <c r="H604" s="296" t="str">
        <f t="shared" si="197"/>
        <v/>
      </c>
      <c r="I604" s="296" t="str">
        <f t="shared" si="197"/>
        <v/>
      </c>
      <c r="J604" s="296" t="str">
        <f t="shared" si="197"/>
        <v/>
      </c>
      <c r="K604" s="296" t="str">
        <f t="shared" si="197"/>
        <v/>
      </c>
      <c r="L604" s="296" t="str">
        <f t="shared" si="197"/>
        <v/>
      </c>
      <c r="M604" s="296" t="str">
        <f t="shared" si="197"/>
        <v/>
      </c>
      <c r="N604" s="296" t="str">
        <f t="shared" si="197"/>
        <v/>
      </c>
      <c r="O604" s="296" t="str">
        <f t="shared" si="197"/>
        <v/>
      </c>
      <c r="P604" s="296" t="str">
        <f t="shared" si="197"/>
        <v/>
      </c>
      <c r="Q604" s="277"/>
      <c r="R604" s="295"/>
      <c r="S604" s="295"/>
      <c r="T604" s="295"/>
      <c r="U604" s="295"/>
      <c r="V604" s="297"/>
      <c r="W604" s="260"/>
      <c r="Y604" s="285"/>
    </row>
    <row r="605" spans="1:31">
      <c r="A605" s="305"/>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83" t="str">
        <f>IF(P606="","",IF(U605&lt;5,IF(S605&gt;1900,IF(S605&lt;2250,"Pass","Fail"),"Fail"),"Fail"))</f>
        <v/>
      </c>
      <c r="W605" s="298"/>
      <c r="Y605" s="285"/>
      <c r="Z605" s="286">
        <v>1600</v>
      </c>
      <c r="AA605" s="286">
        <v>2600</v>
      </c>
      <c r="AB605" s="287">
        <v>1900</v>
      </c>
      <c r="AC605" s="287">
        <v>2250</v>
      </c>
      <c r="AD605" s="288">
        <v>10</v>
      </c>
      <c r="AE605" s="288">
        <v>3.6</v>
      </c>
    </row>
    <row r="606" spans="1:31">
      <c r="A606" s="307"/>
      <c r="B606" s="290"/>
      <c r="C606" s="290" t="s">
        <v>78</v>
      </c>
      <c r="Q606" s="290"/>
      <c r="R606" s="290"/>
      <c r="S606" s="290"/>
      <c r="T606" s="290"/>
      <c r="U606" s="290"/>
      <c r="V606" s="291"/>
      <c r="W606" s="251"/>
      <c r="Y606" s="285"/>
    </row>
    <row r="607" spans="1:31" ht="32.25" thickBot="1">
      <c r="A607" s="308"/>
      <c r="B607" s="295"/>
      <c r="C607" s="256" t="s">
        <v>221</v>
      </c>
      <c r="D607" s="296" t="str">
        <f t="shared" ref="D607:P607" si="198">IF(((D605="")*AND(D606="")),"",(D605-D606)*2)</f>
        <v/>
      </c>
      <c r="E607" s="296" t="str">
        <f t="shared" si="198"/>
        <v/>
      </c>
      <c r="F607" s="296" t="str">
        <f t="shared" si="198"/>
        <v/>
      </c>
      <c r="G607" s="296" t="str">
        <f t="shared" si="198"/>
        <v/>
      </c>
      <c r="H607" s="296" t="str">
        <f t="shared" si="198"/>
        <v/>
      </c>
      <c r="I607" s="296" t="str">
        <f t="shared" si="198"/>
        <v/>
      </c>
      <c r="J607" s="296" t="str">
        <f t="shared" si="198"/>
        <v/>
      </c>
      <c r="K607" s="296" t="str">
        <f t="shared" si="198"/>
        <v/>
      </c>
      <c r="L607" s="296" t="str">
        <f t="shared" si="198"/>
        <v/>
      </c>
      <c r="M607" s="296" t="str">
        <f t="shared" si="198"/>
        <v/>
      </c>
      <c r="N607" s="296" t="str">
        <f t="shared" si="198"/>
        <v/>
      </c>
      <c r="O607" s="296" t="str">
        <f t="shared" si="198"/>
        <v/>
      </c>
      <c r="P607" s="296" t="str">
        <f t="shared" si="198"/>
        <v/>
      </c>
      <c r="Q607" s="277"/>
      <c r="R607" s="295"/>
      <c r="S607" s="295"/>
      <c r="T607" s="295"/>
      <c r="U607" s="295"/>
      <c r="V607" s="297"/>
      <c r="W607" s="260"/>
      <c r="Y607" s="285"/>
    </row>
    <row r="608" spans="1:31">
      <c r="A608" s="305"/>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83" t="str">
        <f>IF(P609="","",IF(U608&lt;5,IF(S608&gt;1900,IF(S608&lt;2250,"Pass","Fail"),"Fail"),"Fail"))</f>
        <v/>
      </c>
      <c r="W608" s="298"/>
      <c r="Y608" s="285"/>
      <c r="Z608" s="286">
        <v>1600</v>
      </c>
      <c r="AA608" s="286">
        <v>2600</v>
      </c>
      <c r="AB608" s="287">
        <v>1900</v>
      </c>
      <c r="AC608" s="287">
        <v>2250</v>
      </c>
      <c r="AD608" s="288">
        <v>10</v>
      </c>
      <c r="AE608" s="288">
        <v>3.6</v>
      </c>
    </row>
    <row r="609" spans="1:31">
      <c r="A609" s="307"/>
      <c r="B609" s="290"/>
      <c r="C609" s="290" t="s">
        <v>78</v>
      </c>
      <c r="Q609" s="290"/>
      <c r="R609" s="290"/>
      <c r="S609" s="290"/>
      <c r="T609" s="290"/>
      <c r="U609" s="290"/>
      <c r="V609" s="291"/>
      <c r="W609" s="251"/>
      <c r="Y609" s="285"/>
    </row>
    <row r="610" spans="1:31" ht="32.25" thickBot="1">
      <c r="A610" s="308"/>
      <c r="B610" s="295"/>
      <c r="C610" s="256" t="s">
        <v>221</v>
      </c>
      <c r="D610" s="296" t="str">
        <f t="shared" ref="D610:P610" si="199">IF(((D608="")*AND(D609="")),"",(D608-D609)*2)</f>
        <v/>
      </c>
      <c r="E610" s="296" t="str">
        <f t="shared" si="199"/>
        <v/>
      </c>
      <c r="F610" s="296" t="str">
        <f t="shared" si="199"/>
        <v/>
      </c>
      <c r="G610" s="296" t="str">
        <f t="shared" si="199"/>
        <v/>
      </c>
      <c r="H610" s="296" t="str">
        <f t="shared" si="199"/>
        <v/>
      </c>
      <c r="I610" s="296" t="str">
        <f t="shared" si="199"/>
        <v/>
      </c>
      <c r="J610" s="296" t="str">
        <f t="shared" si="199"/>
        <v/>
      </c>
      <c r="K610" s="296" t="str">
        <f t="shared" si="199"/>
        <v/>
      </c>
      <c r="L610" s="296" t="str">
        <f t="shared" si="199"/>
        <v/>
      </c>
      <c r="M610" s="296" t="str">
        <f t="shared" si="199"/>
        <v/>
      </c>
      <c r="N610" s="296" t="str">
        <f t="shared" si="199"/>
        <v/>
      </c>
      <c r="O610" s="296" t="str">
        <f t="shared" si="199"/>
        <v/>
      </c>
      <c r="P610" s="296" t="str">
        <f t="shared" si="199"/>
        <v/>
      </c>
      <c r="Q610" s="277"/>
      <c r="R610" s="295"/>
      <c r="S610" s="295"/>
      <c r="T610" s="295"/>
      <c r="U610" s="295"/>
      <c r="V610" s="297"/>
      <c r="W610" s="260"/>
      <c r="Y610" s="285"/>
    </row>
    <row r="611" spans="1:31">
      <c r="A611" s="305"/>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83" t="str">
        <f>IF(P612="","",IF(U611&lt;5,IF(S611&gt;1900,IF(S611&lt;2250,"Pass","Fail"),"Fail"),"Fail"))</f>
        <v/>
      </c>
      <c r="W611" s="298"/>
      <c r="Y611" s="285"/>
      <c r="Z611" s="286">
        <v>1600</v>
      </c>
      <c r="AA611" s="286">
        <v>2600</v>
      </c>
      <c r="AB611" s="287">
        <v>1900</v>
      </c>
      <c r="AC611" s="287">
        <v>2250</v>
      </c>
      <c r="AD611" s="288">
        <v>10</v>
      </c>
      <c r="AE611" s="288">
        <v>3.6</v>
      </c>
    </row>
    <row r="612" spans="1:31">
      <c r="A612" s="307"/>
      <c r="B612" s="290"/>
      <c r="C612" s="290" t="s">
        <v>78</v>
      </c>
      <c r="Q612" s="290"/>
      <c r="R612" s="290"/>
      <c r="S612" s="290"/>
      <c r="T612" s="290"/>
      <c r="U612" s="290"/>
      <c r="V612" s="291"/>
      <c r="W612" s="251"/>
      <c r="Y612" s="285"/>
    </row>
    <row r="613" spans="1:31" ht="32.25" thickBot="1">
      <c r="A613" s="308"/>
      <c r="B613" s="295"/>
      <c r="C613" s="256" t="s">
        <v>221</v>
      </c>
      <c r="D613" s="296" t="str">
        <f t="shared" ref="D613:P613" si="200">IF(((D611="")*AND(D612="")),"",(D611-D612)*2)</f>
        <v/>
      </c>
      <c r="E613" s="296" t="str">
        <f t="shared" si="200"/>
        <v/>
      </c>
      <c r="F613" s="296" t="str">
        <f t="shared" si="200"/>
        <v/>
      </c>
      <c r="G613" s="296" t="str">
        <f t="shared" si="200"/>
        <v/>
      </c>
      <c r="H613" s="296" t="str">
        <f t="shared" si="200"/>
        <v/>
      </c>
      <c r="I613" s="296" t="str">
        <f t="shared" si="200"/>
        <v/>
      </c>
      <c r="J613" s="296" t="str">
        <f t="shared" si="200"/>
        <v/>
      </c>
      <c r="K613" s="296" t="str">
        <f t="shared" si="200"/>
        <v/>
      </c>
      <c r="L613" s="296" t="str">
        <f t="shared" si="200"/>
        <v/>
      </c>
      <c r="M613" s="296" t="str">
        <f t="shared" si="200"/>
        <v/>
      </c>
      <c r="N613" s="296" t="str">
        <f t="shared" si="200"/>
        <v/>
      </c>
      <c r="O613" s="296" t="str">
        <f t="shared" si="200"/>
        <v/>
      </c>
      <c r="P613" s="296" t="str">
        <f t="shared" si="200"/>
        <v/>
      </c>
      <c r="Q613" s="277"/>
      <c r="R613" s="295"/>
      <c r="S613" s="295"/>
      <c r="T613" s="295"/>
      <c r="U613" s="295"/>
      <c r="V613" s="297"/>
      <c r="W613" s="260"/>
      <c r="Y613" s="285"/>
    </row>
    <row r="614" spans="1:31">
      <c r="A614" s="305"/>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83" t="str">
        <f>IF(P615="","",IF(U614&lt;5,IF(S614&gt;1900,IF(S614&lt;2250,"Pass","Fail"),"Fail"),"Fail"))</f>
        <v/>
      </c>
      <c r="W614" s="298"/>
      <c r="Y614" s="285"/>
      <c r="Z614" s="286">
        <v>1600</v>
      </c>
      <c r="AA614" s="286">
        <v>2600</v>
      </c>
      <c r="AB614" s="287">
        <v>1900</v>
      </c>
      <c r="AC614" s="287">
        <v>2250</v>
      </c>
      <c r="AD614" s="288">
        <v>10</v>
      </c>
      <c r="AE614" s="288">
        <v>3.6</v>
      </c>
    </row>
    <row r="615" spans="1:31">
      <c r="A615" s="307"/>
      <c r="B615" s="290"/>
      <c r="C615" s="290" t="s">
        <v>78</v>
      </c>
      <c r="Q615" s="290"/>
      <c r="R615" s="290"/>
      <c r="S615" s="290"/>
      <c r="T615" s="290"/>
      <c r="U615" s="290"/>
      <c r="V615" s="291"/>
      <c r="W615" s="251"/>
      <c r="Y615" s="285"/>
    </row>
    <row r="616" spans="1:31" ht="32.25" thickBot="1">
      <c r="A616" s="308"/>
      <c r="B616" s="295"/>
      <c r="C616" s="256" t="s">
        <v>221</v>
      </c>
      <c r="D616" s="296" t="str">
        <f t="shared" ref="D616:P616" si="201">IF(((D614="")*AND(D615="")),"",(D614-D615)*2)</f>
        <v/>
      </c>
      <c r="E616" s="296" t="str">
        <f t="shared" si="201"/>
        <v/>
      </c>
      <c r="F616" s="296" t="str">
        <f t="shared" si="201"/>
        <v/>
      </c>
      <c r="G616" s="296" t="str">
        <f t="shared" si="201"/>
        <v/>
      </c>
      <c r="H616" s="296" t="str">
        <f t="shared" si="201"/>
        <v/>
      </c>
      <c r="I616" s="296" t="str">
        <f t="shared" si="201"/>
        <v/>
      </c>
      <c r="J616" s="296" t="str">
        <f t="shared" si="201"/>
        <v/>
      </c>
      <c r="K616" s="296" t="str">
        <f t="shared" si="201"/>
        <v/>
      </c>
      <c r="L616" s="296" t="str">
        <f t="shared" si="201"/>
        <v/>
      </c>
      <c r="M616" s="296" t="str">
        <f t="shared" si="201"/>
        <v/>
      </c>
      <c r="N616" s="296" t="str">
        <f t="shared" si="201"/>
        <v/>
      </c>
      <c r="O616" s="296" t="str">
        <f t="shared" si="201"/>
        <v/>
      </c>
      <c r="P616" s="296" t="str">
        <f t="shared" si="201"/>
        <v/>
      </c>
      <c r="Q616" s="277"/>
      <c r="R616" s="295"/>
      <c r="S616" s="295"/>
      <c r="T616" s="295"/>
      <c r="U616" s="295"/>
      <c r="V616" s="297"/>
      <c r="W616" s="260"/>
      <c r="Y616" s="285"/>
    </row>
    <row r="617" spans="1:31">
      <c r="A617" s="305"/>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83" t="str">
        <f>IF(P618="","",IF(U617&lt;5,IF(S617&gt;1900,IF(S617&lt;2250,"Pass","Fail"),"Fail"),"Fail"))</f>
        <v/>
      </c>
      <c r="W617" s="298"/>
      <c r="Y617" s="285"/>
      <c r="Z617" s="286">
        <v>1600</v>
      </c>
      <c r="AA617" s="286">
        <v>2600</v>
      </c>
      <c r="AB617" s="287">
        <v>1900</v>
      </c>
      <c r="AC617" s="287">
        <v>2250</v>
      </c>
      <c r="AD617" s="288">
        <v>10</v>
      </c>
      <c r="AE617" s="288">
        <v>3.6</v>
      </c>
    </row>
    <row r="618" spans="1:31">
      <c r="A618" s="307"/>
      <c r="B618" s="290"/>
      <c r="C618" s="290" t="s">
        <v>78</v>
      </c>
      <c r="Q618" s="290"/>
      <c r="R618" s="290"/>
      <c r="S618" s="290"/>
      <c r="T618" s="290"/>
      <c r="U618" s="290"/>
      <c r="V618" s="291"/>
      <c r="W618" s="251"/>
      <c r="Y618" s="285"/>
    </row>
    <row r="619" spans="1:31" ht="32.25" thickBot="1">
      <c r="A619" s="308"/>
      <c r="B619" s="295"/>
      <c r="C619" s="256" t="s">
        <v>221</v>
      </c>
      <c r="D619" s="296" t="str">
        <f t="shared" ref="D619:P619" si="202">IF(((D617="")*AND(D618="")),"",(D617-D618)*2)</f>
        <v/>
      </c>
      <c r="E619" s="296" t="str">
        <f t="shared" si="202"/>
        <v/>
      </c>
      <c r="F619" s="296" t="str">
        <f t="shared" si="202"/>
        <v/>
      </c>
      <c r="G619" s="296" t="str">
        <f t="shared" si="202"/>
        <v/>
      </c>
      <c r="H619" s="296" t="str">
        <f t="shared" si="202"/>
        <v/>
      </c>
      <c r="I619" s="296" t="str">
        <f t="shared" si="202"/>
        <v/>
      </c>
      <c r="J619" s="296" t="str">
        <f t="shared" si="202"/>
        <v/>
      </c>
      <c r="K619" s="296" t="str">
        <f t="shared" si="202"/>
        <v/>
      </c>
      <c r="L619" s="296" t="str">
        <f t="shared" si="202"/>
        <v/>
      </c>
      <c r="M619" s="296" t="str">
        <f t="shared" si="202"/>
        <v/>
      </c>
      <c r="N619" s="296" t="str">
        <f t="shared" si="202"/>
        <v/>
      </c>
      <c r="O619" s="296" t="str">
        <f t="shared" si="202"/>
        <v/>
      </c>
      <c r="P619" s="296" t="str">
        <f t="shared" si="202"/>
        <v/>
      </c>
      <c r="Q619" s="277"/>
      <c r="R619" s="295"/>
      <c r="S619" s="295"/>
      <c r="T619" s="295"/>
      <c r="U619" s="295"/>
      <c r="V619" s="297"/>
      <c r="W619" s="260"/>
      <c r="Y619" s="285"/>
    </row>
    <row r="620" spans="1:31">
      <c r="A620" s="305"/>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83" t="str">
        <f>IF(P621="","",IF(U620&lt;5,IF(S620&gt;1900,IF(S620&lt;2250,"Pass","Fail"),"Fail"),"Fail"))</f>
        <v/>
      </c>
      <c r="W620" s="298"/>
      <c r="Y620" s="285"/>
      <c r="Z620" s="286">
        <v>1600</v>
      </c>
      <c r="AA620" s="286">
        <v>2600</v>
      </c>
      <c r="AB620" s="287">
        <v>1900</v>
      </c>
      <c r="AC620" s="287">
        <v>2250</v>
      </c>
      <c r="AD620" s="288">
        <v>10</v>
      </c>
      <c r="AE620" s="288">
        <v>3.6</v>
      </c>
    </row>
    <row r="621" spans="1:31">
      <c r="A621" s="307"/>
      <c r="B621" s="290"/>
      <c r="C621" s="290" t="s">
        <v>78</v>
      </c>
      <c r="Q621" s="290"/>
      <c r="R621" s="290"/>
      <c r="S621" s="290"/>
      <c r="T621" s="290"/>
      <c r="U621" s="290"/>
      <c r="V621" s="291"/>
      <c r="W621" s="251"/>
      <c r="Y621" s="285"/>
    </row>
    <row r="622" spans="1:31" ht="32.25" thickBot="1">
      <c r="A622" s="308"/>
      <c r="B622" s="295"/>
      <c r="C622" s="256" t="s">
        <v>221</v>
      </c>
      <c r="D622" s="296" t="str">
        <f t="shared" ref="D622:P622" si="203">IF(((D620="")*AND(D621="")),"",(D620-D621)*2)</f>
        <v/>
      </c>
      <c r="E622" s="296" t="str">
        <f t="shared" si="203"/>
        <v/>
      </c>
      <c r="F622" s="296" t="str">
        <f t="shared" si="203"/>
        <v/>
      </c>
      <c r="G622" s="296" t="str">
        <f t="shared" si="203"/>
        <v/>
      </c>
      <c r="H622" s="296" t="str">
        <f t="shared" si="203"/>
        <v/>
      </c>
      <c r="I622" s="296" t="str">
        <f t="shared" si="203"/>
        <v/>
      </c>
      <c r="J622" s="296" t="str">
        <f t="shared" si="203"/>
        <v/>
      </c>
      <c r="K622" s="296" t="str">
        <f t="shared" si="203"/>
        <v/>
      </c>
      <c r="L622" s="296" t="str">
        <f t="shared" si="203"/>
        <v/>
      </c>
      <c r="M622" s="296" t="str">
        <f t="shared" si="203"/>
        <v/>
      </c>
      <c r="N622" s="296" t="str">
        <f t="shared" si="203"/>
        <v/>
      </c>
      <c r="O622" s="296" t="str">
        <f t="shared" si="203"/>
        <v/>
      </c>
      <c r="P622" s="296" t="str">
        <f t="shared" si="203"/>
        <v/>
      </c>
      <c r="Q622" s="277"/>
      <c r="R622" s="295"/>
      <c r="S622" s="295"/>
      <c r="T622" s="295"/>
      <c r="U622" s="295"/>
      <c r="V622" s="297"/>
      <c r="W622" s="260"/>
      <c r="Y622" s="285"/>
    </row>
    <row r="623" spans="1:31">
      <c r="A623" s="305"/>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83" t="str">
        <f>IF(P624="","",IF(U623&lt;5,IF(S623&gt;1900,IF(S623&lt;2250,"Pass","Fail"),"Fail"),"Fail"))</f>
        <v/>
      </c>
      <c r="W623" s="298"/>
      <c r="Y623" s="285"/>
      <c r="Z623" s="286">
        <v>1600</v>
      </c>
      <c r="AA623" s="286">
        <v>2600</v>
      </c>
      <c r="AB623" s="287">
        <v>1900</v>
      </c>
      <c r="AC623" s="287">
        <v>2250</v>
      </c>
      <c r="AD623" s="288">
        <v>10</v>
      </c>
      <c r="AE623" s="288">
        <v>3.6</v>
      </c>
    </row>
    <row r="624" spans="1:31">
      <c r="A624" s="307"/>
      <c r="B624" s="290"/>
      <c r="C624" s="290" t="s">
        <v>78</v>
      </c>
      <c r="Q624" s="290"/>
      <c r="R624" s="290"/>
      <c r="S624" s="290"/>
      <c r="T624" s="290"/>
      <c r="U624" s="290"/>
      <c r="V624" s="291"/>
      <c r="W624" s="251"/>
      <c r="Y624" s="285"/>
    </row>
    <row r="625" spans="1:31" ht="32.25" thickBot="1">
      <c r="A625" s="308"/>
      <c r="B625" s="295"/>
      <c r="C625" s="256" t="s">
        <v>221</v>
      </c>
      <c r="D625" s="296" t="str">
        <f t="shared" ref="D625:P625" si="204">IF(((D623="")*AND(D624="")),"",(D623-D624)*2)</f>
        <v/>
      </c>
      <c r="E625" s="296" t="str">
        <f t="shared" si="204"/>
        <v/>
      </c>
      <c r="F625" s="296" t="str">
        <f t="shared" si="204"/>
        <v/>
      </c>
      <c r="G625" s="296" t="str">
        <f t="shared" si="204"/>
        <v/>
      </c>
      <c r="H625" s="296" t="str">
        <f t="shared" si="204"/>
        <v/>
      </c>
      <c r="I625" s="296" t="str">
        <f t="shared" si="204"/>
        <v/>
      </c>
      <c r="J625" s="296" t="str">
        <f t="shared" si="204"/>
        <v/>
      </c>
      <c r="K625" s="296" t="str">
        <f t="shared" si="204"/>
        <v/>
      </c>
      <c r="L625" s="296" t="str">
        <f t="shared" si="204"/>
        <v/>
      </c>
      <c r="M625" s="296" t="str">
        <f t="shared" si="204"/>
        <v/>
      </c>
      <c r="N625" s="296" t="str">
        <f t="shared" si="204"/>
        <v/>
      </c>
      <c r="O625" s="296" t="str">
        <f t="shared" si="204"/>
        <v/>
      </c>
      <c r="P625" s="296" t="str">
        <f t="shared" si="204"/>
        <v/>
      </c>
      <c r="Q625" s="277"/>
      <c r="R625" s="295"/>
      <c r="S625" s="295"/>
      <c r="T625" s="295"/>
      <c r="U625" s="295"/>
      <c r="V625" s="297"/>
      <c r="W625" s="260"/>
      <c r="Y625" s="285"/>
    </row>
    <row r="626" spans="1:31">
      <c r="A626" s="305"/>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83" t="str">
        <f>IF(P627="","",IF(U626&lt;5,IF(S626&gt;1900,IF(S626&lt;2250,"Pass","Fail"),"Fail"),"Fail"))</f>
        <v/>
      </c>
      <c r="W626" s="298"/>
      <c r="Y626" s="285"/>
      <c r="Z626" s="286">
        <v>1600</v>
      </c>
      <c r="AA626" s="286">
        <v>2600</v>
      </c>
      <c r="AB626" s="287">
        <v>1900</v>
      </c>
      <c r="AC626" s="287">
        <v>2250</v>
      </c>
      <c r="AD626" s="288">
        <v>10</v>
      </c>
      <c r="AE626" s="288">
        <v>3.6</v>
      </c>
    </row>
    <row r="627" spans="1:31">
      <c r="A627" s="307"/>
      <c r="B627" s="290"/>
      <c r="C627" s="290" t="s">
        <v>78</v>
      </c>
      <c r="Q627" s="290"/>
      <c r="R627" s="290"/>
      <c r="S627" s="290"/>
      <c r="T627" s="290"/>
      <c r="U627" s="290"/>
      <c r="V627" s="291"/>
      <c r="W627" s="251"/>
      <c r="Y627" s="285"/>
    </row>
    <row r="628" spans="1:31" ht="32.25" thickBot="1">
      <c r="A628" s="308"/>
      <c r="B628" s="295"/>
      <c r="C628" s="256" t="s">
        <v>221</v>
      </c>
      <c r="D628" s="296" t="str">
        <f t="shared" ref="D628:P628" si="205">IF(((D626="")*AND(D627="")),"",(D626-D627)*2)</f>
        <v/>
      </c>
      <c r="E628" s="296" t="str">
        <f t="shared" si="205"/>
        <v/>
      </c>
      <c r="F628" s="296" t="str">
        <f t="shared" si="205"/>
        <v/>
      </c>
      <c r="G628" s="296" t="str">
        <f t="shared" si="205"/>
        <v/>
      </c>
      <c r="H628" s="296" t="str">
        <f t="shared" si="205"/>
        <v/>
      </c>
      <c r="I628" s="296" t="str">
        <f t="shared" si="205"/>
        <v/>
      </c>
      <c r="J628" s="296" t="str">
        <f t="shared" si="205"/>
        <v/>
      </c>
      <c r="K628" s="296" t="str">
        <f t="shared" si="205"/>
        <v/>
      </c>
      <c r="L628" s="296" t="str">
        <f t="shared" si="205"/>
        <v/>
      </c>
      <c r="M628" s="296" t="str">
        <f t="shared" si="205"/>
        <v/>
      </c>
      <c r="N628" s="296" t="str">
        <f t="shared" si="205"/>
        <v/>
      </c>
      <c r="O628" s="296" t="str">
        <f t="shared" si="205"/>
        <v/>
      </c>
      <c r="P628" s="296" t="str">
        <f t="shared" si="205"/>
        <v/>
      </c>
      <c r="Q628" s="277"/>
      <c r="R628" s="295"/>
      <c r="S628" s="295"/>
      <c r="T628" s="295"/>
      <c r="U628" s="295"/>
      <c r="V628" s="297"/>
      <c r="W628" s="260"/>
      <c r="Y628" s="285"/>
    </row>
    <row r="629" spans="1:31">
      <c r="A629" s="305"/>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83" t="str">
        <f>IF(P630="","",IF(U629&lt;5,IF(S629&gt;1900,IF(S629&lt;2250,"Pass","Fail"),"Fail"),"Fail"))</f>
        <v/>
      </c>
      <c r="W629" s="298"/>
      <c r="Y629" s="285"/>
      <c r="Z629" s="286">
        <v>1600</v>
      </c>
      <c r="AA629" s="286">
        <v>2600</v>
      </c>
      <c r="AB629" s="287">
        <v>1900</v>
      </c>
      <c r="AC629" s="287">
        <v>2250</v>
      </c>
      <c r="AD629" s="288">
        <v>10</v>
      </c>
      <c r="AE629" s="288">
        <v>3.6</v>
      </c>
    </row>
    <row r="630" spans="1:31">
      <c r="A630" s="307"/>
      <c r="B630" s="290"/>
      <c r="C630" s="290" t="s">
        <v>78</v>
      </c>
      <c r="Q630" s="290"/>
      <c r="R630" s="290"/>
      <c r="S630" s="290"/>
      <c r="T630" s="290"/>
      <c r="U630" s="290"/>
      <c r="V630" s="291"/>
      <c r="W630" s="251"/>
      <c r="Y630" s="285"/>
    </row>
    <row r="631" spans="1:31" ht="32.25" thickBot="1">
      <c r="A631" s="308"/>
      <c r="B631" s="295"/>
      <c r="C631" s="256" t="s">
        <v>221</v>
      </c>
      <c r="D631" s="296" t="str">
        <f t="shared" ref="D631:P631" si="206">IF(((D629="")*AND(D630="")),"",(D629-D630)*2)</f>
        <v/>
      </c>
      <c r="E631" s="296" t="str">
        <f t="shared" si="206"/>
        <v/>
      </c>
      <c r="F631" s="296" t="str">
        <f t="shared" si="206"/>
        <v/>
      </c>
      <c r="G631" s="296" t="str">
        <f t="shared" si="206"/>
        <v/>
      </c>
      <c r="H631" s="296" t="str">
        <f t="shared" si="206"/>
        <v/>
      </c>
      <c r="I631" s="296" t="str">
        <f t="shared" si="206"/>
        <v/>
      </c>
      <c r="J631" s="296" t="str">
        <f t="shared" si="206"/>
        <v/>
      </c>
      <c r="K631" s="296" t="str">
        <f t="shared" si="206"/>
        <v/>
      </c>
      <c r="L631" s="296" t="str">
        <f t="shared" si="206"/>
        <v/>
      </c>
      <c r="M631" s="296" t="str">
        <f t="shared" si="206"/>
        <v/>
      </c>
      <c r="N631" s="296" t="str">
        <f t="shared" si="206"/>
        <v/>
      </c>
      <c r="O631" s="296" t="str">
        <f t="shared" si="206"/>
        <v/>
      </c>
      <c r="P631" s="296" t="str">
        <f t="shared" si="206"/>
        <v/>
      </c>
      <c r="Q631" s="277"/>
      <c r="R631" s="295"/>
      <c r="S631" s="295"/>
      <c r="T631" s="295"/>
      <c r="U631" s="295"/>
      <c r="V631" s="297"/>
      <c r="W631" s="260"/>
      <c r="Y631" s="285"/>
    </row>
    <row r="632" spans="1:31">
      <c r="A632" s="305"/>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83" t="str">
        <f>IF(P633="","",IF(U632&lt;5,IF(S632&gt;1900,IF(S632&lt;2250,"Pass","Fail"),"Fail"),"Fail"))</f>
        <v/>
      </c>
      <c r="W632" s="298"/>
      <c r="Y632" s="285"/>
      <c r="Z632" s="286">
        <v>1600</v>
      </c>
      <c r="AA632" s="286">
        <v>2600</v>
      </c>
      <c r="AB632" s="287">
        <v>1900</v>
      </c>
      <c r="AC632" s="287">
        <v>2250</v>
      </c>
      <c r="AD632" s="288">
        <v>10</v>
      </c>
      <c r="AE632" s="288">
        <v>3.6</v>
      </c>
    </row>
    <row r="633" spans="1:31">
      <c r="A633" s="307"/>
      <c r="B633" s="290"/>
      <c r="C633" s="290" t="s">
        <v>78</v>
      </c>
      <c r="Q633" s="290"/>
      <c r="R633" s="290"/>
      <c r="S633" s="290"/>
      <c r="T633" s="290"/>
      <c r="U633" s="290"/>
      <c r="V633" s="291"/>
      <c r="W633" s="251"/>
      <c r="Y633" s="285"/>
    </row>
    <row r="634" spans="1:31" ht="32.25" thickBot="1">
      <c r="A634" s="308"/>
      <c r="B634" s="295"/>
      <c r="C634" s="256" t="s">
        <v>221</v>
      </c>
      <c r="D634" s="296" t="str">
        <f t="shared" ref="D634:P634" si="207">IF(((D632="")*AND(D633="")),"",(D632-D633)*2)</f>
        <v/>
      </c>
      <c r="E634" s="296" t="str">
        <f t="shared" si="207"/>
        <v/>
      </c>
      <c r="F634" s="296" t="str">
        <f t="shared" si="207"/>
        <v/>
      </c>
      <c r="G634" s="296" t="str">
        <f t="shared" si="207"/>
        <v/>
      </c>
      <c r="H634" s="296" t="str">
        <f t="shared" si="207"/>
        <v/>
      </c>
      <c r="I634" s="296" t="str">
        <f t="shared" si="207"/>
        <v/>
      </c>
      <c r="J634" s="296" t="str">
        <f t="shared" si="207"/>
        <v/>
      </c>
      <c r="K634" s="296" t="str">
        <f t="shared" si="207"/>
        <v/>
      </c>
      <c r="L634" s="296" t="str">
        <f t="shared" si="207"/>
        <v/>
      </c>
      <c r="M634" s="296" t="str">
        <f t="shared" si="207"/>
        <v/>
      </c>
      <c r="N634" s="296" t="str">
        <f t="shared" si="207"/>
        <v/>
      </c>
      <c r="O634" s="296" t="str">
        <f t="shared" si="207"/>
        <v/>
      </c>
      <c r="P634" s="296" t="str">
        <f t="shared" si="207"/>
        <v/>
      </c>
      <c r="Q634" s="277"/>
      <c r="R634" s="295"/>
      <c r="S634" s="295"/>
      <c r="T634" s="295"/>
      <c r="U634" s="295"/>
      <c r="V634" s="297"/>
      <c r="W634" s="260"/>
      <c r="Y634" s="285"/>
    </row>
    <row r="635" spans="1:31">
      <c r="A635" s="305"/>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83" t="str">
        <f>IF(P636="","",IF(U635&lt;5,IF(S635&gt;1900,IF(S635&lt;2250,"Pass","Fail"),"Fail"),"Fail"))</f>
        <v/>
      </c>
      <c r="W635" s="298"/>
      <c r="Y635" s="285"/>
      <c r="Z635" s="286">
        <v>1600</v>
      </c>
      <c r="AA635" s="286">
        <v>2600</v>
      </c>
      <c r="AB635" s="287">
        <v>1900</v>
      </c>
      <c r="AC635" s="287">
        <v>2250</v>
      </c>
      <c r="AD635" s="288">
        <v>10</v>
      </c>
      <c r="AE635" s="288">
        <v>3.6</v>
      </c>
    </row>
    <row r="636" spans="1:31">
      <c r="A636" s="307"/>
      <c r="B636" s="290"/>
      <c r="C636" s="290" t="s">
        <v>78</v>
      </c>
      <c r="Q636" s="290"/>
      <c r="R636" s="290"/>
      <c r="S636" s="290"/>
      <c r="T636" s="290"/>
      <c r="U636" s="290"/>
      <c r="V636" s="291"/>
      <c r="W636" s="251"/>
      <c r="Y636" s="285"/>
    </row>
    <row r="637" spans="1:31" ht="32.25" thickBot="1">
      <c r="A637" s="308"/>
      <c r="B637" s="295"/>
      <c r="C637" s="256" t="s">
        <v>221</v>
      </c>
      <c r="D637" s="296" t="str">
        <f t="shared" ref="D637:P637" si="208">IF(((D635="")*AND(D636="")),"",(D635-D636)*2)</f>
        <v/>
      </c>
      <c r="E637" s="296" t="str">
        <f t="shared" si="208"/>
        <v/>
      </c>
      <c r="F637" s="296" t="str">
        <f t="shared" si="208"/>
        <v/>
      </c>
      <c r="G637" s="296" t="str">
        <f t="shared" si="208"/>
        <v/>
      </c>
      <c r="H637" s="296" t="str">
        <f t="shared" si="208"/>
        <v/>
      </c>
      <c r="I637" s="296" t="str">
        <f t="shared" si="208"/>
        <v/>
      </c>
      <c r="J637" s="296" t="str">
        <f t="shared" si="208"/>
        <v/>
      </c>
      <c r="K637" s="296" t="str">
        <f t="shared" si="208"/>
        <v/>
      </c>
      <c r="L637" s="296" t="str">
        <f t="shared" si="208"/>
        <v/>
      </c>
      <c r="M637" s="296" t="str">
        <f t="shared" si="208"/>
        <v/>
      </c>
      <c r="N637" s="296" t="str">
        <f t="shared" si="208"/>
        <v/>
      </c>
      <c r="O637" s="296" t="str">
        <f t="shared" si="208"/>
        <v/>
      </c>
      <c r="P637" s="296" t="str">
        <f t="shared" si="208"/>
        <v/>
      </c>
      <c r="Q637" s="277"/>
      <c r="R637" s="295"/>
      <c r="S637" s="295"/>
      <c r="T637" s="295"/>
      <c r="U637" s="295"/>
      <c r="V637" s="297"/>
      <c r="W637" s="260"/>
      <c r="Y637" s="285"/>
    </row>
    <row r="638" spans="1:31">
      <c r="A638" s="305"/>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83" t="str">
        <f>IF(P639="","",IF(U638&lt;5,IF(S638&gt;1900,IF(S638&lt;2250,"Pass","Fail"),"Fail"),"Fail"))</f>
        <v/>
      </c>
      <c r="W638" s="298"/>
      <c r="Y638" s="285"/>
      <c r="Z638" s="286">
        <v>1600</v>
      </c>
      <c r="AA638" s="286">
        <v>2600</v>
      </c>
      <c r="AB638" s="287">
        <v>1900</v>
      </c>
      <c r="AC638" s="287">
        <v>2250</v>
      </c>
      <c r="AD638" s="288">
        <v>10</v>
      </c>
      <c r="AE638" s="288">
        <v>3.6</v>
      </c>
    </row>
    <row r="639" spans="1:31">
      <c r="A639" s="307"/>
      <c r="B639" s="290"/>
      <c r="C639" s="290" t="s">
        <v>78</v>
      </c>
      <c r="Q639" s="290"/>
      <c r="R639" s="290"/>
      <c r="S639" s="290"/>
      <c r="T639" s="290"/>
      <c r="U639" s="290"/>
      <c r="V639" s="291"/>
      <c r="W639" s="251"/>
      <c r="Y639" s="285"/>
    </row>
    <row r="640" spans="1:31" ht="32.25" thickBot="1">
      <c r="A640" s="308"/>
      <c r="B640" s="295"/>
      <c r="C640" s="256" t="s">
        <v>221</v>
      </c>
      <c r="D640" s="296" t="str">
        <f t="shared" ref="D640:P640" si="209">IF(((D638="")*AND(D639="")),"",(D638-D639)*2)</f>
        <v/>
      </c>
      <c r="E640" s="296" t="str">
        <f t="shared" si="209"/>
        <v/>
      </c>
      <c r="F640" s="296" t="str">
        <f t="shared" si="209"/>
        <v/>
      </c>
      <c r="G640" s="296" t="str">
        <f t="shared" si="209"/>
        <v/>
      </c>
      <c r="H640" s="296" t="str">
        <f t="shared" si="209"/>
        <v/>
      </c>
      <c r="I640" s="296" t="str">
        <f t="shared" si="209"/>
        <v/>
      </c>
      <c r="J640" s="296" t="str">
        <f t="shared" si="209"/>
        <v/>
      </c>
      <c r="K640" s="296" t="str">
        <f t="shared" si="209"/>
        <v/>
      </c>
      <c r="L640" s="296" t="str">
        <f t="shared" si="209"/>
        <v/>
      </c>
      <c r="M640" s="296" t="str">
        <f t="shared" si="209"/>
        <v/>
      </c>
      <c r="N640" s="296" t="str">
        <f t="shared" si="209"/>
        <v/>
      </c>
      <c r="O640" s="296" t="str">
        <f t="shared" si="209"/>
        <v/>
      </c>
      <c r="P640" s="296" t="str">
        <f t="shared" si="209"/>
        <v/>
      </c>
      <c r="Q640" s="277"/>
      <c r="R640" s="295"/>
      <c r="S640" s="295"/>
      <c r="T640" s="295"/>
      <c r="U640" s="295"/>
      <c r="V640" s="297"/>
      <c r="W640" s="260"/>
      <c r="Y640" s="285"/>
    </row>
    <row r="641" spans="1:31">
      <c r="A641" s="305"/>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83" t="str">
        <f>IF(P642="","",IF(U641&lt;5,IF(S641&gt;1900,IF(S641&lt;2250,"Pass","Fail"),"Fail"),"Fail"))</f>
        <v/>
      </c>
      <c r="W641" s="298"/>
      <c r="Y641" s="285"/>
      <c r="Z641" s="286">
        <v>1600</v>
      </c>
      <c r="AA641" s="286">
        <v>2600</v>
      </c>
      <c r="AB641" s="287">
        <v>1900</v>
      </c>
      <c r="AC641" s="287">
        <v>2250</v>
      </c>
      <c r="AD641" s="288">
        <v>10</v>
      </c>
      <c r="AE641" s="288">
        <v>3.6</v>
      </c>
    </row>
    <row r="642" spans="1:31">
      <c r="A642" s="307"/>
      <c r="B642" s="290"/>
      <c r="C642" s="290" t="s">
        <v>78</v>
      </c>
      <c r="Q642" s="290"/>
      <c r="R642" s="290"/>
      <c r="S642" s="290"/>
      <c r="T642" s="290"/>
      <c r="U642" s="290"/>
      <c r="V642" s="291"/>
      <c r="W642" s="251"/>
      <c r="Y642" s="285"/>
    </row>
    <row r="643" spans="1:31" ht="32.25" thickBot="1">
      <c r="A643" s="308"/>
      <c r="B643" s="295"/>
      <c r="C643" s="256" t="s">
        <v>221</v>
      </c>
      <c r="D643" s="296" t="str">
        <f t="shared" ref="D643:P643" si="210">IF(((D641="")*AND(D642="")),"",(D641-D642)*2)</f>
        <v/>
      </c>
      <c r="E643" s="296" t="str">
        <f t="shared" si="210"/>
        <v/>
      </c>
      <c r="F643" s="296" t="str">
        <f t="shared" si="210"/>
        <v/>
      </c>
      <c r="G643" s="296" t="str">
        <f t="shared" si="210"/>
        <v/>
      </c>
      <c r="H643" s="296" t="str">
        <f t="shared" si="210"/>
        <v/>
      </c>
      <c r="I643" s="296" t="str">
        <f t="shared" si="210"/>
        <v/>
      </c>
      <c r="J643" s="296" t="str">
        <f t="shared" si="210"/>
        <v/>
      </c>
      <c r="K643" s="296" t="str">
        <f t="shared" si="210"/>
        <v/>
      </c>
      <c r="L643" s="296" t="str">
        <f t="shared" si="210"/>
        <v/>
      </c>
      <c r="M643" s="296" t="str">
        <f t="shared" si="210"/>
        <v/>
      </c>
      <c r="N643" s="296" t="str">
        <f t="shared" si="210"/>
        <v/>
      </c>
      <c r="O643" s="296" t="str">
        <f t="shared" si="210"/>
        <v/>
      </c>
      <c r="P643" s="296" t="str">
        <f t="shared" si="210"/>
        <v/>
      </c>
      <c r="Q643" s="277"/>
      <c r="R643" s="295"/>
      <c r="S643" s="295"/>
      <c r="T643" s="295"/>
      <c r="U643" s="295"/>
      <c r="V643" s="297"/>
      <c r="W643" s="260"/>
      <c r="Y643" s="285"/>
    </row>
    <row r="644" spans="1:31">
      <c r="A644" s="305"/>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83" t="str">
        <f>IF(P645="","",IF(U644&lt;5,IF(S644&gt;1900,IF(S644&lt;2250,"Pass","Fail"),"Fail"),"Fail"))</f>
        <v/>
      </c>
      <c r="W644" s="298"/>
      <c r="Y644" s="285"/>
      <c r="Z644" s="286">
        <v>1600</v>
      </c>
      <c r="AA644" s="286">
        <v>2600</v>
      </c>
      <c r="AB644" s="287">
        <v>1900</v>
      </c>
      <c r="AC644" s="287">
        <v>2250</v>
      </c>
      <c r="AD644" s="288">
        <v>10</v>
      </c>
      <c r="AE644" s="288">
        <v>3.6</v>
      </c>
    </row>
    <row r="645" spans="1:31">
      <c r="A645" s="307"/>
      <c r="B645" s="290"/>
      <c r="C645" s="290" t="s">
        <v>78</v>
      </c>
      <c r="Q645" s="290"/>
      <c r="R645" s="290"/>
      <c r="S645" s="290"/>
      <c r="T645" s="290"/>
      <c r="U645" s="290"/>
      <c r="V645" s="291"/>
      <c r="W645" s="251"/>
      <c r="Y645" s="285"/>
    </row>
    <row r="646" spans="1:31" ht="32.25" thickBot="1">
      <c r="A646" s="308"/>
      <c r="B646" s="295"/>
      <c r="C646" s="256" t="s">
        <v>221</v>
      </c>
      <c r="D646" s="296" t="str">
        <f t="shared" ref="D646:P646" si="211">IF(((D644="")*AND(D645="")),"",(D644-D645)*2)</f>
        <v/>
      </c>
      <c r="E646" s="296" t="str">
        <f t="shared" si="211"/>
        <v/>
      </c>
      <c r="F646" s="296" t="str">
        <f t="shared" si="211"/>
        <v/>
      </c>
      <c r="G646" s="296" t="str">
        <f t="shared" si="211"/>
        <v/>
      </c>
      <c r="H646" s="296" t="str">
        <f t="shared" si="211"/>
        <v/>
      </c>
      <c r="I646" s="296" t="str">
        <f t="shared" si="211"/>
        <v/>
      </c>
      <c r="J646" s="296" t="str">
        <f t="shared" si="211"/>
        <v/>
      </c>
      <c r="K646" s="296" t="str">
        <f t="shared" si="211"/>
        <v/>
      </c>
      <c r="L646" s="296" t="str">
        <f t="shared" si="211"/>
        <v/>
      </c>
      <c r="M646" s="296" t="str">
        <f t="shared" si="211"/>
        <v/>
      </c>
      <c r="N646" s="296" t="str">
        <f t="shared" si="211"/>
        <v/>
      </c>
      <c r="O646" s="296" t="str">
        <f t="shared" si="211"/>
        <v/>
      </c>
      <c r="P646" s="296" t="str">
        <f t="shared" si="211"/>
        <v/>
      </c>
      <c r="Q646" s="277"/>
      <c r="R646" s="295"/>
      <c r="S646" s="295"/>
      <c r="T646" s="295"/>
      <c r="U646" s="295"/>
      <c r="V646" s="297"/>
      <c r="W646" s="260"/>
      <c r="Y646" s="285"/>
    </row>
    <row r="647" spans="1:31">
      <c r="A647" s="305"/>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83" t="str">
        <f>IF(P648="","",IF(U647&lt;5,IF(S647&gt;1900,IF(S647&lt;2250,"Pass","Fail"),"Fail"),"Fail"))</f>
        <v/>
      </c>
      <c r="W647" s="298"/>
      <c r="Y647" s="285"/>
      <c r="Z647" s="286">
        <v>1600</v>
      </c>
      <c r="AA647" s="286">
        <v>2600</v>
      </c>
      <c r="AB647" s="287">
        <v>1900</v>
      </c>
      <c r="AC647" s="287">
        <v>2250</v>
      </c>
      <c r="AD647" s="288">
        <v>10</v>
      </c>
      <c r="AE647" s="288">
        <v>3.6</v>
      </c>
    </row>
    <row r="648" spans="1:31">
      <c r="A648" s="307"/>
      <c r="B648" s="290"/>
      <c r="C648" s="290" t="s">
        <v>78</v>
      </c>
      <c r="Q648" s="290"/>
      <c r="R648" s="290"/>
      <c r="S648" s="290"/>
      <c r="T648" s="290"/>
      <c r="U648" s="290"/>
      <c r="V648" s="291"/>
      <c r="W648" s="251"/>
      <c r="Y648" s="285"/>
    </row>
    <row r="649" spans="1:31" ht="32.25" thickBot="1">
      <c r="A649" s="308"/>
      <c r="B649" s="295"/>
      <c r="C649" s="256" t="s">
        <v>221</v>
      </c>
      <c r="D649" s="296" t="str">
        <f t="shared" ref="D649:P649" si="212">IF(((D647="")*AND(D648="")),"",(D647-D648)*2)</f>
        <v/>
      </c>
      <c r="E649" s="296" t="str">
        <f t="shared" si="212"/>
        <v/>
      </c>
      <c r="F649" s="296" t="str">
        <f t="shared" si="212"/>
        <v/>
      </c>
      <c r="G649" s="296" t="str">
        <f t="shared" si="212"/>
        <v/>
      </c>
      <c r="H649" s="296" t="str">
        <f t="shared" si="212"/>
        <v/>
      </c>
      <c r="I649" s="296" t="str">
        <f t="shared" si="212"/>
        <v/>
      </c>
      <c r="J649" s="296" t="str">
        <f t="shared" si="212"/>
        <v/>
      </c>
      <c r="K649" s="296" t="str">
        <f t="shared" si="212"/>
        <v/>
      </c>
      <c r="L649" s="296" t="str">
        <f t="shared" si="212"/>
        <v/>
      </c>
      <c r="M649" s="296" t="str">
        <f t="shared" si="212"/>
        <v/>
      </c>
      <c r="N649" s="296" t="str">
        <f t="shared" si="212"/>
        <v/>
      </c>
      <c r="O649" s="296" t="str">
        <f t="shared" si="212"/>
        <v/>
      </c>
      <c r="P649" s="296" t="str">
        <f t="shared" si="212"/>
        <v/>
      </c>
      <c r="Q649" s="277"/>
      <c r="R649" s="295"/>
      <c r="S649" s="295"/>
      <c r="T649" s="295"/>
      <c r="U649" s="295"/>
      <c r="V649" s="297"/>
      <c r="W649" s="260"/>
      <c r="Y649" s="285"/>
    </row>
    <row r="650" spans="1:31">
      <c r="A650" s="305"/>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83" t="str">
        <f>IF(P651="","",IF(U650&lt;5,IF(S650&gt;1900,IF(S650&lt;2250,"Pass","Fail"),"Fail"),"Fail"))</f>
        <v/>
      </c>
      <c r="W650" s="298"/>
      <c r="Y650" s="285"/>
      <c r="Z650" s="286">
        <v>1600</v>
      </c>
      <c r="AA650" s="286">
        <v>2600</v>
      </c>
      <c r="AB650" s="287">
        <v>1900</v>
      </c>
      <c r="AC650" s="287">
        <v>2250</v>
      </c>
      <c r="AD650" s="288">
        <v>10</v>
      </c>
      <c r="AE650" s="288">
        <v>3.6</v>
      </c>
    </row>
    <row r="651" spans="1:31">
      <c r="A651" s="307"/>
      <c r="B651" s="290"/>
      <c r="C651" s="290" t="s">
        <v>78</v>
      </c>
      <c r="Q651" s="290"/>
      <c r="R651" s="290"/>
      <c r="S651" s="290"/>
      <c r="T651" s="290"/>
      <c r="U651" s="290"/>
      <c r="V651" s="291"/>
      <c r="W651" s="251"/>
      <c r="Y651" s="285"/>
    </row>
    <row r="652" spans="1:31" ht="32.25" thickBot="1">
      <c r="A652" s="308"/>
      <c r="B652" s="295"/>
      <c r="C652" s="256" t="s">
        <v>221</v>
      </c>
      <c r="D652" s="296" t="str">
        <f t="shared" ref="D652:P652" si="213">IF(((D650="")*AND(D651="")),"",(D650-D651)*2)</f>
        <v/>
      </c>
      <c r="E652" s="296" t="str">
        <f t="shared" si="213"/>
        <v/>
      </c>
      <c r="F652" s="296" t="str">
        <f t="shared" si="213"/>
        <v/>
      </c>
      <c r="G652" s="296" t="str">
        <f t="shared" si="213"/>
        <v/>
      </c>
      <c r="H652" s="296" t="str">
        <f t="shared" si="213"/>
        <v/>
      </c>
      <c r="I652" s="296" t="str">
        <f t="shared" si="213"/>
        <v/>
      </c>
      <c r="J652" s="296" t="str">
        <f t="shared" si="213"/>
        <v/>
      </c>
      <c r="K652" s="296" t="str">
        <f t="shared" si="213"/>
        <v/>
      </c>
      <c r="L652" s="296" t="str">
        <f t="shared" si="213"/>
        <v/>
      </c>
      <c r="M652" s="296" t="str">
        <f t="shared" si="213"/>
        <v/>
      </c>
      <c r="N652" s="296" t="str">
        <f t="shared" si="213"/>
        <v/>
      </c>
      <c r="O652" s="296" t="str">
        <f t="shared" si="213"/>
        <v/>
      </c>
      <c r="P652" s="296" t="str">
        <f t="shared" si="213"/>
        <v/>
      </c>
      <c r="Q652" s="277"/>
      <c r="R652" s="295"/>
      <c r="S652" s="295"/>
      <c r="T652" s="295"/>
      <c r="U652" s="295"/>
      <c r="V652" s="297"/>
      <c r="W652" s="260"/>
      <c r="Y652" s="285"/>
    </row>
    <row r="653" spans="1:31">
      <c r="A653" s="305"/>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83" t="str">
        <f>IF(P654="","",IF(U653&lt;5,IF(S653&gt;1900,IF(S653&lt;2250,"Pass","Fail"),"Fail"),"Fail"))</f>
        <v/>
      </c>
      <c r="W653" s="298"/>
      <c r="Y653" s="285"/>
      <c r="Z653" s="286">
        <v>1600</v>
      </c>
      <c r="AA653" s="286">
        <v>2600</v>
      </c>
      <c r="AB653" s="287">
        <v>1900</v>
      </c>
      <c r="AC653" s="287">
        <v>2250</v>
      </c>
      <c r="AD653" s="288">
        <v>10</v>
      </c>
      <c r="AE653" s="288">
        <v>3.6</v>
      </c>
    </row>
    <row r="654" spans="1:31">
      <c r="A654" s="307"/>
      <c r="B654" s="290"/>
      <c r="C654" s="290" t="s">
        <v>78</v>
      </c>
      <c r="Q654" s="290"/>
      <c r="R654" s="290"/>
      <c r="S654" s="290"/>
      <c r="T654" s="290"/>
      <c r="U654" s="290"/>
      <c r="V654" s="291"/>
      <c r="W654" s="251"/>
      <c r="Y654" s="285"/>
    </row>
    <row r="655" spans="1:31" ht="32.25" thickBot="1">
      <c r="A655" s="308"/>
      <c r="B655" s="295"/>
      <c r="C655" s="256" t="s">
        <v>221</v>
      </c>
      <c r="D655" s="296" t="str">
        <f t="shared" ref="D655:P655" si="214">IF(((D653="")*AND(D654="")),"",(D653-D654)*2)</f>
        <v/>
      </c>
      <c r="E655" s="296" t="str">
        <f t="shared" si="214"/>
        <v/>
      </c>
      <c r="F655" s="296" t="str">
        <f t="shared" si="214"/>
        <v/>
      </c>
      <c r="G655" s="296" t="str">
        <f t="shared" si="214"/>
        <v/>
      </c>
      <c r="H655" s="296" t="str">
        <f t="shared" si="214"/>
        <v/>
      </c>
      <c r="I655" s="296" t="str">
        <f t="shared" si="214"/>
        <v/>
      </c>
      <c r="J655" s="296" t="str">
        <f t="shared" si="214"/>
        <v/>
      </c>
      <c r="K655" s="296" t="str">
        <f t="shared" si="214"/>
        <v/>
      </c>
      <c r="L655" s="296" t="str">
        <f t="shared" si="214"/>
        <v/>
      </c>
      <c r="M655" s="296" t="str">
        <f t="shared" si="214"/>
        <v/>
      </c>
      <c r="N655" s="296" t="str">
        <f t="shared" si="214"/>
        <v/>
      </c>
      <c r="O655" s="296" t="str">
        <f t="shared" si="214"/>
        <v/>
      </c>
      <c r="P655" s="296" t="str">
        <f t="shared" si="214"/>
        <v/>
      </c>
      <c r="Q655" s="277"/>
      <c r="R655" s="295"/>
      <c r="S655" s="295"/>
      <c r="T655" s="295"/>
      <c r="U655" s="295"/>
      <c r="V655" s="297"/>
      <c r="W655" s="260"/>
      <c r="Y655" s="285"/>
    </row>
    <row r="656" spans="1:31">
      <c r="A656" s="305"/>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83" t="str">
        <f>IF(P657="","",IF(U656&lt;5,IF(S656&gt;1900,IF(S656&lt;2250,"Pass","Fail"),"Fail"),"Fail"))</f>
        <v/>
      </c>
      <c r="W656" s="298"/>
      <c r="Y656" s="285"/>
      <c r="Z656" s="286">
        <v>1600</v>
      </c>
      <c r="AA656" s="286">
        <v>2600</v>
      </c>
      <c r="AB656" s="287">
        <v>1900</v>
      </c>
      <c r="AC656" s="287">
        <v>2250</v>
      </c>
      <c r="AD656" s="288">
        <v>10</v>
      </c>
      <c r="AE656" s="288">
        <v>3.6</v>
      </c>
    </row>
    <row r="657" spans="1:31">
      <c r="A657" s="307"/>
      <c r="B657" s="290"/>
      <c r="C657" s="290" t="s">
        <v>78</v>
      </c>
      <c r="Q657" s="290"/>
      <c r="R657" s="290"/>
      <c r="S657" s="290"/>
      <c r="T657" s="290"/>
      <c r="U657" s="290"/>
      <c r="V657" s="291"/>
      <c r="W657" s="251"/>
      <c r="Y657" s="285"/>
    </row>
    <row r="658" spans="1:31" ht="32.25" thickBot="1">
      <c r="A658" s="308"/>
      <c r="B658" s="295"/>
      <c r="C658" s="256" t="s">
        <v>221</v>
      </c>
      <c r="D658" s="296" t="str">
        <f t="shared" ref="D658:P658" si="215">IF(((D656="")*AND(D657="")),"",(D656-D657)*2)</f>
        <v/>
      </c>
      <c r="E658" s="296" t="str">
        <f t="shared" si="215"/>
        <v/>
      </c>
      <c r="F658" s="296" t="str">
        <f t="shared" si="215"/>
        <v/>
      </c>
      <c r="G658" s="296" t="str">
        <f t="shared" si="215"/>
        <v/>
      </c>
      <c r="H658" s="296" t="str">
        <f t="shared" si="215"/>
        <v/>
      </c>
      <c r="I658" s="296" t="str">
        <f t="shared" si="215"/>
        <v/>
      </c>
      <c r="J658" s="296" t="str">
        <f t="shared" si="215"/>
        <v/>
      </c>
      <c r="K658" s="296" t="str">
        <f t="shared" si="215"/>
        <v/>
      </c>
      <c r="L658" s="296" t="str">
        <f t="shared" si="215"/>
        <v/>
      </c>
      <c r="M658" s="296" t="str">
        <f t="shared" si="215"/>
        <v/>
      </c>
      <c r="N658" s="296" t="str">
        <f t="shared" si="215"/>
        <v/>
      </c>
      <c r="O658" s="296" t="str">
        <f t="shared" si="215"/>
        <v/>
      </c>
      <c r="P658" s="296" t="str">
        <f t="shared" si="215"/>
        <v/>
      </c>
      <c r="Q658" s="277"/>
      <c r="R658" s="295"/>
      <c r="S658" s="295"/>
      <c r="T658" s="295"/>
      <c r="U658" s="295"/>
      <c r="V658" s="297"/>
      <c r="W658" s="260"/>
      <c r="Y658" s="285"/>
    </row>
    <row r="659" spans="1:31">
      <c r="A659" s="305"/>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83" t="str">
        <f>IF(P660="","",IF(U659&lt;5,IF(S659&gt;1900,IF(S659&lt;2250,"Pass","Fail"),"Fail"),"Fail"))</f>
        <v/>
      </c>
      <c r="W659" s="298"/>
      <c r="Y659" s="285"/>
      <c r="Z659" s="286">
        <v>1600</v>
      </c>
      <c r="AA659" s="286">
        <v>2600</v>
      </c>
      <c r="AB659" s="287">
        <v>1900</v>
      </c>
      <c r="AC659" s="287">
        <v>2250</v>
      </c>
      <c r="AD659" s="288">
        <v>10</v>
      </c>
      <c r="AE659" s="288">
        <v>3.6</v>
      </c>
    </row>
    <row r="660" spans="1:31">
      <c r="A660" s="307"/>
      <c r="B660" s="290"/>
      <c r="C660" s="290" t="s">
        <v>78</v>
      </c>
      <c r="Q660" s="290"/>
      <c r="R660" s="290"/>
      <c r="S660" s="290"/>
      <c r="T660" s="290"/>
      <c r="U660" s="290"/>
      <c r="V660" s="291"/>
      <c r="W660" s="251"/>
      <c r="Y660" s="285"/>
    </row>
    <row r="661" spans="1:31" ht="32.25" thickBot="1">
      <c r="A661" s="308"/>
      <c r="B661" s="295"/>
      <c r="C661" s="256" t="s">
        <v>221</v>
      </c>
      <c r="D661" s="296" t="str">
        <f t="shared" ref="D661:P661" si="216">IF(((D659="")*AND(D660="")),"",(D659-D660)*2)</f>
        <v/>
      </c>
      <c r="E661" s="296" t="str">
        <f t="shared" si="216"/>
        <v/>
      </c>
      <c r="F661" s="296" t="str">
        <f t="shared" si="216"/>
        <v/>
      </c>
      <c r="G661" s="296" t="str">
        <f t="shared" si="216"/>
        <v/>
      </c>
      <c r="H661" s="296" t="str">
        <f t="shared" si="216"/>
        <v/>
      </c>
      <c r="I661" s="296" t="str">
        <f t="shared" si="216"/>
        <v/>
      </c>
      <c r="J661" s="296" t="str">
        <f t="shared" si="216"/>
        <v/>
      </c>
      <c r="K661" s="296" t="str">
        <f t="shared" si="216"/>
        <v/>
      </c>
      <c r="L661" s="296" t="str">
        <f t="shared" si="216"/>
        <v/>
      </c>
      <c r="M661" s="296" t="str">
        <f t="shared" si="216"/>
        <v/>
      </c>
      <c r="N661" s="296" t="str">
        <f t="shared" si="216"/>
        <v/>
      </c>
      <c r="O661" s="296" t="str">
        <f t="shared" si="216"/>
        <v/>
      </c>
      <c r="P661" s="296" t="str">
        <f t="shared" si="216"/>
        <v/>
      </c>
      <c r="Q661" s="277"/>
      <c r="R661" s="295"/>
      <c r="S661" s="295"/>
      <c r="T661" s="295"/>
      <c r="U661" s="295"/>
      <c r="V661" s="297"/>
      <c r="W661" s="260"/>
      <c r="Y661" s="285"/>
    </row>
    <row r="662" spans="1:31">
      <c r="A662" s="305"/>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83" t="str">
        <f>IF(P663="","",IF(U662&lt;5,IF(S662&gt;1900,IF(S662&lt;2250,"Pass","Fail"),"Fail"),"Fail"))</f>
        <v/>
      </c>
      <c r="W662" s="298"/>
      <c r="Y662" s="285"/>
      <c r="Z662" s="286">
        <v>1600</v>
      </c>
      <c r="AA662" s="286">
        <v>2600</v>
      </c>
      <c r="AB662" s="287">
        <v>1900</v>
      </c>
      <c r="AC662" s="287">
        <v>2250</v>
      </c>
      <c r="AD662" s="288">
        <v>10</v>
      </c>
      <c r="AE662" s="288">
        <v>3.6</v>
      </c>
    </row>
    <row r="663" spans="1:31">
      <c r="A663" s="307"/>
      <c r="B663" s="290"/>
      <c r="C663" s="290" t="s">
        <v>78</v>
      </c>
      <c r="Q663" s="290"/>
      <c r="R663" s="290"/>
      <c r="S663" s="290"/>
      <c r="T663" s="290"/>
      <c r="U663" s="290"/>
      <c r="V663" s="291"/>
      <c r="W663" s="251"/>
      <c r="Y663" s="285"/>
    </row>
    <row r="664" spans="1:31" ht="32.25" thickBot="1">
      <c r="A664" s="308"/>
      <c r="B664" s="295"/>
      <c r="C664" s="256" t="s">
        <v>221</v>
      </c>
      <c r="D664" s="296" t="str">
        <f t="shared" ref="D664:P664" si="217">IF(((D662="")*AND(D663="")),"",(D662-D663)*2)</f>
        <v/>
      </c>
      <c r="E664" s="296" t="str">
        <f t="shared" si="217"/>
        <v/>
      </c>
      <c r="F664" s="296" t="str">
        <f t="shared" si="217"/>
        <v/>
      </c>
      <c r="G664" s="296" t="str">
        <f t="shared" si="217"/>
        <v/>
      </c>
      <c r="H664" s="296" t="str">
        <f t="shared" si="217"/>
        <v/>
      </c>
      <c r="I664" s="296" t="str">
        <f t="shared" si="217"/>
        <v/>
      </c>
      <c r="J664" s="296" t="str">
        <f t="shared" si="217"/>
        <v/>
      </c>
      <c r="K664" s="296" t="str">
        <f t="shared" si="217"/>
        <v/>
      </c>
      <c r="L664" s="296" t="str">
        <f t="shared" si="217"/>
        <v/>
      </c>
      <c r="M664" s="296" t="str">
        <f t="shared" si="217"/>
        <v/>
      </c>
      <c r="N664" s="296" t="str">
        <f t="shared" si="217"/>
        <v/>
      </c>
      <c r="O664" s="296" t="str">
        <f t="shared" si="217"/>
        <v/>
      </c>
      <c r="P664" s="296" t="str">
        <f t="shared" si="217"/>
        <v/>
      </c>
      <c r="Q664" s="277"/>
      <c r="R664" s="295"/>
      <c r="S664" s="295"/>
      <c r="T664" s="295"/>
      <c r="U664" s="295"/>
      <c r="V664" s="297"/>
      <c r="W664" s="260"/>
      <c r="Y664" s="285"/>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U227 U230 U233 U236 U239 U242 U245 U248 U251 U254 U257 U260 U263 U266 U269 U272 U275 U278 U281 U284 U287 U290 U293 U296 U299 U302 U305 V162:V307">
    <cfRule type="cellIs" dxfId="1383" priority="1027" stopIfTrue="1" operator="equal">
      <formula>"Fail"</formula>
    </cfRule>
    <cfRule type="cellIs" dxfId="1382" priority="1028" stopIfTrue="1" operator="equal">
      <formula>"Pass"</formula>
    </cfRule>
  </conditionalFormatting>
  <conditionalFormatting sqref="U308 V308:V310">
    <cfRule type="cellIs" dxfId="1381" priority="239" stopIfTrue="1" operator="equal">
      <formula>"Fail"</formula>
    </cfRule>
    <cfRule type="cellIs" dxfId="1380" priority="240" stopIfTrue="1" operator="equal">
      <formula>"Pass"</formula>
    </cfRule>
  </conditionalFormatting>
  <conditionalFormatting sqref="U311 V311:V313">
    <cfRule type="cellIs" dxfId="1379" priority="237" stopIfTrue="1" operator="equal">
      <formula>"Fail"</formula>
    </cfRule>
    <cfRule type="cellIs" dxfId="1378" priority="238" stopIfTrue="1" operator="equal">
      <formula>"Pass"</formula>
    </cfRule>
  </conditionalFormatting>
  <conditionalFormatting sqref="U314 V314:V316">
    <cfRule type="cellIs" dxfId="1377" priority="235" stopIfTrue="1" operator="equal">
      <formula>"Fail"</formula>
    </cfRule>
    <cfRule type="cellIs" dxfId="1376" priority="236" stopIfTrue="1" operator="equal">
      <formula>"Pass"</formula>
    </cfRule>
  </conditionalFormatting>
  <conditionalFormatting sqref="U317 V317:V319">
    <cfRule type="cellIs" dxfId="1375" priority="233" stopIfTrue="1" operator="equal">
      <formula>"Fail"</formula>
    </cfRule>
    <cfRule type="cellIs" dxfId="1374" priority="234" stopIfTrue="1" operator="equal">
      <formula>"Pass"</formula>
    </cfRule>
  </conditionalFormatting>
  <conditionalFormatting sqref="U320 V320:V322">
    <cfRule type="cellIs" dxfId="1373" priority="231" stopIfTrue="1" operator="equal">
      <formula>"Fail"</formula>
    </cfRule>
    <cfRule type="cellIs" dxfId="1372" priority="232" stopIfTrue="1" operator="equal">
      <formula>"Pass"</formula>
    </cfRule>
  </conditionalFormatting>
  <conditionalFormatting sqref="U323 V323:V325">
    <cfRule type="cellIs" dxfId="1371" priority="229" stopIfTrue="1" operator="equal">
      <formula>"Fail"</formula>
    </cfRule>
    <cfRule type="cellIs" dxfId="1370" priority="230" stopIfTrue="1" operator="equal">
      <formula>"Pass"</formula>
    </cfRule>
  </conditionalFormatting>
  <conditionalFormatting sqref="U326 V326:V328">
    <cfRule type="cellIs" dxfId="1369" priority="227" stopIfTrue="1" operator="equal">
      <formula>"Fail"</formula>
    </cfRule>
    <cfRule type="cellIs" dxfId="1368" priority="228" stopIfTrue="1" operator="equal">
      <formula>"Pass"</formula>
    </cfRule>
  </conditionalFormatting>
  <conditionalFormatting sqref="U329 V329:V331">
    <cfRule type="cellIs" dxfId="1367" priority="225" stopIfTrue="1" operator="equal">
      <formula>"Fail"</formula>
    </cfRule>
    <cfRule type="cellIs" dxfId="1366" priority="226" stopIfTrue="1" operator="equal">
      <formula>"Pass"</formula>
    </cfRule>
  </conditionalFormatting>
  <conditionalFormatting sqref="U332 V332:V334">
    <cfRule type="cellIs" dxfId="1365" priority="223" stopIfTrue="1" operator="equal">
      <formula>"Fail"</formula>
    </cfRule>
    <cfRule type="cellIs" dxfId="1364" priority="224" stopIfTrue="1" operator="equal">
      <formula>"Pass"</formula>
    </cfRule>
  </conditionalFormatting>
  <conditionalFormatting sqref="U335 V335:V337">
    <cfRule type="cellIs" dxfId="1363" priority="221" stopIfTrue="1" operator="equal">
      <formula>"Fail"</formula>
    </cfRule>
    <cfRule type="cellIs" dxfId="1362" priority="222" stopIfTrue="1" operator="equal">
      <formula>"Pass"</formula>
    </cfRule>
  </conditionalFormatting>
  <conditionalFormatting sqref="U338 V338:V340">
    <cfRule type="cellIs" dxfId="1361" priority="219" stopIfTrue="1" operator="equal">
      <formula>"Fail"</formula>
    </cfRule>
    <cfRule type="cellIs" dxfId="1360" priority="220" stopIfTrue="1" operator="equal">
      <formula>"Pass"</formula>
    </cfRule>
  </conditionalFormatting>
  <conditionalFormatting sqref="U341 V341:V343">
    <cfRule type="cellIs" dxfId="1359" priority="217" stopIfTrue="1" operator="equal">
      <formula>"Fail"</formula>
    </cfRule>
    <cfRule type="cellIs" dxfId="1358" priority="218" stopIfTrue="1" operator="equal">
      <formula>"Pass"</formula>
    </cfRule>
  </conditionalFormatting>
  <conditionalFormatting sqref="U344 V344:V346">
    <cfRule type="cellIs" dxfId="1357" priority="215" stopIfTrue="1" operator="equal">
      <formula>"Fail"</formula>
    </cfRule>
    <cfRule type="cellIs" dxfId="1356" priority="216" stopIfTrue="1" operator="equal">
      <formula>"Pass"</formula>
    </cfRule>
  </conditionalFormatting>
  <conditionalFormatting sqref="U347 V347:V349">
    <cfRule type="cellIs" dxfId="1355" priority="213" stopIfTrue="1" operator="equal">
      <formula>"Fail"</formula>
    </cfRule>
    <cfRule type="cellIs" dxfId="1354" priority="214" stopIfTrue="1" operator="equal">
      <formula>"Pass"</formula>
    </cfRule>
  </conditionalFormatting>
  <conditionalFormatting sqref="U350 V350:V352">
    <cfRule type="cellIs" dxfId="1353" priority="211" stopIfTrue="1" operator="equal">
      <formula>"Fail"</formula>
    </cfRule>
    <cfRule type="cellIs" dxfId="1352" priority="212" stopIfTrue="1" operator="equal">
      <formula>"Pass"</formula>
    </cfRule>
  </conditionalFormatting>
  <conditionalFormatting sqref="U353 V353:V355">
    <cfRule type="cellIs" dxfId="1351" priority="209" stopIfTrue="1" operator="equal">
      <formula>"Fail"</formula>
    </cfRule>
    <cfRule type="cellIs" dxfId="1350" priority="210" stopIfTrue="1" operator="equal">
      <formula>"Pass"</formula>
    </cfRule>
  </conditionalFormatting>
  <conditionalFormatting sqref="U356 V356:V358">
    <cfRule type="cellIs" dxfId="1349" priority="207" stopIfTrue="1" operator="equal">
      <formula>"Fail"</formula>
    </cfRule>
    <cfRule type="cellIs" dxfId="1348" priority="208" stopIfTrue="1" operator="equal">
      <formula>"Pass"</formula>
    </cfRule>
  </conditionalFormatting>
  <conditionalFormatting sqref="U359 V359:V361">
    <cfRule type="cellIs" dxfId="1347" priority="205" stopIfTrue="1" operator="equal">
      <formula>"Fail"</formula>
    </cfRule>
    <cfRule type="cellIs" dxfId="1346" priority="206" stopIfTrue="1" operator="equal">
      <formula>"Pass"</formula>
    </cfRule>
  </conditionalFormatting>
  <conditionalFormatting sqref="U362 V362:V364">
    <cfRule type="cellIs" dxfId="1345" priority="203" stopIfTrue="1" operator="equal">
      <formula>"Fail"</formula>
    </cfRule>
    <cfRule type="cellIs" dxfId="1344" priority="204" stopIfTrue="1" operator="equal">
      <formula>"Pass"</formula>
    </cfRule>
  </conditionalFormatting>
  <conditionalFormatting sqref="U365 V365:V367">
    <cfRule type="cellIs" dxfId="1343" priority="201" stopIfTrue="1" operator="equal">
      <formula>"Fail"</formula>
    </cfRule>
    <cfRule type="cellIs" dxfId="1342" priority="202" stopIfTrue="1" operator="equal">
      <formula>"Pass"</formula>
    </cfRule>
  </conditionalFormatting>
  <conditionalFormatting sqref="U368 V368:V370">
    <cfRule type="cellIs" dxfId="1341" priority="199" stopIfTrue="1" operator="equal">
      <formula>"Fail"</formula>
    </cfRule>
    <cfRule type="cellIs" dxfId="1340" priority="200" stopIfTrue="1" operator="equal">
      <formula>"Pass"</formula>
    </cfRule>
  </conditionalFormatting>
  <conditionalFormatting sqref="U371 V371:V373">
    <cfRule type="cellIs" dxfId="1339" priority="197" stopIfTrue="1" operator="equal">
      <formula>"Fail"</formula>
    </cfRule>
    <cfRule type="cellIs" dxfId="1338" priority="198" stopIfTrue="1" operator="equal">
      <formula>"Pass"</formula>
    </cfRule>
  </conditionalFormatting>
  <conditionalFormatting sqref="U374 V374:V376">
    <cfRule type="cellIs" dxfId="1337" priority="195" stopIfTrue="1" operator="equal">
      <formula>"Fail"</formula>
    </cfRule>
    <cfRule type="cellIs" dxfId="1336" priority="196" stopIfTrue="1" operator="equal">
      <formula>"Pass"</formula>
    </cfRule>
  </conditionalFormatting>
  <conditionalFormatting sqref="U377 V377:V379">
    <cfRule type="cellIs" dxfId="1335" priority="193" stopIfTrue="1" operator="equal">
      <formula>"Fail"</formula>
    </cfRule>
    <cfRule type="cellIs" dxfId="1334" priority="194" stopIfTrue="1" operator="equal">
      <formula>"Pass"</formula>
    </cfRule>
  </conditionalFormatting>
  <conditionalFormatting sqref="U380 V380:V382">
    <cfRule type="cellIs" dxfId="1333" priority="191" stopIfTrue="1" operator="equal">
      <formula>"Fail"</formula>
    </cfRule>
    <cfRule type="cellIs" dxfId="1332" priority="192" stopIfTrue="1" operator="equal">
      <formula>"Pass"</formula>
    </cfRule>
  </conditionalFormatting>
  <conditionalFormatting sqref="U383 V383:V385">
    <cfRule type="cellIs" dxfId="1331" priority="189" stopIfTrue="1" operator="equal">
      <formula>"Fail"</formula>
    </cfRule>
    <cfRule type="cellIs" dxfId="1330" priority="190" stopIfTrue="1" operator="equal">
      <formula>"Pass"</formula>
    </cfRule>
  </conditionalFormatting>
  <conditionalFormatting sqref="U386 V386:V388">
    <cfRule type="cellIs" dxfId="1329" priority="187" stopIfTrue="1" operator="equal">
      <formula>"Fail"</formula>
    </cfRule>
    <cfRule type="cellIs" dxfId="1328" priority="188" stopIfTrue="1" operator="equal">
      <formula>"Pass"</formula>
    </cfRule>
  </conditionalFormatting>
  <conditionalFormatting sqref="U389 V389:V391">
    <cfRule type="cellIs" dxfId="1327" priority="185" stopIfTrue="1" operator="equal">
      <formula>"Fail"</formula>
    </cfRule>
    <cfRule type="cellIs" dxfId="1326" priority="186" stopIfTrue="1" operator="equal">
      <formula>"Pass"</formula>
    </cfRule>
  </conditionalFormatting>
  <conditionalFormatting sqref="U392 V392:V394">
    <cfRule type="cellIs" dxfId="1325" priority="183" stopIfTrue="1" operator="equal">
      <formula>"Fail"</formula>
    </cfRule>
    <cfRule type="cellIs" dxfId="1324" priority="184" stopIfTrue="1" operator="equal">
      <formula>"Pass"</formula>
    </cfRule>
  </conditionalFormatting>
  <conditionalFormatting sqref="U395 V395:V397">
    <cfRule type="cellIs" dxfId="1323" priority="181" stopIfTrue="1" operator="equal">
      <formula>"Fail"</formula>
    </cfRule>
    <cfRule type="cellIs" dxfId="1322" priority="182" stopIfTrue="1" operator="equal">
      <formula>"Pass"</formula>
    </cfRule>
  </conditionalFormatting>
  <conditionalFormatting sqref="U398 V398:V400">
    <cfRule type="cellIs" dxfId="1321" priority="179" stopIfTrue="1" operator="equal">
      <formula>"Fail"</formula>
    </cfRule>
    <cfRule type="cellIs" dxfId="1320" priority="180" stopIfTrue="1" operator="equal">
      <formula>"Pass"</formula>
    </cfRule>
  </conditionalFormatting>
  <conditionalFormatting sqref="U401 V401:V403">
    <cfRule type="cellIs" dxfId="1319" priority="177" stopIfTrue="1" operator="equal">
      <formula>"Fail"</formula>
    </cfRule>
    <cfRule type="cellIs" dxfId="1318" priority="178" stopIfTrue="1" operator="equal">
      <formula>"Pass"</formula>
    </cfRule>
  </conditionalFormatting>
  <conditionalFormatting sqref="U404 V404:V406">
    <cfRule type="cellIs" dxfId="1317" priority="175" stopIfTrue="1" operator="equal">
      <formula>"Fail"</formula>
    </cfRule>
    <cfRule type="cellIs" dxfId="1316" priority="176" stopIfTrue="1" operator="equal">
      <formula>"Pass"</formula>
    </cfRule>
  </conditionalFormatting>
  <conditionalFormatting sqref="U407 V407:V409">
    <cfRule type="cellIs" dxfId="1315" priority="173" stopIfTrue="1" operator="equal">
      <formula>"Fail"</formula>
    </cfRule>
    <cfRule type="cellIs" dxfId="1314" priority="174" stopIfTrue="1" operator="equal">
      <formula>"Pass"</formula>
    </cfRule>
  </conditionalFormatting>
  <conditionalFormatting sqref="U410 V410:V412">
    <cfRule type="cellIs" dxfId="1313" priority="171" stopIfTrue="1" operator="equal">
      <formula>"Fail"</formula>
    </cfRule>
    <cfRule type="cellIs" dxfId="1312" priority="172" stopIfTrue="1" operator="equal">
      <formula>"Pass"</formula>
    </cfRule>
  </conditionalFormatting>
  <conditionalFormatting sqref="U413 V413:V415">
    <cfRule type="cellIs" dxfId="1311" priority="169" stopIfTrue="1" operator="equal">
      <formula>"Fail"</formula>
    </cfRule>
    <cfRule type="cellIs" dxfId="1310" priority="170" stopIfTrue="1" operator="equal">
      <formula>"Pass"</formula>
    </cfRule>
  </conditionalFormatting>
  <conditionalFormatting sqref="U416 V416:V418">
    <cfRule type="cellIs" dxfId="1309" priority="167" stopIfTrue="1" operator="equal">
      <formula>"Fail"</formula>
    </cfRule>
    <cfRule type="cellIs" dxfId="1308" priority="168" stopIfTrue="1" operator="equal">
      <formula>"Pass"</formula>
    </cfRule>
  </conditionalFormatting>
  <conditionalFormatting sqref="U419 V419:V421">
    <cfRule type="cellIs" dxfId="1307" priority="165" stopIfTrue="1" operator="equal">
      <formula>"Fail"</formula>
    </cfRule>
    <cfRule type="cellIs" dxfId="1306" priority="166" stopIfTrue="1" operator="equal">
      <formula>"Pass"</formula>
    </cfRule>
  </conditionalFormatting>
  <conditionalFormatting sqref="U422 V422:V424">
    <cfRule type="cellIs" dxfId="1305" priority="163" stopIfTrue="1" operator="equal">
      <formula>"Fail"</formula>
    </cfRule>
    <cfRule type="cellIs" dxfId="1304" priority="164" stopIfTrue="1" operator="equal">
      <formula>"Pass"</formula>
    </cfRule>
  </conditionalFormatting>
  <conditionalFormatting sqref="U425 V425:V427">
    <cfRule type="cellIs" dxfId="1303" priority="161" stopIfTrue="1" operator="equal">
      <formula>"Fail"</formula>
    </cfRule>
    <cfRule type="cellIs" dxfId="1302" priority="162" stopIfTrue="1" operator="equal">
      <formula>"Pass"</formula>
    </cfRule>
  </conditionalFormatting>
  <conditionalFormatting sqref="U428 V428:V430">
    <cfRule type="cellIs" dxfId="1301" priority="159" stopIfTrue="1" operator="equal">
      <formula>"Fail"</formula>
    </cfRule>
    <cfRule type="cellIs" dxfId="1300" priority="160" stopIfTrue="1" operator="equal">
      <formula>"Pass"</formula>
    </cfRule>
  </conditionalFormatting>
  <conditionalFormatting sqref="U431 V431:V433">
    <cfRule type="cellIs" dxfId="1299" priority="157" stopIfTrue="1" operator="equal">
      <formula>"Fail"</formula>
    </cfRule>
    <cfRule type="cellIs" dxfId="1298" priority="158" stopIfTrue="1" operator="equal">
      <formula>"Pass"</formula>
    </cfRule>
  </conditionalFormatting>
  <conditionalFormatting sqref="U434 V434:V436">
    <cfRule type="cellIs" dxfId="1297" priority="155" stopIfTrue="1" operator="equal">
      <formula>"Fail"</formula>
    </cfRule>
    <cfRule type="cellIs" dxfId="1296" priority="156" stopIfTrue="1" operator="equal">
      <formula>"Pass"</formula>
    </cfRule>
  </conditionalFormatting>
  <conditionalFormatting sqref="U437 V437:V439">
    <cfRule type="cellIs" dxfId="1295" priority="153" stopIfTrue="1" operator="equal">
      <formula>"Fail"</formula>
    </cfRule>
    <cfRule type="cellIs" dxfId="1294" priority="154" stopIfTrue="1" operator="equal">
      <formula>"Pass"</formula>
    </cfRule>
  </conditionalFormatting>
  <conditionalFormatting sqref="U440 V440:V442">
    <cfRule type="cellIs" dxfId="1293" priority="151" stopIfTrue="1" operator="equal">
      <formula>"Fail"</formula>
    </cfRule>
    <cfRule type="cellIs" dxfId="1292" priority="152" stopIfTrue="1" operator="equal">
      <formula>"Pass"</formula>
    </cfRule>
  </conditionalFormatting>
  <conditionalFormatting sqref="U443 V443:V445">
    <cfRule type="cellIs" dxfId="1291" priority="149" stopIfTrue="1" operator="equal">
      <formula>"Fail"</formula>
    </cfRule>
    <cfRule type="cellIs" dxfId="1290" priority="150" stopIfTrue="1" operator="equal">
      <formula>"Pass"</formula>
    </cfRule>
  </conditionalFormatting>
  <conditionalFormatting sqref="U446 V446:V448">
    <cfRule type="cellIs" dxfId="1289" priority="147" stopIfTrue="1" operator="equal">
      <formula>"Fail"</formula>
    </cfRule>
    <cfRule type="cellIs" dxfId="1288" priority="148" stopIfTrue="1" operator="equal">
      <formula>"Pass"</formula>
    </cfRule>
  </conditionalFormatting>
  <conditionalFormatting sqref="U449 V449:V451">
    <cfRule type="cellIs" dxfId="1287" priority="145" stopIfTrue="1" operator="equal">
      <formula>"Fail"</formula>
    </cfRule>
    <cfRule type="cellIs" dxfId="1286" priority="146" stopIfTrue="1" operator="equal">
      <formula>"Pass"</formula>
    </cfRule>
  </conditionalFormatting>
  <conditionalFormatting sqref="U452 V452:V454">
    <cfRule type="cellIs" dxfId="1285" priority="143" stopIfTrue="1" operator="equal">
      <formula>"Fail"</formula>
    </cfRule>
    <cfRule type="cellIs" dxfId="1284" priority="144" stopIfTrue="1" operator="equal">
      <formula>"Pass"</formula>
    </cfRule>
  </conditionalFormatting>
  <conditionalFormatting sqref="U455 V455:V457">
    <cfRule type="cellIs" dxfId="1283" priority="141" stopIfTrue="1" operator="equal">
      <formula>"Fail"</formula>
    </cfRule>
    <cfRule type="cellIs" dxfId="1282" priority="142" stopIfTrue="1" operator="equal">
      <formula>"Pass"</formula>
    </cfRule>
  </conditionalFormatting>
  <conditionalFormatting sqref="U458 V458:V460">
    <cfRule type="cellIs" dxfId="1281" priority="139" stopIfTrue="1" operator="equal">
      <formula>"Fail"</formula>
    </cfRule>
    <cfRule type="cellIs" dxfId="1280" priority="140" stopIfTrue="1" operator="equal">
      <formula>"Pass"</formula>
    </cfRule>
  </conditionalFormatting>
  <conditionalFormatting sqref="U461 V461:V463">
    <cfRule type="cellIs" dxfId="1279" priority="137" stopIfTrue="1" operator="equal">
      <formula>"Fail"</formula>
    </cfRule>
    <cfRule type="cellIs" dxfId="1278" priority="138" stopIfTrue="1" operator="equal">
      <formula>"Pass"</formula>
    </cfRule>
  </conditionalFormatting>
  <conditionalFormatting sqref="U464 V464:V466">
    <cfRule type="cellIs" dxfId="1277" priority="135" stopIfTrue="1" operator="equal">
      <formula>"Fail"</formula>
    </cfRule>
    <cfRule type="cellIs" dxfId="1276" priority="136" stopIfTrue="1" operator="equal">
      <formula>"Pass"</formula>
    </cfRule>
  </conditionalFormatting>
  <conditionalFormatting sqref="U467 V467:V469">
    <cfRule type="cellIs" dxfId="1275" priority="133" stopIfTrue="1" operator="equal">
      <formula>"Fail"</formula>
    </cfRule>
    <cfRule type="cellIs" dxfId="1274" priority="134" stopIfTrue="1" operator="equal">
      <formula>"Pass"</formula>
    </cfRule>
  </conditionalFormatting>
  <conditionalFormatting sqref="U470 V470:V472">
    <cfRule type="cellIs" dxfId="1273" priority="131" stopIfTrue="1" operator="equal">
      <formula>"Fail"</formula>
    </cfRule>
    <cfRule type="cellIs" dxfId="1272" priority="132" stopIfTrue="1" operator="equal">
      <formula>"Pass"</formula>
    </cfRule>
  </conditionalFormatting>
  <conditionalFormatting sqref="U473 V473:V475">
    <cfRule type="cellIs" dxfId="1271" priority="129" stopIfTrue="1" operator="equal">
      <formula>"Fail"</formula>
    </cfRule>
    <cfRule type="cellIs" dxfId="1270" priority="130" stopIfTrue="1" operator="equal">
      <formula>"Pass"</formula>
    </cfRule>
  </conditionalFormatting>
  <conditionalFormatting sqref="U476 V476:V478">
    <cfRule type="cellIs" dxfId="1269" priority="127" stopIfTrue="1" operator="equal">
      <formula>"Fail"</formula>
    </cfRule>
    <cfRule type="cellIs" dxfId="1268" priority="128" stopIfTrue="1" operator="equal">
      <formula>"Pass"</formula>
    </cfRule>
  </conditionalFormatting>
  <conditionalFormatting sqref="U479 V479:V481">
    <cfRule type="cellIs" dxfId="1267" priority="125" stopIfTrue="1" operator="equal">
      <formula>"Fail"</formula>
    </cfRule>
    <cfRule type="cellIs" dxfId="1266" priority="126" stopIfTrue="1" operator="equal">
      <formula>"Pass"</formula>
    </cfRule>
  </conditionalFormatting>
  <conditionalFormatting sqref="U482 V482:V484">
    <cfRule type="cellIs" dxfId="1265" priority="123" stopIfTrue="1" operator="equal">
      <formula>"Fail"</formula>
    </cfRule>
    <cfRule type="cellIs" dxfId="1264" priority="124" stopIfTrue="1" operator="equal">
      <formula>"Pass"</formula>
    </cfRule>
  </conditionalFormatting>
  <conditionalFormatting sqref="U485 V485:V487">
    <cfRule type="cellIs" dxfId="1263" priority="121" stopIfTrue="1" operator="equal">
      <formula>"Fail"</formula>
    </cfRule>
    <cfRule type="cellIs" dxfId="1262" priority="122" stopIfTrue="1" operator="equal">
      <formula>"Pass"</formula>
    </cfRule>
  </conditionalFormatting>
  <conditionalFormatting sqref="U488 V488:V490">
    <cfRule type="cellIs" dxfId="1261" priority="119" stopIfTrue="1" operator="equal">
      <formula>"Fail"</formula>
    </cfRule>
    <cfRule type="cellIs" dxfId="1260" priority="120" stopIfTrue="1" operator="equal">
      <formula>"Pass"</formula>
    </cfRule>
  </conditionalFormatting>
  <conditionalFormatting sqref="U491 V491:V493">
    <cfRule type="cellIs" dxfId="1259" priority="117" stopIfTrue="1" operator="equal">
      <formula>"Fail"</formula>
    </cfRule>
    <cfRule type="cellIs" dxfId="1258" priority="118" stopIfTrue="1" operator="equal">
      <formula>"Pass"</formula>
    </cfRule>
  </conditionalFormatting>
  <conditionalFormatting sqref="U494 V494:V496">
    <cfRule type="cellIs" dxfId="1257" priority="115" stopIfTrue="1" operator="equal">
      <formula>"Fail"</formula>
    </cfRule>
    <cfRule type="cellIs" dxfId="1256" priority="116" stopIfTrue="1" operator="equal">
      <formula>"Pass"</formula>
    </cfRule>
  </conditionalFormatting>
  <conditionalFormatting sqref="U497 V497:V499">
    <cfRule type="cellIs" dxfId="1255" priority="113" stopIfTrue="1" operator="equal">
      <formula>"Fail"</formula>
    </cfRule>
    <cfRule type="cellIs" dxfId="1254" priority="114" stopIfTrue="1" operator="equal">
      <formula>"Pass"</formula>
    </cfRule>
  </conditionalFormatting>
  <conditionalFormatting sqref="U326 V326:V328">
    <cfRule type="cellIs" dxfId="1253" priority="111" stopIfTrue="1" operator="equal">
      <formula>"Fail"</formula>
    </cfRule>
    <cfRule type="cellIs" dxfId="1252" priority="112" stopIfTrue="1" operator="equal">
      <formula>"Pass"</formula>
    </cfRule>
  </conditionalFormatting>
  <conditionalFormatting sqref="U500 V500:V502">
    <cfRule type="cellIs" dxfId="1251" priority="109" stopIfTrue="1" operator="equal">
      <formula>"Fail"</formula>
    </cfRule>
    <cfRule type="cellIs" dxfId="1250" priority="110" stopIfTrue="1" operator="equal">
      <formula>"Pass"</formula>
    </cfRule>
  </conditionalFormatting>
  <conditionalFormatting sqref="U503 V503:V505">
    <cfRule type="cellIs" dxfId="1249" priority="107" stopIfTrue="1" operator="equal">
      <formula>"Fail"</formula>
    </cfRule>
    <cfRule type="cellIs" dxfId="1248" priority="108" stopIfTrue="1" operator="equal">
      <formula>"Pass"</formula>
    </cfRule>
  </conditionalFormatting>
  <conditionalFormatting sqref="U506 V506:V508">
    <cfRule type="cellIs" dxfId="1247" priority="105" stopIfTrue="1" operator="equal">
      <formula>"Fail"</formula>
    </cfRule>
    <cfRule type="cellIs" dxfId="1246" priority="106" stopIfTrue="1" operator="equal">
      <formula>"Pass"</formula>
    </cfRule>
  </conditionalFormatting>
  <conditionalFormatting sqref="U509 V509:V511">
    <cfRule type="cellIs" dxfId="1245" priority="103" stopIfTrue="1" operator="equal">
      <formula>"Fail"</formula>
    </cfRule>
    <cfRule type="cellIs" dxfId="1244" priority="104" stopIfTrue="1" operator="equal">
      <formula>"Pass"</formula>
    </cfRule>
  </conditionalFormatting>
  <conditionalFormatting sqref="U512 V512:V514">
    <cfRule type="cellIs" dxfId="1243" priority="101" stopIfTrue="1" operator="equal">
      <formula>"Fail"</formula>
    </cfRule>
    <cfRule type="cellIs" dxfId="1242" priority="102" stopIfTrue="1" operator="equal">
      <formula>"Pass"</formula>
    </cfRule>
  </conditionalFormatting>
  <conditionalFormatting sqref="U515 V515:V517">
    <cfRule type="cellIs" dxfId="1241" priority="99" stopIfTrue="1" operator="equal">
      <formula>"Fail"</formula>
    </cfRule>
    <cfRule type="cellIs" dxfId="1240" priority="100" stopIfTrue="1" operator="equal">
      <formula>"Pass"</formula>
    </cfRule>
  </conditionalFormatting>
  <conditionalFormatting sqref="U518 V518:V520">
    <cfRule type="cellIs" dxfId="1239" priority="97" stopIfTrue="1" operator="equal">
      <formula>"Fail"</formula>
    </cfRule>
    <cfRule type="cellIs" dxfId="1238" priority="98" stopIfTrue="1" operator="equal">
      <formula>"Pass"</formula>
    </cfRule>
  </conditionalFormatting>
  <conditionalFormatting sqref="U521 V521:V523">
    <cfRule type="cellIs" dxfId="1237" priority="95" stopIfTrue="1" operator="equal">
      <formula>"Fail"</formula>
    </cfRule>
    <cfRule type="cellIs" dxfId="1236" priority="96" stopIfTrue="1" operator="equal">
      <formula>"Pass"</formula>
    </cfRule>
  </conditionalFormatting>
  <conditionalFormatting sqref="U524 V524:V526">
    <cfRule type="cellIs" dxfId="1235" priority="93" stopIfTrue="1" operator="equal">
      <formula>"Fail"</formula>
    </cfRule>
    <cfRule type="cellIs" dxfId="1234" priority="94" stopIfTrue="1" operator="equal">
      <formula>"Pass"</formula>
    </cfRule>
  </conditionalFormatting>
  <conditionalFormatting sqref="U527 V527:V529">
    <cfRule type="cellIs" dxfId="1233" priority="91" stopIfTrue="1" operator="equal">
      <formula>"Fail"</formula>
    </cfRule>
    <cfRule type="cellIs" dxfId="1232" priority="92" stopIfTrue="1" operator="equal">
      <formula>"Pass"</formula>
    </cfRule>
  </conditionalFormatting>
  <conditionalFormatting sqref="U530 V530:V532">
    <cfRule type="cellIs" dxfId="1231" priority="89" stopIfTrue="1" operator="equal">
      <formula>"Fail"</formula>
    </cfRule>
    <cfRule type="cellIs" dxfId="1230" priority="90" stopIfTrue="1" operator="equal">
      <formula>"Pass"</formula>
    </cfRule>
  </conditionalFormatting>
  <conditionalFormatting sqref="U533 V533:V535">
    <cfRule type="cellIs" dxfId="1229" priority="87" stopIfTrue="1" operator="equal">
      <formula>"Fail"</formula>
    </cfRule>
    <cfRule type="cellIs" dxfId="1228" priority="88" stopIfTrue="1" operator="equal">
      <formula>"Pass"</formula>
    </cfRule>
  </conditionalFormatting>
  <conditionalFormatting sqref="U536 V536:V538">
    <cfRule type="cellIs" dxfId="1227" priority="85" stopIfTrue="1" operator="equal">
      <formula>"Fail"</formula>
    </cfRule>
    <cfRule type="cellIs" dxfId="1226" priority="86" stopIfTrue="1" operator="equal">
      <formula>"Pass"</formula>
    </cfRule>
  </conditionalFormatting>
  <conditionalFormatting sqref="U539 V539:V541">
    <cfRule type="cellIs" dxfId="1225" priority="83" stopIfTrue="1" operator="equal">
      <formula>"Fail"</formula>
    </cfRule>
    <cfRule type="cellIs" dxfId="1224" priority="84" stopIfTrue="1" operator="equal">
      <formula>"Pass"</formula>
    </cfRule>
  </conditionalFormatting>
  <conditionalFormatting sqref="U542 V542:V544">
    <cfRule type="cellIs" dxfId="1223" priority="81" stopIfTrue="1" operator="equal">
      <formula>"Fail"</formula>
    </cfRule>
    <cfRule type="cellIs" dxfId="1222" priority="82" stopIfTrue="1" operator="equal">
      <formula>"Pass"</formula>
    </cfRule>
  </conditionalFormatting>
  <conditionalFormatting sqref="U545 V545:V547">
    <cfRule type="cellIs" dxfId="1221" priority="79" stopIfTrue="1" operator="equal">
      <formula>"Fail"</formula>
    </cfRule>
    <cfRule type="cellIs" dxfId="1220" priority="80" stopIfTrue="1" operator="equal">
      <formula>"Pass"</formula>
    </cfRule>
  </conditionalFormatting>
  <conditionalFormatting sqref="U548 V548:V550">
    <cfRule type="cellIs" dxfId="1219" priority="77" stopIfTrue="1" operator="equal">
      <formula>"Fail"</formula>
    </cfRule>
    <cfRule type="cellIs" dxfId="1218" priority="78" stopIfTrue="1" operator="equal">
      <formula>"Pass"</formula>
    </cfRule>
  </conditionalFormatting>
  <conditionalFormatting sqref="U551 V551:V553">
    <cfRule type="cellIs" dxfId="1217" priority="75" stopIfTrue="1" operator="equal">
      <formula>"Fail"</formula>
    </cfRule>
    <cfRule type="cellIs" dxfId="1216" priority="76" stopIfTrue="1" operator="equal">
      <formula>"Pass"</formula>
    </cfRule>
  </conditionalFormatting>
  <conditionalFormatting sqref="U554 V554:V556">
    <cfRule type="cellIs" dxfId="1215" priority="73" stopIfTrue="1" operator="equal">
      <formula>"Fail"</formula>
    </cfRule>
    <cfRule type="cellIs" dxfId="1214" priority="74" stopIfTrue="1" operator="equal">
      <formula>"Pass"</formula>
    </cfRule>
  </conditionalFormatting>
  <conditionalFormatting sqref="U557 V557:V559">
    <cfRule type="cellIs" dxfId="1213" priority="71" stopIfTrue="1" operator="equal">
      <formula>"Fail"</formula>
    </cfRule>
    <cfRule type="cellIs" dxfId="1212" priority="72" stopIfTrue="1" operator="equal">
      <formula>"Pass"</formula>
    </cfRule>
  </conditionalFormatting>
  <conditionalFormatting sqref="U560 V560:V562">
    <cfRule type="cellIs" dxfId="1211" priority="69" stopIfTrue="1" operator="equal">
      <formula>"Fail"</formula>
    </cfRule>
    <cfRule type="cellIs" dxfId="1210" priority="70" stopIfTrue="1" operator="equal">
      <formula>"Pass"</formula>
    </cfRule>
  </conditionalFormatting>
  <conditionalFormatting sqref="U563 V563:V565">
    <cfRule type="cellIs" dxfId="1209" priority="67" stopIfTrue="1" operator="equal">
      <formula>"Fail"</formula>
    </cfRule>
    <cfRule type="cellIs" dxfId="1208" priority="68" stopIfTrue="1" operator="equal">
      <formula>"Pass"</formula>
    </cfRule>
  </conditionalFormatting>
  <conditionalFormatting sqref="U566 V566:V568">
    <cfRule type="cellIs" dxfId="1207" priority="65" stopIfTrue="1" operator="equal">
      <formula>"Fail"</formula>
    </cfRule>
    <cfRule type="cellIs" dxfId="1206" priority="66" stopIfTrue="1" operator="equal">
      <formula>"Pass"</formula>
    </cfRule>
  </conditionalFormatting>
  <conditionalFormatting sqref="U569 V569:V571">
    <cfRule type="cellIs" dxfId="1205" priority="63" stopIfTrue="1" operator="equal">
      <formula>"Fail"</formula>
    </cfRule>
    <cfRule type="cellIs" dxfId="1204" priority="64" stopIfTrue="1" operator="equal">
      <formula>"Pass"</formula>
    </cfRule>
  </conditionalFormatting>
  <conditionalFormatting sqref="U572 V572:V574">
    <cfRule type="cellIs" dxfId="1203" priority="61" stopIfTrue="1" operator="equal">
      <formula>"Fail"</formula>
    </cfRule>
    <cfRule type="cellIs" dxfId="1202" priority="62" stopIfTrue="1" operator="equal">
      <formula>"Pass"</formula>
    </cfRule>
  </conditionalFormatting>
  <conditionalFormatting sqref="U575 V575:V577">
    <cfRule type="cellIs" dxfId="1201" priority="59" stopIfTrue="1" operator="equal">
      <formula>"Fail"</formula>
    </cfRule>
    <cfRule type="cellIs" dxfId="1200" priority="60" stopIfTrue="1" operator="equal">
      <formula>"Pass"</formula>
    </cfRule>
  </conditionalFormatting>
  <conditionalFormatting sqref="U578 V578:V580">
    <cfRule type="cellIs" dxfId="1199" priority="57" stopIfTrue="1" operator="equal">
      <formula>"Fail"</formula>
    </cfRule>
    <cfRule type="cellIs" dxfId="1198" priority="58" stopIfTrue="1" operator="equal">
      <formula>"Pass"</formula>
    </cfRule>
  </conditionalFormatting>
  <conditionalFormatting sqref="U581 V581:V583">
    <cfRule type="cellIs" dxfId="1197" priority="55" stopIfTrue="1" operator="equal">
      <formula>"Fail"</formula>
    </cfRule>
    <cfRule type="cellIs" dxfId="1196" priority="56" stopIfTrue="1" operator="equal">
      <formula>"Pass"</formula>
    </cfRule>
  </conditionalFormatting>
  <conditionalFormatting sqref="U584 V584:V586">
    <cfRule type="cellIs" dxfId="1195" priority="53" stopIfTrue="1" operator="equal">
      <formula>"Fail"</formula>
    </cfRule>
    <cfRule type="cellIs" dxfId="1194" priority="54" stopIfTrue="1" operator="equal">
      <formula>"Pass"</formula>
    </cfRule>
  </conditionalFormatting>
  <conditionalFormatting sqref="U587 V587:V589">
    <cfRule type="cellIs" dxfId="1193" priority="51" stopIfTrue="1" operator="equal">
      <formula>"Fail"</formula>
    </cfRule>
    <cfRule type="cellIs" dxfId="1192" priority="52" stopIfTrue="1" operator="equal">
      <formula>"Pass"</formula>
    </cfRule>
  </conditionalFormatting>
  <conditionalFormatting sqref="U590 V590:V592">
    <cfRule type="cellIs" dxfId="1191" priority="49" stopIfTrue="1" operator="equal">
      <formula>"Fail"</formula>
    </cfRule>
    <cfRule type="cellIs" dxfId="1190" priority="50" stopIfTrue="1" operator="equal">
      <formula>"Pass"</formula>
    </cfRule>
  </conditionalFormatting>
  <conditionalFormatting sqref="U593 V593:V595">
    <cfRule type="cellIs" dxfId="1189" priority="47" stopIfTrue="1" operator="equal">
      <formula>"Fail"</formula>
    </cfRule>
    <cfRule type="cellIs" dxfId="1188" priority="48" stopIfTrue="1" operator="equal">
      <formula>"Pass"</formula>
    </cfRule>
  </conditionalFormatting>
  <conditionalFormatting sqref="U596 V596:V598">
    <cfRule type="cellIs" dxfId="1187" priority="45" stopIfTrue="1" operator="equal">
      <formula>"Fail"</formula>
    </cfRule>
    <cfRule type="cellIs" dxfId="1186" priority="46" stopIfTrue="1" operator="equal">
      <formula>"Pass"</formula>
    </cfRule>
  </conditionalFormatting>
  <conditionalFormatting sqref="U599 V599:V601">
    <cfRule type="cellIs" dxfId="1185" priority="43" stopIfTrue="1" operator="equal">
      <formula>"Fail"</formula>
    </cfRule>
    <cfRule type="cellIs" dxfId="1184" priority="44" stopIfTrue="1" operator="equal">
      <formula>"Pass"</formula>
    </cfRule>
  </conditionalFormatting>
  <conditionalFormatting sqref="U602 V602:V604">
    <cfRule type="cellIs" dxfId="1183" priority="41" stopIfTrue="1" operator="equal">
      <formula>"Fail"</formula>
    </cfRule>
    <cfRule type="cellIs" dxfId="1182" priority="42" stopIfTrue="1" operator="equal">
      <formula>"Pass"</formula>
    </cfRule>
  </conditionalFormatting>
  <conditionalFormatting sqref="U605 V605:V607">
    <cfRule type="cellIs" dxfId="1181" priority="39" stopIfTrue="1" operator="equal">
      <formula>"Fail"</formula>
    </cfRule>
    <cfRule type="cellIs" dxfId="1180" priority="40" stopIfTrue="1" operator="equal">
      <formula>"Pass"</formula>
    </cfRule>
  </conditionalFormatting>
  <conditionalFormatting sqref="U608 V608:V610">
    <cfRule type="cellIs" dxfId="1179" priority="37" stopIfTrue="1" operator="equal">
      <formula>"Fail"</formula>
    </cfRule>
    <cfRule type="cellIs" dxfId="1178" priority="38" stopIfTrue="1" operator="equal">
      <formula>"Pass"</formula>
    </cfRule>
  </conditionalFormatting>
  <conditionalFormatting sqref="U611 V611:V613">
    <cfRule type="cellIs" dxfId="1177" priority="35" stopIfTrue="1" operator="equal">
      <formula>"Fail"</formula>
    </cfRule>
    <cfRule type="cellIs" dxfId="1176" priority="36" stopIfTrue="1" operator="equal">
      <formula>"Pass"</formula>
    </cfRule>
  </conditionalFormatting>
  <conditionalFormatting sqref="U614 V614:V616">
    <cfRule type="cellIs" dxfId="1175" priority="33" stopIfTrue="1" operator="equal">
      <formula>"Fail"</formula>
    </cfRule>
    <cfRule type="cellIs" dxfId="1174" priority="34" stopIfTrue="1" operator="equal">
      <formula>"Pass"</formula>
    </cfRule>
  </conditionalFormatting>
  <conditionalFormatting sqref="U617 V617:V619">
    <cfRule type="cellIs" dxfId="1173" priority="31" stopIfTrue="1" operator="equal">
      <formula>"Fail"</formula>
    </cfRule>
    <cfRule type="cellIs" dxfId="1172" priority="32" stopIfTrue="1" operator="equal">
      <formula>"Pass"</formula>
    </cfRule>
  </conditionalFormatting>
  <conditionalFormatting sqref="U620 V620:V622">
    <cfRule type="cellIs" dxfId="1171" priority="29" stopIfTrue="1" operator="equal">
      <formula>"Fail"</formula>
    </cfRule>
    <cfRule type="cellIs" dxfId="1170" priority="30" stopIfTrue="1" operator="equal">
      <formula>"Pass"</formula>
    </cfRule>
  </conditionalFormatting>
  <conditionalFormatting sqref="U623 V623:V625">
    <cfRule type="cellIs" dxfId="1169" priority="27" stopIfTrue="1" operator="equal">
      <formula>"Fail"</formula>
    </cfRule>
    <cfRule type="cellIs" dxfId="1168" priority="28" stopIfTrue="1" operator="equal">
      <formula>"Pass"</formula>
    </cfRule>
  </conditionalFormatting>
  <conditionalFormatting sqref="U626 V626:V628">
    <cfRule type="cellIs" dxfId="1167" priority="25" stopIfTrue="1" operator="equal">
      <formula>"Fail"</formula>
    </cfRule>
    <cfRule type="cellIs" dxfId="1166" priority="26" stopIfTrue="1" operator="equal">
      <formula>"Pass"</formula>
    </cfRule>
  </conditionalFormatting>
  <conditionalFormatting sqref="U629 V629:V631">
    <cfRule type="cellIs" dxfId="1165" priority="23" stopIfTrue="1" operator="equal">
      <formula>"Fail"</formula>
    </cfRule>
    <cfRule type="cellIs" dxfId="1164" priority="24" stopIfTrue="1" operator="equal">
      <formula>"Pass"</formula>
    </cfRule>
  </conditionalFormatting>
  <conditionalFormatting sqref="U632 V632:V634">
    <cfRule type="cellIs" dxfId="1163" priority="21" stopIfTrue="1" operator="equal">
      <formula>"Fail"</formula>
    </cfRule>
    <cfRule type="cellIs" dxfId="1162" priority="22" stopIfTrue="1" operator="equal">
      <formula>"Pass"</formula>
    </cfRule>
  </conditionalFormatting>
  <conditionalFormatting sqref="U635 V635:V637">
    <cfRule type="cellIs" dxfId="1161" priority="19" stopIfTrue="1" operator="equal">
      <formula>"Fail"</formula>
    </cfRule>
    <cfRule type="cellIs" dxfId="1160" priority="20" stopIfTrue="1" operator="equal">
      <formula>"Pass"</formula>
    </cfRule>
  </conditionalFormatting>
  <conditionalFormatting sqref="U638 V638:V640">
    <cfRule type="cellIs" dxfId="1159" priority="17" stopIfTrue="1" operator="equal">
      <formula>"Fail"</formula>
    </cfRule>
    <cfRule type="cellIs" dxfId="1158" priority="18" stopIfTrue="1" operator="equal">
      <formula>"Pass"</formula>
    </cfRule>
  </conditionalFormatting>
  <conditionalFormatting sqref="U641 V641:V643">
    <cfRule type="cellIs" dxfId="1157" priority="15" stopIfTrue="1" operator="equal">
      <formula>"Fail"</formula>
    </cfRule>
    <cfRule type="cellIs" dxfId="1156" priority="16" stopIfTrue="1" operator="equal">
      <formula>"Pass"</formula>
    </cfRule>
  </conditionalFormatting>
  <conditionalFormatting sqref="U644 V644:V646">
    <cfRule type="cellIs" dxfId="1155" priority="13" stopIfTrue="1" operator="equal">
      <formula>"Fail"</formula>
    </cfRule>
    <cfRule type="cellIs" dxfId="1154" priority="14" stopIfTrue="1" operator="equal">
      <formula>"Pass"</formula>
    </cfRule>
  </conditionalFormatting>
  <conditionalFormatting sqref="U647 V647:V649">
    <cfRule type="cellIs" dxfId="1153" priority="11" stopIfTrue="1" operator="equal">
      <formula>"Fail"</formula>
    </cfRule>
    <cfRule type="cellIs" dxfId="1152" priority="12" stopIfTrue="1" operator="equal">
      <formula>"Pass"</formula>
    </cfRule>
  </conditionalFormatting>
  <conditionalFormatting sqref="U650 V650:V652">
    <cfRule type="cellIs" dxfId="1151" priority="9" stopIfTrue="1" operator="equal">
      <formula>"Fail"</formula>
    </cfRule>
    <cfRule type="cellIs" dxfId="1150" priority="10" stopIfTrue="1" operator="equal">
      <formula>"Pass"</formula>
    </cfRule>
  </conditionalFormatting>
  <conditionalFormatting sqref="U653 V653:V655">
    <cfRule type="cellIs" dxfId="1149" priority="7" stopIfTrue="1" operator="equal">
      <formula>"Fail"</formula>
    </cfRule>
    <cfRule type="cellIs" dxfId="1148" priority="8" stopIfTrue="1" operator="equal">
      <formula>"Pass"</formula>
    </cfRule>
  </conditionalFormatting>
  <conditionalFormatting sqref="U656 V656:V658">
    <cfRule type="cellIs" dxfId="1147" priority="5" stopIfTrue="1" operator="equal">
      <formula>"Fail"</formula>
    </cfRule>
    <cfRule type="cellIs" dxfId="1146" priority="6" stopIfTrue="1" operator="equal">
      <formula>"Pass"</formula>
    </cfRule>
  </conditionalFormatting>
  <conditionalFormatting sqref="U659 V659:V661">
    <cfRule type="cellIs" dxfId="1145" priority="3" stopIfTrue="1" operator="equal">
      <formula>"Fail"</formula>
    </cfRule>
    <cfRule type="cellIs" dxfId="1144" priority="4" stopIfTrue="1" operator="equal">
      <formula>"Pass"</formula>
    </cfRule>
  </conditionalFormatting>
  <conditionalFormatting sqref="U662 V662:V664">
    <cfRule type="cellIs" dxfId="1143" priority="1" stopIfTrue="1" operator="equal">
      <formula>"Fail"</formula>
    </cfRule>
    <cfRule type="cellIs" dxfId="1142"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zoomScale="70" zoomScaleNormal="70" workbookViewId="0">
      <pane ySplit="10" topLeftCell="A11" activePane="bottomLeft" state="frozen"/>
      <selection pane="bottomLeft" activeCell="S11" sqref="S11"/>
    </sheetView>
  </sheetViews>
  <sheetFormatPr defaultColWidth="9" defaultRowHeight="15.75"/>
  <cols>
    <col min="1" max="1" width="13.75" style="399" customWidth="1"/>
    <col min="2" max="21" width="9" style="125"/>
    <col min="22" max="22" width="12.5" style="125" bestFit="1" customWidth="1"/>
    <col min="23" max="23" width="9" style="400"/>
    <col min="24" max="24" width="12" style="222" customWidth="1"/>
    <col min="25" max="25" width="9" style="125"/>
    <col min="26" max="26" width="9" style="398"/>
    <col min="27" max="27" width="18.5" style="398" customWidth="1"/>
    <col min="28" max="28" width="24.375" style="344" customWidth="1"/>
    <col min="29" max="32" width="9" style="316"/>
    <col min="33" max="33" width="9" style="124" customWidth="1"/>
    <col min="34" max="34" width="9" style="124"/>
    <col min="35" max="16384" width="9" style="125"/>
  </cols>
  <sheetData>
    <row r="1" spans="1:34" s="184" customFormat="1">
      <c r="A1" s="311" t="s">
        <v>11</v>
      </c>
      <c r="B1" s="312"/>
      <c r="C1" s="312"/>
      <c r="D1" s="312"/>
      <c r="E1" s="312"/>
      <c r="F1" s="312"/>
      <c r="G1" s="312"/>
      <c r="H1" s="312"/>
      <c r="I1" s="312"/>
      <c r="J1" s="312"/>
      <c r="K1" s="312"/>
      <c r="L1" s="312"/>
      <c r="M1" s="312"/>
      <c r="N1" s="312"/>
      <c r="O1" s="312"/>
      <c r="P1" s="312"/>
      <c r="Q1" s="312"/>
      <c r="R1" s="312"/>
      <c r="S1" s="313"/>
      <c r="T1" s="312"/>
      <c r="U1" s="312"/>
      <c r="V1" s="312"/>
      <c r="W1" s="243"/>
      <c r="X1" s="314"/>
      <c r="Y1" s="312"/>
      <c r="Z1" s="315"/>
      <c r="AA1" s="315"/>
      <c r="AB1" s="313"/>
      <c r="AC1" s="316"/>
      <c r="AD1" s="316"/>
      <c r="AE1" s="317"/>
      <c r="AF1" s="317"/>
      <c r="AG1" s="318"/>
      <c r="AH1" s="318"/>
    </row>
    <row r="2" spans="1:34">
      <c r="A2" s="319" t="s">
        <v>193</v>
      </c>
      <c r="B2" s="320"/>
      <c r="C2" s="321"/>
      <c r="D2" s="321"/>
      <c r="E2" s="322"/>
      <c r="F2" s="322"/>
      <c r="G2" s="322"/>
      <c r="H2" s="322"/>
      <c r="I2" s="322" t="s">
        <v>194</v>
      </c>
      <c r="J2" s="322"/>
      <c r="K2" s="322"/>
      <c r="L2" s="322"/>
      <c r="M2" s="322"/>
      <c r="N2" s="322"/>
      <c r="O2" s="322"/>
      <c r="P2" s="322"/>
      <c r="Q2" s="322"/>
      <c r="R2" s="322"/>
      <c r="S2" s="323"/>
      <c r="T2" s="321"/>
      <c r="U2" s="320"/>
      <c r="V2" s="322"/>
      <c r="W2" s="243"/>
      <c r="X2" s="324"/>
      <c r="Y2" s="325"/>
      <c r="Z2" s="326"/>
      <c r="AA2" s="326"/>
      <c r="AB2" s="323"/>
    </row>
    <row r="3" spans="1:34">
      <c r="A3" s="327" t="s">
        <v>195</v>
      </c>
      <c r="B3" s="328"/>
      <c r="C3" s="328"/>
      <c r="D3" s="328"/>
      <c r="E3" s="325"/>
      <c r="F3" s="325" t="s">
        <v>201</v>
      </c>
      <c r="G3" s="325"/>
      <c r="H3" s="325"/>
      <c r="I3" s="325"/>
      <c r="J3" s="325"/>
      <c r="K3" s="325"/>
      <c r="L3" s="325"/>
      <c r="M3" s="325"/>
      <c r="N3" s="325"/>
      <c r="O3" s="325"/>
      <c r="P3" s="325"/>
      <c r="Q3" s="325"/>
      <c r="R3" s="325"/>
      <c r="S3" s="329"/>
      <c r="T3" s="328"/>
      <c r="U3" s="328"/>
      <c r="V3" s="325"/>
      <c r="W3" s="243"/>
      <c r="X3" s="330"/>
      <c r="Y3" s="325"/>
      <c r="Z3" s="331"/>
      <c r="AA3" s="331"/>
      <c r="AB3" s="329"/>
    </row>
    <row r="4" spans="1:34">
      <c r="A4" s="319" t="s">
        <v>202</v>
      </c>
      <c r="B4" s="321"/>
      <c r="C4" s="321"/>
      <c r="D4" s="321"/>
      <c r="E4" s="325"/>
      <c r="F4" s="325" t="s">
        <v>203</v>
      </c>
      <c r="G4" s="325"/>
      <c r="H4" s="325"/>
      <c r="I4" s="325"/>
      <c r="J4" s="325"/>
      <c r="K4" s="325"/>
      <c r="L4" s="325"/>
      <c r="M4" s="325"/>
      <c r="N4" s="325"/>
      <c r="O4" s="325"/>
      <c r="P4" s="325"/>
      <c r="Q4" s="325"/>
      <c r="R4" s="325"/>
      <c r="S4" s="329"/>
      <c r="T4" s="321"/>
      <c r="U4" s="321"/>
      <c r="V4" s="325"/>
      <c r="W4" s="243"/>
      <c r="X4" s="330"/>
      <c r="Y4" s="325"/>
      <c r="Z4" s="331"/>
      <c r="AA4" s="331"/>
      <c r="AB4" s="329"/>
    </row>
    <row r="5" spans="1:34">
      <c r="A5" s="319" t="s">
        <v>204</v>
      </c>
      <c r="B5" s="321"/>
      <c r="C5" s="321"/>
      <c r="D5" s="321"/>
      <c r="E5" s="325"/>
      <c r="F5" s="325"/>
      <c r="G5" s="325"/>
      <c r="H5" s="325"/>
      <c r="I5" s="325"/>
      <c r="J5" s="325"/>
      <c r="K5" s="325"/>
      <c r="L5" s="325"/>
      <c r="M5" s="325"/>
      <c r="N5" s="325"/>
      <c r="O5" s="325"/>
      <c r="P5" s="325"/>
      <c r="Q5" s="325"/>
      <c r="R5" s="325"/>
      <c r="S5" s="329"/>
      <c r="T5" s="332"/>
      <c r="U5" s="321"/>
      <c r="V5" s="325"/>
      <c r="W5" s="243"/>
      <c r="X5" s="330"/>
      <c r="Y5" s="325"/>
      <c r="Z5" s="331"/>
      <c r="AA5" s="331"/>
      <c r="AB5" s="329"/>
    </row>
    <row r="6" spans="1:34">
      <c r="A6" s="319" t="s">
        <v>200</v>
      </c>
      <c r="B6" s="321"/>
      <c r="C6" s="321"/>
      <c r="D6" s="321"/>
      <c r="E6" s="325"/>
      <c r="F6" s="325"/>
      <c r="G6" s="325"/>
      <c r="H6" s="325"/>
      <c r="I6" s="325"/>
      <c r="J6" s="325"/>
      <c r="K6" s="325"/>
      <c r="L6" s="325"/>
      <c r="M6" s="325"/>
      <c r="N6" s="325"/>
      <c r="O6" s="325"/>
      <c r="P6" s="325"/>
      <c r="Q6" s="325"/>
      <c r="R6" s="325"/>
      <c r="S6" s="329"/>
      <c r="T6" s="321"/>
      <c r="U6" s="321"/>
      <c r="V6" s="325"/>
      <c r="W6" s="243"/>
      <c r="X6" s="205"/>
      <c r="Y6" s="204"/>
      <c r="Z6" s="207"/>
      <c r="AA6" s="207"/>
      <c r="AB6" s="333"/>
    </row>
    <row r="7" spans="1:34">
      <c r="A7" s="334" t="s">
        <v>100</v>
      </c>
      <c r="B7" s="321"/>
      <c r="C7" s="321"/>
      <c r="D7" s="321"/>
      <c r="E7" s="325"/>
      <c r="F7" s="325"/>
      <c r="G7" s="325"/>
      <c r="H7" s="325"/>
      <c r="I7" s="325"/>
      <c r="J7" s="325"/>
      <c r="K7" s="325"/>
      <c r="L7" s="325"/>
      <c r="M7" s="325"/>
      <c r="N7" s="325"/>
      <c r="O7" s="325"/>
      <c r="P7" s="325"/>
      <c r="Q7" s="325"/>
      <c r="R7" s="325"/>
      <c r="S7" s="329"/>
      <c r="T7" s="321"/>
      <c r="U7" s="321"/>
      <c r="V7" s="325"/>
      <c r="W7" s="243"/>
      <c r="X7" s="330"/>
      <c r="Y7" s="325"/>
      <c r="Z7" s="331"/>
      <c r="AA7" s="331"/>
      <c r="AB7" s="329"/>
    </row>
    <row r="8" spans="1:34">
      <c r="A8" s="335"/>
      <c r="B8" s="336"/>
      <c r="C8" s="337"/>
      <c r="D8" s="337"/>
      <c r="E8" s="337"/>
      <c r="F8" s="337"/>
      <c r="G8" s="337"/>
      <c r="H8" s="337"/>
      <c r="I8" s="337"/>
      <c r="J8" s="337"/>
      <c r="K8" s="337"/>
      <c r="L8" s="337"/>
      <c r="M8" s="337"/>
      <c r="N8" s="337"/>
      <c r="O8" s="337"/>
      <c r="P8" s="337"/>
      <c r="Q8" s="337"/>
      <c r="R8" s="337"/>
      <c r="S8" s="338"/>
      <c r="T8" s="337"/>
      <c r="U8" s="337"/>
      <c r="V8" s="336"/>
      <c r="W8" s="243"/>
      <c r="X8" s="339"/>
      <c r="Y8" s="336"/>
      <c r="Z8" s="340"/>
      <c r="AA8" s="340"/>
      <c r="AB8" s="341"/>
    </row>
    <row r="9" spans="1:34" ht="16.5" thickBot="1">
      <c r="A9" s="342"/>
      <c r="B9" s="221"/>
      <c r="C9" s="431" t="s">
        <v>145</v>
      </c>
      <c r="D9" s="432"/>
      <c r="E9" s="432"/>
      <c r="F9" s="432"/>
      <c r="G9" s="432"/>
      <c r="H9" s="432"/>
      <c r="I9" s="432"/>
      <c r="J9" s="432"/>
      <c r="K9" s="432"/>
      <c r="L9" s="432"/>
      <c r="M9" s="432"/>
      <c r="N9" s="432"/>
      <c r="O9" s="432"/>
      <c r="P9" s="432"/>
      <c r="Q9" s="432"/>
      <c r="R9" s="432"/>
      <c r="S9" s="433"/>
      <c r="W9" s="343"/>
      <c r="Z9" s="125"/>
      <c r="AA9" s="125"/>
      <c r="AC9" s="125"/>
      <c r="AD9" s="125"/>
      <c r="AE9" s="125"/>
      <c r="AF9" s="125"/>
      <c r="AG9" s="125"/>
      <c r="AH9" s="125"/>
    </row>
    <row r="10" spans="1:34" s="236" customFormat="1" ht="42" customHeight="1" thickBot="1">
      <c r="A10" s="345"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6" t="s">
        <v>31</v>
      </c>
      <c r="AC10" s="347" t="s">
        <v>73</v>
      </c>
      <c r="AD10" s="347" t="s">
        <v>43</v>
      </c>
      <c r="AE10" s="348" t="s">
        <v>71</v>
      </c>
      <c r="AF10" s="348" t="s">
        <v>72</v>
      </c>
      <c r="AG10" s="348" t="s">
        <v>102</v>
      </c>
      <c r="AH10" s="349" t="s">
        <v>103</v>
      </c>
    </row>
    <row r="11" spans="1:34">
      <c r="A11" s="350">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1">
        <f>IF((S12=""),"",MAX(C13:S13))</f>
        <v>2031.4400000000005</v>
      </c>
      <c r="U11" s="239">
        <f>IF(S12="","",MIN(C13:S13))</f>
        <v>1852.3199999999997</v>
      </c>
      <c r="V11" s="239">
        <f>IF((S13=""),"",AVERAGE(C13:S13))</f>
        <v>1931.9741176470591</v>
      </c>
      <c r="W11" s="352">
        <f>STDEV(C13:S13)</f>
        <v>53.45661313846324</v>
      </c>
      <c r="X11" s="240">
        <f>IF((S12=""),"",((T11-U11)/(T11+U11))*100)</f>
        <v>4.6120254598636574</v>
      </c>
      <c r="Y11" s="241" t="str">
        <f>IF(S12="","",IF(X11&lt;15,IF(V11&gt;1690,IF(V11&lt;2125,"Pass","Fail"),"Fail"),"Fail"))</f>
        <v>Pass</v>
      </c>
      <c r="Z11" s="353">
        <v>1428</v>
      </c>
      <c r="AA11" s="354"/>
      <c r="AC11" s="316">
        <v>1600</v>
      </c>
      <c r="AD11" s="316">
        <v>2600</v>
      </c>
      <c r="AE11" s="355">
        <v>1690</v>
      </c>
      <c r="AF11" s="355">
        <v>2125</v>
      </c>
      <c r="AG11" s="356">
        <v>15</v>
      </c>
      <c r="AH11" s="356">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7"/>
      <c r="U12" s="358"/>
      <c r="V12" s="358"/>
      <c r="W12" s="352"/>
      <c r="X12" s="359"/>
      <c r="Y12" s="358"/>
      <c r="Z12" s="360"/>
      <c r="AA12" s="354"/>
      <c r="AB12" s="278"/>
    </row>
    <row r="13" spans="1:34" ht="32.25" thickBot="1">
      <c r="A13" s="125"/>
      <c r="B13" s="256" t="s">
        <v>221</v>
      </c>
      <c r="C13" s="361">
        <f t="shared" ref="C13:S13" si="0">IF(((C11="")*AND(C12="")),"",(C11-C12)*2)</f>
        <v>1852.3199999999997</v>
      </c>
      <c r="D13" s="361">
        <f t="shared" si="0"/>
        <v>1855</v>
      </c>
      <c r="E13" s="361">
        <f t="shared" si="0"/>
        <v>1884.5399999999991</v>
      </c>
      <c r="F13" s="361">
        <f t="shared" si="0"/>
        <v>1858.1000000000004</v>
      </c>
      <c r="G13" s="361">
        <f t="shared" si="0"/>
        <v>1886.08</v>
      </c>
      <c r="H13" s="361">
        <f t="shared" si="0"/>
        <v>1939.9000000000015</v>
      </c>
      <c r="I13" s="361">
        <f t="shared" si="0"/>
        <v>1995.1999999999989</v>
      </c>
      <c r="J13" s="361">
        <f t="shared" si="0"/>
        <v>2008.4600000000009</v>
      </c>
      <c r="K13" s="361">
        <f t="shared" si="0"/>
        <v>2031.4400000000005</v>
      </c>
      <c r="L13" s="361">
        <f t="shared" si="0"/>
        <v>1948.8600000000006</v>
      </c>
      <c r="M13" s="361">
        <f t="shared" si="0"/>
        <v>1949.4600000000009</v>
      </c>
      <c r="N13" s="361">
        <f t="shared" si="0"/>
        <v>1946.4800000000014</v>
      </c>
      <c r="O13" s="361">
        <f t="shared" si="0"/>
        <v>1910.6000000000004</v>
      </c>
      <c r="P13" s="361">
        <f t="shared" si="0"/>
        <v>1907.3599999999988</v>
      </c>
      <c r="Q13" s="361">
        <f t="shared" si="0"/>
        <v>1947.0200000000004</v>
      </c>
      <c r="R13" s="361">
        <f t="shared" si="0"/>
        <v>1958.5600000000013</v>
      </c>
      <c r="S13" s="362">
        <f t="shared" si="0"/>
        <v>1964.1800000000003</v>
      </c>
      <c r="T13" s="363"/>
      <c r="U13" s="361"/>
      <c r="V13" s="361"/>
      <c r="W13" s="364"/>
      <c r="X13" s="365"/>
      <c r="Y13" s="361"/>
      <c r="Z13" s="366"/>
      <c r="AA13" s="354"/>
      <c r="AB13" s="278"/>
    </row>
    <row r="14" spans="1:34" ht="18.75" customHeight="1">
      <c r="A14" s="367">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8">
        <f>IF((S15=""),"",MAX(C16:S16))</f>
        <v>2045.9400000000005</v>
      </c>
      <c r="U14" s="248">
        <f>IF(S15="","",MIN(C16:S16))</f>
        <v>1808.7600000000002</v>
      </c>
      <c r="V14" s="263">
        <f>IF((S16=""),"",AVERAGE(C16:S16))</f>
        <v>1927.5929411764707</v>
      </c>
      <c r="W14" s="352">
        <f>STDEV(C16:S16)</f>
        <v>66.871194075321498</v>
      </c>
      <c r="X14" s="249">
        <f>IF((S15=""),"",((T14-U14)/(T14+U14))*100)</f>
        <v>6.1530080161880365</v>
      </c>
      <c r="Y14" s="250" t="str">
        <f>IF(S15="","",IF(X14&lt;15,IF(V14&gt;1690,IF(V14&lt;2125,"Pass","Fail"),"Fail"),"Fail"))</f>
        <v>Pass</v>
      </c>
      <c r="Z14" s="360">
        <v>1335</v>
      </c>
      <c r="AA14" s="272" t="s">
        <v>80</v>
      </c>
      <c r="AC14" s="316">
        <v>1600</v>
      </c>
      <c r="AD14" s="316">
        <v>2600</v>
      </c>
      <c r="AE14" s="355">
        <v>1690</v>
      </c>
      <c r="AF14" s="355">
        <v>2125</v>
      </c>
      <c r="AG14" s="356">
        <v>15</v>
      </c>
      <c r="AH14" s="356">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7"/>
      <c r="U15" s="358"/>
      <c r="V15" s="358"/>
      <c r="W15" s="352"/>
      <c r="X15" s="359"/>
      <c r="Y15" s="358"/>
      <c r="Z15" s="360"/>
      <c r="AA15" s="278"/>
      <c r="AB15" s="278"/>
    </row>
    <row r="16" spans="1:34" ht="32.25" thickBot="1">
      <c r="A16" s="125"/>
      <c r="B16" s="256" t="s">
        <v>221</v>
      </c>
      <c r="C16" s="361">
        <f t="shared" ref="C16:S16" si="1">IF(((C14="")*AND(C15="")),"",(C14-C15)*2)</f>
        <v>1808.7600000000002</v>
      </c>
      <c r="D16" s="361">
        <f t="shared" si="1"/>
        <v>1830.3199999999997</v>
      </c>
      <c r="E16" s="361">
        <f t="shared" si="1"/>
        <v>1871.2000000000007</v>
      </c>
      <c r="F16" s="361">
        <f t="shared" si="1"/>
        <v>1856.7600000000002</v>
      </c>
      <c r="G16" s="361">
        <f t="shared" si="1"/>
        <v>1870.4799999999996</v>
      </c>
      <c r="H16" s="361">
        <f t="shared" si="1"/>
        <v>1948.7399999999998</v>
      </c>
      <c r="I16" s="361">
        <f t="shared" si="1"/>
        <v>1993.2600000000002</v>
      </c>
      <c r="J16" s="361">
        <f t="shared" si="1"/>
        <v>2027.6000000000004</v>
      </c>
      <c r="K16" s="361">
        <f t="shared" si="1"/>
        <v>2045.9400000000005</v>
      </c>
      <c r="L16" s="361">
        <f t="shared" si="1"/>
        <v>1915.8799999999992</v>
      </c>
      <c r="M16" s="361">
        <f t="shared" si="1"/>
        <v>1921.6800000000003</v>
      </c>
      <c r="N16" s="361">
        <f t="shared" si="1"/>
        <v>1933.3400000000001</v>
      </c>
      <c r="O16" s="361">
        <f t="shared" si="1"/>
        <v>1907.6599999999999</v>
      </c>
      <c r="P16" s="361">
        <f t="shared" si="1"/>
        <v>1916.4400000000005</v>
      </c>
      <c r="Q16" s="361">
        <f t="shared" si="1"/>
        <v>1957.6000000000004</v>
      </c>
      <c r="R16" s="361">
        <f t="shared" si="1"/>
        <v>1970.4399999999987</v>
      </c>
      <c r="S16" s="362">
        <f t="shared" si="1"/>
        <v>1992.9799999999996</v>
      </c>
      <c r="T16" s="363"/>
      <c r="U16" s="361"/>
      <c r="V16" s="361"/>
      <c r="W16" s="364"/>
      <c r="X16" s="365"/>
      <c r="Y16" s="361"/>
      <c r="Z16" s="366"/>
      <c r="AA16" s="278"/>
      <c r="AB16" s="278"/>
    </row>
    <row r="17" spans="1:34">
      <c r="A17" s="367">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8">
        <f>IF((S18=""),"",MAX(C19:S19))</f>
        <v>2042.08</v>
      </c>
      <c r="U17" s="248">
        <f>IF(S18="","",MIN(C19:S19))</f>
        <v>1820.3600000000006</v>
      </c>
      <c r="V17" s="263">
        <f>IF((S19=""),"",AVERAGE(C19:S19))</f>
        <v>1925.7529411764704</v>
      </c>
      <c r="W17" s="352">
        <f>STDEV(C19:S19)</f>
        <v>60.337698804816199</v>
      </c>
      <c r="X17" s="249">
        <f>IF((S18=""),"",((T17-U17)/(T17+U17))*100)</f>
        <v>5.7404127960563613</v>
      </c>
      <c r="Y17" s="250" t="str">
        <f>IF(S18="","",IF(X17&lt;15,IF(V17&gt;1690,IF(V17&lt;2125,"Pass","Fail"),"Fail"),"Fail"))</f>
        <v>Pass</v>
      </c>
      <c r="Z17" s="360" t="s">
        <v>48</v>
      </c>
      <c r="AA17" s="278" t="s">
        <v>81</v>
      </c>
      <c r="AC17" s="316">
        <v>1600</v>
      </c>
      <c r="AD17" s="316">
        <v>2600</v>
      </c>
      <c r="AE17" s="355">
        <v>1690</v>
      </c>
      <c r="AF17" s="355">
        <v>2125</v>
      </c>
      <c r="AG17" s="356">
        <v>15</v>
      </c>
      <c r="AH17" s="356">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7"/>
      <c r="U18" s="358"/>
      <c r="V18" s="358"/>
      <c r="W18" s="352"/>
      <c r="X18" s="359"/>
      <c r="Y18" s="358"/>
      <c r="Z18" s="360"/>
      <c r="AA18" s="278"/>
      <c r="AB18" s="278"/>
    </row>
    <row r="19" spans="1:34" ht="32.25" thickBot="1">
      <c r="A19" s="125"/>
      <c r="B19" s="256" t="s">
        <v>221</v>
      </c>
      <c r="C19" s="361">
        <f t="shared" ref="C19:S19" si="2">IF(((C17="")*AND(C18="")),"",(C17-C18)*2)</f>
        <v>1820.3600000000006</v>
      </c>
      <c r="D19" s="361">
        <f t="shared" si="2"/>
        <v>1851.2999999999993</v>
      </c>
      <c r="E19" s="361">
        <f t="shared" si="2"/>
        <v>1852.2800000000007</v>
      </c>
      <c r="F19" s="361">
        <f t="shared" si="2"/>
        <v>1868.9600000000009</v>
      </c>
      <c r="G19" s="361">
        <f t="shared" si="2"/>
        <v>1879.1999999999989</v>
      </c>
      <c r="H19" s="361">
        <f t="shared" si="2"/>
        <v>1937</v>
      </c>
      <c r="I19" s="361">
        <f t="shared" si="2"/>
        <v>1995.880000000001</v>
      </c>
      <c r="J19" s="361">
        <f t="shared" si="2"/>
        <v>2021.6800000000003</v>
      </c>
      <c r="K19" s="361">
        <f t="shared" si="2"/>
        <v>2042.08</v>
      </c>
      <c r="L19" s="361">
        <f t="shared" si="2"/>
        <v>1912.8799999999992</v>
      </c>
      <c r="M19" s="361">
        <f t="shared" si="2"/>
        <v>1943.8600000000006</v>
      </c>
      <c r="N19" s="361">
        <f t="shared" si="2"/>
        <v>1914.1000000000004</v>
      </c>
      <c r="O19" s="361">
        <f t="shared" si="2"/>
        <v>1922.9799999999996</v>
      </c>
      <c r="P19" s="361">
        <f t="shared" si="2"/>
        <v>1915.8000000000011</v>
      </c>
      <c r="Q19" s="361">
        <f t="shared" si="2"/>
        <v>1952.7399999999998</v>
      </c>
      <c r="R19" s="361">
        <f t="shared" si="2"/>
        <v>1957.9599999999991</v>
      </c>
      <c r="S19" s="362">
        <f t="shared" si="2"/>
        <v>1948.7399999999998</v>
      </c>
      <c r="T19" s="363"/>
      <c r="U19" s="361"/>
      <c r="V19" s="361"/>
      <c r="W19" s="364"/>
      <c r="X19" s="365"/>
      <c r="Y19" s="361"/>
      <c r="Z19" s="366"/>
      <c r="AA19" s="278"/>
      <c r="AB19" s="278"/>
    </row>
    <row r="20" spans="1:34">
      <c r="A20" s="367">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8">
        <f>IF((S21=""),"",MAX(C22:S22))</f>
        <v>2142.34</v>
      </c>
      <c r="U20" s="248">
        <f>IF(S21="","",MIN(C22:S22))</f>
        <v>1793.2800000000007</v>
      </c>
      <c r="V20" s="263">
        <f>IF((S22=""),"",AVERAGE(C22:S22))</f>
        <v>1914.148235294118</v>
      </c>
      <c r="W20" s="352">
        <f>STDEV(C22:S22)</f>
        <v>80.054822483972231</v>
      </c>
      <c r="X20" s="249">
        <f>IF((S21=""),"",((T20-U20)/(T20+U20))*100)</f>
        <v>8.8692505882173442</v>
      </c>
      <c r="Y20" s="250" t="str">
        <f>IF(S21="","",IF(X20&lt;15,IF(V20&gt;1690,IF(V20&lt;2125,"Pass","Fail"),"Fail"),"Fail"))</f>
        <v>Pass</v>
      </c>
      <c r="Z20" s="360">
        <v>102</v>
      </c>
      <c r="AA20" s="278"/>
      <c r="AC20" s="316">
        <v>1600</v>
      </c>
      <c r="AD20" s="316">
        <v>2600</v>
      </c>
      <c r="AE20" s="355">
        <v>1690</v>
      </c>
      <c r="AF20" s="355">
        <v>2125</v>
      </c>
      <c r="AG20" s="356">
        <v>15</v>
      </c>
      <c r="AH20" s="356">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7"/>
      <c r="U21" s="358"/>
      <c r="V21" s="358"/>
      <c r="W21" s="352"/>
      <c r="X21" s="359"/>
      <c r="Y21" s="358"/>
      <c r="Z21" s="360"/>
      <c r="AA21" s="278"/>
      <c r="AB21" s="278"/>
    </row>
    <row r="22" spans="1:34" ht="32.25" thickBot="1">
      <c r="A22" s="125"/>
      <c r="B22" s="256" t="s">
        <v>221</v>
      </c>
      <c r="C22" s="361">
        <f t="shared" ref="C22:S22" si="3">IF(((C20="")*AND(C21="")),"",(C20-C21)*2)</f>
        <v>1793.2800000000007</v>
      </c>
      <c r="D22" s="361">
        <f t="shared" si="3"/>
        <v>1814.9400000000005</v>
      </c>
      <c r="E22" s="361">
        <f t="shared" si="3"/>
        <v>1848.4799999999996</v>
      </c>
      <c r="F22" s="361">
        <f t="shared" si="3"/>
        <v>1861.1000000000004</v>
      </c>
      <c r="G22" s="361">
        <f t="shared" si="3"/>
        <v>1878.9400000000005</v>
      </c>
      <c r="H22" s="361">
        <f t="shared" si="3"/>
        <v>1915.8999999999996</v>
      </c>
      <c r="I22" s="361">
        <f t="shared" si="3"/>
        <v>1946.92</v>
      </c>
      <c r="J22" s="361">
        <f t="shared" si="3"/>
        <v>1987.6399999999994</v>
      </c>
      <c r="K22" s="361">
        <f t="shared" si="3"/>
        <v>2006</v>
      </c>
      <c r="L22" s="361">
        <f t="shared" si="3"/>
        <v>1878.5</v>
      </c>
      <c r="M22" s="361">
        <f t="shared" si="3"/>
        <v>1903.2199999999993</v>
      </c>
      <c r="N22" s="361">
        <f t="shared" si="3"/>
        <v>1908.8600000000006</v>
      </c>
      <c r="O22" s="361">
        <f t="shared" si="3"/>
        <v>2142.34</v>
      </c>
      <c r="P22" s="361">
        <f t="shared" si="3"/>
        <v>1886.9599999999991</v>
      </c>
      <c r="Q22" s="361">
        <f t="shared" si="3"/>
        <v>1936.3799999999992</v>
      </c>
      <c r="R22" s="361">
        <f t="shared" si="3"/>
        <v>1909.1600000000017</v>
      </c>
      <c r="S22" s="362">
        <f t="shared" si="3"/>
        <v>1921.8999999999996</v>
      </c>
      <c r="T22" s="363"/>
      <c r="U22" s="361"/>
      <c r="V22" s="361"/>
      <c r="W22" s="364"/>
      <c r="X22" s="365"/>
      <c r="Y22" s="361"/>
      <c r="Z22" s="366"/>
      <c r="AA22" s="278"/>
      <c r="AB22" s="278"/>
    </row>
    <row r="23" spans="1:34">
      <c r="A23" s="367">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8">
        <f>IF((S24=""),"",MAX(C25:S25))</f>
        <v>1998.9799999999996</v>
      </c>
      <c r="U23" s="248">
        <f>IF(S24="","",MIN(C25:S25))</f>
        <v>1638.92</v>
      </c>
      <c r="V23" s="263">
        <f>IF((S25=""),"",AVERAGE(C25:S25))</f>
        <v>1887.1247058823526</v>
      </c>
      <c r="W23" s="352">
        <f>STDEV(C25:S25)</f>
        <v>81.563467474538541</v>
      </c>
      <c r="X23" s="249">
        <f>IF((S24=""),"",((T23-U23)/(T23+U23))*100)</f>
        <v>9.8974683196349424</v>
      </c>
      <c r="Y23" s="250" t="str">
        <f>IF(S24="","",IF(X23&lt;15,IF(V23&gt;1690,IF(V23&lt;2125,"Pass","Fail"),"Fail"),"Fail"))</f>
        <v>Pass</v>
      </c>
      <c r="Z23" s="360">
        <v>1428</v>
      </c>
      <c r="AA23" s="278" t="s">
        <v>104</v>
      </c>
      <c r="AC23" s="316">
        <v>1600</v>
      </c>
      <c r="AD23" s="316">
        <v>2600</v>
      </c>
      <c r="AE23" s="355">
        <v>1690</v>
      </c>
      <c r="AF23" s="355">
        <v>2125</v>
      </c>
      <c r="AG23" s="356">
        <v>15</v>
      </c>
      <c r="AH23" s="356">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7"/>
      <c r="U24" s="358"/>
      <c r="V24" s="358"/>
      <c r="W24" s="352"/>
      <c r="X24" s="359"/>
      <c r="Y24" s="358"/>
      <c r="Z24" s="360"/>
      <c r="AA24" s="354"/>
      <c r="AB24" s="278"/>
    </row>
    <row r="25" spans="1:34" ht="32.25" thickBot="1">
      <c r="A25" s="125"/>
      <c r="B25" s="256" t="s">
        <v>221</v>
      </c>
      <c r="C25" s="361">
        <f t="shared" ref="C25:S25" si="4">IF(((C23="")*AND(C24="")),"",(C23-C24)*2)</f>
        <v>1809.08</v>
      </c>
      <c r="D25" s="361">
        <f t="shared" si="4"/>
        <v>1845.9599999999991</v>
      </c>
      <c r="E25" s="361">
        <f t="shared" si="4"/>
        <v>1836.3599999999988</v>
      </c>
      <c r="F25" s="361">
        <f t="shared" si="4"/>
        <v>1845.8799999999992</v>
      </c>
      <c r="G25" s="361">
        <f t="shared" si="4"/>
        <v>1867.7199999999993</v>
      </c>
      <c r="H25" s="361">
        <f t="shared" si="4"/>
        <v>1901.8199999999997</v>
      </c>
      <c r="I25" s="361">
        <f t="shared" si="4"/>
        <v>1949.6000000000004</v>
      </c>
      <c r="J25" s="361">
        <f t="shared" si="4"/>
        <v>1980.1999999999989</v>
      </c>
      <c r="K25" s="361">
        <f t="shared" si="4"/>
        <v>1998.9799999999996</v>
      </c>
      <c r="L25" s="361">
        <f t="shared" si="4"/>
        <v>1914.1399999999994</v>
      </c>
      <c r="M25" s="361">
        <f t="shared" si="4"/>
        <v>1914.119999999999</v>
      </c>
      <c r="N25" s="361">
        <f t="shared" si="4"/>
        <v>1899</v>
      </c>
      <c r="O25" s="361">
        <f t="shared" si="4"/>
        <v>1638.92</v>
      </c>
      <c r="P25" s="361">
        <f t="shared" si="4"/>
        <v>1891.1399999999994</v>
      </c>
      <c r="Q25" s="361">
        <f t="shared" si="4"/>
        <v>1926.58</v>
      </c>
      <c r="R25" s="361">
        <f t="shared" si="4"/>
        <v>1938.3199999999997</v>
      </c>
      <c r="S25" s="362">
        <f t="shared" si="4"/>
        <v>1923.3000000000011</v>
      </c>
      <c r="T25" s="363"/>
      <c r="U25" s="361"/>
      <c r="V25" s="361"/>
      <c r="W25" s="364"/>
      <c r="X25" s="365"/>
      <c r="Y25" s="361"/>
      <c r="Z25" s="366"/>
      <c r="AA25" s="354"/>
      <c r="AB25" s="278"/>
    </row>
    <row r="26" spans="1:34">
      <c r="A26" s="367">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8">
        <f>IF((S27=""),"",MAX(C28:S28))</f>
        <v>2088.2199999999993</v>
      </c>
      <c r="U26" s="248">
        <f>IF(S27="","",MIN(C28:S28))</f>
        <v>1786.9400000000005</v>
      </c>
      <c r="V26" s="263">
        <f>IF((S28=""),"",AVERAGE(C28:S28))</f>
        <v>1923.2411764705885</v>
      </c>
      <c r="W26" s="352">
        <f>STDEV(C28:S28)</f>
        <v>84.216141110414171</v>
      </c>
      <c r="X26" s="249">
        <f>IF((S27=""),"",((T26-U26)/(T26+U26))*100)</f>
        <v>7.774646724264259</v>
      </c>
      <c r="Y26" s="250" t="str">
        <f>IF(S27="","",IF(X26&lt;15,IF(V26&gt;1690,IF(V26&lt;2125,"Pass","Fail"),"Fail"),"Fail"))</f>
        <v>Pass</v>
      </c>
      <c r="Z26" s="360">
        <v>1428</v>
      </c>
      <c r="AA26" s="278" t="s">
        <v>82</v>
      </c>
      <c r="AC26" s="316">
        <v>1600</v>
      </c>
      <c r="AD26" s="316">
        <v>2600</v>
      </c>
      <c r="AE26" s="355">
        <v>1690</v>
      </c>
      <c r="AF26" s="355">
        <v>2125</v>
      </c>
      <c r="AG26" s="356">
        <v>15</v>
      </c>
      <c r="AH26" s="356">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7"/>
      <c r="U27" s="358"/>
      <c r="V27" s="358"/>
      <c r="W27" s="352"/>
      <c r="X27" s="359"/>
      <c r="Y27" s="358"/>
      <c r="Z27" s="360"/>
      <c r="AA27" s="354"/>
      <c r="AB27" s="278"/>
    </row>
    <row r="28" spans="1:34" ht="32.25" thickBot="1">
      <c r="A28" s="125"/>
      <c r="B28" s="256" t="s">
        <v>221</v>
      </c>
      <c r="C28" s="361">
        <f t="shared" ref="C28:S28" si="5">IF(((C26="")*AND(C27="")),"",(C26-C27)*2)</f>
        <v>1786.9400000000005</v>
      </c>
      <c r="D28" s="361">
        <f t="shared" si="5"/>
        <v>1818.7800000000007</v>
      </c>
      <c r="E28" s="361">
        <f t="shared" si="5"/>
        <v>1862.1800000000003</v>
      </c>
      <c r="F28" s="361">
        <f t="shared" si="5"/>
        <v>1868.8799999999992</v>
      </c>
      <c r="G28" s="361">
        <f t="shared" si="5"/>
        <v>1863.1000000000004</v>
      </c>
      <c r="H28" s="361">
        <f t="shared" si="5"/>
        <v>1920.5199999999986</v>
      </c>
      <c r="I28" s="361">
        <f t="shared" si="5"/>
        <v>1985.0599999999995</v>
      </c>
      <c r="J28" s="361">
        <f t="shared" si="5"/>
        <v>2016.7800000000007</v>
      </c>
      <c r="K28" s="361">
        <f t="shared" si="5"/>
        <v>2034.2000000000007</v>
      </c>
      <c r="L28" s="361">
        <f t="shared" si="5"/>
        <v>2088.2199999999993</v>
      </c>
      <c r="M28" s="361">
        <f t="shared" si="5"/>
        <v>1912.1599999999999</v>
      </c>
      <c r="N28" s="361">
        <f t="shared" si="5"/>
        <v>1879.7600000000002</v>
      </c>
      <c r="O28" s="361">
        <f t="shared" si="5"/>
        <v>1898.0400000000009</v>
      </c>
      <c r="P28" s="361">
        <f t="shared" si="5"/>
        <v>1929.7200000000012</v>
      </c>
      <c r="Q28" s="361">
        <f t="shared" si="5"/>
        <v>2044.7800000000007</v>
      </c>
      <c r="R28" s="361">
        <f t="shared" si="5"/>
        <v>1926.7999999999993</v>
      </c>
      <c r="S28" s="362">
        <f t="shared" si="5"/>
        <v>1859.1800000000003</v>
      </c>
      <c r="T28" s="363"/>
      <c r="U28" s="361"/>
      <c r="V28" s="361"/>
      <c r="W28" s="364"/>
      <c r="X28" s="365"/>
      <c r="Y28" s="361"/>
      <c r="Z28" s="366"/>
      <c r="AA28" s="354"/>
      <c r="AB28" s="278"/>
    </row>
    <row r="29" spans="1:34">
      <c r="A29" s="367">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8">
        <f>IF((S30=""),"",MAX(C31:S31))</f>
        <v>1969.7600000000002</v>
      </c>
      <c r="U29" s="248">
        <f>IF(S30="","",MIN(C31:S31))</f>
        <v>1801.58</v>
      </c>
      <c r="V29" s="263">
        <f>IF((S31=""),"",AVERAGE(C31:S31))</f>
        <v>1876.5505882352941</v>
      </c>
      <c r="W29" s="352">
        <f>STDEV(C31:S31)</f>
        <v>46.034245468812593</v>
      </c>
      <c r="X29" s="249">
        <f>IF((S30=""),"",((T29-U29)/(T29+U29))*100)</f>
        <v>4.4594229106895771</v>
      </c>
      <c r="Y29" s="250" t="str">
        <f>IF(S30="","",IF(X29&lt;15,IF(V29&gt;1690,IF(V29&lt;2125,"Pass","Fail"),"Fail"),"Fail"))</f>
        <v>Pass</v>
      </c>
      <c r="Z29" s="360">
        <v>1428</v>
      </c>
      <c r="AA29" s="354"/>
      <c r="AC29" s="316">
        <v>1600</v>
      </c>
      <c r="AD29" s="316">
        <v>2600</v>
      </c>
      <c r="AE29" s="355">
        <v>1690</v>
      </c>
      <c r="AF29" s="355">
        <v>2125</v>
      </c>
      <c r="AG29" s="356">
        <v>15</v>
      </c>
      <c r="AH29" s="356">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7"/>
      <c r="U30" s="358"/>
      <c r="V30" s="358"/>
      <c r="W30" s="352"/>
      <c r="X30" s="359"/>
      <c r="Y30" s="358"/>
      <c r="Z30" s="360"/>
      <c r="AA30" s="354"/>
      <c r="AB30" s="278"/>
    </row>
    <row r="31" spans="1:34" ht="32.25" thickBot="1">
      <c r="A31" s="125"/>
      <c r="B31" s="256" t="s">
        <v>221</v>
      </c>
      <c r="C31" s="361">
        <f t="shared" ref="C31:S31" si="6">IF(((C29="")*AND(C30="")),"",(C29-C30)*2)</f>
        <v>1801.58</v>
      </c>
      <c r="D31" s="361">
        <f t="shared" si="6"/>
        <v>1857.5200000000004</v>
      </c>
      <c r="E31" s="361">
        <f t="shared" si="6"/>
        <v>1803.8400000000001</v>
      </c>
      <c r="F31" s="361">
        <f t="shared" si="6"/>
        <v>1820.3799999999992</v>
      </c>
      <c r="G31" s="361">
        <f t="shared" si="6"/>
        <v>1837.6599999999999</v>
      </c>
      <c r="H31" s="361">
        <f t="shared" si="6"/>
        <v>1888.58</v>
      </c>
      <c r="I31" s="361">
        <f t="shared" si="6"/>
        <v>1932.8999999999996</v>
      </c>
      <c r="J31" s="361">
        <f t="shared" si="6"/>
        <v>1945.58</v>
      </c>
      <c r="K31" s="361">
        <f t="shared" si="6"/>
        <v>1969.7600000000002</v>
      </c>
      <c r="L31" s="361">
        <f t="shared" si="6"/>
        <v>1879.5</v>
      </c>
      <c r="M31" s="361">
        <f t="shared" si="6"/>
        <v>1898.3600000000006</v>
      </c>
      <c r="N31" s="361">
        <f t="shared" si="6"/>
        <v>1882.9799999999996</v>
      </c>
      <c r="O31" s="361">
        <f t="shared" si="6"/>
        <v>1861.9000000000015</v>
      </c>
      <c r="P31" s="361">
        <f t="shared" si="6"/>
        <v>1876.380000000001</v>
      </c>
      <c r="Q31" s="361">
        <f t="shared" si="6"/>
        <v>1891.6399999999994</v>
      </c>
      <c r="R31" s="361">
        <f t="shared" si="6"/>
        <v>1865.7200000000012</v>
      </c>
      <c r="S31" s="362">
        <f t="shared" si="6"/>
        <v>1887.08</v>
      </c>
      <c r="T31" s="363"/>
      <c r="U31" s="361"/>
      <c r="V31" s="361"/>
      <c r="W31" s="364"/>
      <c r="X31" s="365"/>
      <c r="Y31" s="361"/>
      <c r="Z31" s="366"/>
      <c r="AA31" s="354"/>
      <c r="AB31" s="278"/>
    </row>
    <row r="32" spans="1:34">
      <c r="A32" s="369">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8">
        <f>IF((S33=""),"",MAX(C34:S34))</f>
        <v>2317.8999999999996</v>
      </c>
      <c r="U32" s="248">
        <f>IF(S33="","",MIN(C34:S34))</f>
        <v>1804.48</v>
      </c>
      <c r="V32" s="263">
        <f>IF((S34=""),"",AVERAGE(C34:S34))</f>
        <v>1941.0094117647056</v>
      </c>
      <c r="W32" s="352">
        <f>STDEV(C34:S34)</f>
        <v>119.02087739503203</v>
      </c>
      <c r="X32" s="249">
        <f>IF((S33=""),"",((T32-U32)/(T32+U32))*100)</f>
        <v>12.454455921094118</v>
      </c>
      <c r="Y32" s="250" t="str">
        <f>IF(S33="","",IF(X32&lt;15,IF(V32&gt;1690,IF(V32&lt;2125,"Pass","Fail"),"Fail"),"Fail"))</f>
        <v>Pass</v>
      </c>
      <c r="Z32" s="360" t="s">
        <v>83</v>
      </c>
      <c r="AA32" s="354"/>
      <c r="AB32" s="344" t="s">
        <v>105</v>
      </c>
      <c r="AC32" s="316">
        <v>1600</v>
      </c>
      <c r="AD32" s="316">
        <v>2600</v>
      </c>
      <c r="AE32" s="355">
        <v>1690</v>
      </c>
      <c r="AF32" s="355">
        <v>2125</v>
      </c>
      <c r="AG32" s="356">
        <v>15</v>
      </c>
      <c r="AH32" s="356">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7"/>
      <c r="U33" s="358"/>
      <c r="V33" s="358"/>
      <c r="W33" s="352"/>
      <c r="X33" s="359"/>
      <c r="Y33" s="358"/>
      <c r="Z33" s="370"/>
      <c r="AA33" s="371"/>
      <c r="AB33" s="278"/>
    </row>
    <row r="34" spans="1:34" ht="32.25" thickBot="1">
      <c r="A34" s="125"/>
      <c r="B34" s="256" t="s">
        <v>221</v>
      </c>
      <c r="C34" s="361">
        <f t="shared" ref="C34:S34" si="7">IF(((C32="")*AND(C33="")),"",(C32-C33)*2)</f>
        <v>1804.48</v>
      </c>
      <c r="D34" s="361">
        <f t="shared" si="7"/>
        <v>1819.6</v>
      </c>
      <c r="E34" s="361">
        <f t="shared" si="7"/>
        <v>1838.2999999999997</v>
      </c>
      <c r="F34" s="361">
        <f t="shared" si="7"/>
        <v>1855.6</v>
      </c>
      <c r="G34" s="361">
        <f t="shared" si="7"/>
        <v>1878.48</v>
      </c>
      <c r="H34" s="361">
        <f t="shared" si="7"/>
        <v>1922.8399999999997</v>
      </c>
      <c r="I34" s="361">
        <f t="shared" si="7"/>
        <v>1962.7400000000002</v>
      </c>
      <c r="J34" s="361">
        <f t="shared" si="7"/>
        <v>1998.88</v>
      </c>
      <c r="K34" s="361">
        <f t="shared" si="7"/>
        <v>2040.8</v>
      </c>
      <c r="L34" s="361">
        <f t="shared" si="7"/>
        <v>1940.3000000000006</v>
      </c>
      <c r="M34" s="361">
        <f t="shared" si="7"/>
        <v>1898.6799999999998</v>
      </c>
      <c r="N34" s="361">
        <f t="shared" si="7"/>
        <v>1893.2400000000002</v>
      </c>
      <c r="O34" s="361">
        <f t="shared" si="7"/>
        <v>2317.8999999999996</v>
      </c>
      <c r="P34" s="361">
        <f t="shared" si="7"/>
        <v>1895.7600000000002</v>
      </c>
      <c r="Q34" s="361">
        <f t="shared" si="7"/>
        <v>2033.7399999999998</v>
      </c>
      <c r="R34" s="361">
        <f t="shared" si="7"/>
        <v>1931.3400000000001</v>
      </c>
      <c r="S34" s="362">
        <f t="shared" si="7"/>
        <v>1964.48</v>
      </c>
      <c r="T34" s="363"/>
      <c r="U34" s="361"/>
      <c r="V34" s="361"/>
      <c r="W34" s="364"/>
      <c r="X34" s="365"/>
      <c r="Y34" s="361"/>
      <c r="Z34" s="372"/>
      <c r="AA34" s="371"/>
      <c r="AB34" s="278"/>
    </row>
    <row r="35" spans="1:34">
      <c r="A35" s="369">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8">
        <f>IF((S36=""),"",MAX(C37:S37))</f>
        <v>1735.3999999999996</v>
      </c>
      <c r="U35" s="248">
        <f>IF(S36="","",MIN(C37:S37))</f>
        <v>1345.5600000000004</v>
      </c>
      <c r="V35" s="263">
        <f>IF((S37=""),"",AVERAGE(C37:S37))</f>
        <v>1560.9117647058824</v>
      </c>
      <c r="W35" s="352">
        <f>STDEV(C37:S37)</f>
        <v>107.58806394271302</v>
      </c>
      <c r="X35" s="249">
        <f>IF((S36=""),"",((T35-U35)/(T35+U35))*100)</f>
        <v>12.653199002908158</v>
      </c>
      <c r="Y35" s="250" t="str">
        <f>IF(S36="","",IF(X35&lt;15,IF(V35&gt;1690,IF(V35&lt;2125,"Pass","Fail"),"Fail"),"Fail"))</f>
        <v>Fail</v>
      </c>
      <c r="Z35" s="360">
        <v>1335</v>
      </c>
      <c r="AA35" s="354"/>
      <c r="AB35" s="344" t="s">
        <v>106</v>
      </c>
      <c r="AC35" s="316">
        <v>1600</v>
      </c>
      <c r="AD35" s="316">
        <v>2600</v>
      </c>
      <c r="AE35" s="355">
        <v>1690</v>
      </c>
      <c r="AF35" s="355">
        <v>2125</v>
      </c>
      <c r="AG35" s="356">
        <v>15</v>
      </c>
      <c r="AH35" s="356">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7"/>
      <c r="U36" s="358"/>
      <c r="V36" s="358"/>
      <c r="W36" s="352"/>
      <c r="X36" s="359"/>
      <c r="Y36" s="358"/>
      <c r="Z36" s="360"/>
      <c r="AA36" s="354"/>
      <c r="AB36" s="278"/>
    </row>
    <row r="37" spans="1:34" ht="32.25" thickBot="1">
      <c r="A37" s="125"/>
      <c r="B37" s="256" t="s">
        <v>221</v>
      </c>
      <c r="C37" s="361">
        <f t="shared" ref="C37:S37" si="8">IF(((C35="")*AND(C36="")),"",(C35-C36)*2)</f>
        <v>1441.5</v>
      </c>
      <c r="D37" s="361">
        <f t="shared" si="8"/>
        <v>1458.6999999999998</v>
      </c>
      <c r="E37" s="361">
        <f t="shared" si="8"/>
        <v>1483.7799999999997</v>
      </c>
      <c r="F37" s="361">
        <f t="shared" si="8"/>
        <v>1481.7600000000002</v>
      </c>
      <c r="G37" s="361">
        <f t="shared" si="8"/>
        <v>1493.1999999999998</v>
      </c>
      <c r="H37" s="361">
        <f t="shared" si="8"/>
        <v>1590.8599999999997</v>
      </c>
      <c r="I37" s="361">
        <f t="shared" si="8"/>
        <v>1659.04</v>
      </c>
      <c r="J37" s="361">
        <f t="shared" si="8"/>
        <v>1692.3400000000001</v>
      </c>
      <c r="K37" s="361">
        <f t="shared" si="8"/>
        <v>1735.3999999999996</v>
      </c>
      <c r="L37" s="361">
        <f t="shared" si="8"/>
        <v>1345.5600000000004</v>
      </c>
      <c r="M37" s="361">
        <f t="shared" si="8"/>
        <v>1559.6399999999994</v>
      </c>
      <c r="N37" s="361">
        <f t="shared" si="8"/>
        <v>1555.6800000000003</v>
      </c>
      <c r="O37" s="361">
        <f t="shared" si="8"/>
        <v>1497.04</v>
      </c>
      <c r="P37" s="361">
        <f t="shared" si="8"/>
        <v>1573.4800000000005</v>
      </c>
      <c r="Q37" s="361">
        <f t="shared" si="8"/>
        <v>1725.6999999999998</v>
      </c>
      <c r="R37" s="361">
        <f t="shared" si="8"/>
        <v>1605.8400000000001</v>
      </c>
      <c r="S37" s="362">
        <f t="shared" si="8"/>
        <v>1635.9800000000005</v>
      </c>
      <c r="T37" s="363"/>
      <c r="U37" s="361"/>
      <c r="V37" s="361"/>
      <c r="W37" s="364"/>
      <c r="X37" s="365"/>
      <c r="Y37" s="361"/>
      <c r="Z37" s="366"/>
      <c r="AA37" s="354"/>
      <c r="AB37" s="278"/>
    </row>
    <row r="38" spans="1:34">
      <c r="A38" s="369">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8">
        <f>IF((S39=""),"",MAX(C40:S40))</f>
        <v>2357.8199999999997</v>
      </c>
      <c r="U38" s="248">
        <f>IF(S39="","",MIN(C40:S40))</f>
        <v>1758.6</v>
      </c>
      <c r="V38" s="263">
        <f>IF((S40=""),"",AVERAGE(C40:S40))</f>
        <v>1925.6235294117648</v>
      </c>
      <c r="W38" s="352">
        <f>STDEV(C40:S40)</f>
        <v>160.97592603170139</v>
      </c>
      <c r="X38" s="249">
        <f>IF((S39=""),"",((T38-U38)/(T38+U38))*100)</f>
        <v>14.556823647732733</v>
      </c>
      <c r="Y38" s="250" t="str">
        <f>IF(S39="","",IF(X38&lt;15,IF(V38&gt;1690,IF(V38&lt;2125,"Pass","Fail"),"Fail"),"Fail"))</f>
        <v>Pass</v>
      </c>
      <c r="Z38" s="360">
        <v>102</v>
      </c>
      <c r="AA38" s="354"/>
      <c r="AC38" s="316">
        <v>1600</v>
      </c>
      <c r="AD38" s="316">
        <v>2600</v>
      </c>
      <c r="AE38" s="355">
        <v>1690</v>
      </c>
      <c r="AF38" s="355">
        <v>2125</v>
      </c>
      <c r="AG38" s="356">
        <v>15</v>
      </c>
      <c r="AH38" s="356">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7"/>
      <c r="U39" s="358"/>
      <c r="V39" s="358"/>
      <c r="W39" s="352"/>
      <c r="X39" s="359"/>
      <c r="Y39" s="358"/>
      <c r="Z39" s="360"/>
      <c r="AA39" s="354"/>
      <c r="AB39" s="278"/>
    </row>
    <row r="40" spans="1:34" ht="32.25" thickBot="1">
      <c r="A40" s="125"/>
      <c r="B40" s="256" t="s">
        <v>221</v>
      </c>
      <c r="C40" s="361">
        <f t="shared" ref="C40:S40" si="9">IF(((C38="")*AND(C39="")),"",(C38-C39)*2)</f>
        <v>1808.48</v>
      </c>
      <c r="D40" s="361">
        <f t="shared" si="9"/>
        <v>1820.4</v>
      </c>
      <c r="E40" s="361">
        <f t="shared" si="9"/>
        <v>1827.7200000000003</v>
      </c>
      <c r="F40" s="361">
        <f t="shared" si="9"/>
        <v>1837.6400000000003</v>
      </c>
      <c r="G40" s="361">
        <f t="shared" si="9"/>
        <v>1858.6999999999998</v>
      </c>
      <c r="H40" s="361">
        <f t="shared" si="9"/>
        <v>1894.58</v>
      </c>
      <c r="I40" s="361">
        <f t="shared" si="9"/>
        <v>1926.42</v>
      </c>
      <c r="J40" s="361">
        <f t="shared" si="9"/>
        <v>1949.1599999999999</v>
      </c>
      <c r="K40" s="361">
        <f t="shared" si="9"/>
        <v>1973.04</v>
      </c>
      <c r="L40" s="361">
        <f t="shared" si="9"/>
        <v>1758.6</v>
      </c>
      <c r="M40" s="361">
        <f t="shared" si="9"/>
        <v>1890.58</v>
      </c>
      <c r="N40" s="361">
        <f t="shared" si="9"/>
        <v>1881.4</v>
      </c>
      <c r="O40" s="361">
        <f t="shared" si="9"/>
        <v>2300.4</v>
      </c>
      <c r="P40" s="361">
        <f t="shared" si="9"/>
        <v>1863.96</v>
      </c>
      <c r="Q40" s="361">
        <f t="shared" si="9"/>
        <v>1889.58</v>
      </c>
      <c r="R40" s="361">
        <f t="shared" si="9"/>
        <v>1897.1200000000003</v>
      </c>
      <c r="S40" s="362">
        <f t="shared" si="9"/>
        <v>2357.8199999999997</v>
      </c>
      <c r="T40" s="363"/>
      <c r="U40" s="361"/>
      <c r="V40" s="361"/>
      <c r="W40" s="364"/>
      <c r="X40" s="365"/>
      <c r="Y40" s="361"/>
      <c r="Z40" s="366"/>
      <c r="AA40" s="354"/>
      <c r="AB40" s="278"/>
    </row>
    <row r="41" spans="1:34">
      <c r="A41" s="369">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8">
        <f>IF((S42=""),"",MAX(C43:S43))</f>
        <v>2290.0800000000004</v>
      </c>
      <c r="U41" s="248">
        <f>IF(S42="","",MIN(C43:S43))</f>
        <v>1807.8799999999997</v>
      </c>
      <c r="V41" s="263">
        <f>IF((S43=""),"",AVERAGE(C43:S43))</f>
        <v>1917.8011764705882</v>
      </c>
      <c r="W41" s="352">
        <f>STDEV(C43:S43)</f>
        <v>109.79494147514089</v>
      </c>
      <c r="X41" s="249">
        <f>IF((S42=""),"",((T41-U41)/(T41+U41))*100)</f>
        <v>11.766830325332622</v>
      </c>
      <c r="Y41" s="250" t="str">
        <f>IF(S42="","",IF(X41&lt;15,IF(V41&gt;1690,IF(V41&lt;2125,"Pass","Fail"),"Fail"),"Fail"))</f>
        <v>Pass</v>
      </c>
      <c r="Z41" s="360">
        <v>1519</v>
      </c>
      <c r="AA41" s="354"/>
      <c r="AC41" s="316">
        <v>1600</v>
      </c>
      <c r="AD41" s="316">
        <v>2600</v>
      </c>
      <c r="AE41" s="355">
        <v>1690</v>
      </c>
      <c r="AF41" s="355">
        <v>2125</v>
      </c>
      <c r="AG41" s="356">
        <v>15</v>
      </c>
      <c r="AH41" s="356">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7"/>
      <c r="U42" s="358"/>
      <c r="V42" s="358"/>
      <c r="W42" s="352"/>
      <c r="X42" s="359"/>
      <c r="Y42" s="358"/>
      <c r="Z42" s="360"/>
      <c r="AA42" s="354"/>
      <c r="AB42" s="278"/>
    </row>
    <row r="43" spans="1:34" ht="32.25" thickBot="1">
      <c r="A43" s="125"/>
      <c r="B43" s="256" t="s">
        <v>221</v>
      </c>
      <c r="C43" s="361">
        <f t="shared" ref="C43:S43" si="10">IF(((C41="")*AND(C42="")),"",(C41-C42)*2)</f>
        <v>1807.8799999999997</v>
      </c>
      <c r="D43" s="361">
        <f t="shared" si="10"/>
        <v>1818.12</v>
      </c>
      <c r="E43" s="361">
        <f t="shared" si="10"/>
        <v>1835.3600000000001</v>
      </c>
      <c r="F43" s="361">
        <f t="shared" si="10"/>
        <v>1843.7399999999998</v>
      </c>
      <c r="G43" s="361">
        <f t="shared" si="10"/>
        <v>1859.7800000000002</v>
      </c>
      <c r="H43" s="361">
        <f t="shared" si="10"/>
        <v>1898.46</v>
      </c>
      <c r="I43" s="361">
        <f t="shared" si="10"/>
        <v>1932.6999999999998</v>
      </c>
      <c r="J43" s="361">
        <f t="shared" si="10"/>
        <v>1954.94</v>
      </c>
      <c r="K43" s="361">
        <f t="shared" si="10"/>
        <v>1975.2999999999997</v>
      </c>
      <c r="L43" s="361">
        <f t="shared" si="10"/>
        <v>1904.7600000000002</v>
      </c>
      <c r="M43" s="361">
        <f t="shared" si="10"/>
        <v>1891.5</v>
      </c>
      <c r="N43" s="361">
        <f t="shared" si="10"/>
        <v>1883.6200000000003</v>
      </c>
      <c r="O43" s="361">
        <f t="shared" si="10"/>
        <v>2290.0800000000004</v>
      </c>
      <c r="P43" s="361">
        <f t="shared" si="10"/>
        <v>1878.46</v>
      </c>
      <c r="Q43" s="361">
        <f t="shared" si="10"/>
        <v>2004.6999999999998</v>
      </c>
      <c r="R43" s="361">
        <f t="shared" si="10"/>
        <v>1903.4599999999996</v>
      </c>
      <c r="S43" s="362">
        <f t="shared" si="10"/>
        <v>1919.7599999999998</v>
      </c>
      <c r="T43" s="363"/>
      <c r="U43" s="361"/>
      <c r="V43" s="361"/>
      <c r="W43" s="364"/>
      <c r="X43" s="365"/>
      <c r="Y43" s="361"/>
      <c r="Z43" s="366"/>
      <c r="AA43" s="354"/>
      <c r="AB43" s="278"/>
    </row>
    <row r="44" spans="1:34">
      <c r="A44" s="369">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8">
        <f>IF((S45=""),"",MAX(C46:S46))</f>
        <v>2269.9</v>
      </c>
      <c r="U44" s="248">
        <f>IF(S45="","",MIN(C46:S46))</f>
        <v>1776.3400000000001</v>
      </c>
      <c r="V44" s="263">
        <f>IF((S46=""),"",AVERAGE(C46:S46))</f>
        <v>1901.2741176470595</v>
      </c>
      <c r="W44" s="352">
        <f>STDEV(C46:S46)</f>
        <v>112.14614232434835</v>
      </c>
      <c r="X44" s="249">
        <f>IF((S45=""),"",((T44-U44)/(T44+U44))*100)</f>
        <v>12.197991221479693</v>
      </c>
      <c r="Y44" s="250" t="str">
        <f>IF(S45="","",IF(X44&lt;15,IF(V44&gt;1690,IF(V44&lt;2125,"Pass","Fail"),"Fail"),"Fail"))</f>
        <v>Pass</v>
      </c>
      <c r="Z44" s="360">
        <v>102</v>
      </c>
      <c r="AA44" s="354"/>
      <c r="AC44" s="316">
        <v>1600</v>
      </c>
      <c r="AD44" s="316">
        <v>2600</v>
      </c>
      <c r="AE44" s="355">
        <v>1690</v>
      </c>
      <c r="AF44" s="355">
        <v>2125</v>
      </c>
      <c r="AG44" s="356">
        <v>15</v>
      </c>
      <c r="AH44" s="356">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7"/>
      <c r="U45" s="358"/>
      <c r="V45" s="358"/>
      <c r="W45" s="352"/>
      <c r="X45" s="359"/>
      <c r="Y45" s="358"/>
      <c r="Z45" s="360"/>
      <c r="AA45" s="354"/>
      <c r="AB45" s="278"/>
    </row>
    <row r="46" spans="1:34" ht="32.25" thickBot="1">
      <c r="A46" s="125"/>
      <c r="B46" s="256" t="s">
        <v>221</v>
      </c>
      <c r="C46" s="361">
        <f t="shared" ref="C46:S46" si="11">IF(((C44="")*AND(C45="")),"",(C44-C45)*2)</f>
        <v>1776.3400000000001</v>
      </c>
      <c r="D46" s="361">
        <f t="shared" si="11"/>
        <v>1793.38</v>
      </c>
      <c r="E46" s="361">
        <f t="shared" si="11"/>
        <v>1813.7400000000002</v>
      </c>
      <c r="F46" s="361">
        <f t="shared" si="11"/>
        <v>1829.7600000000002</v>
      </c>
      <c r="G46" s="361">
        <f t="shared" si="11"/>
        <v>1856.7000000000003</v>
      </c>
      <c r="H46" s="361">
        <f t="shared" si="11"/>
        <v>1899.2800000000002</v>
      </c>
      <c r="I46" s="361">
        <f t="shared" si="11"/>
        <v>1942.5600000000002</v>
      </c>
      <c r="J46" s="361">
        <f t="shared" si="11"/>
        <v>1937.88</v>
      </c>
      <c r="K46" s="361">
        <f t="shared" si="11"/>
        <v>1957.92</v>
      </c>
      <c r="L46" s="361">
        <f t="shared" si="11"/>
        <v>1877.58</v>
      </c>
      <c r="M46" s="361">
        <f t="shared" si="11"/>
        <v>1871.2600000000002</v>
      </c>
      <c r="N46" s="361">
        <f t="shared" si="11"/>
        <v>1865.3000000000002</v>
      </c>
      <c r="O46" s="361">
        <f t="shared" si="11"/>
        <v>2269.9</v>
      </c>
      <c r="P46" s="361">
        <f t="shared" si="11"/>
        <v>1863.8600000000001</v>
      </c>
      <c r="Q46" s="361">
        <f t="shared" si="11"/>
        <v>1872.7799999999997</v>
      </c>
      <c r="R46" s="361">
        <f t="shared" si="11"/>
        <v>1883.56</v>
      </c>
      <c r="S46" s="362">
        <f t="shared" si="11"/>
        <v>2009.8600000000001</v>
      </c>
      <c r="T46" s="363"/>
      <c r="U46" s="361"/>
      <c r="V46" s="361"/>
      <c r="W46" s="364"/>
      <c r="X46" s="365"/>
      <c r="Y46" s="361"/>
      <c r="Z46" s="366"/>
      <c r="AA46" s="354"/>
      <c r="AB46" s="278"/>
    </row>
    <row r="47" spans="1:34">
      <c r="A47" s="367">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8">
        <f>IF((S48=""),"",MAX(C49:S49))</f>
        <v>2193.84</v>
      </c>
      <c r="U47" s="248">
        <f>IF(S48="","",MIN(C49:S49))</f>
        <v>1812.46</v>
      </c>
      <c r="V47" s="263">
        <f>IF((S49=""),"",AVERAGE(C49:S49))</f>
        <v>1927.5305882352939</v>
      </c>
      <c r="W47" s="352">
        <f>STDEV(C49:S49)</f>
        <v>87.85157372456365</v>
      </c>
      <c r="X47" s="249">
        <f>IF((S48=""),"",((T47-U47)/(T47+U47))*100)</f>
        <v>9.5195067768264998</v>
      </c>
      <c r="Y47" s="250" t="str">
        <f>IF(S48="","",IF(X47&lt;15,IF(V47&gt;1690,IF(V47&lt;2125,"Pass","Fail"),"Fail"),"Fail"))</f>
        <v>Pass</v>
      </c>
      <c r="Z47" s="360">
        <v>1335</v>
      </c>
      <c r="AA47" s="354"/>
      <c r="AC47" s="316">
        <v>1600</v>
      </c>
      <c r="AD47" s="316">
        <v>2600</v>
      </c>
      <c r="AE47" s="355">
        <v>1690</v>
      </c>
      <c r="AF47" s="355">
        <v>2125</v>
      </c>
      <c r="AG47" s="356">
        <v>15</v>
      </c>
      <c r="AH47" s="356">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7"/>
      <c r="U48" s="358"/>
      <c r="V48" s="358"/>
      <c r="W48" s="352"/>
      <c r="X48" s="359"/>
      <c r="Y48" s="358"/>
      <c r="Z48" s="360"/>
      <c r="AA48" s="354"/>
      <c r="AB48" s="278"/>
    </row>
    <row r="49" spans="1:34" ht="32.25" thickBot="1">
      <c r="A49" s="125"/>
      <c r="B49" s="256" t="s">
        <v>221</v>
      </c>
      <c r="C49" s="361">
        <f t="shared" ref="C49:S49" si="12">IF(((C47="")*AND(C48="")),"",(C47-C48)*2)</f>
        <v>1833</v>
      </c>
      <c r="D49" s="361">
        <f t="shared" si="12"/>
        <v>1862</v>
      </c>
      <c r="E49" s="361">
        <f t="shared" si="12"/>
        <v>1866.3600000000001</v>
      </c>
      <c r="F49" s="361">
        <f t="shared" si="12"/>
        <v>1868.3000000000002</v>
      </c>
      <c r="G49" s="361">
        <f t="shared" si="12"/>
        <v>1886.7200000000003</v>
      </c>
      <c r="H49" s="361">
        <f t="shared" si="12"/>
        <v>1912.92</v>
      </c>
      <c r="I49" s="361">
        <f t="shared" si="12"/>
        <v>1932.44</v>
      </c>
      <c r="J49" s="361">
        <f t="shared" si="12"/>
        <v>1952.2999999999997</v>
      </c>
      <c r="K49" s="361">
        <f t="shared" si="12"/>
        <v>1927.1999999999998</v>
      </c>
      <c r="L49" s="361">
        <f t="shared" si="12"/>
        <v>1937.5799999999995</v>
      </c>
      <c r="M49" s="361">
        <f t="shared" si="12"/>
        <v>1926.2599999999998</v>
      </c>
      <c r="N49" s="361">
        <f t="shared" si="12"/>
        <v>1918</v>
      </c>
      <c r="O49" s="361">
        <f t="shared" si="12"/>
        <v>2016.1600000000003</v>
      </c>
      <c r="P49" s="361">
        <f t="shared" si="12"/>
        <v>1812.46</v>
      </c>
      <c r="Q49" s="361">
        <f t="shared" si="12"/>
        <v>2016.04</v>
      </c>
      <c r="R49" s="361">
        <f t="shared" si="12"/>
        <v>1906.44</v>
      </c>
      <c r="S49" s="362">
        <f t="shared" si="12"/>
        <v>2193.84</v>
      </c>
      <c r="T49" s="363"/>
      <c r="U49" s="361"/>
      <c r="V49" s="361"/>
      <c r="W49" s="364"/>
      <c r="X49" s="365"/>
      <c r="Y49" s="361"/>
      <c r="Z49" s="366"/>
      <c r="AA49" s="354"/>
      <c r="AB49" s="278"/>
    </row>
    <row r="50" spans="1:34">
      <c r="A50" s="367">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8">
        <f>IF((S51=""),"",MAX(C52:S52))</f>
        <v>1979.3599999999997</v>
      </c>
      <c r="U50" s="248">
        <f>IF(S51="","",MIN(C52:S52))</f>
        <v>1787.38</v>
      </c>
      <c r="V50" s="263">
        <f>IF((S52=""),"",AVERAGE(C52:S52))</f>
        <v>1869.7082352941177</v>
      </c>
      <c r="W50" s="352">
        <f>STDEV(C52:S52)</f>
        <v>51.699258727186837</v>
      </c>
      <c r="X50" s="249">
        <f>IF((S51=""),"",((T50-U50)/(T50+U50))*100)</f>
        <v>5.0967149312137172</v>
      </c>
      <c r="Y50" s="250" t="str">
        <f>IF(S51="","",IF(X50&lt;15,IF(V50&gt;1690,IF(V50&lt;2125,"Pass","Fail"),"Fail"),"Fail"))</f>
        <v>Pass</v>
      </c>
      <c r="Z50" s="360">
        <v>102</v>
      </c>
      <c r="AA50" s="354"/>
      <c r="AC50" s="316">
        <v>1600</v>
      </c>
      <c r="AD50" s="316">
        <v>2600</v>
      </c>
      <c r="AE50" s="355">
        <v>1690</v>
      </c>
      <c r="AF50" s="355">
        <v>2125</v>
      </c>
      <c r="AG50" s="356">
        <v>15</v>
      </c>
      <c r="AH50" s="356">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7"/>
      <c r="U51" s="358"/>
      <c r="V51" s="358"/>
      <c r="W51" s="352"/>
      <c r="X51" s="359"/>
      <c r="Y51" s="358"/>
      <c r="Z51" s="360"/>
      <c r="AA51" s="354"/>
      <c r="AB51" s="278"/>
    </row>
    <row r="52" spans="1:34" ht="32.25" thickBot="1">
      <c r="A52" s="125"/>
      <c r="B52" s="256" t="s">
        <v>221</v>
      </c>
      <c r="C52" s="361">
        <f t="shared" ref="C52:S52" si="13">IF(((C50="")*AND(C51="")),"",(C50-C51)*2)</f>
        <v>1800.8600000000001</v>
      </c>
      <c r="D52" s="361">
        <f t="shared" si="13"/>
        <v>1827.02</v>
      </c>
      <c r="E52" s="361">
        <f t="shared" si="13"/>
        <v>1837.4599999999996</v>
      </c>
      <c r="F52" s="361">
        <f t="shared" si="13"/>
        <v>1840.1</v>
      </c>
      <c r="G52" s="361">
        <f t="shared" si="13"/>
        <v>1862.56</v>
      </c>
      <c r="H52" s="361">
        <f t="shared" si="13"/>
        <v>1896.88</v>
      </c>
      <c r="I52" s="361">
        <f t="shared" si="13"/>
        <v>1931.44</v>
      </c>
      <c r="J52" s="361">
        <f t="shared" si="13"/>
        <v>1880.02</v>
      </c>
      <c r="K52" s="361">
        <f t="shared" si="13"/>
        <v>1926.2799999999997</v>
      </c>
      <c r="L52" s="361">
        <f t="shared" si="13"/>
        <v>1787.38</v>
      </c>
      <c r="M52" s="361">
        <f t="shared" si="13"/>
        <v>1898.94</v>
      </c>
      <c r="N52" s="361">
        <f t="shared" si="13"/>
        <v>1888.6799999999998</v>
      </c>
      <c r="O52" s="361">
        <f t="shared" si="13"/>
        <v>1979.3599999999997</v>
      </c>
      <c r="P52" s="361">
        <f t="shared" si="13"/>
        <v>1798.4399999999996</v>
      </c>
      <c r="Q52" s="361">
        <f t="shared" si="13"/>
        <v>1887.1</v>
      </c>
      <c r="R52" s="361">
        <f t="shared" si="13"/>
        <v>1893.3600000000001</v>
      </c>
      <c r="S52" s="362">
        <f t="shared" si="13"/>
        <v>1849.1599999999999</v>
      </c>
      <c r="T52" s="363"/>
      <c r="U52" s="361"/>
      <c r="V52" s="361"/>
      <c r="W52" s="364"/>
      <c r="X52" s="365"/>
      <c r="Y52" s="361"/>
      <c r="Z52" s="366"/>
      <c r="AA52" s="354"/>
      <c r="AB52" s="278"/>
    </row>
    <row r="53" spans="1:34">
      <c r="A53" s="367">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8">
        <f>IF((S54=""),"",MAX(C55:S55))</f>
        <v>1967.3799999999997</v>
      </c>
      <c r="U53" s="248">
        <f>IF(S54="","",MIN(C55:S55))</f>
        <v>1826.1399999999999</v>
      </c>
      <c r="V53" s="263">
        <f>IF((S55=""),"",AVERAGE(C55:S55))</f>
        <v>1914.7494117647061</v>
      </c>
      <c r="W53" s="352">
        <f>STDEV(C55:S55)</f>
        <v>39.332750423538343</v>
      </c>
      <c r="X53" s="249">
        <f>IF((S54=""),"",((T53-U53)/(T53+U53))*100)</f>
        <v>3.723191125919985</v>
      </c>
      <c r="Y53" s="250" t="str">
        <f>IF(S54="","",IF(X53&lt;15,IF(V53&gt;1690,IF(V53&lt;2125,"Pass","Fail"),"Fail"),"Fail"))</f>
        <v>Pass</v>
      </c>
      <c r="Z53" s="360"/>
      <c r="AA53" s="354"/>
      <c r="AC53" s="316">
        <v>1600</v>
      </c>
      <c r="AD53" s="316">
        <v>2600</v>
      </c>
      <c r="AE53" s="355">
        <v>1690</v>
      </c>
      <c r="AF53" s="355">
        <v>2125</v>
      </c>
      <c r="AG53" s="356">
        <v>15</v>
      </c>
      <c r="AH53" s="356">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7"/>
      <c r="U54" s="358"/>
      <c r="V54" s="358"/>
      <c r="W54" s="352"/>
      <c r="X54" s="359"/>
      <c r="Y54" s="358"/>
      <c r="Z54" s="360"/>
      <c r="AA54" s="354"/>
      <c r="AB54" s="278"/>
    </row>
    <row r="55" spans="1:34" ht="32.25" thickBot="1">
      <c r="A55" s="125"/>
      <c r="B55" s="256" t="s">
        <v>221</v>
      </c>
      <c r="C55" s="361">
        <f t="shared" ref="C55:S55" si="14">IF(((C53="")*AND(C54="")),"",(C53-C54)*2)</f>
        <v>1826.1399999999999</v>
      </c>
      <c r="D55" s="361">
        <f t="shared" si="14"/>
        <v>1866.7999999999997</v>
      </c>
      <c r="E55" s="361">
        <f t="shared" si="14"/>
        <v>1876.4</v>
      </c>
      <c r="F55" s="361">
        <f t="shared" si="14"/>
        <v>1882.52</v>
      </c>
      <c r="G55" s="361">
        <f t="shared" si="14"/>
        <v>1895.6</v>
      </c>
      <c r="H55" s="361">
        <f t="shared" si="14"/>
        <v>1936.62</v>
      </c>
      <c r="I55" s="361">
        <f t="shared" si="14"/>
        <v>1913.06</v>
      </c>
      <c r="J55" s="361">
        <f t="shared" si="14"/>
        <v>1910.8400000000001</v>
      </c>
      <c r="K55" s="361">
        <f t="shared" si="14"/>
        <v>1953.58</v>
      </c>
      <c r="L55" s="361">
        <f t="shared" si="14"/>
        <v>1967.3799999999997</v>
      </c>
      <c r="M55" s="361">
        <f t="shared" si="14"/>
        <v>1942.3799999999997</v>
      </c>
      <c r="N55" s="361">
        <f t="shared" si="14"/>
        <v>1932.8599999999997</v>
      </c>
      <c r="O55" s="361">
        <f t="shared" si="14"/>
        <v>1965.1799999999998</v>
      </c>
      <c r="P55" s="361">
        <f t="shared" si="14"/>
        <v>1873.46</v>
      </c>
      <c r="Q55" s="361">
        <f t="shared" si="14"/>
        <v>1929.06</v>
      </c>
      <c r="R55" s="361">
        <f t="shared" si="14"/>
        <v>1929.6999999999998</v>
      </c>
      <c r="S55" s="362">
        <f t="shared" si="14"/>
        <v>1949.1600000000003</v>
      </c>
      <c r="T55" s="363"/>
      <c r="U55" s="361"/>
      <c r="V55" s="361"/>
      <c r="W55" s="364"/>
      <c r="X55" s="365"/>
      <c r="Y55" s="361"/>
      <c r="Z55" s="366"/>
      <c r="AA55" s="354"/>
      <c r="AB55" s="278"/>
    </row>
    <row r="56" spans="1:34">
      <c r="A56" s="369">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8">
        <f>IF((S57=""),"",MAX(C58:S58))</f>
        <v>2172.3599999999997</v>
      </c>
      <c r="U56" s="248">
        <f>IF(S57="","",MIN(C58:S58))</f>
        <v>1749.8400000000001</v>
      </c>
      <c r="V56" s="263">
        <f>IF((S58=""),"",AVERAGE(C58:S58))</f>
        <v>2020.1247058823526</v>
      </c>
      <c r="W56" s="352">
        <f>STDEV(C58:S58)</f>
        <v>83.280001059505111</v>
      </c>
      <c r="X56" s="249">
        <f>IF((S57=""),"",((T56-U56)/(T56+U56))*100)</f>
        <v>10.772525623374625</v>
      </c>
      <c r="Y56" s="250" t="str">
        <f>IF(S57="","",IF(X56&lt;15,IF(V56&gt;1690,IF(V56&lt;2125,"Pass","Fail"),"Fail"),"Fail"))</f>
        <v>Pass</v>
      </c>
      <c r="Z56" s="360">
        <v>121</v>
      </c>
      <c r="AA56" s="354"/>
      <c r="AC56" s="316">
        <v>1600</v>
      </c>
      <c r="AD56" s="316">
        <v>2600</v>
      </c>
      <c r="AE56" s="355">
        <v>1690</v>
      </c>
      <c r="AF56" s="355">
        <v>2125</v>
      </c>
      <c r="AG56" s="356">
        <v>15</v>
      </c>
      <c r="AH56" s="356">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7"/>
      <c r="U57" s="358"/>
      <c r="V57" s="358"/>
      <c r="W57" s="352"/>
      <c r="X57" s="359"/>
      <c r="Y57" s="358"/>
      <c r="Z57" s="370"/>
      <c r="AA57" s="371"/>
      <c r="AB57" s="278"/>
    </row>
    <row r="58" spans="1:34" ht="32.25" thickBot="1">
      <c r="A58" s="125"/>
      <c r="B58" s="256" t="s">
        <v>221</v>
      </c>
      <c r="C58" s="361">
        <f t="shared" ref="C58:S58" si="15">IF(((C56="")*AND(C57="")),"",(C56-C57)*2)</f>
        <v>1960.96</v>
      </c>
      <c r="D58" s="361">
        <f t="shared" si="15"/>
        <v>1996.1</v>
      </c>
      <c r="E58" s="361">
        <f t="shared" si="15"/>
        <v>2000.8600000000001</v>
      </c>
      <c r="F58" s="361">
        <f t="shared" si="15"/>
        <v>2004.1999999999998</v>
      </c>
      <c r="G58" s="361">
        <f t="shared" si="15"/>
        <v>2018.04</v>
      </c>
      <c r="H58" s="361">
        <f t="shared" si="15"/>
        <v>2042.1399999999999</v>
      </c>
      <c r="I58" s="361">
        <f t="shared" si="15"/>
        <v>2058.7600000000002</v>
      </c>
      <c r="J58" s="361">
        <f t="shared" si="15"/>
        <v>2074.1799999999998</v>
      </c>
      <c r="K58" s="361">
        <f t="shared" si="15"/>
        <v>2002.92</v>
      </c>
      <c r="L58" s="361">
        <f t="shared" si="15"/>
        <v>2172.3599999999997</v>
      </c>
      <c r="M58" s="361">
        <f t="shared" si="15"/>
        <v>2061.2199999999998</v>
      </c>
      <c r="N58" s="361">
        <f t="shared" si="15"/>
        <v>2047.1399999999999</v>
      </c>
      <c r="O58" s="361">
        <f t="shared" si="15"/>
        <v>1749.8400000000001</v>
      </c>
      <c r="P58" s="361">
        <f t="shared" si="15"/>
        <v>2039.98</v>
      </c>
      <c r="Q58" s="361">
        <f t="shared" si="15"/>
        <v>2024.08</v>
      </c>
      <c r="R58" s="361">
        <f t="shared" si="15"/>
        <v>2024.62</v>
      </c>
      <c r="S58" s="362">
        <f t="shared" si="15"/>
        <v>2064.7200000000003</v>
      </c>
      <c r="T58" s="363"/>
      <c r="U58" s="361"/>
      <c r="V58" s="361"/>
      <c r="W58" s="364"/>
      <c r="X58" s="365"/>
      <c r="Y58" s="361"/>
      <c r="Z58" s="372"/>
      <c r="AA58" s="371"/>
      <c r="AB58" s="278"/>
    </row>
    <row r="59" spans="1:34">
      <c r="A59" s="369">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8">
        <f>IF((S60=""),"",MAX(C61:S61))</f>
        <v>2101.98</v>
      </c>
      <c r="U59" s="248">
        <f>IF(S60="","",MIN(C61:S61))</f>
        <v>1952.3600000000001</v>
      </c>
      <c r="V59" s="263">
        <f>IF((S61=""),"",AVERAGE(C61:S61))</f>
        <v>2034.8117647058821</v>
      </c>
      <c r="W59" s="352">
        <f>STDEV(C61:S61)</f>
        <v>41.109282442559234</v>
      </c>
      <c r="X59" s="249">
        <f>IF((S60=""),"",((T59-U59)/(T59+U59))*100)</f>
        <v>3.6903663728251672</v>
      </c>
      <c r="Y59" s="250" t="str">
        <f>IF(S60="","",IF(X59&lt;15,IF(V59&gt;1690,IF(V59&lt;2125,"Pass","Fail"),"Fail"),"Fail"))</f>
        <v>Pass</v>
      </c>
      <c r="Z59" s="360">
        <v>1159</v>
      </c>
      <c r="AA59" s="373" t="s">
        <v>107</v>
      </c>
      <c r="AC59" s="316">
        <v>1600</v>
      </c>
      <c r="AD59" s="316">
        <v>2600</v>
      </c>
      <c r="AE59" s="355">
        <v>1690</v>
      </c>
      <c r="AF59" s="355">
        <v>2125</v>
      </c>
      <c r="AG59" s="356">
        <v>15</v>
      </c>
      <c r="AH59" s="356">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7"/>
      <c r="U60" s="358"/>
      <c r="V60" s="358"/>
      <c r="W60" s="352"/>
      <c r="X60" s="359"/>
      <c r="Y60" s="358"/>
      <c r="Z60" s="360"/>
      <c r="AA60" s="354"/>
      <c r="AB60" s="278"/>
    </row>
    <row r="61" spans="1:34" ht="32.25" thickBot="1">
      <c r="A61" s="125"/>
      <c r="B61" s="256" t="s">
        <v>221</v>
      </c>
      <c r="C61" s="361">
        <f t="shared" ref="C61:S61" si="16">IF(((C59="")*AND(C60="")),"",(C59-C60)*2)</f>
        <v>1952.3600000000001</v>
      </c>
      <c r="D61" s="361">
        <f t="shared" si="16"/>
        <v>1994</v>
      </c>
      <c r="E61" s="361">
        <f t="shared" si="16"/>
        <v>2002.3799999999999</v>
      </c>
      <c r="F61" s="361">
        <f t="shared" si="16"/>
        <v>2004.2599999999998</v>
      </c>
      <c r="G61" s="361">
        <f t="shared" si="16"/>
        <v>2012.4999999999998</v>
      </c>
      <c r="H61" s="361">
        <f t="shared" si="16"/>
        <v>2045.1</v>
      </c>
      <c r="I61" s="361">
        <f t="shared" si="16"/>
        <v>2069.2800000000002</v>
      </c>
      <c r="J61" s="361">
        <f t="shared" si="16"/>
        <v>2079.62</v>
      </c>
      <c r="K61" s="361">
        <f t="shared" si="16"/>
        <v>2028.54</v>
      </c>
      <c r="L61" s="361">
        <f t="shared" si="16"/>
        <v>2040.1999999999998</v>
      </c>
      <c r="M61" s="361">
        <f t="shared" si="16"/>
        <v>2069.46</v>
      </c>
      <c r="N61" s="361">
        <f t="shared" si="16"/>
        <v>2053.3000000000002</v>
      </c>
      <c r="O61" s="361">
        <f t="shared" si="16"/>
        <v>2090.16</v>
      </c>
      <c r="P61" s="361">
        <f t="shared" si="16"/>
        <v>2040.48</v>
      </c>
      <c r="Q61" s="361">
        <f t="shared" si="16"/>
        <v>2101.98</v>
      </c>
      <c r="R61" s="361">
        <f t="shared" si="16"/>
        <v>2033.12</v>
      </c>
      <c r="S61" s="362">
        <f t="shared" si="16"/>
        <v>1975.06</v>
      </c>
      <c r="T61" s="363"/>
      <c r="U61" s="361"/>
      <c r="V61" s="361"/>
      <c r="W61" s="364"/>
      <c r="X61" s="365"/>
      <c r="Y61" s="361"/>
      <c r="Z61" s="366"/>
      <c r="AA61" s="354"/>
      <c r="AB61" s="278"/>
    </row>
    <row r="62" spans="1:34">
      <c r="A62" s="369">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8">
        <f>IF((S63=""),"",MAX(C64:S64))</f>
        <v>2111.38</v>
      </c>
      <c r="U62" s="248">
        <f>IF(S63="","",MIN(C64:S64))</f>
        <v>1953.1800000000003</v>
      </c>
      <c r="V62" s="263">
        <f>IF((S64=""),"",AVERAGE(C64:S64))</f>
        <v>2047.2423529411767</v>
      </c>
      <c r="W62" s="352">
        <f>STDEV(C64:S64)</f>
        <v>41.167202286732191</v>
      </c>
      <c r="X62" s="249">
        <f>IF((S63=""),"",((T62-U62)/(T62+U62))*100)</f>
        <v>3.8921802113881894</v>
      </c>
      <c r="Y62" s="250" t="str">
        <f>IF(S63="","",IF(X62&lt;15,IF(V62&gt;1690,IF(V62&lt;2125,"Pass","Fail"),"Fail"),"Fail"))</f>
        <v>Pass</v>
      </c>
      <c r="Z62" s="360">
        <v>1159</v>
      </c>
      <c r="AA62" s="354"/>
      <c r="AC62" s="316">
        <v>1600</v>
      </c>
      <c r="AD62" s="316">
        <v>2600</v>
      </c>
      <c r="AE62" s="355">
        <v>1690</v>
      </c>
      <c r="AF62" s="355">
        <v>2125</v>
      </c>
      <c r="AG62" s="356">
        <v>15</v>
      </c>
      <c r="AH62" s="356">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7"/>
      <c r="U63" s="358"/>
      <c r="V63" s="358"/>
      <c r="W63" s="352"/>
      <c r="X63" s="359"/>
      <c r="Y63" s="358"/>
      <c r="Z63" s="360"/>
      <c r="AA63" s="354"/>
      <c r="AB63" s="278"/>
    </row>
    <row r="64" spans="1:34" ht="32.25" thickBot="1">
      <c r="A64" s="125"/>
      <c r="B64" s="256" t="s">
        <v>221</v>
      </c>
      <c r="C64" s="361">
        <f t="shared" ref="C64:S64" si="17">IF(((C62="")*AND(C63="")),"",(C62-C63)*2)</f>
        <v>1953.1800000000003</v>
      </c>
      <c r="D64" s="361">
        <f t="shared" si="17"/>
        <v>1988.3000000000002</v>
      </c>
      <c r="E64" s="361">
        <f t="shared" si="17"/>
        <v>1997.3199999999997</v>
      </c>
      <c r="F64" s="361">
        <f t="shared" si="17"/>
        <v>2007.6999999999998</v>
      </c>
      <c r="G64" s="361">
        <f t="shared" si="17"/>
        <v>2026.98</v>
      </c>
      <c r="H64" s="361">
        <f t="shared" si="17"/>
        <v>2056.62</v>
      </c>
      <c r="I64" s="361">
        <f t="shared" si="17"/>
        <v>2095.08</v>
      </c>
      <c r="J64" s="361">
        <f t="shared" si="17"/>
        <v>2111.38</v>
      </c>
      <c r="K64" s="361">
        <f t="shared" si="17"/>
        <v>2076.5399999999995</v>
      </c>
      <c r="L64" s="361">
        <f t="shared" si="17"/>
        <v>2047.88</v>
      </c>
      <c r="M64" s="361">
        <f t="shared" si="17"/>
        <v>2071.4</v>
      </c>
      <c r="N64" s="361">
        <f t="shared" si="17"/>
        <v>2057.4</v>
      </c>
      <c r="O64" s="361">
        <f t="shared" si="17"/>
        <v>2060.9</v>
      </c>
      <c r="P64" s="361">
        <f t="shared" si="17"/>
        <v>2047.6</v>
      </c>
      <c r="Q64" s="361">
        <f t="shared" si="17"/>
        <v>2052.7399999999998</v>
      </c>
      <c r="R64" s="361">
        <f t="shared" si="17"/>
        <v>2061.6400000000003</v>
      </c>
      <c r="S64" s="362">
        <f t="shared" si="17"/>
        <v>2090.46</v>
      </c>
      <c r="T64" s="363"/>
      <c r="U64" s="361"/>
      <c r="V64" s="361"/>
      <c r="W64" s="364"/>
      <c r="X64" s="365"/>
      <c r="Y64" s="361"/>
      <c r="Z64" s="366"/>
      <c r="AA64" s="354"/>
      <c r="AB64" s="278"/>
    </row>
    <row r="65" spans="1:34">
      <c r="A65" s="369">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8">
        <f>IF((S66=""),"",MAX(C67:S67))</f>
        <v>2209.7599999999998</v>
      </c>
      <c r="U65" s="248">
        <f>IF(S66="","",MIN(C67:S67))</f>
        <v>1963.52</v>
      </c>
      <c r="V65" s="263">
        <f>IF((S67=""),"",AVERAGE(C67:S67))</f>
        <v>2064.52</v>
      </c>
      <c r="W65" s="352">
        <f>STDEV(C67:S67)</f>
        <v>59.918953178451318</v>
      </c>
      <c r="X65" s="249">
        <f>IF((S66=""),"",((T65-U65)/(T65+U65))*100)</f>
        <v>5.9003948932254673</v>
      </c>
      <c r="Y65" s="250" t="str">
        <f>IF(S66="","",IF(X65&lt;13,IF(V65&gt;1970,IF(V65&lt;2300,"Pass","Fail"),"Fail"),"Fail"))</f>
        <v>Pass</v>
      </c>
      <c r="Z65" s="360">
        <v>1159</v>
      </c>
      <c r="AA65" s="354"/>
      <c r="AC65" s="316">
        <v>1600</v>
      </c>
      <c r="AD65" s="316">
        <v>2600</v>
      </c>
      <c r="AE65" s="355">
        <v>1690</v>
      </c>
      <c r="AF65" s="355">
        <v>2125</v>
      </c>
      <c r="AG65" s="356">
        <v>15</v>
      </c>
      <c r="AH65" s="356">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7"/>
      <c r="U66" s="358"/>
      <c r="V66" s="358"/>
      <c r="W66" s="352"/>
      <c r="X66" s="359"/>
      <c r="Y66" s="358"/>
      <c r="Z66" s="370"/>
      <c r="AA66" s="371"/>
      <c r="AB66" s="278"/>
    </row>
    <row r="67" spans="1:34" ht="32.25" thickBot="1">
      <c r="A67" s="125"/>
      <c r="B67" s="256" t="s">
        <v>221</v>
      </c>
      <c r="C67" s="361">
        <f t="shared" ref="C67:S67" si="18">IF(((C65="")*AND(C66="")),"",(C65-C66)*2)</f>
        <v>1963.52</v>
      </c>
      <c r="D67" s="361">
        <f t="shared" si="18"/>
        <v>1995.78</v>
      </c>
      <c r="E67" s="361">
        <f t="shared" si="18"/>
        <v>2005.3</v>
      </c>
      <c r="F67" s="361">
        <f t="shared" si="18"/>
        <v>2018.38</v>
      </c>
      <c r="G67" s="361">
        <f t="shared" si="18"/>
        <v>2036.5600000000002</v>
      </c>
      <c r="H67" s="361">
        <f t="shared" si="18"/>
        <v>2076.8200000000002</v>
      </c>
      <c r="I67" s="361">
        <f t="shared" si="18"/>
        <v>2113.8000000000002</v>
      </c>
      <c r="J67" s="361">
        <f t="shared" si="18"/>
        <v>2138.3200000000002</v>
      </c>
      <c r="K67" s="361">
        <f t="shared" si="18"/>
        <v>2109</v>
      </c>
      <c r="L67" s="361">
        <f t="shared" si="18"/>
        <v>2209.7599999999998</v>
      </c>
      <c r="M67" s="361">
        <f t="shared" si="18"/>
        <v>2084.6400000000003</v>
      </c>
      <c r="N67" s="361">
        <f t="shared" si="18"/>
        <v>2070.58</v>
      </c>
      <c r="O67" s="361">
        <f t="shared" si="18"/>
        <v>2079.3599999999997</v>
      </c>
      <c r="P67" s="361">
        <f t="shared" si="18"/>
        <v>2056.4399999999996</v>
      </c>
      <c r="Q67" s="361">
        <f t="shared" si="18"/>
        <v>2066.66</v>
      </c>
      <c r="R67" s="361">
        <f t="shared" si="18"/>
        <v>2072.2799999999997</v>
      </c>
      <c r="S67" s="362">
        <f t="shared" si="18"/>
        <v>1999.6399999999999</v>
      </c>
      <c r="T67" s="363"/>
      <c r="U67" s="361"/>
      <c r="V67" s="361"/>
      <c r="W67" s="364"/>
      <c r="X67" s="365"/>
      <c r="Y67" s="361"/>
      <c r="Z67" s="372"/>
      <c r="AA67" s="371"/>
      <c r="AB67" s="278"/>
    </row>
    <row r="68" spans="1:34">
      <c r="A68" s="369">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8">
        <f>IF((S69=""),"",MAX(C70:S70))</f>
        <v>2102.3200000000006</v>
      </c>
      <c r="U68" s="248">
        <f>IF(S69="","",MIN(C70:S70))</f>
        <v>1953.92</v>
      </c>
      <c r="V68" s="263">
        <f>IF((S70=""),"",AVERAGE(C70:S70))</f>
        <v>2037.1058823529413</v>
      </c>
      <c r="W68" s="352">
        <f>STDEV(C70:S70)</f>
        <v>46.334415268071282</v>
      </c>
      <c r="X68" s="249">
        <f>IF((S69=""),"",((T68-U68)/(T68+U68))*100)</f>
        <v>3.6585606374376396</v>
      </c>
      <c r="Y68" s="250" t="str">
        <f>IF(S69="","",IF(X68&lt;15,IF(V68&gt;1690,IF(V68&lt;2125,"Pass","Fail"),"Fail"),"Fail"))</f>
        <v>Pass</v>
      </c>
      <c r="Z68" s="360">
        <v>1335</v>
      </c>
      <c r="AA68" s="354"/>
      <c r="AC68" s="316">
        <v>1600</v>
      </c>
      <c r="AD68" s="316">
        <v>2600</v>
      </c>
      <c r="AE68" s="355">
        <v>1690</v>
      </c>
      <c r="AF68" s="355">
        <v>2125</v>
      </c>
      <c r="AG68" s="356">
        <v>15</v>
      </c>
      <c r="AH68" s="356">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7"/>
      <c r="U69" s="358"/>
      <c r="V69" s="358"/>
      <c r="W69" s="352"/>
      <c r="X69" s="359"/>
      <c r="Y69" s="358"/>
      <c r="Z69" s="360"/>
      <c r="AA69" s="354"/>
      <c r="AB69" s="278"/>
    </row>
    <row r="70" spans="1:34" ht="32.25" thickBot="1">
      <c r="A70" s="125"/>
      <c r="B70" s="256" t="s">
        <v>221</v>
      </c>
      <c r="C70" s="361">
        <f t="shared" ref="C70:S70" si="19">IF(((C68="")*AND(C69="")),"",(C68-C69)*2)</f>
        <v>1953.92</v>
      </c>
      <c r="D70" s="361">
        <f t="shared" si="19"/>
        <v>1989.3000000000002</v>
      </c>
      <c r="E70" s="361">
        <f t="shared" si="19"/>
        <v>1994.4800000000002</v>
      </c>
      <c r="F70" s="361">
        <f t="shared" si="19"/>
        <v>1996.5599999999997</v>
      </c>
      <c r="G70" s="361">
        <f t="shared" si="19"/>
        <v>2010.72</v>
      </c>
      <c r="H70" s="361">
        <f t="shared" si="19"/>
        <v>2047.76</v>
      </c>
      <c r="I70" s="361">
        <f t="shared" si="19"/>
        <v>2078.7200000000003</v>
      </c>
      <c r="J70" s="361">
        <f t="shared" si="19"/>
        <v>2097.36</v>
      </c>
      <c r="K70" s="361">
        <f t="shared" si="19"/>
        <v>2093.6000000000004</v>
      </c>
      <c r="L70" s="361">
        <f t="shared" si="19"/>
        <v>2042.0399999999997</v>
      </c>
      <c r="M70" s="361">
        <f t="shared" si="19"/>
        <v>2062.7599999999998</v>
      </c>
      <c r="N70" s="361">
        <f t="shared" si="19"/>
        <v>2041.2399999999998</v>
      </c>
      <c r="O70" s="361">
        <f t="shared" si="19"/>
        <v>2093.3599999999997</v>
      </c>
      <c r="P70" s="361">
        <f t="shared" si="19"/>
        <v>2003.0399999999997</v>
      </c>
      <c r="Q70" s="361">
        <f t="shared" si="19"/>
        <v>2102.3200000000006</v>
      </c>
      <c r="R70" s="361">
        <f t="shared" si="19"/>
        <v>2041.5</v>
      </c>
      <c r="S70" s="362">
        <f t="shared" si="19"/>
        <v>1982.12</v>
      </c>
      <c r="T70" s="363"/>
      <c r="U70" s="361"/>
      <c r="V70" s="361"/>
      <c r="W70" s="364"/>
      <c r="X70" s="365"/>
      <c r="Y70" s="361"/>
      <c r="Z70" s="366"/>
      <c r="AA70" s="354"/>
      <c r="AB70" s="278"/>
    </row>
    <row r="71" spans="1:34">
      <c r="A71" s="367">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8">
        <f>IF((S72=""),"",MAX(C73:S73))</f>
        <v>2052.7799999999997</v>
      </c>
      <c r="U71" s="248">
        <f>IF(S72="","",MIN(C73:S73))</f>
        <v>1917.6599999999999</v>
      </c>
      <c r="V71" s="263">
        <f>IF((S73=""),"",AVERAGE(C73:S73))</f>
        <v>1981.6411764705879</v>
      </c>
      <c r="W71" s="352">
        <f>STDEV(C73:S73)</f>
        <v>42.767435900824104</v>
      </c>
      <c r="X71" s="249">
        <f>IF((S72=""),"",((T71-U71)/(T71+U71))*100)</f>
        <v>3.4031492731284168</v>
      </c>
      <c r="Y71" s="250" t="str">
        <f>IF(S72="","",IF(X71&lt;13,IF(V71&gt;1970,IF(V71&lt;2300,"Pass","Fail"),"Fail"),"Fail"))</f>
        <v>Pass</v>
      </c>
      <c r="Z71" s="360">
        <v>74</v>
      </c>
      <c r="AA71" s="354"/>
      <c r="AC71" s="316">
        <v>1600</v>
      </c>
      <c r="AD71" s="316">
        <v>2600</v>
      </c>
      <c r="AE71" s="355">
        <v>1690</v>
      </c>
      <c r="AF71" s="355">
        <v>2125</v>
      </c>
      <c r="AG71" s="356">
        <v>15</v>
      </c>
      <c r="AH71" s="356">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7"/>
      <c r="U72" s="358"/>
      <c r="V72" s="358"/>
      <c r="W72" s="352"/>
      <c r="X72" s="359"/>
      <c r="Y72" s="358"/>
      <c r="Z72" s="370"/>
      <c r="AA72" s="371"/>
      <c r="AB72" s="278"/>
    </row>
    <row r="73" spans="1:34" ht="32.25" thickBot="1">
      <c r="A73" s="125"/>
      <c r="B73" s="256" t="s">
        <v>221</v>
      </c>
      <c r="C73" s="361">
        <f t="shared" ref="C73:S73" si="20">IF(((C71="")*AND(C72="")),"",(C71-C72)*2)</f>
        <v>1921.6399999999994</v>
      </c>
      <c r="D73" s="361">
        <f t="shared" si="20"/>
        <v>1938.58</v>
      </c>
      <c r="E73" s="361">
        <f t="shared" si="20"/>
        <v>1946.9</v>
      </c>
      <c r="F73" s="361">
        <f t="shared" si="20"/>
        <v>1946.62</v>
      </c>
      <c r="G73" s="361">
        <f t="shared" si="20"/>
        <v>1963.8399999999997</v>
      </c>
      <c r="H73" s="361">
        <f t="shared" si="20"/>
        <v>1991.0800000000004</v>
      </c>
      <c r="I73" s="361">
        <f t="shared" si="20"/>
        <v>2019.1800000000003</v>
      </c>
      <c r="J73" s="361">
        <f t="shared" si="20"/>
        <v>2036.2000000000003</v>
      </c>
      <c r="K73" s="361">
        <f t="shared" si="20"/>
        <v>1996.9799999999996</v>
      </c>
      <c r="L73" s="361">
        <f t="shared" si="20"/>
        <v>1989.3600000000001</v>
      </c>
      <c r="M73" s="361">
        <f t="shared" si="20"/>
        <v>2010.6</v>
      </c>
      <c r="N73" s="361">
        <f t="shared" si="20"/>
        <v>1998.2399999999998</v>
      </c>
      <c r="O73" s="361">
        <f t="shared" si="20"/>
        <v>2040.96</v>
      </c>
      <c r="P73" s="361">
        <f t="shared" si="20"/>
        <v>1917.6599999999999</v>
      </c>
      <c r="Q73" s="361">
        <f t="shared" si="20"/>
        <v>2052.7799999999997</v>
      </c>
      <c r="R73" s="361">
        <f t="shared" si="20"/>
        <v>1985.52</v>
      </c>
      <c r="S73" s="362">
        <f t="shared" si="20"/>
        <v>1931.7600000000002</v>
      </c>
      <c r="T73" s="363"/>
      <c r="U73" s="361"/>
      <c r="V73" s="361"/>
      <c r="W73" s="364"/>
      <c r="X73" s="365"/>
      <c r="Y73" s="361"/>
      <c r="Z73" s="372"/>
      <c r="AA73" s="371"/>
      <c r="AB73" s="278"/>
    </row>
    <row r="74" spans="1:34">
      <c r="A74" s="367">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8">
        <f>IF((S75=""),"",MAX(C76:S76))</f>
        <v>2369.6799999999998</v>
      </c>
      <c r="U74" s="248">
        <f>IF(S75="","",MIN(C76:S76))</f>
        <v>1966.02</v>
      </c>
      <c r="V74" s="263">
        <f>IF((S76=""),"",AVERAGE(C76:S76))</f>
        <v>2059.2705882352939</v>
      </c>
      <c r="W74" s="352">
        <f>STDEV(C76:S76)</f>
        <v>86.350476292154795</v>
      </c>
      <c r="X74" s="249">
        <f>IF((S75=""),"",((T74-U74)/(T74+U74))*100)</f>
        <v>9.3101459971861491</v>
      </c>
      <c r="Y74" s="250" t="str">
        <f>IF(S75="","",IF(X74&lt;15,IF(V74&gt;1690,IF(V74&lt;2125,"Pass","Fail"),"Fail"),"Fail"))</f>
        <v>Pass</v>
      </c>
      <c r="Z74" s="360">
        <v>74</v>
      </c>
      <c r="AA74" s="354"/>
      <c r="AC74" s="316">
        <v>1600</v>
      </c>
      <c r="AD74" s="316">
        <v>2600</v>
      </c>
      <c r="AE74" s="355">
        <v>1690</v>
      </c>
      <c r="AF74" s="355">
        <v>2125</v>
      </c>
      <c r="AG74" s="356">
        <v>15</v>
      </c>
      <c r="AH74" s="356">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7"/>
      <c r="U75" s="358"/>
      <c r="V75" s="358"/>
      <c r="W75" s="352"/>
      <c r="X75" s="359"/>
      <c r="Y75" s="358"/>
      <c r="Z75" s="360"/>
      <c r="AA75" s="354"/>
      <c r="AB75" s="278"/>
    </row>
    <row r="76" spans="1:34" ht="32.25" thickBot="1">
      <c r="A76" s="125"/>
      <c r="B76" s="256" t="s">
        <v>221</v>
      </c>
      <c r="C76" s="361">
        <f t="shared" ref="C76:S76" si="21">IF(((C74="")*AND(C75="")),"",(C74-C75)*2)</f>
        <v>1966.02</v>
      </c>
      <c r="D76" s="361">
        <f t="shared" si="21"/>
        <v>1997.2400000000002</v>
      </c>
      <c r="E76" s="361">
        <f t="shared" si="21"/>
        <v>2004.1799999999998</v>
      </c>
      <c r="F76" s="361">
        <f t="shared" si="21"/>
        <v>2007.8200000000002</v>
      </c>
      <c r="G76" s="361">
        <f t="shared" si="21"/>
        <v>2021.4</v>
      </c>
      <c r="H76" s="361">
        <f t="shared" si="21"/>
        <v>2047.8200000000002</v>
      </c>
      <c r="I76" s="361">
        <f t="shared" si="21"/>
        <v>2076.58</v>
      </c>
      <c r="J76" s="361">
        <f t="shared" si="21"/>
        <v>2093.3999999999996</v>
      </c>
      <c r="K76" s="361">
        <f t="shared" si="21"/>
        <v>2055.64</v>
      </c>
      <c r="L76" s="361">
        <f t="shared" si="21"/>
        <v>2070.3000000000002</v>
      </c>
      <c r="M76" s="361">
        <f t="shared" si="21"/>
        <v>2070.58</v>
      </c>
      <c r="N76" s="361">
        <f t="shared" si="21"/>
        <v>2056.6799999999998</v>
      </c>
      <c r="O76" s="361">
        <f t="shared" si="21"/>
        <v>2369.6799999999998</v>
      </c>
      <c r="P76" s="361">
        <f t="shared" si="21"/>
        <v>2038.3</v>
      </c>
      <c r="Q76" s="361">
        <f t="shared" si="21"/>
        <v>2037.46</v>
      </c>
      <c r="R76" s="361">
        <f t="shared" si="21"/>
        <v>2036.7799999999997</v>
      </c>
      <c r="S76" s="362">
        <f t="shared" si="21"/>
        <v>2057.7199999999998</v>
      </c>
      <c r="T76" s="363"/>
      <c r="U76" s="361"/>
      <c r="V76" s="361"/>
      <c r="W76" s="364"/>
      <c r="X76" s="365"/>
      <c r="Y76" s="361"/>
      <c r="Z76" s="366"/>
      <c r="AA76" s="354"/>
      <c r="AB76" s="278"/>
    </row>
    <row r="77" spans="1:34">
      <c r="A77" s="367">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8">
        <f>IF((S78=""),"",MAX(C79:S79))</f>
        <v>2038.0200000000002</v>
      </c>
      <c r="U77" s="248">
        <f>IF(S78="","",MIN(C79:S79))</f>
        <v>1666.6799999999998</v>
      </c>
      <c r="V77" s="263">
        <f>IF((S79=""),"",AVERAGE(C79:S79))</f>
        <v>1772.8023529411767</v>
      </c>
      <c r="W77" s="352">
        <f>STDEV(C79:S79)</f>
        <v>86.593111701320595</v>
      </c>
      <c r="X77" s="249">
        <f>IF((S78=""),"",((T77-U77)/(T77+U77))*100)</f>
        <v>10.023483682889314</v>
      </c>
      <c r="Y77" s="250" t="str">
        <f>IF(S78="","",IF(X77&lt;15,IF(V77&gt;1690,IF(V77&lt;2125,"Pass","Fail"),"Fail"),"Fail"))</f>
        <v>Pass</v>
      </c>
      <c r="Z77" s="360" t="s">
        <v>85</v>
      </c>
      <c r="AA77" s="354"/>
      <c r="AC77" s="316">
        <v>1600</v>
      </c>
      <c r="AD77" s="316">
        <v>2600</v>
      </c>
      <c r="AE77" s="355">
        <v>1690</v>
      </c>
      <c r="AF77" s="355">
        <v>2125</v>
      </c>
      <c r="AG77" s="356">
        <v>15</v>
      </c>
      <c r="AH77" s="356">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7"/>
      <c r="U78" s="358"/>
      <c r="V78" s="358"/>
      <c r="W78" s="352"/>
      <c r="X78" s="359"/>
      <c r="Y78" s="358"/>
      <c r="Z78" s="360"/>
      <c r="AA78" s="354"/>
      <c r="AB78" s="278"/>
    </row>
    <row r="79" spans="1:34" ht="32.25" thickBot="1">
      <c r="A79" s="125"/>
      <c r="B79" s="256" t="s">
        <v>221</v>
      </c>
      <c r="C79" s="361">
        <f t="shared" ref="C79:S79" si="22">IF(((C77="")*AND(C78="")),"",(C77-C78)*2)</f>
        <v>1684.6999999999998</v>
      </c>
      <c r="D79" s="361">
        <f t="shared" si="22"/>
        <v>1696.94</v>
      </c>
      <c r="E79" s="361">
        <f t="shared" si="22"/>
        <v>1699.3600000000001</v>
      </c>
      <c r="F79" s="361">
        <f t="shared" si="22"/>
        <v>1702.02</v>
      </c>
      <c r="G79" s="361">
        <f t="shared" si="22"/>
        <v>1732.3200000000002</v>
      </c>
      <c r="H79" s="361">
        <f t="shared" si="22"/>
        <v>1777.2999999999997</v>
      </c>
      <c r="I79" s="361">
        <f t="shared" si="22"/>
        <v>1826</v>
      </c>
      <c r="J79" s="361">
        <f t="shared" si="22"/>
        <v>1847.8400000000001</v>
      </c>
      <c r="K79" s="361">
        <f t="shared" si="22"/>
        <v>1805.7399999999998</v>
      </c>
      <c r="L79" s="361">
        <f t="shared" si="22"/>
        <v>1815.3199999999997</v>
      </c>
      <c r="M79" s="361">
        <f t="shared" si="22"/>
        <v>1797</v>
      </c>
      <c r="N79" s="361">
        <f t="shared" si="22"/>
        <v>1769.5</v>
      </c>
      <c r="O79" s="361">
        <f t="shared" si="22"/>
        <v>2038.0200000000002</v>
      </c>
      <c r="P79" s="361">
        <f t="shared" si="22"/>
        <v>1758.8600000000001</v>
      </c>
      <c r="Q79" s="361">
        <f t="shared" si="22"/>
        <v>1666.6799999999998</v>
      </c>
      <c r="R79" s="361">
        <f t="shared" si="22"/>
        <v>1772.6800000000003</v>
      </c>
      <c r="S79" s="362">
        <f t="shared" si="22"/>
        <v>1747.3599999999997</v>
      </c>
      <c r="T79" s="363"/>
      <c r="U79" s="361"/>
      <c r="V79" s="361"/>
      <c r="W79" s="364"/>
      <c r="X79" s="365"/>
      <c r="Y79" s="361"/>
      <c r="Z79" s="366"/>
      <c r="AA79" s="354"/>
      <c r="AB79" s="278"/>
    </row>
    <row r="80" spans="1:34">
      <c r="A80" s="367">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8">
        <f>IF((S81=""),"",MAX(C82:S82))</f>
        <v>2194.9000000000005</v>
      </c>
      <c r="U80" s="248">
        <f>IF(S81="","",MIN(C82:S82))</f>
        <v>1978.58</v>
      </c>
      <c r="V80" s="263">
        <f>IF((S82=""),"",AVERAGE(C82:S82))</f>
        <v>2050.9188235294118</v>
      </c>
      <c r="W80" s="352">
        <f>STDEV(C82:S82)</f>
        <v>48.699064400957973</v>
      </c>
      <c r="X80" s="249">
        <f>IF((S81=""),"",((T80-U80)/(T80+U80))*100)</f>
        <v>5.1832044241256838</v>
      </c>
      <c r="Y80" s="250" t="str">
        <f>IF(S81="","",IF(X80&lt;15,IF(V80&gt;1690,IF(V80&lt;2125,"Pass","Fail"),"Fail"),"Fail"))</f>
        <v>Pass</v>
      </c>
      <c r="Z80" s="360">
        <v>1159</v>
      </c>
      <c r="AA80" s="278" t="s">
        <v>86</v>
      </c>
      <c r="AC80" s="316">
        <v>1600</v>
      </c>
      <c r="AD80" s="316">
        <v>2600</v>
      </c>
      <c r="AE80" s="355">
        <v>1690</v>
      </c>
      <c r="AF80" s="355">
        <v>2125</v>
      </c>
      <c r="AG80" s="356">
        <v>15</v>
      </c>
      <c r="AH80" s="356">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7"/>
      <c r="U81" s="358"/>
      <c r="V81" s="358"/>
      <c r="W81" s="352"/>
      <c r="X81" s="359"/>
      <c r="Y81" s="358"/>
      <c r="Z81" s="360"/>
      <c r="AA81" s="354"/>
      <c r="AB81" s="278"/>
    </row>
    <row r="82" spans="1:34" ht="32.25" thickBot="1">
      <c r="A82" s="125"/>
      <c r="B82" s="256" t="s">
        <v>221</v>
      </c>
      <c r="C82" s="361">
        <f t="shared" ref="C82:S82" si="23">IF(((C80="")*AND(C81="")),"",(C80-C81)*2)</f>
        <v>1978.58</v>
      </c>
      <c r="D82" s="361">
        <f t="shared" si="23"/>
        <v>2014.7600000000002</v>
      </c>
      <c r="E82" s="361">
        <f t="shared" si="23"/>
        <v>2011.6999999999998</v>
      </c>
      <c r="F82" s="361">
        <f t="shared" si="23"/>
        <v>2019.4000000000005</v>
      </c>
      <c r="G82" s="361">
        <f t="shared" si="23"/>
        <v>2024.2599999999993</v>
      </c>
      <c r="H82" s="361">
        <f t="shared" si="23"/>
        <v>2058.7600000000002</v>
      </c>
      <c r="I82" s="361">
        <f t="shared" si="23"/>
        <v>2083.8999999999996</v>
      </c>
      <c r="J82" s="361">
        <f t="shared" si="23"/>
        <v>2106.2399999999998</v>
      </c>
      <c r="K82" s="361">
        <f t="shared" si="23"/>
        <v>2023.42</v>
      </c>
      <c r="L82" s="361">
        <f t="shared" si="23"/>
        <v>2194.9000000000005</v>
      </c>
      <c r="M82" s="361">
        <f t="shared" si="23"/>
        <v>2079.5999999999995</v>
      </c>
      <c r="N82" s="361">
        <f t="shared" si="23"/>
        <v>2069.54</v>
      </c>
      <c r="O82" s="361">
        <f t="shared" si="23"/>
        <v>2031.0200000000004</v>
      </c>
      <c r="P82" s="361">
        <f t="shared" si="23"/>
        <v>2042.2200000000003</v>
      </c>
      <c r="Q82" s="361">
        <f t="shared" si="23"/>
        <v>2056.5199999999995</v>
      </c>
      <c r="R82" s="361">
        <f t="shared" si="23"/>
        <v>2047.9000000000005</v>
      </c>
      <c r="S82" s="362">
        <f t="shared" si="23"/>
        <v>2022.9000000000005</v>
      </c>
      <c r="T82" s="363"/>
      <c r="U82" s="361"/>
      <c r="V82" s="361"/>
      <c r="W82" s="364"/>
      <c r="X82" s="365"/>
      <c r="Y82" s="361"/>
      <c r="Z82" s="366"/>
      <c r="AA82" s="354"/>
      <c r="AB82" s="278"/>
    </row>
    <row r="83" spans="1:34">
      <c r="A83" s="367">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8">
        <f>IF((S84=""),"",MAX(C85:S85))</f>
        <v>2109.3999999999996</v>
      </c>
      <c r="U83" s="248">
        <f>IF(S84="","",MIN(C85:S85))</f>
        <v>1977.9400000000005</v>
      </c>
      <c r="V83" s="263">
        <f>IF((S85=""),"",AVERAGE(C85:S85))</f>
        <v>2044.2576470588237</v>
      </c>
      <c r="W83" s="352">
        <f>STDEV(C85:S85)</f>
        <v>35.695243298183698</v>
      </c>
      <c r="X83" s="249">
        <f>IF((S84=""),"",((T83-U83)/(T83+U83))*100)</f>
        <v>3.21627268590328</v>
      </c>
      <c r="Y83" s="250" t="str">
        <f>IF(S84="","",IF(X83&lt;15,IF(V83&gt;1690,IF(V83&lt;2125,"Pass","Fail"),"Fail"),"Fail"))</f>
        <v>Pass</v>
      </c>
      <c r="Z83" s="360">
        <v>64</v>
      </c>
      <c r="AA83" s="354"/>
      <c r="AC83" s="316">
        <v>1600</v>
      </c>
      <c r="AD83" s="316">
        <v>2600</v>
      </c>
      <c r="AE83" s="355">
        <v>1690</v>
      </c>
      <c r="AF83" s="355">
        <v>2125</v>
      </c>
      <c r="AG83" s="356">
        <v>15</v>
      </c>
      <c r="AH83" s="356">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7"/>
      <c r="U84" s="358"/>
      <c r="V84" s="358"/>
      <c r="W84" s="352"/>
      <c r="X84" s="359"/>
      <c r="Y84" s="358"/>
      <c r="Z84" s="360"/>
      <c r="AA84" s="354"/>
      <c r="AB84" s="278"/>
    </row>
    <row r="85" spans="1:34" ht="32.25" thickBot="1">
      <c r="A85" s="125"/>
      <c r="B85" s="256" t="s">
        <v>221</v>
      </c>
      <c r="C85" s="361">
        <f t="shared" ref="C85:S85" si="24">IF(((C83="")*AND(C84="")),"",(C83-C84)*2)</f>
        <v>1977.9400000000005</v>
      </c>
      <c r="D85" s="361">
        <f t="shared" si="24"/>
        <v>2013.0999999999995</v>
      </c>
      <c r="E85" s="361">
        <f t="shared" si="24"/>
        <v>2020.4000000000005</v>
      </c>
      <c r="F85" s="361">
        <f t="shared" si="24"/>
        <v>2012.7600000000002</v>
      </c>
      <c r="G85" s="361">
        <f t="shared" si="24"/>
        <v>2035.2200000000003</v>
      </c>
      <c r="H85" s="361">
        <f t="shared" si="24"/>
        <v>2062.4800000000005</v>
      </c>
      <c r="I85" s="361">
        <f t="shared" si="24"/>
        <v>2083.58</v>
      </c>
      <c r="J85" s="361">
        <f t="shared" si="24"/>
        <v>2109.3999999999996</v>
      </c>
      <c r="K85" s="361">
        <f t="shared" si="24"/>
        <v>2075.7399999999998</v>
      </c>
      <c r="L85" s="361">
        <f t="shared" si="24"/>
        <v>2060.4000000000005</v>
      </c>
      <c r="M85" s="361">
        <f t="shared" si="24"/>
        <v>2089.62</v>
      </c>
      <c r="N85" s="361">
        <f t="shared" si="24"/>
        <v>2062.04</v>
      </c>
      <c r="O85" s="361">
        <f t="shared" si="24"/>
        <v>2008.0600000000004</v>
      </c>
      <c r="P85" s="361">
        <f t="shared" si="24"/>
        <v>2061.54</v>
      </c>
      <c r="Q85" s="361">
        <f t="shared" si="24"/>
        <v>2019.7799999999997</v>
      </c>
      <c r="R85" s="361">
        <f t="shared" si="24"/>
        <v>2052.7600000000002</v>
      </c>
      <c r="S85" s="362">
        <f t="shared" si="24"/>
        <v>2007.5599999999995</v>
      </c>
      <c r="T85" s="363"/>
      <c r="U85" s="361"/>
      <c r="V85" s="361"/>
      <c r="W85" s="364"/>
      <c r="X85" s="365"/>
      <c r="Y85" s="361"/>
      <c r="Z85" s="366"/>
      <c r="AA85" s="354"/>
      <c r="AB85" s="278"/>
    </row>
    <row r="86" spans="1:34">
      <c r="A86" s="367">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8">
        <f>IF((S87=""),"",MAX(C88:S88))</f>
        <v>2104.36</v>
      </c>
      <c r="U86" s="248">
        <f>IF(S87="","",MIN(C88:S88))</f>
        <v>1972.9599999999998</v>
      </c>
      <c r="V86" s="263">
        <f>IF((S88=""),"",AVERAGE(C88:S88))</f>
        <v>2039.1623529411766</v>
      </c>
      <c r="W86" s="352">
        <f>STDEV(C88:S88)</f>
        <v>34.171003703675055</v>
      </c>
      <c r="X86" s="249">
        <f>IF((S87=""),"",((T86-U86)/(T86+U86))*100)</f>
        <v>3.2227051102194664</v>
      </c>
      <c r="Y86" s="250" t="str">
        <f>IF(S87="","",IF(X86&lt;15,IF(V86&gt;1690,IF(V86&lt;2125,"Pass","Fail"),"Fail"),"Fail"))</f>
        <v>Pass</v>
      </c>
      <c r="Z86" s="360">
        <v>102</v>
      </c>
      <c r="AA86" s="354"/>
      <c r="AC86" s="316">
        <v>1600</v>
      </c>
      <c r="AD86" s="316">
        <v>2600</v>
      </c>
      <c r="AE86" s="355">
        <v>1690</v>
      </c>
      <c r="AF86" s="355">
        <v>2125</v>
      </c>
      <c r="AG86" s="356">
        <v>15</v>
      </c>
      <c r="AH86" s="356">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7"/>
      <c r="U87" s="358"/>
      <c r="V87" s="358"/>
      <c r="W87" s="352"/>
      <c r="X87" s="359"/>
      <c r="Y87" s="358"/>
      <c r="Z87" s="360"/>
      <c r="AA87" s="354"/>
      <c r="AB87" s="278"/>
    </row>
    <row r="88" spans="1:34" ht="32.25" thickBot="1">
      <c r="A88" s="125"/>
      <c r="B88" s="256" t="s">
        <v>221</v>
      </c>
      <c r="C88" s="361">
        <f t="shared" ref="C88:S88" si="25">IF(((C86="")*AND(C87="")),"",(C86-C87)*2)</f>
        <v>1972.9599999999998</v>
      </c>
      <c r="D88" s="361">
        <f t="shared" si="25"/>
        <v>1994.2800000000002</v>
      </c>
      <c r="E88" s="361">
        <f t="shared" si="25"/>
        <v>2000.3400000000001</v>
      </c>
      <c r="F88" s="361">
        <f t="shared" si="25"/>
        <v>2007.0799999999997</v>
      </c>
      <c r="G88" s="361">
        <f t="shared" si="25"/>
        <v>2023.7200000000003</v>
      </c>
      <c r="H88" s="361">
        <f t="shared" si="25"/>
        <v>2052.66</v>
      </c>
      <c r="I88" s="361">
        <f t="shared" si="25"/>
        <v>2077.92</v>
      </c>
      <c r="J88" s="361">
        <f t="shared" si="25"/>
        <v>2104.36</v>
      </c>
      <c r="K88" s="361">
        <f t="shared" si="25"/>
        <v>2076.6</v>
      </c>
      <c r="L88" s="361">
        <f t="shared" si="25"/>
        <v>2057.84</v>
      </c>
      <c r="M88" s="361">
        <f t="shared" si="25"/>
        <v>2070.2200000000003</v>
      </c>
      <c r="N88" s="361">
        <f t="shared" si="25"/>
        <v>2055.88</v>
      </c>
      <c r="O88" s="361">
        <f t="shared" si="25"/>
        <v>2037.48</v>
      </c>
      <c r="P88" s="361">
        <f t="shared" si="25"/>
        <v>2024.4</v>
      </c>
      <c r="Q88" s="361">
        <f t="shared" si="25"/>
        <v>2039.22</v>
      </c>
      <c r="R88" s="361">
        <f t="shared" si="25"/>
        <v>2048.2799999999997</v>
      </c>
      <c r="S88" s="362">
        <f t="shared" si="25"/>
        <v>2022.5200000000002</v>
      </c>
      <c r="T88" s="363"/>
      <c r="U88" s="361"/>
      <c r="V88" s="361"/>
      <c r="W88" s="364"/>
      <c r="X88" s="365"/>
      <c r="Y88" s="361"/>
      <c r="Z88" s="366"/>
      <c r="AA88" s="354"/>
      <c r="AB88" s="278"/>
    </row>
    <row r="89" spans="1:34">
      <c r="A89" s="369">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8">
        <f>IF((S90=""),"",MAX(C91:S91))</f>
        <v>2094.1999999999998</v>
      </c>
      <c r="U89" s="248">
        <f>IF(S90="","",MIN(C91:S91))</f>
        <v>1948.2600000000002</v>
      </c>
      <c r="V89" s="263">
        <f>IF((S91=""),"",AVERAGE(C91:S91))</f>
        <v>2033.3788235294114</v>
      </c>
      <c r="W89" s="352">
        <f>STDEV(C91:S91)</f>
        <v>35.543918938837528</v>
      </c>
      <c r="X89" s="249">
        <f>IF((S90=""),"",((T89-U89)/(T89+U89))*100)</f>
        <v>3.6101779609445632</v>
      </c>
      <c r="Y89" s="250" t="str">
        <f>IF(S90="","",IF(X89&lt;15,IF(V89&gt;1690,IF(V89&lt;2125,"Pass","Fail"),"Fail"),"Fail"))</f>
        <v>Pass</v>
      </c>
      <c r="Z89" s="360">
        <v>1159</v>
      </c>
      <c r="AA89" s="354"/>
      <c r="AC89" s="316">
        <v>1600</v>
      </c>
      <c r="AD89" s="316">
        <v>2600</v>
      </c>
      <c r="AE89" s="355">
        <v>1690</v>
      </c>
      <c r="AF89" s="355">
        <v>2125</v>
      </c>
      <c r="AG89" s="356">
        <v>15</v>
      </c>
      <c r="AH89" s="356">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7"/>
      <c r="U90" s="358"/>
      <c r="V90" s="358"/>
      <c r="W90" s="352"/>
      <c r="X90" s="359"/>
      <c r="Y90" s="358"/>
      <c r="Z90" s="360"/>
      <c r="AA90" s="354"/>
      <c r="AB90" s="278"/>
    </row>
    <row r="91" spans="1:34" ht="32.25" thickBot="1">
      <c r="A91" s="125"/>
      <c r="B91" s="256" t="s">
        <v>221</v>
      </c>
      <c r="C91" s="361">
        <f t="shared" ref="C91:S91" si="26">IF(((C89="")*AND(C90="")),"",(C89-C90)*2)</f>
        <v>1948.2600000000002</v>
      </c>
      <c r="D91" s="361">
        <f t="shared" si="26"/>
        <v>1992.6799999999998</v>
      </c>
      <c r="E91" s="361">
        <f t="shared" si="26"/>
        <v>2008.2199999999998</v>
      </c>
      <c r="F91" s="361">
        <f t="shared" si="26"/>
        <v>2012.98</v>
      </c>
      <c r="G91" s="361">
        <f t="shared" si="26"/>
        <v>2026.2399999999998</v>
      </c>
      <c r="H91" s="361">
        <f t="shared" si="26"/>
        <v>2054.06</v>
      </c>
      <c r="I91" s="361">
        <f t="shared" si="26"/>
        <v>2078.02</v>
      </c>
      <c r="J91" s="361">
        <f t="shared" si="26"/>
        <v>2094.1999999999998</v>
      </c>
      <c r="K91" s="361">
        <f t="shared" si="26"/>
        <v>2068.8199999999997</v>
      </c>
      <c r="L91" s="361">
        <f t="shared" si="26"/>
        <v>2008.3199999999997</v>
      </c>
      <c r="M91" s="361">
        <f t="shared" si="26"/>
        <v>2064.94</v>
      </c>
      <c r="N91" s="361">
        <f t="shared" si="26"/>
        <v>2053.62</v>
      </c>
      <c r="O91" s="361">
        <f t="shared" si="26"/>
        <v>2034.42</v>
      </c>
      <c r="P91" s="361">
        <f t="shared" si="26"/>
        <v>2030.44</v>
      </c>
      <c r="Q91" s="361">
        <f t="shared" si="26"/>
        <v>2037.02</v>
      </c>
      <c r="R91" s="361">
        <f t="shared" si="26"/>
        <v>2046.48</v>
      </c>
      <c r="S91" s="362">
        <f t="shared" si="26"/>
        <v>2008.7200000000003</v>
      </c>
      <c r="T91" s="363"/>
      <c r="U91" s="361"/>
      <c r="V91" s="361"/>
      <c r="W91" s="364"/>
      <c r="X91" s="365"/>
      <c r="Y91" s="361"/>
      <c r="Z91" s="366"/>
      <c r="AA91" s="354"/>
      <c r="AB91" s="278"/>
    </row>
    <row r="92" spans="1:34">
      <c r="A92" s="367">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8">
        <f>IF((S93=""),"",MAX(C94:S94))</f>
        <v>2045.2399999999998</v>
      </c>
      <c r="U92" s="248">
        <f>IF(S93="","",MIN(C94:S94))</f>
        <v>1967.88</v>
      </c>
      <c r="V92" s="263">
        <f>IF((S94=""),"",AVERAGE(C94:S94))</f>
        <v>2005.3035294117649</v>
      </c>
      <c r="W92" s="352">
        <f>STDEV(C94:S94)</f>
        <v>24.624366220553956</v>
      </c>
      <c r="X92" s="249">
        <f>IF((S93=""),"",((T92-U92)/(T92+U92))*100)</f>
        <v>1.9276772187225819</v>
      </c>
      <c r="Y92" s="250" t="str">
        <f>IF(S93="","",IF(X92&lt;15,IF(V92&gt;1690,IF(V92&lt;2125,"Pass","Fail"),"Fail"),"Fail"))</f>
        <v>Pass</v>
      </c>
      <c r="Z92" s="360">
        <v>1335</v>
      </c>
      <c r="AA92" s="354"/>
      <c r="AC92" s="316">
        <v>1600</v>
      </c>
      <c r="AD92" s="316">
        <v>2600</v>
      </c>
      <c r="AE92" s="355">
        <v>1690</v>
      </c>
      <c r="AF92" s="355">
        <v>2125</v>
      </c>
      <c r="AG92" s="356">
        <v>15</v>
      </c>
      <c r="AH92" s="356">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7"/>
      <c r="U93" s="358"/>
      <c r="V93" s="358"/>
      <c r="W93" s="352"/>
      <c r="X93" s="359"/>
      <c r="Y93" s="358"/>
      <c r="Z93" s="360"/>
      <c r="AA93" s="354"/>
      <c r="AB93" s="278"/>
    </row>
    <row r="94" spans="1:34" ht="32.25" thickBot="1">
      <c r="A94" s="125"/>
      <c r="B94" s="256" t="s">
        <v>221</v>
      </c>
      <c r="C94" s="361">
        <f t="shared" ref="C94:S94" si="27">IF(((C92="")*AND(C93="")),"",(C92-C93)*2)</f>
        <v>2036.3600000000001</v>
      </c>
      <c r="D94" s="361">
        <f t="shared" si="27"/>
        <v>1993.52</v>
      </c>
      <c r="E94" s="361">
        <f t="shared" si="27"/>
        <v>2005.7800000000002</v>
      </c>
      <c r="F94" s="361">
        <f t="shared" si="27"/>
        <v>1999.58</v>
      </c>
      <c r="G94" s="361">
        <f t="shared" si="27"/>
        <v>1981.6</v>
      </c>
      <c r="H94" s="361">
        <f t="shared" si="27"/>
        <v>1977</v>
      </c>
      <c r="I94" s="361">
        <f t="shared" si="27"/>
        <v>2006.2800000000002</v>
      </c>
      <c r="J94" s="361">
        <f t="shared" si="27"/>
        <v>2022.6799999999998</v>
      </c>
      <c r="K94" s="361">
        <f t="shared" si="27"/>
        <v>2045.12</v>
      </c>
      <c r="L94" s="361">
        <f t="shared" si="27"/>
        <v>1992.2800000000002</v>
      </c>
      <c r="M94" s="361">
        <f t="shared" si="27"/>
        <v>1967.88</v>
      </c>
      <c r="N94" s="361">
        <f t="shared" si="27"/>
        <v>1984.04</v>
      </c>
      <c r="O94" s="361">
        <f t="shared" si="27"/>
        <v>1992.1799999999998</v>
      </c>
      <c r="P94" s="361">
        <f t="shared" si="27"/>
        <v>1988.3200000000002</v>
      </c>
      <c r="Q94" s="361">
        <f t="shared" si="27"/>
        <v>2012.6</v>
      </c>
      <c r="R94" s="361">
        <f t="shared" si="27"/>
        <v>2039.6999999999998</v>
      </c>
      <c r="S94" s="362">
        <f t="shared" si="27"/>
        <v>2045.2399999999998</v>
      </c>
      <c r="T94" s="363"/>
      <c r="U94" s="361"/>
      <c r="V94" s="361"/>
      <c r="W94" s="364"/>
      <c r="X94" s="365"/>
      <c r="Y94" s="361"/>
      <c r="Z94" s="366"/>
      <c r="AA94" s="354"/>
      <c r="AB94" s="278"/>
    </row>
    <row r="95" spans="1:34">
      <c r="A95" s="367">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8">
        <f>IF((S96=""),"",MAX(C97:S97))</f>
        <v>2114.08</v>
      </c>
      <c r="U95" s="248">
        <f>IF(S96="","",MIN(C97:S97))</f>
        <v>1961.96</v>
      </c>
      <c r="V95" s="263">
        <f>IF((S97=""),"",AVERAGE(C97:S97))</f>
        <v>2042.0847058823526</v>
      </c>
      <c r="W95" s="352">
        <f>STDEV(C97:S97)</f>
        <v>36.451366592644035</v>
      </c>
      <c r="X95" s="249">
        <f>IF((S96=""),"",((T95-U95)/(T95+U95))*100)</f>
        <v>3.7320536599248264</v>
      </c>
      <c r="Y95" s="250" t="str">
        <f>IF(S96="","",IF(X95&lt;15,IF(V95&gt;1690,IF(V95&lt;2125,"Pass","Fail"),"Fail"),"Fail"))</f>
        <v>Pass</v>
      </c>
      <c r="Z95" s="360"/>
      <c r="AA95" s="354"/>
      <c r="AC95" s="316">
        <v>1600</v>
      </c>
      <c r="AD95" s="316">
        <v>2600</v>
      </c>
      <c r="AE95" s="355">
        <v>1690</v>
      </c>
      <c r="AF95" s="355">
        <v>2125</v>
      </c>
      <c r="AG95" s="356">
        <v>15</v>
      </c>
      <c r="AH95" s="356">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7"/>
      <c r="U96" s="358"/>
      <c r="V96" s="358"/>
      <c r="W96" s="352"/>
      <c r="X96" s="359"/>
      <c r="Y96" s="358"/>
      <c r="Z96" s="360"/>
      <c r="AA96" s="354"/>
      <c r="AB96" s="278"/>
    </row>
    <row r="97" spans="1:34" ht="32.25" thickBot="1">
      <c r="A97" s="125"/>
      <c r="B97" s="256" t="s">
        <v>221</v>
      </c>
      <c r="C97" s="361">
        <f t="shared" ref="C97:S97" si="28">IF(((C95="")*AND(C96="")),"",(C95-C96)*2)</f>
        <v>1961.96</v>
      </c>
      <c r="D97" s="361">
        <f t="shared" si="28"/>
        <v>1996.7799999999997</v>
      </c>
      <c r="E97" s="361">
        <f t="shared" si="28"/>
        <v>2000.6000000000001</v>
      </c>
      <c r="F97" s="361">
        <f t="shared" si="28"/>
        <v>2009.5200000000002</v>
      </c>
      <c r="G97" s="361">
        <f t="shared" si="28"/>
        <v>2035.1000000000001</v>
      </c>
      <c r="H97" s="361">
        <f t="shared" si="28"/>
        <v>2061.6600000000003</v>
      </c>
      <c r="I97" s="361">
        <f t="shared" si="28"/>
        <v>2090.1</v>
      </c>
      <c r="J97" s="361">
        <f t="shared" si="28"/>
        <v>2114.08</v>
      </c>
      <c r="K97" s="361">
        <f t="shared" si="28"/>
        <v>2042.6999999999998</v>
      </c>
      <c r="L97" s="361">
        <f t="shared" si="28"/>
        <v>2062.3000000000002</v>
      </c>
      <c r="M97" s="361">
        <f t="shared" si="28"/>
        <v>2073.3599999999997</v>
      </c>
      <c r="N97" s="361">
        <f t="shared" si="28"/>
        <v>2057.58</v>
      </c>
      <c r="O97" s="361">
        <f t="shared" si="28"/>
        <v>2039.42</v>
      </c>
      <c r="P97" s="361">
        <f t="shared" si="28"/>
        <v>2033.32</v>
      </c>
      <c r="Q97" s="361">
        <f t="shared" si="28"/>
        <v>2047.3600000000001</v>
      </c>
      <c r="R97" s="361">
        <f t="shared" si="28"/>
        <v>2057.66</v>
      </c>
      <c r="S97" s="362">
        <f t="shared" si="28"/>
        <v>2031.9399999999998</v>
      </c>
      <c r="T97" s="363"/>
      <c r="U97" s="361"/>
      <c r="V97" s="361"/>
      <c r="W97" s="364"/>
      <c r="X97" s="365"/>
      <c r="Y97" s="361"/>
      <c r="Z97" s="366"/>
      <c r="AA97" s="354"/>
      <c r="AB97" s="278"/>
    </row>
    <row r="98" spans="1:34">
      <c r="A98" s="369">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8">
        <f>IF((S99=""),"",MAX(C100:S100))</f>
        <v>2058.48</v>
      </c>
      <c r="U98" s="248">
        <f>IF(S99="","",MIN(C100:S100))</f>
        <v>1919.96</v>
      </c>
      <c r="V98" s="263">
        <f>IF((S100=""),"",AVERAGE(C100:S100))</f>
        <v>1997.3047058823529</v>
      </c>
      <c r="W98" s="352">
        <f>STDEV(C100:S100)</f>
        <v>35.374187290599998</v>
      </c>
      <c r="X98" s="249">
        <f>IF((S99=""),"",((T98-U98)/(T98+U98))*100)</f>
        <v>3.481766722635002</v>
      </c>
      <c r="Y98" s="250" t="str">
        <f>IF(S99="","",IF(X98&lt;15,IF(V98&gt;1690,IF(V98&lt;2125,"Pass","Fail"),"Fail"),"Fail"))</f>
        <v>Pass</v>
      </c>
      <c r="Z98" s="360">
        <v>1335</v>
      </c>
      <c r="AA98" s="354"/>
      <c r="AC98" s="316">
        <v>1600</v>
      </c>
      <c r="AD98" s="316">
        <v>2600</v>
      </c>
      <c r="AE98" s="355">
        <v>1690</v>
      </c>
      <c r="AF98" s="355">
        <v>2125</v>
      </c>
      <c r="AG98" s="356">
        <v>15</v>
      </c>
      <c r="AH98" s="356">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7"/>
      <c r="U99" s="358"/>
      <c r="V99" s="358"/>
      <c r="W99" s="352"/>
      <c r="X99" s="359"/>
      <c r="Y99" s="358"/>
      <c r="Z99" s="360"/>
      <c r="AA99" s="354"/>
      <c r="AB99" s="278"/>
    </row>
    <row r="100" spans="1:34" ht="32.25" thickBot="1">
      <c r="A100" s="125"/>
      <c r="B100" s="256" t="s">
        <v>221</v>
      </c>
      <c r="C100" s="361">
        <f t="shared" ref="C100:S100" si="29">IF(((C98="")*AND(C99="")),"",(C98-C99)*2)</f>
        <v>1919.96</v>
      </c>
      <c r="D100" s="361">
        <f t="shared" si="29"/>
        <v>1954.3200000000002</v>
      </c>
      <c r="E100" s="361">
        <f t="shared" si="29"/>
        <v>1965.7399999999998</v>
      </c>
      <c r="F100" s="361">
        <f t="shared" si="29"/>
        <v>1969.1</v>
      </c>
      <c r="G100" s="361">
        <f t="shared" si="29"/>
        <v>1983.8600000000001</v>
      </c>
      <c r="H100" s="361">
        <f t="shared" si="29"/>
        <v>2015.1799999999998</v>
      </c>
      <c r="I100" s="361">
        <f t="shared" si="29"/>
        <v>2043.46</v>
      </c>
      <c r="J100" s="361">
        <f t="shared" si="29"/>
        <v>2058.48</v>
      </c>
      <c r="K100" s="361">
        <f t="shared" si="29"/>
        <v>2031.94</v>
      </c>
      <c r="L100" s="361">
        <f t="shared" si="29"/>
        <v>1974.3000000000002</v>
      </c>
      <c r="M100" s="361">
        <f t="shared" si="29"/>
        <v>2030.3200000000002</v>
      </c>
      <c r="N100" s="361">
        <f t="shared" si="29"/>
        <v>2020.3400000000001</v>
      </c>
      <c r="O100" s="361">
        <f t="shared" si="29"/>
        <v>2003.8200000000002</v>
      </c>
      <c r="P100" s="361">
        <f t="shared" si="29"/>
        <v>1992.94</v>
      </c>
      <c r="Q100" s="361">
        <f t="shared" si="29"/>
        <v>2006.96</v>
      </c>
      <c r="R100" s="361">
        <f t="shared" si="29"/>
        <v>2006.9</v>
      </c>
      <c r="S100" s="362">
        <f t="shared" si="29"/>
        <v>1976.56</v>
      </c>
      <c r="T100" s="363"/>
      <c r="U100" s="361"/>
      <c r="V100" s="361"/>
      <c r="W100" s="364"/>
      <c r="X100" s="365"/>
      <c r="Y100" s="361"/>
      <c r="Z100" s="366"/>
      <c r="AA100" s="354"/>
      <c r="AB100" s="278"/>
    </row>
    <row r="101" spans="1:34">
      <c r="A101" s="369">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8">
        <f>IF((S102=""),"",MAX(C103:S103))</f>
        <v>2164.6800000000003</v>
      </c>
      <c r="U101" s="248">
        <f>IF(S102="","",MIN(C103:S103))</f>
        <v>1978.04</v>
      </c>
      <c r="V101" s="263">
        <f>IF((S103=""),"",AVERAGE(C103:S103))</f>
        <v>2072.185882352941</v>
      </c>
      <c r="W101" s="352">
        <f>STDEV(C103:S103)</f>
        <v>47.757801857249689</v>
      </c>
      <c r="X101" s="249">
        <f>IF((S102=""),"",((T101-U101)/(T101+U101))*100)</f>
        <v>4.5052525876718752</v>
      </c>
      <c r="Y101" s="250" t="str">
        <f>IF(S102="","",IF(X101&lt;15,IF(V101&gt;1690,IF(V101&lt;2125,"Pass","Fail"),"Fail"),"Fail"))</f>
        <v>Pass</v>
      </c>
      <c r="Z101" s="360">
        <v>1335</v>
      </c>
      <c r="AA101" s="354"/>
      <c r="AC101" s="316">
        <v>1600</v>
      </c>
      <c r="AD101" s="316">
        <v>2600</v>
      </c>
      <c r="AE101" s="355">
        <v>1690</v>
      </c>
      <c r="AF101" s="355">
        <v>2125</v>
      </c>
      <c r="AG101" s="356">
        <v>15</v>
      </c>
      <c r="AH101" s="356">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7"/>
      <c r="U102" s="358"/>
      <c r="V102" s="358"/>
      <c r="W102" s="352"/>
      <c r="X102" s="359"/>
      <c r="Y102" s="358"/>
      <c r="Z102" s="360"/>
      <c r="AA102" s="354"/>
      <c r="AB102" s="278"/>
    </row>
    <row r="103" spans="1:34" ht="32.25" thickBot="1">
      <c r="A103" s="125"/>
      <c r="B103" s="256" t="s">
        <v>221</v>
      </c>
      <c r="C103" s="361">
        <f t="shared" ref="C103:S103" si="30">IF(((C101="")*AND(C102="")),"",(C101-C102)*2)</f>
        <v>1978.04</v>
      </c>
      <c r="D103" s="361">
        <f t="shared" si="30"/>
        <v>2009.52</v>
      </c>
      <c r="E103" s="361">
        <f t="shared" si="30"/>
        <v>2018.3</v>
      </c>
      <c r="F103" s="361">
        <f t="shared" si="30"/>
        <v>2029.4199999999998</v>
      </c>
      <c r="G103" s="361">
        <f t="shared" si="30"/>
        <v>2058.3000000000002</v>
      </c>
      <c r="H103" s="361">
        <f t="shared" si="30"/>
        <v>2091.88</v>
      </c>
      <c r="I103" s="361">
        <f t="shared" si="30"/>
        <v>2129.4</v>
      </c>
      <c r="J103" s="361">
        <f t="shared" si="30"/>
        <v>2164.6800000000003</v>
      </c>
      <c r="K103" s="361">
        <f t="shared" si="30"/>
        <v>2138.3999999999996</v>
      </c>
      <c r="L103" s="361">
        <f t="shared" si="30"/>
        <v>2084.6000000000004</v>
      </c>
      <c r="M103" s="361">
        <f t="shared" si="30"/>
        <v>2098.1800000000003</v>
      </c>
      <c r="N103" s="361">
        <f t="shared" si="30"/>
        <v>2085.1</v>
      </c>
      <c r="O103" s="361">
        <f t="shared" si="30"/>
        <v>2062.98</v>
      </c>
      <c r="P103" s="361">
        <f t="shared" si="30"/>
        <v>2062.2200000000003</v>
      </c>
      <c r="Q103" s="361">
        <f t="shared" si="30"/>
        <v>2075.58</v>
      </c>
      <c r="R103" s="361">
        <f t="shared" si="30"/>
        <v>2092.38</v>
      </c>
      <c r="S103" s="362">
        <f t="shared" si="30"/>
        <v>2048.1799999999998</v>
      </c>
      <c r="T103" s="363"/>
      <c r="U103" s="361"/>
      <c r="V103" s="361"/>
      <c r="W103" s="364"/>
      <c r="X103" s="365"/>
      <c r="Y103" s="361"/>
      <c r="Z103" s="366"/>
      <c r="AA103" s="354"/>
      <c r="AB103" s="278"/>
    </row>
    <row r="104" spans="1:34">
      <c r="A104" s="369">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8">
        <f>IF((S105=""),"",MAX(C106:S106))</f>
        <v>2117.8199999999997</v>
      </c>
      <c r="U104" s="248">
        <f>IF(S105="","",MIN(C106:S106))</f>
        <v>1964.12</v>
      </c>
      <c r="V104" s="263">
        <f>IF((S106=""),"",AVERAGE(C106:S106))</f>
        <v>2046.1976470588236</v>
      </c>
      <c r="W104" s="352">
        <f>STDEV(C106:S106)</f>
        <v>40.505688416780444</v>
      </c>
      <c r="X104" s="249">
        <f>IF((S105=""),"",((T104-U104)/(T104+U104))*100)</f>
        <v>3.7653664679049625</v>
      </c>
      <c r="Y104" s="250" t="str">
        <f>IF(S105="","",IF(X104&lt;15,IF(V104&gt;1690,IF(V104&lt;2125,"Pass","Fail"),"Fail"),"Fail"))</f>
        <v>Pass</v>
      </c>
      <c r="Z104" s="360">
        <v>1159</v>
      </c>
      <c r="AA104" s="278" t="s">
        <v>87</v>
      </c>
      <c r="AC104" s="316">
        <v>1600</v>
      </c>
      <c r="AD104" s="316">
        <v>2600</v>
      </c>
      <c r="AE104" s="355">
        <v>1690</v>
      </c>
      <c r="AF104" s="355">
        <v>2125</v>
      </c>
      <c r="AG104" s="356">
        <v>15</v>
      </c>
      <c r="AH104" s="356">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7"/>
      <c r="U105" s="358"/>
      <c r="V105" s="358"/>
      <c r="W105" s="352"/>
      <c r="X105" s="359"/>
      <c r="Y105" s="358"/>
      <c r="Z105" s="360"/>
      <c r="AA105" s="354"/>
      <c r="AB105" s="278"/>
      <c r="AE105" s="355"/>
      <c r="AF105" s="355"/>
      <c r="AG105" s="356"/>
      <c r="AH105" s="356"/>
    </row>
    <row r="106" spans="1:34" ht="32.25" thickBot="1">
      <c r="A106" s="125"/>
      <c r="B106" s="256" t="s">
        <v>221</v>
      </c>
      <c r="C106" s="361">
        <f t="shared" ref="C106:S106" si="31">IF(((C104="")*AND(C105="")),"",(C104-C105)*2)</f>
        <v>1964.12</v>
      </c>
      <c r="D106" s="361">
        <f t="shared" si="31"/>
        <v>1990.9600000000003</v>
      </c>
      <c r="E106" s="361">
        <f t="shared" si="31"/>
        <v>1994.3200000000002</v>
      </c>
      <c r="F106" s="361">
        <f t="shared" si="31"/>
        <v>2007.0200000000002</v>
      </c>
      <c r="G106" s="361">
        <f t="shared" si="31"/>
        <v>2030.34</v>
      </c>
      <c r="H106" s="361">
        <f t="shared" si="31"/>
        <v>2052.84</v>
      </c>
      <c r="I106" s="361">
        <f t="shared" si="31"/>
        <v>2093.38</v>
      </c>
      <c r="J106" s="361">
        <f t="shared" si="31"/>
        <v>2117.8199999999997</v>
      </c>
      <c r="K106" s="361">
        <f t="shared" si="31"/>
        <v>2084.06</v>
      </c>
      <c r="L106" s="361">
        <f t="shared" si="31"/>
        <v>2062.6799999999998</v>
      </c>
      <c r="M106" s="361">
        <f t="shared" si="31"/>
        <v>2074.64</v>
      </c>
      <c r="N106" s="361">
        <f t="shared" si="31"/>
        <v>2055.34</v>
      </c>
      <c r="O106" s="361">
        <f t="shared" si="31"/>
        <v>2038.0799999999997</v>
      </c>
      <c r="P106" s="361">
        <f t="shared" si="31"/>
        <v>2032.3799999999999</v>
      </c>
      <c r="Q106" s="361">
        <f t="shared" si="31"/>
        <v>2045.4</v>
      </c>
      <c r="R106" s="361">
        <f t="shared" si="31"/>
        <v>2055.16</v>
      </c>
      <c r="S106" s="362">
        <f t="shared" si="31"/>
        <v>2086.8200000000002</v>
      </c>
      <c r="T106" s="363"/>
      <c r="U106" s="361"/>
      <c r="V106" s="361"/>
      <c r="W106" s="364"/>
      <c r="X106" s="365"/>
      <c r="Y106" s="361"/>
      <c r="Z106" s="366"/>
      <c r="AA106" s="354"/>
      <c r="AB106" s="278"/>
      <c r="AE106" s="355"/>
      <c r="AF106" s="355"/>
      <c r="AG106" s="356"/>
      <c r="AH106" s="356"/>
    </row>
    <row r="107" spans="1:34">
      <c r="A107" s="369">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8">
        <f>IF((S108=""),"",MAX(C109:S109))</f>
        <v>2112.2399999999998</v>
      </c>
      <c r="U107" s="248">
        <f>IF(S108="","",MIN(C109:S109))</f>
        <v>1958.46</v>
      </c>
      <c r="V107" s="263">
        <f>IF((S109=""),"",AVERAGE(C109:S109))</f>
        <v>2040.7905882352939</v>
      </c>
      <c r="W107" s="352">
        <f>STDEV(C109:S109)</f>
        <v>36.530545518581185</v>
      </c>
      <c r="X107" s="249">
        <f>IF((S108=""),"",((T107-U107)/(T107+U107))*100)</f>
        <v>3.7777286461787836</v>
      </c>
      <c r="Y107" s="250" t="str">
        <f>IF(S108="","",IF(X107&lt;15,IF(V107&gt;1690,IF(V107&lt;2125,"Pass","Fail"),"Fail"),"Fail"))</f>
        <v>Pass</v>
      </c>
      <c r="Z107" s="360">
        <v>1159</v>
      </c>
      <c r="AA107" s="278" t="s">
        <v>88</v>
      </c>
      <c r="AC107" s="316">
        <v>1600</v>
      </c>
      <c r="AD107" s="316">
        <v>2600</v>
      </c>
      <c r="AE107" s="355">
        <v>1690</v>
      </c>
      <c r="AF107" s="355">
        <v>2125</v>
      </c>
      <c r="AG107" s="356">
        <v>15</v>
      </c>
      <c r="AH107" s="356">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7"/>
      <c r="U108" s="358"/>
      <c r="V108" s="358"/>
      <c r="W108" s="352"/>
      <c r="X108" s="359"/>
      <c r="Y108" s="358"/>
      <c r="Z108" s="360"/>
      <c r="AA108" s="354"/>
      <c r="AB108" s="278"/>
    </row>
    <row r="109" spans="1:34" ht="32.25" thickBot="1">
      <c r="A109" s="125"/>
      <c r="B109" s="256" t="s">
        <v>221</v>
      </c>
      <c r="C109" s="361">
        <f t="shared" ref="C109:S109" si="32">IF(((C107="")*AND(C108="")),"",(C107-C108)*2)</f>
        <v>1958.46</v>
      </c>
      <c r="D109" s="361">
        <f t="shared" si="32"/>
        <v>1995.38</v>
      </c>
      <c r="E109" s="361">
        <f t="shared" si="32"/>
        <v>2005.7199999999998</v>
      </c>
      <c r="F109" s="361">
        <f t="shared" si="32"/>
        <v>2010.12</v>
      </c>
      <c r="G109" s="361">
        <f t="shared" si="32"/>
        <v>2026.2600000000002</v>
      </c>
      <c r="H109" s="361">
        <f t="shared" si="32"/>
        <v>2059.6799999999998</v>
      </c>
      <c r="I109" s="361">
        <f t="shared" si="32"/>
        <v>2091.46</v>
      </c>
      <c r="J109" s="361">
        <f t="shared" si="32"/>
        <v>2112.2399999999998</v>
      </c>
      <c r="K109" s="361">
        <f t="shared" si="32"/>
        <v>2047.92</v>
      </c>
      <c r="L109" s="361">
        <f t="shared" si="32"/>
        <v>2032.2800000000002</v>
      </c>
      <c r="M109" s="361">
        <f t="shared" si="32"/>
        <v>2068.94</v>
      </c>
      <c r="N109" s="361">
        <f t="shared" si="32"/>
        <v>2060.44</v>
      </c>
      <c r="O109" s="361">
        <f t="shared" si="32"/>
        <v>2041.2800000000002</v>
      </c>
      <c r="P109" s="361">
        <f t="shared" si="32"/>
        <v>2038.7600000000002</v>
      </c>
      <c r="Q109" s="361">
        <f t="shared" si="32"/>
        <v>2054.44</v>
      </c>
      <c r="R109" s="361">
        <f t="shared" si="32"/>
        <v>2061.94</v>
      </c>
      <c r="S109" s="362">
        <f t="shared" si="32"/>
        <v>2028.12</v>
      </c>
      <c r="T109" s="363"/>
      <c r="U109" s="361"/>
      <c r="V109" s="361"/>
      <c r="W109" s="364"/>
      <c r="X109" s="365"/>
      <c r="Y109" s="361"/>
      <c r="Z109" s="366"/>
      <c r="AA109" s="354"/>
      <c r="AB109" s="278"/>
    </row>
    <row r="110" spans="1:34">
      <c r="A110" s="367">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8">
        <f>IF((S111=""),"",MAX(C112:S112))</f>
        <v>2116.6799999999998</v>
      </c>
      <c r="U110" s="248">
        <f>IF(S111="","",MIN(C112:S112))</f>
        <v>1944.3000000000002</v>
      </c>
      <c r="V110" s="263">
        <f>IF((S112=""),"",AVERAGE(C112:S112))</f>
        <v>2031.0305882352943</v>
      </c>
      <c r="W110" s="352">
        <f>STDEV(C112:S112)</f>
        <v>42.239434843290113</v>
      </c>
      <c r="X110" s="249">
        <f>IF((S111=""),"",((T110-U110)/(T110+U110))*100)</f>
        <v>4.2447882038325639</v>
      </c>
      <c r="Y110" s="250" t="str">
        <f>IF(S111="","",IF(X110&lt;15,IF(V110&gt;1690,IF(V110&lt;2125,"Pass","Fail"),"Fail"),"Fail"))</f>
        <v>Pass</v>
      </c>
      <c r="Z110" s="360">
        <v>1340</v>
      </c>
      <c r="AA110" s="354"/>
      <c r="AC110" s="316">
        <v>1600</v>
      </c>
      <c r="AD110" s="316">
        <v>2600</v>
      </c>
      <c r="AE110" s="355">
        <v>1690</v>
      </c>
      <c r="AF110" s="355">
        <v>2125</v>
      </c>
      <c r="AG110" s="356">
        <v>15</v>
      </c>
      <c r="AH110" s="356">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7"/>
      <c r="U111" s="358"/>
      <c r="V111" s="358"/>
      <c r="W111" s="352"/>
      <c r="X111" s="359"/>
      <c r="Y111" s="358"/>
      <c r="Z111" s="360"/>
      <c r="AA111" s="354"/>
      <c r="AB111" s="278"/>
    </row>
    <row r="112" spans="1:34" ht="32.25" thickBot="1">
      <c r="A112" s="125"/>
      <c r="B112" s="256" t="s">
        <v>221</v>
      </c>
      <c r="C112" s="361">
        <f t="shared" ref="C112:S112" si="33">IF(((C110="")*AND(C111="")),"",(C110-C111)*2)</f>
        <v>1944.3000000000002</v>
      </c>
      <c r="D112" s="361">
        <f t="shared" si="33"/>
        <v>1982.2399999999998</v>
      </c>
      <c r="E112" s="361">
        <f t="shared" si="33"/>
        <v>1990.48</v>
      </c>
      <c r="F112" s="361">
        <f t="shared" si="33"/>
        <v>1999.38</v>
      </c>
      <c r="G112" s="361">
        <f t="shared" si="33"/>
        <v>2016.3000000000002</v>
      </c>
      <c r="H112" s="361">
        <f t="shared" si="33"/>
        <v>2057.6</v>
      </c>
      <c r="I112" s="361">
        <f t="shared" si="33"/>
        <v>2091.52</v>
      </c>
      <c r="J112" s="361">
        <f t="shared" si="33"/>
        <v>2116.6799999999998</v>
      </c>
      <c r="K112" s="361">
        <f t="shared" si="33"/>
        <v>2052.08</v>
      </c>
      <c r="L112" s="361">
        <f t="shared" si="33"/>
        <v>1996.6400000000003</v>
      </c>
      <c r="M112" s="361">
        <f t="shared" si="33"/>
        <v>2061.38</v>
      </c>
      <c r="N112" s="361">
        <f t="shared" si="33"/>
        <v>2052.52</v>
      </c>
      <c r="O112" s="361">
        <f t="shared" si="33"/>
        <v>2028.88</v>
      </c>
      <c r="P112" s="361">
        <f t="shared" si="33"/>
        <v>2032.1999999999998</v>
      </c>
      <c r="Q112" s="361">
        <f t="shared" si="33"/>
        <v>2044.98</v>
      </c>
      <c r="R112" s="361">
        <f t="shared" si="33"/>
        <v>2051.02</v>
      </c>
      <c r="S112" s="362">
        <f t="shared" si="33"/>
        <v>2009.3199999999997</v>
      </c>
      <c r="T112" s="363"/>
      <c r="U112" s="361"/>
      <c r="V112" s="361"/>
      <c r="W112" s="364"/>
      <c r="X112" s="365"/>
      <c r="Y112" s="361"/>
      <c r="Z112" s="366"/>
      <c r="AA112" s="354"/>
      <c r="AB112" s="278"/>
    </row>
    <row r="113" spans="1:34">
      <c r="A113" s="367">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8">
        <f>IF((S114=""),"",MAX(C115:S115))</f>
        <v>2203.2199999999998</v>
      </c>
      <c r="U113" s="248">
        <f>IF(S114="","",MIN(C115:S115))</f>
        <v>1957.6</v>
      </c>
      <c r="V113" s="263">
        <f>IF((S115=""),"",AVERAGE(C115:S115))</f>
        <v>2037.1647058823528</v>
      </c>
      <c r="W113" s="352">
        <f>STDEV(C115:S115)</f>
        <v>68.231932601031673</v>
      </c>
      <c r="X113" s="249">
        <f>IF((S114=""),"",((T113-U113)/(T113+U113))*100)</f>
        <v>5.9031633187688941</v>
      </c>
      <c r="Y113" s="250" t="str">
        <f>IF(S114="","",IF(X113&lt;15,IF(V113&gt;1690,IF(V113&lt;2125,"Pass","Fail"),"Fail"),"Fail"))</f>
        <v>Pass</v>
      </c>
      <c r="Z113" s="360">
        <v>1428</v>
      </c>
      <c r="AA113" s="354"/>
      <c r="AC113" s="316">
        <v>1600</v>
      </c>
      <c r="AD113" s="316">
        <v>2600</v>
      </c>
      <c r="AE113" s="355">
        <v>1690</v>
      </c>
      <c r="AF113" s="355">
        <v>2125</v>
      </c>
      <c r="AG113" s="356">
        <v>15</v>
      </c>
      <c r="AH113" s="356">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7"/>
      <c r="U114" s="358"/>
      <c r="V114" s="358"/>
      <c r="W114" s="352"/>
      <c r="X114" s="359"/>
      <c r="Y114" s="358"/>
      <c r="Z114" s="360"/>
      <c r="AA114" s="354"/>
      <c r="AB114" s="278"/>
    </row>
    <row r="115" spans="1:34" ht="32.25" thickBot="1">
      <c r="A115" s="125"/>
      <c r="B115" s="256" t="s">
        <v>221</v>
      </c>
      <c r="C115" s="361">
        <f t="shared" ref="C115:S115" si="34">IF(((C113="")*AND(C114="")),"",(C113-C114)*2)</f>
        <v>1978.36</v>
      </c>
      <c r="D115" s="361">
        <f t="shared" si="34"/>
        <v>1997.02</v>
      </c>
      <c r="E115" s="361">
        <f t="shared" si="34"/>
        <v>2003.2600000000002</v>
      </c>
      <c r="F115" s="361">
        <f t="shared" si="34"/>
        <v>2018.7400000000002</v>
      </c>
      <c r="G115" s="361">
        <f t="shared" si="34"/>
        <v>2030.12</v>
      </c>
      <c r="H115" s="361">
        <f t="shared" si="34"/>
        <v>2062.98</v>
      </c>
      <c r="I115" s="361">
        <f t="shared" si="34"/>
        <v>2098.6600000000003</v>
      </c>
      <c r="J115" s="361">
        <f t="shared" si="34"/>
        <v>2141.1400000000003</v>
      </c>
      <c r="K115" s="361">
        <f t="shared" si="34"/>
        <v>2203.2199999999998</v>
      </c>
      <c r="L115" s="361">
        <f t="shared" si="34"/>
        <v>2093.1999999999998</v>
      </c>
      <c r="M115" s="361">
        <f t="shared" si="34"/>
        <v>1973.9800000000002</v>
      </c>
      <c r="N115" s="361">
        <f t="shared" si="34"/>
        <v>1981.78</v>
      </c>
      <c r="O115" s="361">
        <f t="shared" si="34"/>
        <v>1957.6</v>
      </c>
      <c r="P115" s="361">
        <f t="shared" si="34"/>
        <v>1998.6000000000001</v>
      </c>
      <c r="Q115" s="361">
        <f t="shared" si="34"/>
        <v>1963.7200000000003</v>
      </c>
      <c r="R115" s="361">
        <f t="shared" si="34"/>
        <v>2057</v>
      </c>
      <c r="S115" s="362">
        <f t="shared" si="34"/>
        <v>2072.42</v>
      </c>
      <c r="T115" s="363"/>
      <c r="U115" s="361"/>
      <c r="V115" s="361"/>
      <c r="W115" s="364"/>
      <c r="X115" s="365"/>
      <c r="Y115" s="361"/>
      <c r="Z115" s="366"/>
      <c r="AA115" s="354"/>
      <c r="AB115" s="278"/>
    </row>
    <row r="116" spans="1:34">
      <c r="A116" s="367">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8">
        <f>IF((S117=""),"",MAX(C118:S118))</f>
        <v>2176</v>
      </c>
      <c r="U116" s="248">
        <f>IF(S117="","",MIN(C118:S118))</f>
        <v>2008</v>
      </c>
      <c r="V116" s="263">
        <f>IF((S118=""),"",AVERAGE(C118:S118))</f>
        <v>2093.8823529411766</v>
      </c>
      <c r="W116" s="352">
        <f>STDEV(C118:S118)</f>
        <v>42.263876941397513</v>
      </c>
      <c r="X116" s="249">
        <f>IF((S117=""),"",((T116-U116)/(T116+U116))*100)</f>
        <v>4.0152963671128106</v>
      </c>
      <c r="Y116" s="250" t="str">
        <f>IF(S117="","",IF(X116&lt;15,IF(V116&gt;1690,IF(V116&lt;2125,"Pass","Fail"),"Fail"),"Fail"))</f>
        <v>Pass</v>
      </c>
      <c r="Z116" s="360">
        <v>1335</v>
      </c>
      <c r="AA116" s="354"/>
      <c r="AC116" s="316">
        <v>1600</v>
      </c>
      <c r="AD116" s="316">
        <v>2600</v>
      </c>
      <c r="AE116" s="355">
        <v>1690</v>
      </c>
      <c r="AF116" s="355">
        <v>2125</v>
      </c>
      <c r="AG116" s="356">
        <v>15</v>
      </c>
      <c r="AH116" s="356">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7"/>
      <c r="U117" s="358"/>
      <c r="V117" s="358"/>
      <c r="W117" s="352"/>
      <c r="X117" s="359"/>
      <c r="Y117" s="358"/>
      <c r="Z117" s="360"/>
      <c r="AA117" s="354"/>
      <c r="AB117" s="278"/>
    </row>
    <row r="118" spans="1:34" ht="32.25" thickBot="1">
      <c r="A118" s="125"/>
      <c r="B118" s="256" t="s">
        <v>221</v>
      </c>
      <c r="C118" s="361">
        <f t="shared" ref="C118:S118" si="35">IF(((C116="")*AND(C117="")),"",(C116-C117)*2)</f>
        <v>2008</v>
      </c>
      <c r="D118" s="361">
        <f t="shared" si="35"/>
        <v>2032</v>
      </c>
      <c r="E118" s="361">
        <f t="shared" si="35"/>
        <v>2044</v>
      </c>
      <c r="F118" s="361">
        <f t="shared" si="35"/>
        <v>2052</v>
      </c>
      <c r="G118" s="361">
        <f t="shared" si="35"/>
        <v>2074</v>
      </c>
      <c r="H118" s="361">
        <f t="shared" si="35"/>
        <v>2110</v>
      </c>
      <c r="I118" s="361">
        <f t="shared" si="35"/>
        <v>2150</v>
      </c>
      <c r="J118" s="361">
        <f t="shared" si="35"/>
        <v>2176</v>
      </c>
      <c r="K118" s="361">
        <f t="shared" si="35"/>
        <v>2120</v>
      </c>
      <c r="L118" s="361">
        <f t="shared" si="35"/>
        <v>2096</v>
      </c>
      <c r="M118" s="361">
        <f t="shared" si="35"/>
        <v>2122</v>
      </c>
      <c r="N118" s="361">
        <f t="shared" si="35"/>
        <v>2094</v>
      </c>
      <c r="O118" s="361">
        <f t="shared" si="35"/>
        <v>2098</v>
      </c>
      <c r="P118" s="361">
        <f t="shared" si="35"/>
        <v>2090</v>
      </c>
      <c r="Q118" s="361">
        <f t="shared" si="35"/>
        <v>2096</v>
      </c>
      <c r="R118" s="361">
        <f t="shared" si="35"/>
        <v>2118</v>
      </c>
      <c r="S118" s="362">
        <f t="shared" si="35"/>
        <v>2116</v>
      </c>
      <c r="T118" s="363"/>
      <c r="U118" s="361"/>
      <c r="V118" s="361"/>
      <c r="W118" s="364"/>
      <c r="X118" s="365"/>
      <c r="Y118" s="361"/>
      <c r="Z118" s="366"/>
      <c r="AA118" s="354"/>
      <c r="AB118" s="278"/>
    </row>
    <row r="119" spans="1:34">
      <c r="A119" s="367">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8">
        <f>IF((S120=""),"",MAX(C121:S121))</f>
        <v>2106</v>
      </c>
      <c r="U119" s="248">
        <f>IF(S120="","",MIN(C121:S121))</f>
        <v>1962</v>
      </c>
      <c r="V119" s="263">
        <f>IF((S121=""),"",AVERAGE(C121:S121))</f>
        <v>2038.2352941176471</v>
      </c>
      <c r="W119" s="352">
        <f>STDEV(C121:S121)</f>
        <v>40.142759950835085</v>
      </c>
      <c r="X119" s="249">
        <f>IF((S120=""),"",((T119-U119)/(T119+U119))*100)</f>
        <v>3.5398230088495577</v>
      </c>
      <c r="Y119" s="250" t="str">
        <f>IF(S120="","",IF(X119&lt;15,IF(V119&gt;1690,IF(V119&lt;2125,"Pass","Fail"),"Fail"),"Fail"))</f>
        <v>Pass</v>
      </c>
      <c r="Z119" s="360">
        <v>1335</v>
      </c>
      <c r="AA119" s="354"/>
      <c r="AC119" s="316">
        <v>1600</v>
      </c>
      <c r="AD119" s="316">
        <v>2600</v>
      </c>
      <c r="AE119" s="355">
        <v>1690</v>
      </c>
      <c r="AF119" s="355">
        <v>2125</v>
      </c>
      <c r="AG119" s="356">
        <v>15</v>
      </c>
      <c r="AH119" s="356">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7"/>
      <c r="U120" s="358"/>
      <c r="V120" s="358"/>
      <c r="W120" s="352"/>
      <c r="X120" s="359"/>
      <c r="Y120" s="358"/>
      <c r="Z120" s="360"/>
      <c r="AA120" s="354"/>
      <c r="AB120" s="278"/>
    </row>
    <row r="121" spans="1:34" ht="32.25" thickBot="1">
      <c r="A121" s="125"/>
      <c r="B121" s="256" t="s">
        <v>221</v>
      </c>
      <c r="C121" s="361">
        <f t="shared" ref="C121:S121" si="36">IF(((C119="")*AND(C120="")),"",(C119-C120)*2)</f>
        <v>1962</v>
      </c>
      <c r="D121" s="361">
        <f t="shared" si="36"/>
        <v>1992</v>
      </c>
      <c r="E121" s="361">
        <f t="shared" si="36"/>
        <v>2000</v>
      </c>
      <c r="F121" s="361">
        <f t="shared" si="36"/>
        <v>2008</v>
      </c>
      <c r="G121" s="361">
        <f t="shared" si="36"/>
        <v>2028</v>
      </c>
      <c r="H121" s="361">
        <f t="shared" si="36"/>
        <v>2054</v>
      </c>
      <c r="I121" s="361">
        <f t="shared" si="36"/>
        <v>2084</v>
      </c>
      <c r="J121" s="361">
        <f t="shared" si="36"/>
        <v>2106</v>
      </c>
      <c r="K121" s="361">
        <f t="shared" si="36"/>
        <v>2084</v>
      </c>
      <c r="L121" s="361">
        <f t="shared" si="36"/>
        <v>2052</v>
      </c>
      <c r="M121" s="361">
        <f t="shared" si="36"/>
        <v>2022</v>
      </c>
      <c r="N121" s="361">
        <f t="shared" si="36"/>
        <v>2066</v>
      </c>
      <c r="O121" s="361">
        <f t="shared" si="36"/>
        <v>2054</v>
      </c>
      <c r="P121" s="361">
        <f t="shared" si="36"/>
        <v>2038</v>
      </c>
      <c r="Q121" s="361">
        <f t="shared" si="36"/>
        <v>2044</v>
      </c>
      <c r="R121" s="361">
        <f t="shared" si="36"/>
        <v>1980</v>
      </c>
      <c r="S121" s="362">
        <f t="shared" si="36"/>
        <v>2076</v>
      </c>
      <c r="T121" s="363"/>
      <c r="U121" s="361"/>
      <c r="V121" s="361"/>
      <c r="W121" s="364"/>
      <c r="X121" s="365"/>
      <c r="Y121" s="361"/>
      <c r="Z121" s="366"/>
      <c r="AA121" s="354"/>
      <c r="AB121" s="278"/>
    </row>
    <row r="122" spans="1:34">
      <c r="A122" s="369">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8">
        <f>IF((S123=""),"",MAX(C124:S124))</f>
        <v>2106.54</v>
      </c>
      <c r="U122" s="248">
        <f>IF(S123="","",MIN(C124:S124))</f>
        <v>1944.6999999999998</v>
      </c>
      <c r="V122" s="263">
        <f>IF((S124=""),"",AVERAGE(C124:S124))</f>
        <v>2040.4705882352941</v>
      </c>
      <c r="W122" s="352">
        <f>STDEV(C124:S124)</f>
        <v>39.764989071824154</v>
      </c>
      <c r="X122" s="249">
        <f>IF((S123=""),"",((T122-U122)/(T122+U122))*100)</f>
        <v>3.9948262754119765</v>
      </c>
      <c r="Y122" s="250" t="str">
        <f>IF(S123="","",IF(X122&lt;15,IF(V122&gt;1690,IF(V122&lt;2125,"Pass","Fail"),"Fail"),"Fail"))</f>
        <v>Pass</v>
      </c>
      <c r="Z122" s="360">
        <v>1340</v>
      </c>
      <c r="AA122" s="354"/>
      <c r="AC122" s="316">
        <v>1600</v>
      </c>
      <c r="AD122" s="316">
        <v>2600</v>
      </c>
      <c r="AE122" s="355">
        <v>1690</v>
      </c>
      <c r="AF122" s="355">
        <v>2125</v>
      </c>
      <c r="AG122" s="356">
        <v>15</v>
      </c>
      <c r="AH122" s="356">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7"/>
      <c r="U123" s="358"/>
      <c r="V123" s="358"/>
      <c r="W123" s="352"/>
      <c r="X123" s="359"/>
      <c r="Y123" s="358"/>
      <c r="Z123" s="360"/>
      <c r="AA123" s="354"/>
      <c r="AB123" s="278"/>
    </row>
    <row r="124" spans="1:34" ht="32.25" thickBot="1">
      <c r="A124" s="125"/>
      <c r="B124" s="256" t="s">
        <v>221</v>
      </c>
      <c r="C124" s="361">
        <f t="shared" ref="C124:S124" si="37">IF(((C122="")*AND(C123="")),"",(C122-C123)*2)</f>
        <v>1944.6999999999998</v>
      </c>
      <c r="D124" s="361">
        <f t="shared" si="37"/>
        <v>1991.6599999999999</v>
      </c>
      <c r="E124" s="361">
        <f t="shared" si="37"/>
        <v>2001.3400000000001</v>
      </c>
      <c r="F124" s="361">
        <f t="shared" si="37"/>
        <v>2013.08</v>
      </c>
      <c r="G124" s="361">
        <f t="shared" si="37"/>
        <v>2028.38</v>
      </c>
      <c r="H124" s="361">
        <f t="shared" si="37"/>
        <v>2058.7800000000002</v>
      </c>
      <c r="I124" s="361">
        <f t="shared" si="37"/>
        <v>2087.2800000000002</v>
      </c>
      <c r="J124" s="361">
        <f t="shared" si="37"/>
        <v>2106.54</v>
      </c>
      <c r="K124" s="361">
        <f t="shared" si="37"/>
        <v>2090.7799999999997</v>
      </c>
      <c r="L124" s="361">
        <f t="shared" si="37"/>
        <v>2037.3200000000002</v>
      </c>
      <c r="M124" s="361">
        <f t="shared" si="37"/>
        <v>2073.7600000000002</v>
      </c>
      <c r="N124" s="361">
        <f t="shared" si="37"/>
        <v>2055.7600000000002</v>
      </c>
      <c r="O124" s="361">
        <f t="shared" si="37"/>
        <v>2040.54</v>
      </c>
      <c r="P124" s="361">
        <f t="shared" si="37"/>
        <v>2034.12</v>
      </c>
      <c r="Q124" s="361">
        <f t="shared" si="37"/>
        <v>2044.3400000000001</v>
      </c>
      <c r="R124" s="361">
        <f t="shared" si="37"/>
        <v>2055.42</v>
      </c>
      <c r="S124" s="362">
        <f t="shared" si="37"/>
        <v>2024.1999999999998</v>
      </c>
      <c r="T124" s="363"/>
      <c r="U124" s="361"/>
      <c r="V124" s="361"/>
      <c r="W124" s="364"/>
      <c r="X124" s="365"/>
      <c r="Y124" s="361"/>
      <c r="Z124" s="366"/>
      <c r="AA124" s="354"/>
      <c r="AB124" s="278"/>
    </row>
    <row r="125" spans="1:34">
      <c r="A125" s="369">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8">
        <f>IF((S126=""),"",MAX(C127:S127))</f>
        <v>2129.8000000000002</v>
      </c>
      <c r="U125" s="248">
        <f>IF(S126="","",MIN(C127:S127))</f>
        <v>1984.4399999999996</v>
      </c>
      <c r="V125" s="263">
        <f>IF((S127=""),"",AVERAGE(C127:S127))</f>
        <v>2045.5670588235294</v>
      </c>
      <c r="W125" s="352">
        <f>STDEV(C127:S127)</f>
        <v>37.806347311785508</v>
      </c>
      <c r="X125" s="249">
        <f>IF((S126=""),"",((T125-U125)/(T125+U125))*100)</f>
        <v>3.5330948121645935</v>
      </c>
      <c r="Y125" s="250" t="str">
        <f>IF(S126="","",IF(X125&lt;15,IF(V125&gt;1690,IF(V125&lt;2125,"Pass","Fail"),"Fail"),"Fail"))</f>
        <v>Pass</v>
      </c>
      <c r="Z125" s="360">
        <v>1340</v>
      </c>
      <c r="AA125" s="354"/>
      <c r="AC125" s="316">
        <v>1600</v>
      </c>
      <c r="AD125" s="316">
        <v>2600</v>
      </c>
      <c r="AE125" s="355">
        <v>1690</v>
      </c>
      <c r="AF125" s="355">
        <v>2125</v>
      </c>
      <c r="AG125" s="356">
        <v>15</v>
      </c>
      <c r="AH125" s="356">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7"/>
      <c r="U126" s="358"/>
      <c r="V126" s="358"/>
      <c r="W126" s="352"/>
      <c r="X126" s="359"/>
      <c r="Y126" s="358"/>
      <c r="Z126" s="360"/>
      <c r="AA126" s="354"/>
      <c r="AB126" s="278"/>
    </row>
    <row r="127" spans="1:34" ht="32.25" thickBot="1">
      <c r="A127" s="125"/>
      <c r="B127" s="256" t="s">
        <v>221</v>
      </c>
      <c r="C127" s="361">
        <f t="shared" ref="C127:S127" si="38">IF(((C125="")*AND(C126="")),"",(C125-C126)*2)</f>
        <v>2129.8000000000002</v>
      </c>
      <c r="D127" s="361">
        <f t="shared" si="38"/>
        <v>1984.4399999999996</v>
      </c>
      <c r="E127" s="361">
        <f t="shared" si="38"/>
        <v>1999.54</v>
      </c>
      <c r="F127" s="361">
        <f t="shared" si="38"/>
        <v>2009.12</v>
      </c>
      <c r="G127" s="361">
        <f t="shared" si="38"/>
        <v>2025.1799999999998</v>
      </c>
      <c r="H127" s="361">
        <f t="shared" si="38"/>
        <v>2053.42</v>
      </c>
      <c r="I127" s="361">
        <f t="shared" si="38"/>
        <v>2083.04</v>
      </c>
      <c r="J127" s="361">
        <f t="shared" si="38"/>
        <v>2100.96</v>
      </c>
      <c r="K127" s="361">
        <f t="shared" si="38"/>
        <v>2060.3000000000002</v>
      </c>
      <c r="L127" s="361">
        <f t="shared" si="38"/>
        <v>2041.2600000000002</v>
      </c>
      <c r="M127" s="361">
        <f t="shared" si="38"/>
        <v>2067.14</v>
      </c>
      <c r="N127" s="361">
        <f t="shared" si="38"/>
        <v>2057.34</v>
      </c>
      <c r="O127" s="361">
        <f t="shared" si="38"/>
        <v>2040.46</v>
      </c>
      <c r="P127" s="361">
        <f t="shared" si="38"/>
        <v>2035.2800000000002</v>
      </c>
      <c r="Q127" s="361">
        <f t="shared" si="38"/>
        <v>2044.48</v>
      </c>
      <c r="R127" s="361">
        <f t="shared" si="38"/>
        <v>2048.86</v>
      </c>
      <c r="S127" s="362">
        <f t="shared" si="38"/>
        <v>1994.0200000000004</v>
      </c>
      <c r="T127" s="363"/>
      <c r="U127" s="361"/>
      <c r="V127" s="361"/>
      <c r="W127" s="364"/>
      <c r="X127" s="365"/>
      <c r="Y127" s="361"/>
      <c r="Z127" s="366"/>
      <c r="AA127" s="354"/>
      <c r="AB127" s="278"/>
    </row>
    <row r="128" spans="1:34">
      <c r="A128" s="367">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8">
        <f>IF((S129=""),"",MAX(C130:S130))</f>
        <v>2099.2999999999997</v>
      </c>
      <c r="U128" s="248">
        <f>IF(S129="","",MIN(C130:S130))</f>
        <v>1941.02</v>
      </c>
      <c r="V128" s="263">
        <f>IF((S130=""),"",AVERAGE(C130:S130))</f>
        <v>2033.4211764705885</v>
      </c>
      <c r="W128" s="352">
        <f>STDEV(C130:S130)</f>
        <v>40.803867139390171</v>
      </c>
      <c r="X128" s="249">
        <f>IF((S129=""),"",((T128-U128)/(T128+U128))*100)</f>
        <v>3.9175114842388661</v>
      </c>
      <c r="Y128" s="250" t="str">
        <f>IF(S129="","",IF(X128&lt;15,IF(V128&gt;1690,IF(V128&lt;2125,"Pass","Fail"),"Fail"),"Fail"))</f>
        <v>Pass</v>
      </c>
      <c r="Z128" s="360">
        <v>74</v>
      </c>
      <c r="AA128" s="354"/>
      <c r="AC128" s="316">
        <v>1600</v>
      </c>
      <c r="AD128" s="316">
        <v>2600</v>
      </c>
      <c r="AE128" s="355">
        <v>1690</v>
      </c>
      <c r="AF128" s="355">
        <v>2125</v>
      </c>
      <c r="AG128" s="356">
        <v>15</v>
      </c>
      <c r="AH128" s="356">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7"/>
      <c r="U129" s="358"/>
      <c r="V129" s="358"/>
      <c r="W129" s="352"/>
      <c r="X129" s="359"/>
      <c r="Y129" s="358"/>
      <c r="Z129" s="360"/>
      <c r="AA129" s="354"/>
      <c r="AB129" s="278"/>
    </row>
    <row r="130" spans="1:34" ht="32.25" thickBot="1">
      <c r="A130" s="125"/>
      <c r="B130" s="256" t="s">
        <v>221</v>
      </c>
      <c r="C130" s="361">
        <f t="shared" ref="C130:S130" si="39">IF(((C128="")*AND(C129="")),"",(C128-C129)*2)</f>
        <v>1941.02</v>
      </c>
      <c r="D130" s="361">
        <f t="shared" si="39"/>
        <v>1986.7999999999997</v>
      </c>
      <c r="E130" s="361">
        <f t="shared" si="39"/>
        <v>1989.1</v>
      </c>
      <c r="F130" s="361">
        <f t="shared" si="39"/>
        <v>1993.38</v>
      </c>
      <c r="G130" s="361">
        <f t="shared" si="39"/>
        <v>2008.5400000000002</v>
      </c>
      <c r="H130" s="361">
        <f t="shared" si="39"/>
        <v>2040.6399999999999</v>
      </c>
      <c r="I130" s="361">
        <f t="shared" si="39"/>
        <v>2072.02</v>
      </c>
      <c r="J130" s="361">
        <f t="shared" si="39"/>
        <v>2099.2999999999997</v>
      </c>
      <c r="K130" s="361">
        <f t="shared" si="39"/>
        <v>2080.2799999999997</v>
      </c>
      <c r="L130" s="361">
        <f t="shared" si="39"/>
        <v>2067.9000000000005</v>
      </c>
      <c r="M130" s="361">
        <f t="shared" si="39"/>
        <v>2072.96</v>
      </c>
      <c r="N130" s="361">
        <f t="shared" si="39"/>
        <v>2050.7399999999998</v>
      </c>
      <c r="O130" s="361">
        <f t="shared" si="39"/>
        <v>2022.88</v>
      </c>
      <c r="P130" s="361">
        <f t="shared" si="39"/>
        <v>2020.1999999999998</v>
      </c>
      <c r="Q130" s="361">
        <f t="shared" si="39"/>
        <v>2034.06</v>
      </c>
      <c r="R130" s="361">
        <f t="shared" si="39"/>
        <v>2051.02</v>
      </c>
      <c r="S130" s="362">
        <f t="shared" si="39"/>
        <v>2037.3199999999997</v>
      </c>
      <c r="T130" s="363"/>
      <c r="U130" s="361"/>
      <c r="V130" s="361"/>
      <c r="W130" s="364"/>
      <c r="X130" s="365"/>
      <c r="Y130" s="361"/>
      <c r="Z130" s="366"/>
      <c r="AA130" s="354"/>
      <c r="AB130" s="278"/>
    </row>
    <row r="131" spans="1:34">
      <c r="A131" s="367">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8">
        <f>IF((S132=""),"",MAX(C133:S133))</f>
        <v>2128.6799999999998</v>
      </c>
      <c r="U131" s="248">
        <f>IF(S132="","",MIN(C133:S133))</f>
        <v>1960.3000000000002</v>
      </c>
      <c r="V131" s="263">
        <f>IF((S133=""),"",AVERAGE(C133:S133))</f>
        <v>2060.5600000000004</v>
      </c>
      <c r="W131" s="352">
        <f>STDEV(C133:S133)</f>
        <v>41.111253325574026</v>
      </c>
      <c r="X131" s="249">
        <f>IF((S132=""),"",((T131-U131)/(T131+U131))*100)</f>
        <v>4.1178973729389643</v>
      </c>
      <c r="Y131" s="250" t="str">
        <f>IF(S132="","",IF(X131&lt;15,IF(V131&gt;1690,IF(V131&lt;2125,"Pass","Fail"),"Fail"),"Fail"))</f>
        <v>Pass</v>
      </c>
      <c r="Z131" s="360">
        <v>74</v>
      </c>
      <c r="AA131" s="278" t="s">
        <v>89</v>
      </c>
      <c r="AC131" s="316">
        <v>1600</v>
      </c>
      <c r="AD131" s="316">
        <v>2600</v>
      </c>
      <c r="AE131" s="355">
        <v>1690</v>
      </c>
      <c r="AF131" s="355">
        <v>2125</v>
      </c>
      <c r="AG131" s="356">
        <v>15</v>
      </c>
      <c r="AH131" s="356">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7"/>
      <c r="U132" s="358"/>
      <c r="V132" s="358"/>
      <c r="W132" s="352"/>
      <c r="X132" s="359"/>
      <c r="Y132" s="358"/>
      <c r="Z132" s="360"/>
      <c r="AA132" s="354"/>
      <c r="AB132" s="278"/>
    </row>
    <row r="133" spans="1:34" ht="32.25" thickBot="1">
      <c r="A133" s="125"/>
      <c r="B133" s="256" t="s">
        <v>221</v>
      </c>
      <c r="C133" s="361">
        <f t="shared" ref="C133:S133" si="40">IF(((C131="")*AND(C132="")),"",(C131-C132)*2)</f>
        <v>1960.3000000000002</v>
      </c>
      <c r="D133" s="361">
        <f t="shared" si="40"/>
        <v>2014.2399999999998</v>
      </c>
      <c r="E133" s="361">
        <f t="shared" si="40"/>
        <v>2024.48</v>
      </c>
      <c r="F133" s="361">
        <f t="shared" si="40"/>
        <v>2029.38</v>
      </c>
      <c r="G133" s="361">
        <f t="shared" si="40"/>
        <v>2044.3000000000002</v>
      </c>
      <c r="H133" s="361">
        <f t="shared" si="40"/>
        <v>2079.6</v>
      </c>
      <c r="I133" s="361">
        <f t="shared" si="40"/>
        <v>2109.52</v>
      </c>
      <c r="J133" s="361">
        <f t="shared" si="40"/>
        <v>2128.6799999999998</v>
      </c>
      <c r="K133" s="361">
        <f t="shared" si="40"/>
        <v>2064.08</v>
      </c>
      <c r="L133" s="361">
        <f t="shared" si="40"/>
        <v>2088.6400000000003</v>
      </c>
      <c r="M133" s="361">
        <f t="shared" si="40"/>
        <v>2103.38</v>
      </c>
      <c r="N133" s="361">
        <f t="shared" si="40"/>
        <v>2088.52</v>
      </c>
      <c r="O133" s="361">
        <f t="shared" si="40"/>
        <v>2060.88</v>
      </c>
      <c r="P133" s="361">
        <f t="shared" si="40"/>
        <v>2058.1999999999998</v>
      </c>
      <c r="Q133" s="361">
        <f t="shared" si="40"/>
        <v>2070.98</v>
      </c>
      <c r="R133" s="361">
        <f t="shared" si="40"/>
        <v>2077.02</v>
      </c>
      <c r="S133" s="362">
        <f t="shared" si="40"/>
        <v>2027.3199999999997</v>
      </c>
      <c r="T133" s="363"/>
      <c r="U133" s="361"/>
      <c r="V133" s="361"/>
      <c r="W133" s="364"/>
      <c r="X133" s="365"/>
      <c r="Y133" s="361"/>
      <c r="Z133" s="366"/>
      <c r="AA133" s="354"/>
      <c r="AB133" s="278"/>
    </row>
    <row r="134" spans="1:34">
      <c r="A134" s="367">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8">
        <f>IF((S135=""),"",MAX(C136:S136))</f>
        <v>2116.94</v>
      </c>
      <c r="U134" s="248">
        <f>IF(S135="","",MIN(C136:S136))</f>
        <v>1990.44</v>
      </c>
      <c r="V134" s="263">
        <f>IF((S136=""),"",AVERAGE(C136:S136))</f>
        <v>2049.6588235294116</v>
      </c>
      <c r="W134" s="352">
        <f>STDEV(C136:S136)</f>
        <v>34.341916421905538</v>
      </c>
      <c r="X134" s="249">
        <f>IF((S135=""),"",((T134-U134)/(T134+U134))*100)</f>
        <v>3.0798221737457938</v>
      </c>
      <c r="Y134" s="250" t="str">
        <f>IF(S135="","",IF(X134&lt;15,IF(V134&gt;1690,IF(V134&lt;2125,"Pass","Fail"),"Fail"),"Fail"))</f>
        <v>Pass</v>
      </c>
      <c r="Z134" s="360">
        <v>1428</v>
      </c>
      <c r="AA134" s="354"/>
      <c r="AC134" s="316">
        <v>1600</v>
      </c>
      <c r="AD134" s="316">
        <v>2600</v>
      </c>
      <c r="AE134" s="355">
        <v>1690</v>
      </c>
      <c r="AF134" s="355">
        <v>2125</v>
      </c>
      <c r="AG134" s="356">
        <v>15</v>
      </c>
      <c r="AH134" s="356">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7"/>
      <c r="U135" s="358"/>
      <c r="V135" s="358"/>
      <c r="W135" s="352"/>
      <c r="X135" s="359"/>
      <c r="Y135" s="358"/>
      <c r="Z135" s="360"/>
      <c r="AA135" s="354"/>
      <c r="AB135" s="278"/>
    </row>
    <row r="136" spans="1:34" ht="32.25" thickBot="1">
      <c r="A136" s="125"/>
      <c r="B136" s="256" t="s">
        <v>221</v>
      </c>
      <c r="C136" s="361">
        <f t="shared" ref="C136:S136" si="41">IF(((C134="")*AND(C135="")),"",(C134-C135)*2)</f>
        <v>1990.44</v>
      </c>
      <c r="D136" s="361">
        <f t="shared" si="41"/>
        <v>2006.5400000000004</v>
      </c>
      <c r="E136" s="361">
        <f t="shared" si="41"/>
        <v>2011.6600000000003</v>
      </c>
      <c r="F136" s="361">
        <f t="shared" si="41"/>
        <v>2013.2599999999998</v>
      </c>
      <c r="G136" s="361">
        <f t="shared" si="41"/>
        <v>2035.2399999999998</v>
      </c>
      <c r="H136" s="361">
        <f t="shared" si="41"/>
        <v>2055.54</v>
      </c>
      <c r="I136" s="361">
        <f t="shared" si="41"/>
        <v>2080.4799999999996</v>
      </c>
      <c r="J136" s="361">
        <f t="shared" si="41"/>
        <v>2110</v>
      </c>
      <c r="K136" s="361">
        <f t="shared" si="41"/>
        <v>2116.94</v>
      </c>
      <c r="L136" s="361">
        <f t="shared" si="41"/>
        <v>2071.7800000000002</v>
      </c>
      <c r="M136" s="361">
        <f t="shared" si="41"/>
        <v>2072.5200000000004</v>
      </c>
      <c r="N136" s="361">
        <f t="shared" si="41"/>
        <v>2052.96</v>
      </c>
      <c r="O136" s="361">
        <f t="shared" si="41"/>
        <v>2037.02</v>
      </c>
      <c r="P136" s="361">
        <f t="shared" si="41"/>
        <v>2037.6799999999998</v>
      </c>
      <c r="Q136" s="361">
        <f t="shared" si="41"/>
        <v>2047.1600000000003</v>
      </c>
      <c r="R136" s="361">
        <f t="shared" si="41"/>
        <v>2056.1200000000003</v>
      </c>
      <c r="S136" s="362">
        <f t="shared" si="41"/>
        <v>2048.86</v>
      </c>
      <c r="T136" s="363"/>
      <c r="U136" s="361"/>
      <c r="V136" s="361"/>
      <c r="W136" s="364"/>
      <c r="X136" s="365"/>
      <c r="Y136" s="361"/>
      <c r="Z136" s="366"/>
      <c r="AA136" s="354"/>
      <c r="AB136" s="278"/>
    </row>
    <row r="137" spans="1:34">
      <c r="A137" s="367">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8">
        <f>IF((S138=""),"",MAX(C139:S139))</f>
        <v>2141.6400000000003</v>
      </c>
      <c r="U137" s="248">
        <f>IF(S138="","",MIN(C139:S139))</f>
        <v>1955.3199999999997</v>
      </c>
      <c r="V137" s="263">
        <f>IF((S139=""),"",AVERAGE(C139:S139))</f>
        <v>2065.8023529411762</v>
      </c>
      <c r="W137" s="352">
        <f>STDEV(C139:S139)</f>
        <v>42.513096148350925</v>
      </c>
      <c r="X137" s="249">
        <f>IF((S138=""),"",((T137-U137)/(T137+U137))*100)</f>
        <v>4.547762243224259</v>
      </c>
      <c r="Y137" s="250" t="str">
        <f>IF(S138="","",IF(X137&lt;15,IF(V137&gt;1690,IF(V137&lt;2125,"Pass","Fail"),"Fail"),"Fail"))</f>
        <v>Pass</v>
      </c>
      <c r="Z137" s="360">
        <v>1159</v>
      </c>
      <c r="AA137" s="354"/>
      <c r="AC137" s="316">
        <v>1600</v>
      </c>
      <c r="AD137" s="316">
        <v>2600</v>
      </c>
      <c r="AE137" s="355">
        <v>1690</v>
      </c>
      <c r="AF137" s="355">
        <v>2125</v>
      </c>
      <c r="AG137" s="356">
        <v>15</v>
      </c>
      <c r="AH137" s="356">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7"/>
      <c r="U138" s="358"/>
      <c r="V138" s="358"/>
      <c r="W138" s="352"/>
      <c r="X138" s="359"/>
      <c r="Y138" s="358"/>
      <c r="Z138" s="360"/>
      <c r="AA138" s="354"/>
      <c r="AB138" s="278"/>
    </row>
    <row r="139" spans="1:34" ht="32.25" thickBot="1">
      <c r="A139" s="125"/>
      <c r="B139" s="256" t="s">
        <v>221</v>
      </c>
      <c r="C139" s="361">
        <f t="shared" ref="C139:S139" si="42">IF(((C137="")*AND(C138="")),"",(C137-C138)*2)</f>
        <v>1955.3199999999997</v>
      </c>
      <c r="D139" s="361">
        <f t="shared" si="42"/>
        <v>2019.3199999999997</v>
      </c>
      <c r="E139" s="361">
        <f t="shared" si="42"/>
        <v>2026.7799999999997</v>
      </c>
      <c r="F139" s="361">
        <f t="shared" si="42"/>
        <v>2039.0600000000004</v>
      </c>
      <c r="G139" s="361">
        <f t="shared" si="42"/>
        <v>2055.58</v>
      </c>
      <c r="H139" s="361">
        <f t="shared" si="42"/>
        <v>2090.04</v>
      </c>
      <c r="I139" s="361">
        <f t="shared" si="42"/>
        <v>2118.7200000000003</v>
      </c>
      <c r="J139" s="361">
        <f t="shared" si="42"/>
        <v>2141.6400000000003</v>
      </c>
      <c r="K139" s="361">
        <f t="shared" si="42"/>
        <v>2081.6800000000003</v>
      </c>
      <c r="L139" s="361">
        <f t="shared" si="42"/>
        <v>2071.54</v>
      </c>
      <c r="M139" s="361">
        <f t="shared" si="42"/>
        <v>2101.08</v>
      </c>
      <c r="N139" s="361">
        <f t="shared" si="42"/>
        <v>2084.42</v>
      </c>
      <c r="O139" s="361">
        <f t="shared" si="42"/>
        <v>2066.8000000000002</v>
      </c>
      <c r="P139" s="361">
        <f t="shared" si="42"/>
        <v>2061.08</v>
      </c>
      <c r="Q139" s="361">
        <f t="shared" si="42"/>
        <v>2075.1400000000003</v>
      </c>
      <c r="R139" s="361">
        <f t="shared" si="42"/>
        <v>2088.4799999999996</v>
      </c>
      <c r="S139" s="362">
        <f t="shared" si="42"/>
        <v>2041.96</v>
      </c>
      <c r="T139" s="363"/>
      <c r="U139" s="361"/>
      <c r="V139" s="361"/>
      <c r="W139" s="364"/>
      <c r="X139" s="365"/>
      <c r="Y139" s="361"/>
      <c r="Z139" s="366"/>
      <c r="AA139" s="354"/>
      <c r="AB139" s="278"/>
    </row>
    <row r="140" spans="1:34">
      <c r="A140" s="369">
        <v>43336</v>
      </c>
      <c r="B140" s="248" t="s">
        <v>77</v>
      </c>
      <c r="C140" s="302">
        <v>2055</v>
      </c>
      <c r="D140" s="303">
        <v>2014</v>
      </c>
      <c r="E140" s="303">
        <v>1991</v>
      </c>
      <c r="F140" s="303">
        <v>1978</v>
      </c>
      <c r="G140" s="303">
        <v>1975</v>
      </c>
      <c r="H140" s="303">
        <v>1984</v>
      </c>
      <c r="I140" s="303">
        <v>2001</v>
      </c>
      <c r="J140" s="303">
        <v>2025</v>
      </c>
      <c r="K140" s="303">
        <v>2062</v>
      </c>
      <c r="L140" s="303">
        <v>2020</v>
      </c>
      <c r="M140" s="303">
        <v>2009</v>
      </c>
      <c r="N140" s="303">
        <v>1992</v>
      </c>
      <c r="O140" s="303">
        <v>1980</v>
      </c>
      <c r="P140" s="303">
        <v>1979</v>
      </c>
      <c r="Q140" s="303">
        <v>1990</v>
      </c>
      <c r="R140" s="303">
        <v>2008</v>
      </c>
      <c r="S140" s="303">
        <v>2038</v>
      </c>
      <c r="T140" s="368">
        <f>IF((S141=""),"",MAX(C142:S142))</f>
        <v>2050</v>
      </c>
      <c r="U140" s="248">
        <f>IF(S141="","",MIN(C142:S142))</f>
        <v>1964</v>
      </c>
      <c r="V140" s="263">
        <f>IF((S142=""),"",AVERAGE(C142:S142))</f>
        <v>2012.9411764705883</v>
      </c>
      <c r="W140" s="352">
        <f>STDEV(C142:S142)</f>
        <v>26.010744386303728</v>
      </c>
      <c r="X140" s="249">
        <f>IF((S141=""),"",((T140-U140)/(T140+U140))*100)</f>
        <v>2.142501245640259</v>
      </c>
      <c r="Y140" s="250" t="str">
        <f>IF(S141="","",IF(X140&lt;15,IF(V140&gt;1690,IF(V140&lt;2125,"Pass","Fail"),"Fail"),"Fail"))</f>
        <v>Pass</v>
      </c>
      <c r="Z140" s="360"/>
      <c r="AA140" s="354"/>
      <c r="AB140" s="344" t="s">
        <v>91</v>
      </c>
      <c r="AC140" s="316">
        <v>1600</v>
      </c>
      <c r="AD140" s="316">
        <v>2600</v>
      </c>
      <c r="AE140" s="355">
        <v>1690</v>
      </c>
      <c r="AF140" s="355">
        <v>2125</v>
      </c>
      <c r="AG140" s="356">
        <v>15</v>
      </c>
      <c r="AH140" s="356">
        <v>15</v>
      </c>
    </row>
    <row r="141" spans="1:34">
      <c r="A141" s="125"/>
      <c r="B141" s="248" t="s">
        <v>78</v>
      </c>
      <c r="C141" s="302">
        <v>1073</v>
      </c>
      <c r="D141" s="303">
        <v>1020</v>
      </c>
      <c r="E141" s="303">
        <v>993</v>
      </c>
      <c r="F141" s="303">
        <v>978</v>
      </c>
      <c r="G141" s="303">
        <v>971</v>
      </c>
      <c r="H141" s="303">
        <v>970</v>
      </c>
      <c r="I141" s="303">
        <v>979</v>
      </c>
      <c r="J141" s="303">
        <v>1000</v>
      </c>
      <c r="K141" s="303">
        <v>1066</v>
      </c>
      <c r="L141" s="303">
        <v>1004</v>
      </c>
      <c r="M141" s="303">
        <v>986</v>
      </c>
      <c r="N141" s="303">
        <v>974</v>
      </c>
      <c r="O141" s="303">
        <v>969</v>
      </c>
      <c r="P141" s="303">
        <v>973</v>
      </c>
      <c r="Q141" s="303">
        <v>981</v>
      </c>
      <c r="R141" s="303">
        <v>999</v>
      </c>
      <c r="S141" s="303">
        <v>1055</v>
      </c>
      <c r="T141" s="357"/>
      <c r="U141" s="358"/>
      <c r="V141" s="358"/>
      <c r="W141" s="352"/>
      <c r="X141" s="359"/>
      <c r="Y141" s="358"/>
      <c r="Z141" s="360"/>
      <c r="AA141" s="354"/>
      <c r="AB141" s="272"/>
    </row>
    <row r="142" spans="1:34" ht="32.25" thickBot="1">
      <c r="A142" s="125"/>
      <c r="B142" s="256" t="s">
        <v>221</v>
      </c>
      <c r="C142" s="361">
        <f t="shared" ref="C142:S142" si="43">IF(((C140="")*AND(C141="")),"",(C140-C141)*2)</f>
        <v>1964</v>
      </c>
      <c r="D142" s="361">
        <f t="shared" si="43"/>
        <v>1988</v>
      </c>
      <c r="E142" s="361">
        <f t="shared" si="43"/>
        <v>1996</v>
      </c>
      <c r="F142" s="361">
        <f t="shared" si="43"/>
        <v>2000</v>
      </c>
      <c r="G142" s="361">
        <f t="shared" si="43"/>
        <v>2008</v>
      </c>
      <c r="H142" s="361">
        <f t="shared" si="43"/>
        <v>2028</v>
      </c>
      <c r="I142" s="361">
        <f t="shared" si="43"/>
        <v>2044</v>
      </c>
      <c r="J142" s="361">
        <f t="shared" si="43"/>
        <v>2050</v>
      </c>
      <c r="K142" s="361">
        <f t="shared" si="43"/>
        <v>1992</v>
      </c>
      <c r="L142" s="361">
        <f t="shared" si="43"/>
        <v>2032</v>
      </c>
      <c r="M142" s="361">
        <f t="shared" si="43"/>
        <v>2046</v>
      </c>
      <c r="N142" s="361">
        <f t="shared" si="43"/>
        <v>2036</v>
      </c>
      <c r="O142" s="361">
        <f t="shared" si="43"/>
        <v>2022</v>
      </c>
      <c r="P142" s="361">
        <f t="shared" si="43"/>
        <v>2012</v>
      </c>
      <c r="Q142" s="361">
        <f t="shared" si="43"/>
        <v>2018</v>
      </c>
      <c r="R142" s="361">
        <f t="shared" si="43"/>
        <v>2018</v>
      </c>
      <c r="S142" s="362">
        <f t="shared" si="43"/>
        <v>1966</v>
      </c>
      <c r="T142" s="363"/>
      <c r="U142" s="361"/>
      <c r="V142" s="361"/>
      <c r="W142" s="364"/>
      <c r="X142" s="365"/>
      <c r="Y142" s="361"/>
      <c r="Z142" s="366"/>
      <c r="AA142" s="354"/>
      <c r="AB142" s="278"/>
    </row>
    <row r="143" spans="1:34">
      <c r="A143" s="367">
        <v>43340</v>
      </c>
      <c r="B143" s="248" t="s">
        <v>77</v>
      </c>
      <c r="C143" s="302">
        <v>2040</v>
      </c>
      <c r="D143" s="303">
        <v>2015</v>
      </c>
      <c r="E143" s="303">
        <v>1996</v>
      </c>
      <c r="F143" s="303">
        <v>1985</v>
      </c>
      <c r="G143" s="303">
        <v>1979</v>
      </c>
      <c r="H143" s="303">
        <v>1990</v>
      </c>
      <c r="I143" s="303">
        <v>2006</v>
      </c>
      <c r="J143" s="303">
        <v>2028</v>
      </c>
      <c r="K143" s="303">
        <v>2049</v>
      </c>
      <c r="L143" s="303">
        <v>2020</v>
      </c>
      <c r="M143" s="303">
        <v>2010</v>
      </c>
      <c r="N143" s="303">
        <v>1996</v>
      </c>
      <c r="O143" s="303">
        <v>1985</v>
      </c>
      <c r="P143" s="303">
        <v>1987</v>
      </c>
      <c r="Q143" s="303">
        <v>1997</v>
      </c>
      <c r="R143" s="303">
        <v>2011</v>
      </c>
      <c r="S143" s="303">
        <v>2027</v>
      </c>
      <c r="T143" s="368">
        <f>IF((S144=""),"",MAX(C145:S145))</f>
        <v>2060</v>
      </c>
      <c r="U143" s="248">
        <f>IF(S144="","",MIN(C145:S145))</f>
        <v>1948</v>
      </c>
      <c r="V143" s="263">
        <f>IF((S145=""),"",AVERAGE(C145:S145))</f>
        <v>2015.1764705882354</v>
      </c>
      <c r="W143" s="352">
        <f>STDEV(C145:S145)</f>
        <v>28.134132504216574</v>
      </c>
      <c r="X143" s="249">
        <f>IF((S144=""),"",((T143-U143)/(T143+U143))*100)</f>
        <v>2.7944111776447107</v>
      </c>
      <c r="Y143" s="250" t="str">
        <f>IF(S144="","",IF(X143&lt;15,IF(V143&gt;1690,IF(V143&lt;2125,"Pass","Fail"),"Fail"),"Fail"))</f>
        <v>Pass</v>
      </c>
      <c r="Z143" s="360">
        <v>1340</v>
      </c>
      <c r="AA143" s="354"/>
      <c r="AC143" s="316">
        <v>1600</v>
      </c>
      <c r="AD143" s="316">
        <v>2600</v>
      </c>
      <c r="AE143" s="355">
        <v>1690</v>
      </c>
      <c r="AF143" s="355">
        <v>2125</v>
      </c>
      <c r="AG143" s="356">
        <v>15</v>
      </c>
      <c r="AH143" s="356">
        <v>15</v>
      </c>
    </row>
    <row r="144" spans="1:34">
      <c r="A144" s="125"/>
      <c r="B144" s="248" t="s">
        <v>78</v>
      </c>
      <c r="C144" s="302">
        <v>1066</v>
      </c>
      <c r="D144" s="303">
        <v>1022</v>
      </c>
      <c r="E144" s="303">
        <v>999</v>
      </c>
      <c r="F144" s="303">
        <v>982</v>
      </c>
      <c r="G144" s="303">
        <v>972</v>
      </c>
      <c r="H144" s="303">
        <v>973</v>
      </c>
      <c r="I144" s="303">
        <v>982</v>
      </c>
      <c r="J144" s="303">
        <v>998</v>
      </c>
      <c r="K144" s="303">
        <v>1056</v>
      </c>
      <c r="L144" s="303">
        <v>1010</v>
      </c>
      <c r="M144" s="303">
        <v>988</v>
      </c>
      <c r="N144" s="303">
        <v>978</v>
      </c>
      <c r="O144" s="303">
        <v>973</v>
      </c>
      <c r="P144" s="303">
        <v>977</v>
      </c>
      <c r="Q144" s="303">
        <v>984</v>
      </c>
      <c r="R144" s="303">
        <v>998</v>
      </c>
      <c r="S144" s="303">
        <v>1034</v>
      </c>
      <c r="T144" s="357"/>
      <c r="U144" s="358"/>
      <c r="V144" s="358"/>
      <c r="W144" s="352"/>
      <c r="X144" s="359"/>
      <c r="Y144" s="358"/>
      <c r="Z144" s="360"/>
      <c r="AA144" s="354"/>
      <c r="AB144" s="278"/>
    </row>
    <row r="145" spans="1:34" ht="32.25" thickBot="1">
      <c r="A145" s="125"/>
      <c r="B145" s="256" t="s">
        <v>221</v>
      </c>
      <c r="C145" s="361">
        <f t="shared" ref="C145:S145" si="44">IF(((C143="")*AND(C144="")),"",(C143-C144)*2)</f>
        <v>1948</v>
      </c>
      <c r="D145" s="361">
        <f t="shared" si="44"/>
        <v>1986</v>
      </c>
      <c r="E145" s="361">
        <f t="shared" si="44"/>
        <v>1994</v>
      </c>
      <c r="F145" s="361">
        <f t="shared" si="44"/>
        <v>2006</v>
      </c>
      <c r="G145" s="361">
        <f t="shared" si="44"/>
        <v>2014</v>
      </c>
      <c r="H145" s="361">
        <f t="shared" si="44"/>
        <v>2034</v>
      </c>
      <c r="I145" s="361">
        <f t="shared" si="44"/>
        <v>2048</v>
      </c>
      <c r="J145" s="361">
        <f t="shared" si="44"/>
        <v>2060</v>
      </c>
      <c r="K145" s="361">
        <f t="shared" si="44"/>
        <v>1986</v>
      </c>
      <c r="L145" s="361">
        <f t="shared" si="44"/>
        <v>2020</v>
      </c>
      <c r="M145" s="361">
        <f t="shared" si="44"/>
        <v>2044</v>
      </c>
      <c r="N145" s="361">
        <f t="shared" si="44"/>
        <v>2036</v>
      </c>
      <c r="O145" s="361">
        <f t="shared" si="44"/>
        <v>2024</v>
      </c>
      <c r="P145" s="361">
        <f t="shared" si="44"/>
        <v>2020</v>
      </c>
      <c r="Q145" s="361">
        <f t="shared" si="44"/>
        <v>2026</v>
      </c>
      <c r="R145" s="361">
        <f t="shared" si="44"/>
        <v>2026</v>
      </c>
      <c r="S145" s="362">
        <f t="shared" si="44"/>
        <v>1986</v>
      </c>
      <c r="T145" s="363"/>
      <c r="U145" s="361"/>
      <c r="V145" s="361"/>
      <c r="W145" s="364"/>
      <c r="X145" s="365"/>
      <c r="Y145" s="361"/>
      <c r="Z145" s="366"/>
      <c r="AA145" s="354"/>
      <c r="AB145" s="278"/>
    </row>
    <row r="146" spans="1:34">
      <c r="A146" s="367">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8">
        <f>IF((S147=""),"",MAX(C148:S148))</f>
        <v>2123.44</v>
      </c>
      <c r="U146" s="248">
        <f>IF(S147="","",MIN(C148:S148))</f>
        <v>1949.1</v>
      </c>
      <c r="V146" s="263">
        <f>IF((S148=""),"",AVERAGE(C148:S148))</f>
        <v>2048.9764705882353</v>
      </c>
      <c r="W146" s="352">
        <f>STDEV(C148:S148)</f>
        <v>42.674258772286265</v>
      </c>
      <c r="X146" s="249">
        <f>IF((S147=""),"",((T146-U146)/(T146+U146))*100)</f>
        <v>4.2808664862714707</v>
      </c>
      <c r="Y146" s="250" t="str">
        <f>IF(S147="","",IF(X146&lt;15,IF(V146&gt;1690,IF(V146&lt;2125,"Pass","Fail"),"Fail"),"Fail"))</f>
        <v>Pass</v>
      </c>
      <c r="Z146" s="360">
        <v>1428</v>
      </c>
      <c r="AA146" s="354"/>
      <c r="AC146" s="316">
        <v>1600</v>
      </c>
      <c r="AD146" s="316">
        <v>2600</v>
      </c>
      <c r="AE146" s="355">
        <v>1690</v>
      </c>
      <c r="AF146" s="355">
        <v>2125</v>
      </c>
      <c r="AG146" s="356">
        <v>15</v>
      </c>
      <c r="AH146" s="356">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7"/>
      <c r="U147" s="358"/>
      <c r="V147" s="358"/>
      <c r="W147" s="352"/>
      <c r="X147" s="359"/>
      <c r="Y147" s="358"/>
      <c r="Z147" s="360"/>
      <c r="AA147" s="354"/>
      <c r="AB147" s="278"/>
    </row>
    <row r="148" spans="1:34" ht="32.25" thickBot="1">
      <c r="A148" s="125"/>
      <c r="B148" s="256" t="s">
        <v>221</v>
      </c>
      <c r="C148" s="361">
        <f t="shared" ref="C148:S148" si="45">IF(((C146="")*AND(C147="")),"",(C146-C147)*2)</f>
        <v>1949.1</v>
      </c>
      <c r="D148" s="361">
        <f t="shared" si="45"/>
        <v>1995.62</v>
      </c>
      <c r="E148" s="361">
        <f t="shared" si="45"/>
        <v>2002.3400000000001</v>
      </c>
      <c r="F148" s="361">
        <f t="shared" si="45"/>
        <v>2013.7199999999998</v>
      </c>
      <c r="G148" s="361">
        <f t="shared" si="45"/>
        <v>2031</v>
      </c>
      <c r="H148" s="361">
        <f t="shared" si="45"/>
        <v>2068.8200000000002</v>
      </c>
      <c r="I148" s="361">
        <f t="shared" si="45"/>
        <v>2101.3000000000002</v>
      </c>
      <c r="J148" s="361">
        <f t="shared" si="45"/>
        <v>2123.44</v>
      </c>
      <c r="K148" s="361">
        <f t="shared" si="45"/>
        <v>2086.1999999999998</v>
      </c>
      <c r="L148" s="361">
        <f t="shared" si="45"/>
        <v>2036.8200000000002</v>
      </c>
      <c r="M148" s="361">
        <f t="shared" si="45"/>
        <v>2074.02</v>
      </c>
      <c r="N148" s="361">
        <f t="shared" si="45"/>
        <v>2061.6999999999998</v>
      </c>
      <c r="O148" s="361">
        <f t="shared" si="45"/>
        <v>2039.56</v>
      </c>
      <c r="P148" s="361">
        <f t="shared" si="45"/>
        <v>2039.98</v>
      </c>
      <c r="Q148" s="361">
        <f t="shared" si="45"/>
        <v>2060.66</v>
      </c>
      <c r="R148" s="361">
        <f t="shared" si="45"/>
        <v>2073.52</v>
      </c>
      <c r="S148" s="362">
        <f t="shared" si="45"/>
        <v>2074.8000000000002</v>
      </c>
      <c r="T148" s="363"/>
      <c r="U148" s="361"/>
      <c r="V148" s="361"/>
      <c r="W148" s="364"/>
      <c r="X148" s="365"/>
      <c r="Y148" s="361"/>
      <c r="Z148" s="366"/>
      <c r="AA148" s="354"/>
      <c r="AB148" s="278"/>
    </row>
    <row r="149" spans="1:34">
      <c r="A149" s="367">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8">
        <f>IF((S150=""),"",MAX(C151:S151))</f>
        <v>2119.88</v>
      </c>
      <c r="U149" s="248">
        <f>IF(S150="","",MIN(C151:S151))</f>
        <v>1970.3199999999997</v>
      </c>
      <c r="V149" s="263">
        <f>IF((S151=""),"",AVERAGE(C151:S151))</f>
        <v>2057.0258823529412</v>
      </c>
      <c r="W149" s="352">
        <f>STDEV(C151:S151)</f>
        <v>37.154017793957024</v>
      </c>
      <c r="X149" s="249">
        <f>IF((S150=""),"",((T149-U149)/(T149+U149))*100)</f>
        <v>3.6565449122292404</v>
      </c>
      <c r="Y149" s="250" t="str">
        <f>IF(S150="","",IF(X149&lt;15,IF(V149&gt;1690,IF(V149&lt;2125,"Pass","Fail"),"Fail"),"Fail"))</f>
        <v>Pass</v>
      </c>
      <c r="Z149" s="360">
        <v>121</v>
      </c>
      <c r="AA149" s="354"/>
      <c r="AC149" s="316">
        <v>1600</v>
      </c>
      <c r="AD149" s="316">
        <v>2600</v>
      </c>
      <c r="AE149" s="355">
        <v>1690</v>
      </c>
      <c r="AF149" s="355">
        <v>2125</v>
      </c>
      <c r="AG149" s="356">
        <v>15</v>
      </c>
      <c r="AH149" s="356">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7"/>
      <c r="U150" s="358"/>
      <c r="V150" s="358"/>
      <c r="W150" s="352"/>
      <c r="X150" s="359"/>
      <c r="Y150" s="358"/>
      <c r="Z150" s="360"/>
      <c r="AA150" s="354"/>
      <c r="AB150" s="278"/>
    </row>
    <row r="151" spans="1:34" ht="32.25" thickBot="1">
      <c r="A151" s="125"/>
      <c r="B151" s="256" t="s">
        <v>221</v>
      </c>
      <c r="C151" s="361">
        <f t="shared" ref="C151:S151" si="46">IF(((C149="")*AND(C150="")),"",(C149-C150)*2)</f>
        <v>1970.3199999999997</v>
      </c>
      <c r="D151" s="361">
        <f t="shared" si="46"/>
        <v>2013.62</v>
      </c>
      <c r="E151" s="361">
        <f t="shared" si="46"/>
        <v>2028.3400000000001</v>
      </c>
      <c r="F151" s="361">
        <f t="shared" si="46"/>
        <v>2040.6599999999999</v>
      </c>
      <c r="G151" s="361">
        <f t="shared" si="46"/>
        <v>2062.5</v>
      </c>
      <c r="H151" s="361">
        <f t="shared" si="46"/>
        <v>2085.14</v>
      </c>
      <c r="I151" s="361">
        <f t="shared" si="46"/>
        <v>2105.54</v>
      </c>
      <c r="J151" s="361">
        <f t="shared" si="46"/>
        <v>2119.88</v>
      </c>
      <c r="K151" s="361">
        <f t="shared" si="46"/>
        <v>2039</v>
      </c>
      <c r="L151" s="361">
        <f t="shared" si="46"/>
        <v>2052.3199999999997</v>
      </c>
      <c r="M151" s="361">
        <f t="shared" si="46"/>
        <v>2086.46</v>
      </c>
      <c r="N151" s="361">
        <f t="shared" si="46"/>
        <v>2079.46</v>
      </c>
      <c r="O151" s="361">
        <f t="shared" si="46"/>
        <v>2068.1799999999998</v>
      </c>
      <c r="P151" s="361">
        <f t="shared" si="46"/>
        <v>2061.08</v>
      </c>
      <c r="Q151" s="361">
        <f t="shared" si="46"/>
        <v>2069.6999999999998</v>
      </c>
      <c r="R151" s="361">
        <f t="shared" si="46"/>
        <v>2075.96</v>
      </c>
      <c r="S151" s="362">
        <f t="shared" si="46"/>
        <v>2011.2799999999997</v>
      </c>
      <c r="T151" s="363"/>
      <c r="U151" s="361"/>
      <c r="V151" s="361"/>
      <c r="W151" s="364"/>
      <c r="X151" s="365"/>
      <c r="Y151" s="361"/>
      <c r="Z151" s="366"/>
      <c r="AA151" s="354"/>
      <c r="AB151" s="278"/>
    </row>
    <row r="152" spans="1:34">
      <c r="A152" s="367">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8">
        <f>IF((S153=""),"",MAX(C154:S154))</f>
        <v>1958</v>
      </c>
      <c r="U152" s="248">
        <f>IF(S153="","",MIN(C154:S154))</f>
        <v>1866</v>
      </c>
      <c r="V152" s="263">
        <f>IF((S154=""),"",AVERAGE(C154:S154))</f>
        <v>1915.7647058823529</v>
      </c>
      <c r="W152" s="352">
        <f>STDEV(C154:S154)</f>
        <v>23.998774478509713</v>
      </c>
      <c r="X152" s="249">
        <f>IF((S153=""),"",((T152-U152)/(T152+U152))*100)</f>
        <v>2.4058577405857742</v>
      </c>
      <c r="Y152" s="250" t="str">
        <f>IF(S153="","",IF(X152&lt;15,IF(V152&gt;1690,IF(V152&lt;2125,"Pass","Fail"),"Fail"),"Fail"))</f>
        <v>Pass</v>
      </c>
      <c r="Z152" s="360">
        <v>74</v>
      </c>
      <c r="AA152" s="354"/>
      <c r="AC152" s="316">
        <v>1600</v>
      </c>
      <c r="AD152" s="316">
        <v>2600</v>
      </c>
      <c r="AE152" s="355">
        <v>1690</v>
      </c>
      <c r="AF152" s="355">
        <v>2125</v>
      </c>
      <c r="AG152" s="356">
        <v>15</v>
      </c>
      <c r="AH152" s="356">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7"/>
      <c r="U153" s="358"/>
      <c r="V153" s="358"/>
      <c r="W153" s="352"/>
      <c r="X153" s="359"/>
      <c r="Y153" s="358"/>
      <c r="Z153" s="360"/>
      <c r="AA153" s="354"/>
      <c r="AB153" s="278"/>
    </row>
    <row r="154" spans="1:34" ht="32.25" thickBot="1">
      <c r="A154" s="125"/>
      <c r="B154" s="256" t="s">
        <v>221</v>
      </c>
      <c r="C154" s="361">
        <f t="shared" ref="C154:S154" si="47">IF(((C152="")*AND(C153="")),"",(C152-C153)*2)</f>
        <v>1882</v>
      </c>
      <c r="D154" s="361">
        <f t="shared" si="47"/>
        <v>1902</v>
      </c>
      <c r="E154" s="361">
        <f t="shared" si="47"/>
        <v>1900</v>
      </c>
      <c r="F154" s="361">
        <f t="shared" si="47"/>
        <v>1902</v>
      </c>
      <c r="G154" s="361">
        <f t="shared" si="47"/>
        <v>1906</v>
      </c>
      <c r="H154" s="361">
        <f t="shared" si="47"/>
        <v>1926</v>
      </c>
      <c r="I154" s="361">
        <f t="shared" si="47"/>
        <v>1944</v>
      </c>
      <c r="J154" s="361">
        <f t="shared" si="47"/>
        <v>1958</v>
      </c>
      <c r="K154" s="361">
        <f t="shared" si="47"/>
        <v>1898</v>
      </c>
      <c r="L154" s="361">
        <f t="shared" si="47"/>
        <v>1926</v>
      </c>
      <c r="M154" s="361">
        <f t="shared" si="47"/>
        <v>1950</v>
      </c>
      <c r="N154" s="361">
        <f t="shared" si="47"/>
        <v>1936</v>
      </c>
      <c r="O154" s="361">
        <f t="shared" si="47"/>
        <v>1918</v>
      </c>
      <c r="P154" s="361">
        <f t="shared" si="47"/>
        <v>1908</v>
      </c>
      <c r="Q154" s="361">
        <f t="shared" si="47"/>
        <v>1920</v>
      </c>
      <c r="R154" s="361">
        <f t="shared" si="47"/>
        <v>1926</v>
      </c>
      <c r="S154" s="362">
        <f t="shared" si="47"/>
        <v>1866</v>
      </c>
      <c r="T154" s="363"/>
      <c r="U154" s="361"/>
      <c r="V154" s="361"/>
      <c r="W154" s="364"/>
      <c r="X154" s="365"/>
      <c r="Y154" s="361"/>
      <c r="Z154" s="366"/>
      <c r="AA154" s="354"/>
      <c r="AB154" s="278"/>
    </row>
    <row r="155" spans="1:34">
      <c r="A155" s="367">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8">
        <f>IF((S156=""),"",MAX(C157:S157))</f>
        <v>2032.2199999999998</v>
      </c>
      <c r="U155" s="248">
        <f>IF(S156="","",MIN(C157:S157))</f>
        <v>1938.62</v>
      </c>
      <c r="V155" s="263">
        <f>IF((S157=""),"",AVERAGE(C157:S157))</f>
        <v>1989.9400000000003</v>
      </c>
      <c r="W155" s="352">
        <f>STDEV(C157:S157)</f>
        <v>24.899310231380372</v>
      </c>
      <c r="X155" s="249">
        <f>IF((S156=""),"",((T155-U155)/(T155+U155))*100)</f>
        <v>2.3571838704153256</v>
      </c>
      <c r="Y155" s="250" t="str">
        <f>IF(S156="","",IF(X155&lt;15,IF(V155&gt;1690,IF(V155&lt;2125,"Pass","Fail"),"Fail"),"Fail"))</f>
        <v>Pass</v>
      </c>
      <c r="Z155" s="360">
        <v>1159</v>
      </c>
      <c r="AA155" s="278" t="s">
        <v>92</v>
      </c>
      <c r="AC155" s="316">
        <v>1600</v>
      </c>
      <c r="AD155" s="316">
        <v>2600</v>
      </c>
      <c r="AE155" s="355">
        <v>1690</v>
      </c>
      <c r="AF155" s="355">
        <v>2125</v>
      </c>
      <c r="AG155" s="356">
        <v>15</v>
      </c>
      <c r="AH155" s="356">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7"/>
      <c r="U156" s="358"/>
      <c r="V156" s="358"/>
      <c r="W156" s="352"/>
      <c r="X156" s="359"/>
      <c r="Y156" s="358"/>
      <c r="Z156" s="360"/>
      <c r="AA156" s="354"/>
      <c r="AB156" s="278"/>
    </row>
    <row r="157" spans="1:34" ht="32.25" thickBot="1">
      <c r="A157" s="125"/>
      <c r="B157" s="256" t="s">
        <v>221</v>
      </c>
      <c r="C157" s="361">
        <f t="shared" ref="C157:S157" si="48">IF(((C155="")*AND(C156="")),"",(C155-C156)*2)</f>
        <v>1982.48</v>
      </c>
      <c r="D157" s="361">
        <f t="shared" si="48"/>
        <v>1993.9</v>
      </c>
      <c r="E157" s="361">
        <f t="shared" si="48"/>
        <v>1998.98</v>
      </c>
      <c r="F157" s="361">
        <f t="shared" si="48"/>
        <v>2005.92</v>
      </c>
      <c r="G157" s="361">
        <f t="shared" si="48"/>
        <v>2003.3400000000001</v>
      </c>
      <c r="H157" s="361">
        <f t="shared" si="48"/>
        <v>1938.62</v>
      </c>
      <c r="I157" s="361">
        <f t="shared" si="48"/>
        <v>1974.6799999999998</v>
      </c>
      <c r="J157" s="361">
        <f t="shared" si="48"/>
        <v>1999.4</v>
      </c>
      <c r="K157" s="361">
        <f t="shared" si="48"/>
        <v>2032.2199999999998</v>
      </c>
      <c r="L157" s="361">
        <f t="shared" si="48"/>
        <v>2015.8000000000002</v>
      </c>
      <c r="M157" s="361">
        <f t="shared" si="48"/>
        <v>1945.3200000000002</v>
      </c>
      <c r="N157" s="361">
        <f t="shared" si="48"/>
        <v>1978.7399999999998</v>
      </c>
      <c r="O157" s="361">
        <f t="shared" si="48"/>
        <v>1986.7399999999998</v>
      </c>
      <c r="P157" s="361">
        <f t="shared" si="48"/>
        <v>2004.7199999999998</v>
      </c>
      <c r="Q157" s="361">
        <f t="shared" si="48"/>
        <v>2003.96</v>
      </c>
      <c r="R157" s="361">
        <f t="shared" si="48"/>
        <v>1957.04</v>
      </c>
      <c r="S157" s="362">
        <f t="shared" si="48"/>
        <v>2007.12</v>
      </c>
      <c r="T157" s="363"/>
      <c r="U157" s="361"/>
      <c r="V157" s="361"/>
      <c r="W157" s="364"/>
      <c r="X157" s="365"/>
      <c r="Y157" s="361"/>
      <c r="Z157" s="366"/>
      <c r="AA157" s="354"/>
      <c r="AB157" s="278"/>
    </row>
    <row r="158" spans="1:34">
      <c r="A158" s="367">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8">
        <f>IF((S159=""),"",MAX(C160:S160))</f>
        <v>2183.1800000000003</v>
      </c>
      <c r="U158" s="248">
        <f>IF(S159="","",MIN(C160:S160))</f>
        <v>2007.8599999999997</v>
      </c>
      <c r="V158" s="263">
        <f>IF((S160=""),"",AVERAGE(C160:S160))</f>
        <v>2092.9964705882353</v>
      </c>
      <c r="W158" s="352">
        <f>STDEV(C160:S160)</f>
        <v>46.84243761553374</v>
      </c>
      <c r="X158" s="249">
        <f>IF((S159=""),"",((T158-U158)/(T158+U158))*100)</f>
        <v>4.1832098953959074</v>
      </c>
      <c r="Y158" s="250" t="str">
        <f>IF(S159="","",IF(X158&lt;15,IF(V158&gt;1690,IF(V158&lt;2125,"Pass","Fail"),"Fail"),"Fail"))</f>
        <v>Pass</v>
      </c>
      <c r="Z158" s="360">
        <v>1340</v>
      </c>
      <c r="AA158" s="354"/>
      <c r="AC158" s="316">
        <v>1600</v>
      </c>
      <c r="AD158" s="316">
        <v>2600</v>
      </c>
      <c r="AE158" s="355">
        <v>1690</v>
      </c>
      <c r="AF158" s="355">
        <v>2125</v>
      </c>
      <c r="AG158" s="356">
        <v>15</v>
      </c>
      <c r="AH158" s="356">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7"/>
      <c r="U159" s="358"/>
      <c r="V159" s="358"/>
      <c r="W159" s="352"/>
      <c r="X159" s="359"/>
      <c r="Y159" s="358"/>
      <c r="Z159" s="360"/>
      <c r="AA159" s="354"/>
      <c r="AB159" s="278"/>
    </row>
    <row r="160" spans="1:34" ht="32.25" thickBot="1">
      <c r="A160" s="125"/>
      <c r="B160" s="256" t="s">
        <v>221</v>
      </c>
      <c r="C160" s="361">
        <f t="shared" ref="C160:S160" si="49">IF(((C158="")*AND(C159="")),"",(C158-C159)*2)</f>
        <v>2007.8599999999997</v>
      </c>
      <c r="D160" s="361">
        <f t="shared" si="49"/>
        <v>2030.0599999999995</v>
      </c>
      <c r="E160" s="361">
        <f t="shared" si="49"/>
        <v>2041.2199999999998</v>
      </c>
      <c r="F160" s="361">
        <f t="shared" si="49"/>
        <v>2044.1400000000003</v>
      </c>
      <c r="G160" s="361">
        <f t="shared" si="49"/>
        <v>2069.1000000000004</v>
      </c>
      <c r="H160" s="361">
        <f t="shared" si="49"/>
        <v>2101.6400000000003</v>
      </c>
      <c r="I160" s="361">
        <f t="shared" si="49"/>
        <v>2145.6200000000003</v>
      </c>
      <c r="J160" s="361">
        <f t="shared" si="49"/>
        <v>2169.5600000000004</v>
      </c>
      <c r="K160" s="361">
        <f t="shared" si="49"/>
        <v>2183.1800000000003</v>
      </c>
      <c r="L160" s="361">
        <f t="shared" si="49"/>
        <v>2103.6200000000003</v>
      </c>
      <c r="M160" s="361">
        <f t="shared" si="49"/>
        <v>2103.16</v>
      </c>
      <c r="N160" s="361">
        <f t="shared" si="49"/>
        <v>2093.46</v>
      </c>
      <c r="O160" s="361">
        <f t="shared" si="49"/>
        <v>2076</v>
      </c>
      <c r="P160" s="361">
        <f t="shared" si="49"/>
        <v>2086.0800000000004</v>
      </c>
      <c r="Q160" s="361">
        <f t="shared" si="49"/>
        <v>2100.38</v>
      </c>
      <c r="R160" s="361">
        <f t="shared" si="49"/>
        <v>2115.9399999999996</v>
      </c>
      <c r="S160" s="362">
        <f t="shared" si="49"/>
        <v>2109.92</v>
      </c>
      <c r="T160" s="363"/>
      <c r="U160" s="361"/>
      <c r="V160" s="361"/>
      <c r="W160" s="364"/>
      <c r="X160" s="365"/>
      <c r="Y160" s="361"/>
      <c r="Z160" s="366"/>
      <c r="AA160" s="354"/>
      <c r="AB160" s="278"/>
    </row>
    <row r="161" spans="1:34">
      <c r="A161" s="367">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8">
        <f>IF((S162=""),"",MAX(C163:S163))</f>
        <v>1843.1000000000004</v>
      </c>
      <c r="U161" s="248">
        <f>IF(S162="","",MIN(C163:S163))</f>
        <v>1710.9799999999996</v>
      </c>
      <c r="V161" s="263">
        <f>IF((S163=""),"",AVERAGE(C163:S163))</f>
        <v>1769.8305882352938</v>
      </c>
      <c r="W161" s="352">
        <f>STDEV(C163:S163)</f>
        <v>39.438156091312052</v>
      </c>
      <c r="X161" s="249">
        <f>IF((S162=""),"",((T161-U161)/(T161+U161))*100)</f>
        <v>3.7174177283572911</v>
      </c>
      <c r="Y161" s="250" t="str">
        <f>IF(S162="","",IF(X161&lt;15,IF(V161&gt;1690,IF(V161&lt;2125,"Pass","Fail"),"Fail"),"Fail"))</f>
        <v>Pass</v>
      </c>
      <c r="Z161" s="360">
        <v>1340</v>
      </c>
      <c r="AA161" s="354"/>
      <c r="AC161" s="316">
        <v>1600</v>
      </c>
      <c r="AD161" s="316">
        <v>2600</v>
      </c>
      <c r="AE161" s="355">
        <v>1690</v>
      </c>
      <c r="AF161" s="355">
        <v>2125</v>
      </c>
      <c r="AG161" s="356">
        <v>15</v>
      </c>
      <c r="AH161" s="356">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7"/>
      <c r="U162" s="358"/>
      <c r="V162" s="358"/>
      <c r="W162" s="352"/>
      <c r="X162" s="359"/>
      <c r="Y162" s="358"/>
      <c r="Z162" s="360"/>
      <c r="AA162" s="354"/>
      <c r="AB162" s="278"/>
    </row>
    <row r="163" spans="1:34" ht="32.25" thickBot="1">
      <c r="A163" s="125"/>
      <c r="B163" s="256" t="s">
        <v>221</v>
      </c>
      <c r="C163" s="361">
        <f t="shared" ref="C163:S163" si="50">IF(((C161="")*AND(C162="")),"",(C161-C162)*2)</f>
        <v>1750.7600000000002</v>
      </c>
      <c r="D163" s="361">
        <f t="shared" si="50"/>
        <v>1729.5200000000004</v>
      </c>
      <c r="E163" s="361">
        <f t="shared" si="50"/>
        <v>1722.2399999999998</v>
      </c>
      <c r="F163" s="361">
        <f t="shared" si="50"/>
        <v>1710.9799999999996</v>
      </c>
      <c r="G163" s="361">
        <f t="shared" si="50"/>
        <v>1723.2600000000002</v>
      </c>
      <c r="H163" s="361">
        <f t="shared" si="50"/>
        <v>1764.5599999999995</v>
      </c>
      <c r="I163" s="361">
        <f t="shared" si="50"/>
        <v>1799.08</v>
      </c>
      <c r="J163" s="361">
        <f t="shared" si="50"/>
        <v>1843.1000000000004</v>
      </c>
      <c r="K163" s="361">
        <f t="shared" si="50"/>
        <v>1825.8400000000001</v>
      </c>
      <c r="L163" s="361">
        <f t="shared" si="50"/>
        <v>1822.1599999999999</v>
      </c>
      <c r="M163" s="361">
        <f t="shared" si="50"/>
        <v>1809.6599999999999</v>
      </c>
      <c r="N163" s="361">
        <f t="shared" si="50"/>
        <v>1762.5599999999995</v>
      </c>
      <c r="O163" s="361">
        <f t="shared" si="50"/>
        <v>1744.92</v>
      </c>
      <c r="P163" s="361">
        <f t="shared" si="50"/>
        <v>1755.6399999999994</v>
      </c>
      <c r="Q163" s="361">
        <f t="shared" si="50"/>
        <v>1761.2399999999998</v>
      </c>
      <c r="R163" s="361">
        <f t="shared" si="50"/>
        <v>1773.8199999999997</v>
      </c>
      <c r="S163" s="362">
        <f t="shared" si="50"/>
        <v>1787.7800000000007</v>
      </c>
      <c r="T163" s="363"/>
      <c r="U163" s="361"/>
      <c r="V163" s="361"/>
      <c r="W163" s="364"/>
      <c r="X163" s="365"/>
      <c r="Y163" s="361"/>
      <c r="Z163" s="366"/>
      <c r="AA163" s="354"/>
      <c r="AB163" s="278"/>
    </row>
    <row r="164" spans="1:34">
      <c r="A164" s="367">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8">
        <f>IF((S165=""),"",MAX(C166:S166))</f>
        <v>2142.7600000000002</v>
      </c>
      <c r="U164" s="248">
        <f>IF(S165="","",MIN(C166:S166))</f>
        <v>2050.3600000000006</v>
      </c>
      <c r="V164" s="263">
        <f>IF((S166=""),"",AVERAGE(C166:S166))</f>
        <v>2090.9752941176471</v>
      </c>
      <c r="W164" s="352">
        <f>STDEV(C166:S166)</f>
        <v>27.686616378121727</v>
      </c>
      <c r="X164" s="249">
        <f>IF((S165=""),"",((T164-U164)/(T164+U164))*100)</f>
        <v>2.2036097225931912</v>
      </c>
      <c r="Y164" s="250" t="str">
        <f>IF(S165="","",IF(X164&lt;15,IF(V164&gt;1690,IF(V164&lt;2125,"Pass","Fail"),"Fail"),"Fail"))</f>
        <v>Pass</v>
      </c>
      <c r="Z164" s="360">
        <v>1428</v>
      </c>
      <c r="AA164" s="354"/>
      <c r="AB164" s="344" t="s">
        <v>108</v>
      </c>
      <c r="AC164" s="316">
        <v>1600</v>
      </c>
      <c r="AD164" s="316">
        <v>2600</v>
      </c>
      <c r="AE164" s="355">
        <v>1690</v>
      </c>
      <c r="AF164" s="355">
        <v>2125</v>
      </c>
      <c r="AG164" s="356">
        <v>15</v>
      </c>
      <c r="AH164" s="356">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7"/>
      <c r="U165" s="358"/>
      <c r="V165" s="358"/>
      <c r="W165" s="352"/>
      <c r="X165" s="359"/>
      <c r="Y165" s="358"/>
      <c r="Z165" s="360"/>
      <c r="AA165" s="354"/>
      <c r="AB165" s="278"/>
    </row>
    <row r="166" spans="1:34" ht="32.25" thickBot="1">
      <c r="A166" s="125"/>
      <c r="B166" s="256" t="s">
        <v>221</v>
      </c>
      <c r="C166" s="361">
        <f t="shared" ref="C166:S166" si="51">IF(((C164="")*AND(C165="")),"",(C164-C165)*2)</f>
        <v>2050.3600000000006</v>
      </c>
      <c r="D166" s="361">
        <f t="shared" si="51"/>
        <v>2070.0199999999995</v>
      </c>
      <c r="E166" s="361">
        <f t="shared" si="51"/>
        <v>2071.7399999999998</v>
      </c>
      <c r="F166" s="361">
        <f t="shared" si="51"/>
        <v>2063.6999999999998</v>
      </c>
      <c r="G166" s="361">
        <f t="shared" si="51"/>
        <v>2077</v>
      </c>
      <c r="H166" s="361">
        <f t="shared" si="51"/>
        <v>2106.04</v>
      </c>
      <c r="I166" s="361">
        <f t="shared" si="51"/>
        <v>2132.3600000000006</v>
      </c>
      <c r="J166" s="361">
        <f t="shared" si="51"/>
        <v>2142.7600000000002</v>
      </c>
      <c r="K166" s="361">
        <f t="shared" si="51"/>
        <v>2067.88</v>
      </c>
      <c r="L166" s="361">
        <f t="shared" si="51"/>
        <v>2095.2600000000002</v>
      </c>
      <c r="M166" s="361">
        <f t="shared" si="51"/>
        <v>2129.8000000000002</v>
      </c>
      <c r="N166" s="361">
        <f t="shared" si="51"/>
        <v>2115.0999999999995</v>
      </c>
      <c r="O166" s="361">
        <f t="shared" si="51"/>
        <v>2092.5200000000004</v>
      </c>
      <c r="P166" s="361">
        <f t="shared" si="51"/>
        <v>2082.1399999999994</v>
      </c>
      <c r="Q166" s="361">
        <f t="shared" si="51"/>
        <v>2097.6400000000003</v>
      </c>
      <c r="R166" s="361">
        <f t="shared" si="51"/>
        <v>2098.92</v>
      </c>
      <c r="S166" s="362">
        <f t="shared" si="51"/>
        <v>2053.34</v>
      </c>
      <c r="T166" s="363"/>
      <c r="U166" s="361"/>
      <c r="V166" s="361"/>
      <c r="W166" s="364"/>
      <c r="X166" s="365"/>
      <c r="Y166" s="361"/>
      <c r="Z166" s="366"/>
      <c r="AA166" s="354"/>
      <c r="AB166" s="278"/>
    </row>
    <row r="167" spans="1:34">
      <c r="A167" s="367">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8">
        <f>IF((S168=""),"",MAX(C169:S169))</f>
        <v>2120.6799999999985</v>
      </c>
      <c r="U167" s="248">
        <f>IF(S168="","",MIN(C169:S169))</f>
        <v>1987.0200000000004</v>
      </c>
      <c r="V167" s="263">
        <f>IF((S169=""),"",AVERAGE(C169:S169))</f>
        <v>2061.9211764705883</v>
      </c>
      <c r="W167" s="352">
        <f>STDEV(C169:S169)</f>
        <v>37.225846176120463</v>
      </c>
      <c r="X167" s="249">
        <f>IF((S168=""),"",((T167-U167)/(T167+U167))*100)</f>
        <v>3.2538890376609313</v>
      </c>
      <c r="Y167" s="250" t="str">
        <f>IF(S168="","",IF(X167&lt;15,IF(V167&gt;1690,IF(V167&lt;2125,"Pass","Fail"),"Fail"),"Fail"))</f>
        <v>Pass</v>
      </c>
      <c r="Z167" s="360">
        <v>1428</v>
      </c>
      <c r="AA167" s="354"/>
      <c r="AB167" s="344" t="s">
        <v>109</v>
      </c>
      <c r="AC167" s="316">
        <v>1600</v>
      </c>
      <c r="AD167" s="316">
        <v>2600</v>
      </c>
      <c r="AE167" s="355">
        <v>1690</v>
      </c>
      <c r="AF167" s="355">
        <v>2125</v>
      </c>
      <c r="AG167" s="356">
        <v>15</v>
      </c>
      <c r="AH167" s="356">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7"/>
      <c r="U168" s="358"/>
      <c r="V168" s="358"/>
      <c r="W168" s="352"/>
      <c r="X168" s="359"/>
      <c r="Y168" s="358"/>
      <c r="Z168" s="360"/>
      <c r="AA168" s="354"/>
      <c r="AB168" s="278"/>
    </row>
    <row r="169" spans="1:34" ht="32.25" thickBot="1">
      <c r="A169" s="125"/>
      <c r="B169" s="256" t="s">
        <v>221</v>
      </c>
      <c r="C169" s="361">
        <f t="shared" ref="C169:S169" si="52">IF(((C167="")*AND(C168="")),"",(C167-C168)*2)</f>
        <v>2014.5</v>
      </c>
      <c r="D169" s="361">
        <f t="shared" si="52"/>
        <v>2040.2600000000002</v>
      </c>
      <c r="E169" s="361">
        <f t="shared" si="52"/>
        <v>2047.2399999999998</v>
      </c>
      <c r="F169" s="361">
        <f t="shared" si="52"/>
        <v>2049.7999999999993</v>
      </c>
      <c r="G169" s="361">
        <f t="shared" si="52"/>
        <v>2049.7800000000007</v>
      </c>
      <c r="H169" s="361">
        <f t="shared" si="52"/>
        <v>2088.08</v>
      </c>
      <c r="I169" s="361">
        <f t="shared" si="52"/>
        <v>2113.7399999999998</v>
      </c>
      <c r="J169" s="361">
        <f t="shared" si="52"/>
        <v>2111.6399999999994</v>
      </c>
      <c r="K169" s="361">
        <f t="shared" si="52"/>
        <v>2009.8199999999997</v>
      </c>
      <c r="L169" s="361">
        <f t="shared" si="52"/>
        <v>2066.6399999999994</v>
      </c>
      <c r="M169" s="361">
        <f t="shared" si="52"/>
        <v>2120.6799999999985</v>
      </c>
      <c r="N169" s="361">
        <f t="shared" si="52"/>
        <v>2091.2200000000012</v>
      </c>
      <c r="O169" s="361">
        <f t="shared" si="52"/>
        <v>2074.5200000000004</v>
      </c>
      <c r="P169" s="361">
        <f t="shared" si="52"/>
        <v>2048.9399999999987</v>
      </c>
      <c r="Q169" s="361">
        <f t="shared" si="52"/>
        <v>2067.6400000000012</v>
      </c>
      <c r="R169" s="361">
        <f t="shared" si="52"/>
        <v>2071.1399999999994</v>
      </c>
      <c r="S169" s="362">
        <f t="shared" si="52"/>
        <v>1987.0200000000004</v>
      </c>
      <c r="T169" s="363"/>
      <c r="U169" s="361"/>
      <c r="V169" s="361"/>
      <c r="W169" s="364"/>
      <c r="X169" s="365"/>
      <c r="Y169" s="361"/>
      <c r="Z169" s="366"/>
      <c r="AA169" s="354"/>
      <c r="AB169" s="278"/>
    </row>
    <row r="170" spans="1:34">
      <c r="A170" s="367">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8">
        <f>IF((S171=""),"",MAX(C172:S172))</f>
        <v>2129.58</v>
      </c>
      <c r="U170" s="248">
        <f>IF(S171="","",MIN(C172:S172))</f>
        <v>2013.02</v>
      </c>
      <c r="V170" s="263">
        <f>IF((S172=""),"",AVERAGE(C172:S172))</f>
        <v>2098.3235294117644</v>
      </c>
      <c r="W170" s="352">
        <f>STDEV(C172:S172)</f>
        <v>31.25357598366373</v>
      </c>
      <c r="X170" s="249">
        <f>IF((S171=""),"",((T170-U170)/(T170+U170))*100)</f>
        <v>2.8136918843238532</v>
      </c>
      <c r="Y170" s="250" t="str">
        <f>IF(S171="","",IF(X170&lt;15,IF(V170&gt;1690,IF(V170&lt;2125,"Pass","Fail"),"Fail"),"Fail"))</f>
        <v>Pass</v>
      </c>
      <c r="Z170" s="360">
        <v>1340</v>
      </c>
      <c r="AA170" s="354"/>
      <c r="AC170" s="316">
        <v>1600</v>
      </c>
      <c r="AD170" s="316">
        <v>2600</v>
      </c>
      <c r="AE170" s="355">
        <v>1690</v>
      </c>
      <c r="AF170" s="355">
        <v>2125</v>
      </c>
      <c r="AG170" s="356">
        <v>15</v>
      </c>
      <c r="AH170" s="356">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7"/>
      <c r="U171" s="358"/>
      <c r="V171" s="358"/>
      <c r="W171" s="352"/>
      <c r="X171" s="359"/>
      <c r="Y171" s="358"/>
      <c r="Z171" s="360"/>
      <c r="AA171" s="354"/>
      <c r="AB171" s="278"/>
    </row>
    <row r="172" spans="1:34" ht="32.25" thickBot="1">
      <c r="A172" s="125"/>
      <c r="B172" s="256" t="s">
        <v>221</v>
      </c>
      <c r="C172" s="361">
        <f t="shared" ref="C172:S172" si="53">IF(((C170="")*AND(C171="")),"",(C170-C171)*2)</f>
        <v>2013.02</v>
      </c>
      <c r="D172" s="361">
        <f t="shared" si="53"/>
        <v>2050.12</v>
      </c>
      <c r="E172" s="361">
        <f t="shared" si="53"/>
        <v>2088.34</v>
      </c>
      <c r="F172" s="361">
        <f t="shared" si="53"/>
        <v>2103.44</v>
      </c>
      <c r="G172" s="361">
        <f t="shared" si="53"/>
        <v>2113.34</v>
      </c>
      <c r="H172" s="361">
        <f t="shared" si="53"/>
        <v>2124.8199999999997</v>
      </c>
      <c r="I172" s="361">
        <f t="shared" si="53"/>
        <v>2126.6</v>
      </c>
      <c r="J172" s="361">
        <f t="shared" si="53"/>
        <v>2104.38</v>
      </c>
      <c r="K172" s="361">
        <f t="shared" si="53"/>
        <v>2069.62</v>
      </c>
      <c r="L172" s="361">
        <f t="shared" si="53"/>
        <v>2107.04</v>
      </c>
      <c r="M172" s="361">
        <f t="shared" si="53"/>
        <v>2117.1999999999998</v>
      </c>
      <c r="N172" s="361">
        <f t="shared" si="53"/>
        <v>2129.58</v>
      </c>
      <c r="O172" s="361">
        <f t="shared" si="53"/>
        <v>2123.6</v>
      </c>
      <c r="P172" s="361">
        <f t="shared" si="53"/>
        <v>2116.42</v>
      </c>
      <c r="Q172" s="361">
        <f t="shared" si="53"/>
        <v>2115.48</v>
      </c>
      <c r="R172" s="361">
        <f t="shared" si="53"/>
        <v>2095.4</v>
      </c>
      <c r="S172" s="362">
        <f t="shared" si="53"/>
        <v>2073.1</v>
      </c>
      <c r="T172" s="363"/>
      <c r="U172" s="361"/>
      <c r="V172" s="361"/>
      <c r="W172" s="364"/>
      <c r="X172" s="365"/>
      <c r="Y172" s="361"/>
      <c r="Z172" s="366"/>
      <c r="AA172" s="354"/>
      <c r="AB172" s="278"/>
    </row>
    <row r="173" spans="1:34">
      <c r="A173" s="367">
        <v>43370</v>
      </c>
      <c r="B173" s="248" t="s">
        <v>77</v>
      </c>
      <c r="C173" s="302">
        <v>5552</v>
      </c>
      <c r="D173" s="303">
        <v>5491</v>
      </c>
      <c r="E173" s="303">
        <v>5452</v>
      </c>
      <c r="F173" s="303">
        <v>5417</v>
      </c>
      <c r="G173" s="303">
        <v>5405</v>
      </c>
      <c r="H173" s="303">
        <v>5404</v>
      </c>
      <c r="I173" s="303">
        <v>5421</v>
      </c>
      <c r="J173" s="303">
        <v>5456</v>
      </c>
      <c r="K173" s="303">
        <v>5517</v>
      </c>
      <c r="L173" s="303">
        <v>5469</v>
      </c>
      <c r="M173" s="303">
        <v>5442</v>
      </c>
      <c r="N173" s="303">
        <v>5427</v>
      </c>
      <c r="O173" s="303">
        <v>5417</v>
      </c>
      <c r="P173" s="303">
        <v>5413</v>
      </c>
      <c r="Q173" s="303">
        <v>5428</v>
      </c>
      <c r="R173" s="303">
        <v>5443</v>
      </c>
      <c r="S173" s="303">
        <v>5434</v>
      </c>
      <c r="T173" s="368">
        <f>IF((S174=""),"",MAX(C175:S175))</f>
        <v>2166</v>
      </c>
      <c r="U173" s="248">
        <f>IF(S174="","",MIN(C175:S175))</f>
        <v>2002</v>
      </c>
      <c r="V173" s="263">
        <f>IF((S175=""),"",AVERAGE(C175:S175))</f>
        <v>2090.2352941176468</v>
      </c>
      <c r="W173" s="352">
        <f>STDEV(C175:S175)</f>
        <v>47.528319731191516</v>
      </c>
      <c r="X173" s="249">
        <f>IF((S174=""),"",((T173-U173)/(T173+U173))*100)</f>
        <v>3.9347408829174668</v>
      </c>
      <c r="Y173" s="250" t="str">
        <f>IF(S174="","",IF(X173&lt;15,IF(V173&gt;1690,IF(V173&lt;2125,"Pass","Fail"),"Fail"),"Fail"))</f>
        <v>Pass</v>
      </c>
      <c r="Z173" s="360">
        <v>1340</v>
      </c>
      <c r="AA173" s="354"/>
      <c r="AC173" s="316">
        <v>1600</v>
      </c>
      <c r="AD173" s="316">
        <v>2600</v>
      </c>
      <c r="AE173" s="355">
        <v>1690</v>
      </c>
      <c r="AF173" s="355">
        <v>2125</v>
      </c>
      <c r="AG173" s="356">
        <v>15</v>
      </c>
      <c r="AH173" s="356">
        <v>15</v>
      </c>
    </row>
    <row r="174" spans="1:34">
      <c r="A174" s="125"/>
      <c r="B174" s="248" t="s">
        <v>78</v>
      </c>
      <c r="C174" s="302">
        <v>4551</v>
      </c>
      <c r="D174" s="303">
        <v>4467</v>
      </c>
      <c r="E174" s="303">
        <v>4425</v>
      </c>
      <c r="F174" s="303">
        <v>4400</v>
      </c>
      <c r="G174" s="303">
        <v>4378</v>
      </c>
      <c r="H174" s="303">
        <v>4356</v>
      </c>
      <c r="I174" s="303">
        <v>4347</v>
      </c>
      <c r="J174" s="303">
        <v>4373</v>
      </c>
      <c r="K174" s="303">
        <v>4454</v>
      </c>
      <c r="L174" s="303">
        <v>4442</v>
      </c>
      <c r="M174" s="303">
        <v>4377</v>
      </c>
      <c r="N174" s="303">
        <v>4365</v>
      </c>
      <c r="O174" s="303">
        <v>4368</v>
      </c>
      <c r="P174" s="303">
        <v>4337</v>
      </c>
      <c r="Q174" s="303">
        <v>4380</v>
      </c>
      <c r="R174" s="303">
        <v>4389</v>
      </c>
      <c r="S174" s="303">
        <v>4412</v>
      </c>
      <c r="T174" s="357"/>
      <c r="U174" s="358"/>
      <c r="V174" s="358"/>
      <c r="W174" s="352"/>
      <c r="X174" s="359"/>
      <c r="Y174" s="358"/>
      <c r="Z174" s="360"/>
      <c r="AA174" s="354"/>
      <c r="AB174" s="278"/>
      <c r="AE174" s="355"/>
      <c r="AF174" s="355"/>
      <c r="AG174" s="356"/>
      <c r="AH174" s="356"/>
    </row>
    <row r="175" spans="1:34" ht="32.25" thickBot="1">
      <c r="A175" s="125"/>
      <c r="B175" s="256" t="s">
        <v>221</v>
      </c>
      <c r="C175" s="361">
        <f t="shared" ref="C175:S175" si="54">IF(((C173="")*AND(C174="")),"",(C173-C174)*2)</f>
        <v>2002</v>
      </c>
      <c r="D175" s="361">
        <f t="shared" si="54"/>
        <v>2048</v>
      </c>
      <c r="E175" s="361">
        <f t="shared" si="54"/>
        <v>2054</v>
      </c>
      <c r="F175" s="361">
        <f t="shared" si="54"/>
        <v>2034</v>
      </c>
      <c r="G175" s="361">
        <f t="shared" si="54"/>
        <v>2054</v>
      </c>
      <c r="H175" s="361">
        <f t="shared" si="54"/>
        <v>2096</v>
      </c>
      <c r="I175" s="361">
        <f t="shared" si="54"/>
        <v>2148</v>
      </c>
      <c r="J175" s="361">
        <f t="shared" si="54"/>
        <v>2166</v>
      </c>
      <c r="K175" s="361">
        <f t="shared" si="54"/>
        <v>2126</v>
      </c>
      <c r="L175" s="361">
        <f t="shared" si="54"/>
        <v>2054</v>
      </c>
      <c r="M175" s="361">
        <f t="shared" si="54"/>
        <v>2130</v>
      </c>
      <c r="N175" s="361">
        <f t="shared" si="54"/>
        <v>2124</v>
      </c>
      <c r="O175" s="361">
        <f t="shared" si="54"/>
        <v>2098</v>
      </c>
      <c r="P175" s="361">
        <f t="shared" si="54"/>
        <v>2152</v>
      </c>
      <c r="Q175" s="361">
        <f t="shared" si="54"/>
        <v>2096</v>
      </c>
      <c r="R175" s="361">
        <f t="shared" si="54"/>
        <v>2108</v>
      </c>
      <c r="S175" s="362">
        <f t="shared" si="54"/>
        <v>2044</v>
      </c>
      <c r="T175" s="363"/>
      <c r="U175" s="361"/>
      <c r="V175" s="361"/>
      <c r="W175" s="364"/>
      <c r="X175" s="365"/>
      <c r="Y175" s="361"/>
      <c r="Z175" s="366"/>
      <c r="AA175" s="354"/>
      <c r="AB175" s="278"/>
      <c r="AE175" s="355"/>
      <c r="AF175" s="355"/>
      <c r="AG175" s="356"/>
      <c r="AH175" s="356"/>
    </row>
    <row r="176" spans="1:34">
      <c r="A176" s="367">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8">
        <f>IF((S177=""),"",MAX(C178:S178))</f>
        <v>1873.3000000000002</v>
      </c>
      <c r="U176" s="248">
        <f>IF(S177="","",MIN(C178:S178))</f>
        <v>1693.9600000000009</v>
      </c>
      <c r="V176" s="263">
        <f>IF((S178=""),"",AVERAGE(C178:S178))</f>
        <v>1765.671764705882</v>
      </c>
      <c r="W176" s="352">
        <f>STDEV(C178:S178)</f>
        <v>45.729004504163761</v>
      </c>
      <c r="X176" s="249">
        <f>IF((S177=""),"",((T176-U176)/(T176+U176))*100)</f>
        <v>5.0273879672353337</v>
      </c>
      <c r="Y176" s="250" t="str">
        <f>IF(S177="","",IF(X176&lt;15,IF(V176&gt;1690,IF(V176&lt;2125,"Pass","Fail"),"Fail"),"Fail"))</f>
        <v>Pass</v>
      </c>
      <c r="Z176" s="360">
        <v>1340</v>
      </c>
      <c r="AA176" s="354"/>
      <c r="AC176" s="316">
        <v>1600</v>
      </c>
      <c r="AD176" s="316">
        <v>2600</v>
      </c>
      <c r="AE176" s="355">
        <v>1690</v>
      </c>
      <c r="AF176" s="355">
        <v>2125</v>
      </c>
      <c r="AG176" s="356">
        <v>15</v>
      </c>
      <c r="AH176" s="356">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7"/>
      <c r="U177" s="358"/>
      <c r="V177" s="358"/>
      <c r="W177" s="352"/>
      <c r="X177" s="359"/>
      <c r="Y177" s="358"/>
      <c r="Z177" s="360"/>
      <c r="AA177" s="354"/>
      <c r="AB177" s="278"/>
      <c r="AE177" s="355"/>
      <c r="AF177" s="355"/>
      <c r="AG177" s="356"/>
      <c r="AH177" s="356"/>
    </row>
    <row r="178" spans="1:34" ht="32.25" thickBot="1">
      <c r="A178" s="125"/>
      <c r="B178" s="256" t="s">
        <v>221</v>
      </c>
      <c r="C178" s="361">
        <f t="shared" ref="C178:S178" si="55">IF(((C176="")*AND(C177="")),"",(C176-C177)*2)</f>
        <v>1763.4199999999992</v>
      </c>
      <c r="D178" s="361">
        <f t="shared" si="55"/>
        <v>1746.8799999999992</v>
      </c>
      <c r="E178" s="361">
        <f t="shared" si="55"/>
        <v>1720.54</v>
      </c>
      <c r="F178" s="361">
        <f t="shared" si="55"/>
        <v>1693.9600000000009</v>
      </c>
      <c r="G178" s="361">
        <f t="shared" si="55"/>
        <v>1705.4399999999996</v>
      </c>
      <c r="H178" s="361">
        <f t="shared" si="55"/>
        <v>1741.12</v>
      </c>
      <c r="I178" s="361">
        <f t="shared" si="55"/>
        <v>1797.7400000000007</v>
      </c>
      <c r="J178" s="361">
        <f t="shared" si="55"/>
        <v>1842.4199999999992</v>
      </c>
      <c r="K178" s="361">
        <f t="shared" si="55"/>
        <v>1873.3000000000002</v>
      </c>
      <c r="L178" s="361">
        <f t="shared" si="55"/>
        <v>1804.1599999999999</v>
      </c>
      <c r="M178" s="361">
        <f t="shared" si="55"/>
        <v>1772.7799999999997</v>
      </c>
      <c r="N178" s="361">
        <f t="shared" si="55"/>
        <v>1772.619999999999</v>
      </c>
      <c r="O178" s="361">
        <f t="shared" si="55"/>
        <v>1733.0000000000009</v>
      </c>
      <c r="P178" s="361">
        <f t="shared" si="55"/>
        <v>1756.5000000000009</v>
      </c>
      <c r="Q178" s="361">
        <f t="shared" si="55"/>
        <v>1747.4399999999996</v>
      </c>
      <c r="R178" s="361">
        <f t="shared" si="55"/>
        <v>1768.7600000000002</v>
      </c>
      <c r="S178" s="362">
        <f t="shared" si="55"/>
        <v>1776.3400000000001</v>
      </c>
      <c r="T178" s="363"/>
      <c r="U178" s="361"/>
      <c r="V178" s="361"/>
      <c r="W178" s="364"/>
      <c r="X178" s="365"/>
      <c r="Y178" s="361"/>
      <c r="Z178" s="366"/>
      <c r="AA178" s="354"/>
      <c r="AB178" s="278"/>
      <c r="AE178" s="355"/>
      <c r="AF178" s="355"/>
      <c r="AG178" s="356"/>
      <c r="AH178" s="356"/>
    </row>
    <row r="179" spans="1:34">
      <c r="A179" s="367">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8">
        <f>IF((S180=""),"",MAX(C181:S181))</f>
        <v>1922.5200000000004</v>
      </c>
      <c r="U179" s="248">
        <f>IF(S180="","",MIN(C181:S181))</f>
        <v>1754.0200000000004</v>
      </c>
      <c r="V179" s="263">
        <f>IF((S181=""),"",AVERAGE(C181:S181))</f>
        <v>1817.7200000000003</v>
      </c>
      <c r="W179" s="352">
        <f>STDEV(C181:S181)</f>
        <v>45.442804160815776</v>
      </c>
      <c r="X179" s="249">
        <f>IF((S180=""),"",((T179-U179)/(T179+U179))*100)</f>
        <v>4.5831134708176702</v>
      </c>
      <c r="Y179" s="250" t="str">
        <f>IF(S180="","",IF(X179&lt;15,IF(V179&gt;1690,IF(V179&lt;2125,"Pass","Fail"),"Fail"),"Fail"))</f>
        <v>Pass</v>
      </c>
      <c r="Z179" s="360">
        <v>1340</v>
      </c>
      <c r="AA179" s="354"/>
      <c r="AC179" s="316">
        <v>1600</v>
      </c>
      <c r="AD179" s="316">
        <v>2600</v>
      </c>
      <c r="AE179" s="355">
        <v>1690</v>
      </c>
      <c r="AF179" s="355">
        <v>2125</v>
      </c>
      <c r="AG179" s="356">
        <v>15</v>
      </c>
      <c r="AH179" s="356">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7"/>
      <c r="U180" s="358"/>
      <c r="V180" s="358"/>
      <c r="W180" s="352"/>
      <c r="X180" s="359"/>
      <c r="Y180" s="358"/>
      <c r="Z180" s="360"/>
      <c r="AA180" s="354"/>
      <c r="AB180" s="278"/>
      <c r="AE180" s="355"/>
      <c r="AF180" s="355"/>
      <c r="AG180" s="356"/>
      <c r="AH180" s="356"/>
    </row>
    <row r="181" spans="1:34" ht="32.25" thickBot="1">
      <c r="A181" s="125"/>
      <c r="B181" s="256" t="s">
        <v>221</v>
      </c>
      <c r="C181" s="374">
        <f t="shared" ref="C181:S181" si="56">IF(((C179="")*AND(C180="")),"",(C179-C180)*2)</f>
        <v>1797.6399999999994</v>
      </c>
      <c r="D181" s="374">
        <f t="shared" si="56"/>
        <v>1777.7599999999993</v>
      </c>
      <c r="E181" s="374">
        <f t="shared" si="56"/>
        <v>1754.0200000000004</v>
      </c>
      <c r="F181" s="374">
        <f t="shared" si="56"/>
        <v>1760.7800000000007</v>
      </c>
      <c r="G181" s="374">
        <f t="shared" si="56"/>
        <v>1794.2000000000007</v>
      </c>
      <c r="H181" s="374">
        <f t="shared" si="56"/>
        <v>1804.6200000000008</v>
      </c>
      <c r="I181" s="374">
        <f t="shared" si="56"/>
        <v>1855.9199999999992</v>
      </c>
      <c r="J181" s="374">
        <f t="shared" si="56"/>
        <v>1888.6599999999999</v>
      </c>
      <c r="K181" s="374">
        <f t="shared" si="56"/>
        <v>1922.5200000000004</v>
      </c>
      <c r="L181" s="374">
        <f t="shared" si="56"/>
        <v>1855.9399999999987</v>
      </c>
      <c r="M181" s="374">
        <f t="shared" si="56"/>
        <v>1821.9000000000005</v>
      </c>
      <c r="N181" s="374">
        <f t="shared" si="56"/>
        <v>1807.9799999999996</v>
      </c>
      <c r="O181" s="374">
        <f t="shared" si="56"/>
        <v>1778.2600000000002</v>
      </c>
      <c r="P181" s="374">
        <f t="shared" si="56"/>
        <v>1790.62</v>
      </c>
      <c r="Q181" s="374">
        <f t="shared" si="56"/>
        <v>1804.7600000000011</v>
      </c>
      <c r="R181" s="374">
        <f t="shared" si="56"/>
        <v>1831.6999999999989</v>
      </c>
      <c r="S181" s="375">
        <f t="shared" si="56"/>
        <v>1853.9600000000009</v>
      </c>
      <c r="T181" s="376"/>
      <c r="U181" s="374"/>
      <c r="V181" s="374"/>
      <c r="W181" s="243"/>
      <c r="X181" s="377"/>
      <c r="Y181" s="374"/>
      <c r="Z181" s="378"/>
      <c r="AA181" s="354"/>
      <c r="AB181" s="278"/>
      <c r="AE181" s="355"/>
      <c r="AF181" s="355"/>
      <c r="AG181" s="356"/>
      <c r="AH181" s="356"/>
    </row>
    <row r="182" spans="1:34">
      <c r="A182" s="379">
        <v>43382</v>
      </c>
      <c r="B182" s="248" t="s">
        <v>77</v>
      </c>
      <c r="C182" s="358">
        <v>4466.09</v>
      </c>
      <c r="D182" s="358">
        <v>4436.43</v>
      </c>
      <c r="E182" s="358">
        <v>4418.18</v>
      </c>
      <c r="F182" s="358">
        <v>4410.8500000000004</v>
      </c>
      <c r="G182" s="358">
        <v>4407.16</v>
      </c>
      <c r="H182" s="358">
        <v>4375.6400000000003</v>
      </c>
      <c r="I182" s="358">
        <v>4363.46</v>
      </c>
      <c r="J182" s="358">
        <v>4362.91</v>
      </c>
      <c r="K182" s="358">
        <v>4399.8999999999996</v>
      </c>
      <c r="L182" s="358">
        <v>4399.28</v>
      </c>
      <c r="M182" s="358">
        <v>4380.17</v>
      </c>
      <c r="N182" s="358">
        <v>4374.3100000000004</v>
      </c>
      <c r="O182" s="358">
        <v>4384.51</v>
      </c>
      <c r="P182" s="358">
        <v>4383.16</v>
      </c>
      <c r="Q182" s="358">
        <v>4383.55</v>
      </c>
      <c r="R182" s="358">
        <v>4387.08</v>
      </c>
      <c r="S182" s="358">
        <v>4406.6899999999996</v>
      </c>
      <c r="T182" s="248">
        <f>IF((S183=""),"",MAX(C184:S184))</f>
        <v>1864.8599999999997</v>
      </c>
      <c r="U182" s="248">
        <f>IF(S183="","",MIN(C184:S184))</f>
        <v>1715.5200000000004</v>
      </c>
      <c r="V182" s="248">
        <f>IF((S184=""),"",AVERAGE(C184:S184))</f>
        <v>1781.541176470588</v>
      </c>
      <c r="W182" s="380">
        <f>STDEV(C184:S184)</f>
        <v>40.195906800695035</v>
      </c>
      <c r="X182" s="249">
        <f>IF((S183=""),"",((T182-U182)/(T182+U182))*100)</f>
        <v>4.1710656410771829</v>
      </c>
      <c r="Y182" s="250" t="str">
        <f>IF(S183="","",IF(X182&lt;15,IF(V182&gt;1690,IF(V182&lt;2125,"Pass","Fail"),"Fail"),"Fail"))</f>
        <v>Pass</v>
      </c>
      <c r="Z182" s="381">
        <v>1335</v>
      </c>
      <c r="AA182" s="354"/>
      <c r="AC182" s="316">
        <v>1600</v>
      </c>
      <c r="AD182" s="316">
        <v>2600</v>
      </c>
      <c r="AE182" s="355">
        <v>1690</v>
      </c>
      <c r="AF182" s="355">
        <v>2125</v>
      </c>
      <c r="AG182" s="356">
        <v>15</v>
      </c>
      <c r="AH182" s="356">
        <v>15</v>
      </c>
    </row>
    <row r="183" spans="1:34">
      <c r="A183" s="125"/>
      <c r="B183" s="248" t="s">
        <v>78</v>
      </c>
      <c r="C183" s="358">
        <v>3586.92</v>
      </c>
      <c r="D183" s="358">
        <v>3560.9</v>
      </c>
      <c r="E183" s="358">
        <v>3547.02</v>
      </c>
      <c r="F183" s="358">
        <v>3553.09</v>
      </c>
      <c r="G183" s="358">
        <v>3544.64</v>
      </c>
      <c r="H183" s="358">
        <v>3485.15</v>
      </c>
      <c r="I183" s="358">
        <v>3455.58</v>
      </c>
      <c r="J183" s="358">
        <v>3447.92</v>
      </c>
      <c r="K183" s="358">
        <v>3467.47</v>
      </c>
      <c r="L183" s="358">
        <v>3488.25</v>
      </c>
      <c r="M183" s="358">
        <v>3471.02</v>
      </c>
      <c r="N183" s="358">
        <v>3485.77</v>
      </c>
      <c r="O183" s="358">
        <v>3504.22</v>
      </c>
      <c r="P183" s="358">
        <v>3508.09</v>
      </c>
      <c r="Q183" s="358">
        <v>3491.92</v>
      </c>
      <c r="R183" s="358">
        <v>3488.47</v>
      </c>
      <c r="S183" s="358">
        <v>3509.84</v>
      </c>
      <c r="T183" s="358"/>
      <c r="U183" s="358"/>
      <c r="V183" s="358"/>
      <c r="W183" s="380"/>
      <c r="X183" s="359"/>
      <c r="Y183" s="358"/>
      <c r="Z183" s="381"/>
      <c r="AA183" s="354"/>
      <c r="AB183" s="278"/>
      <c r="AE183" s="355"/>
      <c r="AF183" s="355"/>
      <c r="AG183" s="356"/>
      <c r="AH183" s="356"/>
    </row>
    <row r="184" spans="1:34" ht="32.25" thickBot="1">
      <c r="A184" s="125"/>
      <c r="B184" s="256" t="s">
        <v>221</v>
      </c>
      <c r="C184" s="374">
        <f t="shared" ref="C184:S184" si="57">IF(((C182="")*AND(C183="")),"",(C182-C183)*2)</f>
        <v>1758.3400000000001</v>
      </c>
      <c r="D184" s="374">
        <f t="shared" si="57"/>
        <v>1751.0600000000004</v>
      </c>
      <c r="E184" s="374">
        <f t="shared" si="57"/>
        <v>1742.3200000000006</v>
      </c>
      <c r="F184" s="374">
        <f t="shared" si="57"/>
        <v>1715.5200000000004</v>
      </c>
      <c r="G184" s="374">
        <f t="shared" si="57"/>
        <v>1725.04</v>
      </c>
      <c r="H184" s="374">
        <f t="shared" si="57"/>
        <v>1780.9800000000005</v>
      </c>
      <c r="I184" s="374">
        <f t="shared" si="57"/>
        <v>1815.7600000000002</v>
      </c>
      <c r="J184" s="374">
        <f t="shared" si="57"/>
        <v>1829.9799999999996</v>
      </c>
      <c r="K184" s="374">
        <f t="shared" si="57"/>
        <v>1864.8599999999997</v>
      </c>
      <c r="L184" s="374">
        <f t="shared" si="57"/>
        <v>1822.0599999999995</v>
      </c>
      <c r="M184" s="374">
        <f t="shared" si="57"/>
        <v>1818.3000000000002</v>
      </c>
      <c r="N184" s="374">
        <f t="shared" si="57"/>
        <v>1777.0800000000008</v>
      </c>
      <c r="O184" s="374">
        <f t="shared" si="57"/>
        <v>1760.5800000000008</v>
      </c>
      <c r="P184" s="374">
        <f t="shared" si="57"/>
        <v>1750.1399999999994</v>
      </c>
      <c r="Q184" s="374">
        <f t="shared" si="57"/>
        <v>1783.2600000000002</v>
      </c>
      <c r="R184" s="374">
        <f t="shared" si="57"/>
        <v>1797.2200000000003</v>
      </c>
      <c r="S184" s="374">
        <f t="shared" si="57"/>
        <v>1793.6999999999989</v>
      </c>
      <c r="T184" s="374"/>
      <c r="U184" s="374"/>
      <c r="V184" s="374"/>
      <c r="W184" s="382"/>
      <c r="X184" s="377"/>
      <c r="Y184" s="374"/>
      <c r="Z184" s="383"/>
      <c r="AA184" s="354"/>
      <c r="AB184" s="278"/>
      <c r="AE184" s="355"/>
      <c r="AF184" s="355"/>
      <c r="AG184" s="356"/>
      <c r="AH184" s="356"/>
    </row>
    <row r="185" spans="1:34">
      <c r="A185" s="379">
        <v>43385</v>
      </c>
      <c r="B185" s="248" t="s">
        <v>77</v>
      </c>
      <c r="C185" s="358">
        <v>4442.01</v>
      </c>
      <c r="D185" s="358">
        <v>4404.62</v>
      </c>
      <c r="E185" s="358">
        <v>4387.8599999999997</v>
      </c>
      <c r="F185" s="358">
        <v>4386.71</v>
      </c>
      <c r="G185" s="358">
        <v>4380.57</v>
      </c>
      <c r="H185" s="358">
        <v>4355.84</v>
      </c>
      <c r="I185" s="358">
        <v>4349.3100000000004</v>
      </c>
      <c r="J185" s="358">
        <v>4354.45</v>
      </c>
      <c r="K185" s="358">
        <v>4388.1099999999997</v>
      </c>
      <c r="L185" s="358">
        <v>4376.62</v>
      </c>
      <c r="M185" s="358">
        <v>4348.8100000000004</v>
      </c>
      <c r="N185" s="358">
        <v>4347.71</v>
      </c>
      <c r="O185" s="358">
        <v>4360.59</v>
      </c>
      <c r="P185" s="358">
        <v>4363.2299999999996</v>
      </c>
      <c r="Q185" s="358">
        <v>4361.3500000000004</v>
      </c>
      <c r="R185" s="358">
        <v>4370.76</v>
      </c>
      <c r="S185" s="358">
        <v>4397.8999999999996</v>
      </c>
      <c r="T185" s="248">
        <f>IF((S186=""),"",MAX(C187:S187))</f>
        <v>1871.8999999999996</v>
      </c>
      <c r="U185" s="248">
        <f>IF(S186="","",MIN(C187:S187))</f>
        <v>1724.3199999999997</v>
      </c>
      <c r="V185" s="248">
        <f>IF((S187=""),"",AVERAGE(C187:S187))</f>
        <v>1785.3164705882355</v>
      </c>
      <c r="W185" s="380">
        <f>STDEV(C187:S187)</f>
        <v>46.219695604404606</v>
      </c>
      <c r="X185" s="249">
        <f>IF((S186=""),"",((T185-U185)/(T185+U185))*100)</f>
        <v>4.1037533854992176</v>
      </c>
      <c r="Y185" s="250" t="str">
        <f>IF(S186="","",IF(X185&lt;15,IF(V185&gt;1690,IF(V185&lt;2125,"Pass","Fail"),"Fail"),"Fail"))</f>
        <v>Pass</v>
      </c>
      <c r="Z185" s="381">
        <v>102</v>
      </c>
      <c r="AA185" s="278" t="s">
        <v>93</v>
      </c>
      <c r="AC185" s="316">
        <v>1600</v>
      </c>
      <c r="AD185" s="316">
        <v>2600</v>
      </c>
      <c r="AE185" s="355">
        <v>1690</v>
      </c>
      <c r="AF185" s="355">
        <v>2125</v>
      </c>
      <c r="AG185" s="356">
        <v>15</v>
      </c>
      <c r="AH185" s="356">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8"/>
      <c r="U186" s="358"/>
      <c r="V186" s="358"/>
      <c r="W186" s="380"/>
      <c r="X186" s="359"/>
      <c r="Y186" s="358"/>
      <c r="Z186" s="381"/>
      <c r="AA186" s="354"/>
      <c r="AB186" s="278"/>
      <c r="AE186" s="355"/>
      <c r="AF186" s="355"/>
      <c r="AG186" s="356"/>
      <c r="AH186" s="356"/>
    </row>
    <row r="187" spans="1:34" ht="32.25" thickBot="1">
      <c r="A187" s="125"/>
      <c r="B187" s="256" t="s">
        <v>221</v>
      </c>
      <c r="C187" s="361">
        <f t="shared" ref="C187:S187" si="58">IF(((C185="")*AND(C186="")),"",(C185-C186)*2)</f>
        <v>1762.9400000000005</v>
      </c>
      <c r="D187" s="361">
        <f t="shared" si="58"/>
        <v>1741.8400000000001</v>
      </c>
      <c r="E187" s="361">
        <f t="shared" si="58"/>
        <v>1727.8799999999992</v>
      </c>
      <c r="F187" s="361">
        <f t="shared" si="58"/>
        <v>1724.3199999999997</v>
      </c>
      <c r="G187" s="361">
        <f t="shared" si="58"/>
        <v>1726.8399999999992</v>
      </c>
      <c r="H187" s="361">
        <f t="shared" si="58"/>
        <v>1782.1000000000004</v>
      </c>
      <c r="I187" s="361">
        <f t="shared" si="58"/>
        <v>1826.9400000000005</v>
      </c>
      <c r="J187" s="361">
        <f t="shared" si="58"/>
        <v>1871.8999999999996</v>
      </c>
      <c r="K187" s="361">
        <f t="shared" si="58"/>
        <v>1861.1399999999994</v>
      </c>
      <c r="L187" s="361">
        <f t="shared" si="58"/>
        <v>1826.3199999999997</v>
      </c>
      <c r="M187" s="361">
        <f t="shared" si="58"/>
        <v>1802.9000000000005</v>
      </c>
      <c r="N187" s="361">
        <f t="shared" si="58"/>
        <v>1773.6999999999998</v>
      </c>
      <c r="O187" s="361">
        <f t="shared" si="58"/>
        <v>1739.6800000000003</v>
      </c>
      <c r="P187" s="361">
        <f t="shared" si="58"/>
        <v>1768.9599999999991</v>
      </c>
      <c r="Q187" s="361">
        <f t="shared" si="58"/>
        <v>1783.1600000000008</v>
      </c>
      <c r="R187" s="361">
        <f t="shared" si="58"/>
        <v>1823.0400000000009</v>
      </c>
      <c r="S187" s="361">
        <f t="shared" si="58"/>
        <v>1806.7199999999993</v>
      </c>
      <c r="T187" s="361"/>
      <c r="U187" s="361"/>
      <c r="V187" s="361"/>
      <c r="W187" s="384"/>
      <c r="X187" s="365"/>
      <c r="Y187" s="361"/>
      <c r="Z187" s="385"/>
      <c r="AA187" s="354"/>
      <c r="AB187" s="278"/>
      <c r="AE187" s="355"/>
      <c r="AF187" s="355"/>
      <c r="AG187" s="356"/>
      <c r="AH187" s="356"/>
    </row>
    <row r="188" spans="1:34">
      <c r="A188" s="367">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8">
        <f>IF((S189=""),"",MAX(C190:S190))</f>
        <v>2152</v>
      </c>
      <c r="U188" s="248">
        <f>IF(S189="","",MIN(C190:S190))</f>
        <v>2014</v>
      </c>
      <c r="V188" s="263">
        <f>IF((S190=""),"",AVERAGE(C190:S190))</f>
        <v>2086.2352941176468</v>
      </c>
      <c r="W188" s="352">
        <f>STDEV(C190:S190)</f>
        <v>35.460417037456978</v>
      </c>
      <c r="X188" s="249">
        <f>IF((S189=""),"",((T188-U188)/(T188+U188))*100)</f>
        <v>3.3125300048007684</v>
      </c>
      <c r="Y188" s="250" t="str">
        <f>IF(S189="","",IF(X188&lt;15,IF(V188&gt;1690,IF(V188&lt;2125,"Pass","Fail"),"Fail"),"Fail"))</f>
        <v>Pass</v>
      </c>
      <c r="Z188" s="360">
        <v>1340</v>
      </c>
      <c r="AA188" s="354"/>
      <c r="AC188" s="316">
        <v>1600</v>
      </c>
      <c r="AD188" s="316">
        <v>2600</v>
      </c>
      <c r="AE188" s="355">
        <v>1690</v>
      </c>
      <c r="AF188" s="355">
        <v>2125</v>
      </c>
      <c r="AG188" s="356">
        <v>15</v>
      </c>
      <c r="AH188" s="356">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7"/>
      <c r="U189" s="358"/>
      <c r="V189" s="358"/>
      <c r="W189" s="352"/>
      <c r="X189" s="359"/>
      <c r="Y189" s="358"/>
      <c r="Z189" s="360"/>
      <c r="AA189" s="354"/>
      <c r="AB189" s="278"/>
      <c r="AE189" s="355"/>
      <c r="AF189" s="355"/>
      <c r="AG189" s="356"/>
      <c r="AH189" s="356"/>
    </row>
    <row r="190" spans="1:34" ht="32.25" thickBot="1">
      <c r="A190" s="125"/>
      <c r="B190" s="256" t="s">
        <v>221</v>
      </c>
      <c r="C190" s="374">
        <f t="shared" ref="C190:S190" si="59">IF(((C188="")*AND(C189="")),"",(C188-C189)*2)</f>
        <v>2014</v>
      </c>
      <c r="D190" s="374">
        <f t="shared" si="59"/>
        <v>2052</v>
      </c>
      <c r="E190" s="374">
        <f t="shared" si="59"/>
        <v>2054</v>
      </c>
      <c r="F190" s="374">
        <f t="shared" si="59"/>
        <v>2066</v>
      </c>
      <c r="G190" s="374">
        <f t="shared" si="59"/>
        <v>2066</v>
      </c>
      <c r="H190" s="374">
        <f t="shared" si="59"/>
        <v>2094</v>
      </c>
      <c r="I190" s="374">
        <f t="shared" si="59"/>
        <v>2138</v>
      </c>
      <c r="J190" s="374">
        <f t="shared" si="59"/>
        <v>2152</v>
      </c>
      <c r="K190" s="374">
        <f t="shared" si="59"/>
        <v>2094</v>
      </c>
      <c r="L190" s="374">
        <f t="shared" si="59"/>
        <v>2092</v>
      </c>
      <c r="M190" s="374">
        <f t="shared" si="59"/>
        <v>2130</v>
      </c>
      <c r="N190" s="374">
        <f t="shared" si="59"/>
        <v>2114</v>
      </c>
      <c r="O190" s="374">
        <f t="shared" si="59"/>
        <v>2096</v>
      </c>
      <c r="P190" s="374">
        <f t="shared" si="59"/>
        <v>2072</v>
      </c>
      <c r="Q190" s="374">
        <f t="shared" si="59"/>
        <v>2090</v>
      </c>
      <c r="R190" s="374">
        <f t="shared" si="59"/>
        <v>2096</v>
      </c>
      <c r="S190" s="375">
        <f t="shared" si="59"/>
        <v>2046</v>
      </c>
      <c r="T190" s="376"/>
      <c r="U190" s="374"/>
      <c r="V190" s="374"/>
      <c r="W190" s="243"/>
      <c r="X190" s="377"/>
      <c r="Y190" s="374"/>
      <c r="Z190" s="378"/>
      <c r="AA190" s="354"/>
      <c r="AB190" s="278"/>
      <c r="AE190" s="355"/>
      <c r="AF190" s="355"/>
      <c r="AG190" s="356"/>
      <c r="AH190" s="356"/>
    </row>
    <row r="191" spans="1:34">
      <c r="A191" s="369">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80">
        <f>STDEV(C193:S193)</f>
        <v>35.282165549793895</v>
      </c>
      <c r="X191" s="249">
        <f>IF((S192=""),"",((T191-U191)/(T191+U191))*100)</f>
        <v>2.5051775569531163</v>
      </c>
      <c r="Y191" s="250" t="str">
        <f>IF(S192="","",IF(X191&lt;15,IF(V191&gt;1690,IF(V191&lt;2125,"Pass","Fail"),"Fail"),"Fail"))</f>
        <v>Pass</v>
      </c>
      <c r="Z191" s="381">
        <v>121</v>
      </c>
      <c r="AA191" s="278" t="s">
        <v>94</v>
      </c>
      <c r="AC191" s="316">
        <v>1600</v>
      </c>
      <c r="AD191" s="316">
        <v>2600</v>
      </c>
      <c r="AE191" s="355">
        <v>1690</v>
      </c>
      <c r="AF191" s="355">
        <v>2125</v>
      </c>
      <c r="AG191" s="356">
        <v>15</v>
      </c>
      <c r="AH191" s="356">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8"/>
      <c r="U192" s="358"/>
      <c r="V192" s="358"/>
      <c r="W192" s="380"/>
      <c r="X192" s="359"/>
      <c r="Y192" s="358"/>
      <c r="Z192" s="381"/>
      <c r="AA192" s="278"/>
      <c r="AB192" s="278"/>
      <c r="AE192" s="355"/>
      <c r="AF192" s="355"/>
      <c r="AG192" s="356"/>
      <c r="AH192" s="356"/>
    </row>
    <row r="193" spans="1:34" ht="32.25" thickBot="1">
      <c r="A193" s="125"/>
      <c r="B193" s="256" t="s">
        <v>221</v>
      </c>
      <c r="C193" s="361">
        <f t="shared" ref="C193:S193" si="60">IF(((C191="")*AND(C192="")),"",(C191-C192)*2)</f>
        <v>2053.2199999999993</v>
      </c>
      <c r="D193" s="361">
        <f t="shared" si="60"/>
        <v>2062.5400000000009</v>
      </c>
      <c r="E193" s="361">
        <f t="shared" si="60"/>
        <v>2052.5</v>
      </c>
      <c r="F193" s="361">
        <f t="shared" si="60"/>
        <v>2067.6800000000003</v>
      </c>
      <c r="G193" s="361">
        <f t="shared" si="60"/>
        <v>2066.9799999999996</v>
      </c>
      <c r="H193" s="361">
        <f t="shared" si="60"/>
        <v>2100.5200000000004</v>
      </c>
      <c r="I193" s="361">
        <f t="shared" si="60"/>
        <v>2133.08</v>
      </c>
      <c r="J193" s="361">
        <f t="shared" si="60"/>
        <v>2157.92</v>
      </c>
      <c r="K193" s="361">
        <f t="shared" si="60"/>
        <v>2157.9799999999996</v>
      </c>
      <c r="L193" s="361">
        <f t="shared" si="60"/>
        <v>2135.5</v>
      </c>
      <c r="M193" s="361">
        <f t="shared" si="60"/>
        <v>2146.5399999999991</v>
      </c>
      <c r="N193" s="361">
        <f t="shared" si="60"/>
        <v>2115.3799999999992</v>
      </c>
      <c r="O193" s="361">
        <f t="shared" si="60"/>
        <v>2097.4000000000015</v>
      </c>
      <c r="P193" s="361">
        <f t="shared" si="60"/>
        <v>2078.9600000000009</v>
      </c>
      <c r="Q193" s="361">
        <f t="shared" si="60"/>
        <v>2106.3999999999996</v>
      </c>
      <c r="R193" s="361">
        <f t="shared" si="60"/>
        <v>2102.3000000000011</v>
      </c>
      <c r="S193" s="361">
        <f t="shared" si="60"/>
        <v>2108.7999999999993</v>
      </c>
      <c r="T193" s="361"/>
      <c r="U193" s="361"/>
      <c r="V193" s="361"/>
      <c r="W193" s="384"/>
      <c r="X193" s="365"/>
      <c r="Y193" s="361"/>
      <c r="Z193" s="385"/>
      <c r="AA193" s="278"/>
      <c r="AB193" s="278"/>
      <c r="AE193" s="355"/>
      <c r="AF193" s="355"/>
      <c r="AG193" s="356"/>
      <c r="AH193" s="356"/>
    </row>
    <row r="194" spans="1:34">
      <c r="A194" s="369">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80">
        <f>STDEV(C196:S196)</f>
        <v>45.920919044404137</v>
      </c>
      <c r="X194" s="249">
        <f>IF((S195=""),"",((T194-U194)/(T194+U194))*100)</f>
        <v>4.2421586084098228</v>
      </c>
      <c r="Y194" s="250" t="str">
        <f>IF(S195="","",IF(X194&lt;15,IF(V194&gt;1690,IF(V194&lt;2125,"Pass","Fail"),"Fail"),"Fail"))</f>
        <v>Pass</v>
      </c>
      <c r="Z194" s="381">
        <v>121</v>
      </c>
      <c r="AA194" s="278" t="s">
        <v>95</v>
      </c>
      <c r="AC194" s="316">
        <v>1600</v>
      </c>
      <c r="AD194" s="316">
        <v>2600</v>
      </c>
      <c r="AE194" s="355">
        <v>1690</v>
      </c>
      <c r="AF194" s="355">
        <v>2125</v>
      </c>
      <c r="AG194" s="356">
        <v>15</v>
      </c>
      <c r="AH194" s="356">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8"/>
      <c r="U195" s="358"/>
      <c r="V195" s="358"/>
      <c r="W195" s="380"/>
      <c r="X195" s="359"/>
      <c r="Y195" s="358"/>
      <c r="Z195" s="381"/>
      <c r="AA195" s="354"/>
      <c r="AB195" s="278"/>
      <c r="AE195" s="355"/>
      <c r="AF195" s="355"/>
      <c r="AG195" s="356"/>
      <c r="AH195" s="356"/>
    </row>
    <row r="196" spans="1:34" ht="32.25" thickBot="1">
      <c r="A196" s="125"/>
      <c r="B196" s="256" t="s">
        <v>221</v>
      </c>
      <c r="C196" s="361">
        <f t="shared" ref="C196:S196" si="61">IF(((C194="")*AND(C195="")),"",(C194-C195)*2)</f>
        <v>1752.3199999999997</v>
      </c>
      <c r="D196" s="361">
        <f t="shared" si="61"/>
        <v>1762.2199999999993</v>
      </c>
      <c r="E196" s="361">
        <f t="shared" si="61"/>
        <v>1770.1999999999998</v>
      </c>
      <c r="F196" s="361">
        <f t="shared" si="61"/>
        <v>1747.8199999999997</v>
      </c>
      <c r="G196" s="361">
        <f t="shared" si="61"/>
        <v>1761.2600000000002</v>
      </c>
      <c r="H196" s="361">
        <f t="shared" si="61"/>
        <v>1804.88</v>
      </c>
      <c r="I196" s="361">
        <f t="shared" si="61"/>
        <v>1852.46</v>
      </c>
      <c r="J196" s="361">
        <f t="shared" si="61"/>
        <v>1871.2200000000003</v>
      </c>
      <c r="K196" s="361">
        <f t="shared" si="61"/>
        <v>1902.6800000000003</v>
      </c>
      <c r="L196" s="361">
        <f t="shared" si="61"/>
        <v>1836.8600000000006</v>
      </c>
      <c r="M196" s="361">
        <f t="shared" si="61"/>
        <v>1811.0800000000008</v>
      </c>
      <c r="N196" s="361">
        <f t="shared" si="61"/>
        <v>1808.9800000000005</v>
      </c>
      <c r="O196" s="361">
        <f t="shared" si="61"/>
        <v>1762.1799999999994</v>
      </c>
      <c r="P196" s="361">
        <f t="shared" si="61"/>
        <v>1771.9399999999987</v>
      </c>
      <c r="Q196" s="361">
        <f t="shared" si="61"/>
        <v>1797.7799999999997</v>
      </c>
      <c r="R196" s="361">
        <f t="shared" si="61"/>
        <v>1821.2199999999993</v>
      </c>
      <c r="S196" s="361">
        <f t="shared" si="61"/>
        <v>1852.46</v>
      </c>
      <c r="T196" s="361"/>
      <c r="U196" s="361"/>
      <c r="V196" s="361"/>
      <c r="W196" s="384"/>
      <c r="X196" s="365"/>
      <c r="Y196" s="361"/>
      <c r="Z196" s="385"/>
      <c r="AA196" s="354"/>
      <c r="AB196" s="278"/>
      <c r="AE196" s="355"/>
      <c r="AF196" s="355"/>
      <c r="AG196" s="356"/>
      <c r="AH196" s="356"/>
    </row>
    <row r="197" spans="1:34">
      <c r="A197" s="369">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80">
        <f>STDEV(C199:S199)</f>
        <v>39.714053706008016</v>
      </c>
      <c r="X197" s="249">
        <f>IF((S198=""),"",((T197-U197)/(T197+U197))*100)</f>
        <v>3.4167773673117803</v>
      </c>
      <c r="Y197" s="250" t="str">
        <f>IF(S198="","",IF(X197&lt;15,IF(V197&gt;1690,IF(V197&lt;2125,"Pass","Fail"),"Fail"),"Fail"))</f>
        <v>Fail</v>
      </c>
      <c r="Z197" s="381">
        <v>121</v>
      </c>
      <c r="AA197" s="354"/>
      <c r="AC197" s="316">
        <v>1600</v>
      </c>
      <c r="AD197" s="316">
        <v>2600</v>
      </c>
      <c r="AE197" s="355">
        <v>1690</v>
      </c>
      <c r="AF197" s="355">
        <v>2125</v>
      </c>
      <c r="AG197" s="356">
        <v>15</v>
      </c>
      <c r="AH197" s="356">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8"/>
      <c r="U198" s="358"/>
      <c r="V198" s="358"/>
      <c r="W198" s="380"/>
      <c r="X198" s="359"/>
      <c r="Y198" s="358"/>
      <c r="Z198" s="381"/>
      <c r="AA198" s="354"/>
      <c r="AB198" s="278"/>
      <c r="AE198" s="355"/>
      <c r="AF198" s="355"/>
      <c r="AG198" s="356"/>
      <c r="AH198" s="356"/>
    </row>
    <row r="199" spans="1:34" ht="32.25" thickBot="1">
      <c r="A199" s="125"/>
      <c r="B199" s="256" t="s">
        <v>221</v>
      </c>
      <c r="C199" s="361">
        <f t="shared" ref="C199:S199" si="62">IF(((C197="")*AND(C198="")),"",(C197-C198)*2)</f>
        <v>2057.58</v>
      </c>
      <c r="D199" s="361">
        <f t="shared" si="62"/>
        <v>2091.8999999999996</v>
      </c>
      <c r="E199" s="361">
        <f t="shared" si="62"/>
        <v>2103.6399999999994</v>
      </c>
      <c r="F199" s="361">
        <f t="shared" si="62"/>
        <v>2094.7399999999998</v>
      </c>
      <c r="G199" s="361">
        <f t="shared" si="62"/>
        <v>2131.3799999999992</v>
      </c>
      <c r="H199" s="361">
        <f t="shared" si="62"/>
        <v>2179.4400000000005</v>
      </c>
      <c r="I199" s="361">
        <f t="shared" si="62"/>
        <v>2203.16</v>
      </c>
      <c r="J199" s="361">
        <f t="shared" si="62"/>
        <v>2202.8999999999996</v>
      </c>
      <c r="K199" s="361">
        <f t="shared" si="62"/>
        <v>2179.34</v>
      </c>
      <c r="L199" s="361">
        <f t="shared" si="62"/>
        <v>2154.8199999999997</v>
      </c>
      <c r="M199" s="361">
        <f t="shared" si="62"/>
        <v>2165.2799999999988</v>
      </c>
      <c r="N199" s="361">
        <f t="shared" si="62"/>
        <v>2166.8199999999997</v>
      </c>
      <c r="O199" s="361">
        <f t="shared" si="62"/>
        <v>2152.8599999999988</v>
      </c>
      <c r="P199" s="361">
        <f t="shared" si="62"/>
        <v>2158</v>
      </c>
      <c r="Q199" s="361">
        <f t="shared" si="62"/>
        <v>2145.4400000000005</v>
      </c>
      <c r="R199" s="361">
        <f t="shared" si="62"/>
        <v>2143.2600000000002</v>
      </c>
      <c r="S199" s="361">
        <f t="shared" si="62"/>
        <v>2139.1399999999994</v>
      </c>
      <c r="T199" s="361"/>
      <c r="U199" s="361"/>
      <c r="V199" s="361"/>
      <c r="W199" s="384"/>
      <c r="X199" s="365"/>
      <c r="Y199" s="361"/>
      <c r="Z199" s="385"/>
      <c r="AA199" s="354"/>
      <c r="AB199" s="278"/>
      <c r="AE199" s="355"/>
      <c r="AF199" s="355"/>
      <c r="AG199" s="356"/>
      <c r="AH199" s="356"/>
    </row>
    <row r="200" spans="1:34">
      <c r="A200" s="367">
        <v>43401</v>
      </c>
      <c r="B200" s="248" t="s">
        <v>77</v>
      </c>
      <c r="C200" s="302">
        <v>4542</v>
      </c>
      <c r="D200" s="303">
        <v>4483</v>
      </c>
      <c r="E200" s="303">
        <v>4449</v>
      </c>
      <c r="F200" s="303">
        <v>4421</v>
      </c>
      <c r="G200" s="303">
        <v>4397</v>
      </c>
      <c r="H200" s="303">
        <v>4383</v>
      </c>
      <c r="I200" s="303">
        <v>4380</v>
      </c>
      <c r="J200" s="303">
        <v>4397</v>
      </c>
      <c r="K200" s="303">
        <v>4481</v>
      </c>
      <c r="L200" s="303">
        <v>4443</v>
      </c>
      <c r="M200" s="303">
        <v>4401</v>
      </c>
      <c r="N200" s="303">
        <v>4394</v>
      </c>
      <c r="O200" s="303">
        <v>4394</v>
      </c>
      <c r="P200" s="303">
        <v>4397</v>
      </c>
      <c r="Q200" s="303">
        <v>4404</v>
      </c>
      <c r="R200" s="303">
        <v>4414</v>
      </c>
      <c r="S200" s="386">
        <v>4437</v>
      </c>
      <c r="T200" s="368">
        <f>IF((S201=""),"",MAX(C202:S202))</f>
        <v>1914</v>
      </c>
      <c r="U200" s="248">
        <f>IF(S201="","",MIN(C202:S202))</f>
        <v>1754</v>
      </c>
      <c r="V200" s="263">
        <f>IF((S202=""),"",AVERAGE(C202:S202))</f>
        <v>1807.5294117647059</v>
      </c>
      <c r="W200" s="352">
        <f>STDEV(C202:S202)</f>
        <v>43.090192687923867</v>
      </c>
      <c r="X200" s="249">
        <f>IF((S201=""),"",((T200-U200)/(T200+U200))*100)</f>
        <v>4.3620501635768809</v>
      </c>
      <c r="Y200" s="250" t="str">
        <f>IF(S201="","",IF(X200&lt;15,IF(V200&gt;1690,IF(V200&lt;2125,"Pass","Fail"),"Fail"),"Fail"))</f>
        <v>Pass</v>
      </c>
      <c r="Z200" s="360">
        <v>1340</v>
      </c>
      <c r="AA200" s="354"/>
      <c r="AC200" s="316">
        <v>1600</v>
      </c>
      <c r="AD200" s="316">
        <v>2600</v>
      </c>
      <c r="AE200" s="355">
        <v>1690</v>
      </c>
      <c r="AF200" s="355">
        <v>2125</v>
      </c>
      <c r="AG200" s="356">
        <v>15</v>
      </c>
      <c r="AH200" s="356">
        <v>15</v>
      </c>
    </row>
    <row r="201" spans="1:34">
      <c r="A201" s="125"/>
      <c r="B201" s="248" t="s">
        <v>78</v>
      </c>
      <c r="C201" s="302">
        <v>3644</v>
      </c>
      <c r="D201" s="303">
        <v>3595</v>
      </c>
      <c r="E201" s="303">
        <v>3569</v>
      </c>
      <c r="F201" s="303">
        <v>3544</v>
      </c>
      <c r="G201" s="303">
        <v>3513</v>
      </c>
      <c r="H201" s="303">
        <v>3488</v>
      </c>
      <c r="I201" s="303">
        <v>3465</v>
      </c>
      <c r="J201" s="303">
        <v>3459</v>
      </c>
      <c r="K201" s="303">
        <v>3524</v>
      </c>
      <c r="L201" s="303">
        <v>3526</v>
      </c>
      <c r="M201" s="303">
        <v>3486</v>
      </c>
      <c r="N201" s="303">
        <v>3495</v>
      </c>
      <c r="O201" s="303">
        <v>3504</v>
      </c>
      <c r="P201" s="303">
        <v>3513</v>
      </c>
      <c r="Q201" s="303">
        <v>3508</v>
      </c>
      <c r="R201" s="303">
        <v>3502</v>
      </c>
      <c r="S201" s="303">
        <v>3518</v>
      </c>
      <c r="T201" s="357"/>
      <c r="U201" s="358"/>
      <c r="V201" s="358"/>
      <c r="W201" s="352"/>
      <c r="X201" s="359"/>
      <c r="Y201" s="358"/>
      <c r="Z201" s="360"/>
      <c r="AA201" s="354"/>
      <c r="AB201" s="278"/>
      <c r="AE201" s="355"/>
      <c r="AF201" s="355"/>
      <c r="AG201" s="356"/>
      <c r="AH201" s="356"/>
    </row>
    <row r="202" spans="1:34" ht="32.25" thickBot="1">
      <c r="A202" s="125"/>
      <c r="B202" s="256" t="s">
        <v>221</v>
      </c>
      <c r="C202" s="374">
        <f t="shared" ref="C202:S202" si="63">IF(((C200="")*AND(C201="")),"",(C200-C201)*2)</f>
        <v>1796</v>
      </c>
      <c r="D202" s="374">
        <f t="shared" si="63"/>
        <v>1776</v>
      </c>
      <c r="E202" s="374">
        <f t="shared" si="63"/>
        <v>1760</v>
      </c>
      <c r="F202" s="374">
        <f t="shared" si="63"/>
        <v>1754</v>
      </c>
      <c r="G202" s="374">
        <f t="shared" si="63"/>
        <v>1768</v>
      </c>
      <c r="H202" s="374">
        <f t="shared" si="63"/>
        <v>1790</v>
      </c>
      <c r="I202" s="374">
        <f t="shared" si="63"/>
        <v>1830</v>
      </c>
      <c r="J202" s="374">
        <f t="shared" si="63"/>
        <v>1876</v>
      </c>
      <c r="K202" s="374">
        <f t="shared" si="63"/>
        <v>1914</v>
      </c>
      <c r="L202" s="374">
        <f t="shared" si="63"/>
        <v>1834</v>
      </c>
      <c r="M202" s="374">
        <f t="shared" si="63"/>
        <v>1830</v>
      </c>
      <c r="N202" s="374">
        <f t="shared" si="63"/>
        <v>1798</v>
      </c>
      <c r="O202" s="374">
        <f t="shared" si="63"/>
        <v>1780</v>
      </c>
      <c r="P202" s="374">
        <f t="shared" si="63"/>
        <v>1768</v>
      </c>
      <c r="Q202" s="374">
        <f t="shared" si="63"/>
        <v>1792</v>
      </c>
      <c r="R202" s="374">
        <f t="shared" si="63"/>
        <v>1824</v>
      </c>
      <c r="S202" s="375">
        <f t="shared" si="63"/>
        <v>1838</v>
      </c>
      <c r="T202" s="376"/>
      <c r="U202" s="374"/>
      <c r="V202" s="374"/>
      <c r="W202" s="243"/>
      <c r="X202" s="377"/>
      <c r="Y202" s="374"/>
      <c r="Z202" s="378"/>
      <c r="AA202" s="354"/>
      <c r="AB202" s="278"/>
      <c r="AE202" s="355"/>
      <c r="AF202" s="355"/>
      <c r="AG202" s="356"/>
      <c r="AH202" s="356"/>
    </row>
    <row r="203" spans="1:34">
      <c r="A203" s="369">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80">
        <f>STDEV(C205:S205)</f>
        <v>51.840178319874553</v>
      </c>
      <c r="X203" s="249">
        <f>IF((S204=""),"",((T203-U203)/(T203+U203))*100)</f>
        <v>5.0596301953010787</v>
      </c>
      <c r="Y203" s="250" t="str">
        <f>IF(S204="","",IF(X203&lt;15,IF(V203&gt;1690,IF(V203&lt;2125,"Pass","Fail"),"Fail"),"Fail"))</f>
        <v>Pass</v>
      </c>
      <c r="Z203" s="381">
        <v>1428</v>
      </c>
      <c r="AA203" s="278" t="s">
        <v>110</v>
      </c>
      <c r="AC203" s="316">
        <v>1600</v>
      </c>
      <c r="AD203" s="316">
        <v>2600</v>
      </c>
      <c r="AE203" s="355">
        <v>1690</v>
      </c>
      <c r="AF203" s="355">
        <v>2125</v>
      </c>
      <c r="AG203" s="356">
        <v>15</v>
      </c>
      <c r="AH203" s="356">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8"/>
      <c r="U204" s="358"/>
      <c r="V204" s="358"/>
      <c r="W204" s="380"/>
      <c r="X204" s="359"/>
      <c r="Y204" s="358"/>
      <c r="Z204" s="381"/>
      <c r="AA204" s="354"/>
      <c r="AB204" s="278"/>
      <c r="AE204" s="355"/>
      <c r="AF204" s="355"/>
      <c r="AG204" s="356"/>
      <c r="AH204" s="356"/>
    </row>
    <row r="205" spans="1:34" ht="32.25" thickBot="1">
      <c r="A205" s="125"/>
      <c r="B205" s="256" t="s">
        <v>221</v>
      </c>
      <c r="C205" s="361">
        <f t="shared" ref="C205:S205" si="64">IF(((C203="")*AND(C204="")),"",(C203-C204)*2)</f>
        <v>1752.96</v>
      </c>
      <c r="D205" s="361">
        <f t="shared" si="64"/>
        <v>1757.9000000000005</v>
      </c>
      <c r="E205" s="361">
        <f t="shared" si="64"/>
        <v>1761.8200000000006</v>
      </c>
      <c r="F205" s="361">
        <f t="shared" si="64"/>
        <v>1768.3400000000001</v>
      </c>
      <c r="G205" s="361">
        <f t="shared" si="64"/>
        <v>1771.4799999999996</v>
      </c>
      <c r="H205" s="361">
        <f t="shared" si="64"/>
        <v>1826.7599999999993</v>
      </c>
      <c r="I205" s="361">
        <f t="shared" si="64"/>
        <v>1853.5600000000004</v>
      </c>
      <c r="J205" s="361">
        <f t="shared" si="64"/>
        <v>1895.7000000000007</v>
      </c>
      <c r="K205" s="361">
        <f t="shared" si="64"/>
        <v>1939.8000000000002</v>
      </c>
      <c r="L205" s="361">
        <f t="shared" si="64"/>
        <v>1869</v>
      </c>
      <c r="M205" s="361">
        <f t="shared" si="64"/>
        <v>1848.9799999999996</v>
      </c>
      <c r="N205" s="361">
        <f t="shared" si="64"/>
        <v>1810.4400000000005</v>
      </c>
      <c r="O205" s="361">
        <f t="shared" si="64"/>
        <v>1796.46</v>
      </c>
      <c r="P205" s="361">
        <f t="shared" si="64"/>
        <v>1809.9400000000005</v>
      </c>
      <c r="Q205" s="361">
        <f t="shared" si="64"/>
        <v>1818.1000000000004</v>
      </c>
      <c r="R205" s="361">
        <f t="shared" si="64"/>
        <v>1833.3000000000002</v>
      </c>
      <c r="S205" s="361">
        <f t="shared" si="64"/>
        <v>1849.1599999999999</v>
      </c>
      <c r="T205" s="361"/>
      <c r="U205" s="361"/>
      <c r="V205" s="361"/>
      <c r="W205" s="384"/>
      <c r="X205" s="365"/>
      <c r="Y205" s="361"/>
      <c r="Z205" s="385"/>
      <c r="AA205" s="354"/>
      <c r="AB205" s="278"/>
      <c r="AE205" s="355"/>
      <c r="AF205" s="355"/>
      <c r="AG205" s="356"/>
      <c r="AH205" s="356"/>
    </row>
    <row r="206" spans="1:34">
      <c r="A206" s="369">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8">
        <f>IF((S207=""),"",MAX(C208:S208))</f>
        <v>2187.6399999999994</v>
      </c>
      <c r="U206" s="248">
        <f>IF(S207="","",MIN(C208:S208))</f>
        <v>2046.92</v>
      </c>
      <c r="V206" s="263">
        <f>IF((S208=""),"",AVERAGE(C208:S208))</f>
        <v>2114.9682352941172</v>
      </c>
      <c r="W206" s="352">
        <f>STDEV(C208:S208)</f>
        <v>42.847579312522797</v>
      </c>
      <c r="X206" s="249">
        <f>IF((S207=""),"",((T206-U206)/(T206+U206))*100)</f>
        <v>3.3231315650268121</v>
      </c>
      <c r="Y206" s="250" t="str">
        <f>IF(S207="","",IF(X206&lt;15,IF(V206&gt;1690,IF(V206&lt;2125,"Pass","Fail"),"Fail"),"Fail"))</f>
        <v>Pass</v>
      </c>
      <c r="Z206" s="360">
        <v>1335</v>
      </c>
      <c r="AA206" s="278" t="s">
        <v>96</v>
      </c>
      <c r="AC206" s="316">
        <v>1600</v>
      </c>
      <c r="AD206" s="316">
        <v>2600</v>
      </c>
      <c r="AE206" s="355">
        <v>1690</v>
      </c>
      <c r="AF206" s="355">
        <v>2125</v>
      </c>
      <c r="AG206" s="356">
        <v>15</v>
      </c>
      <c r="AH206" s="356">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7"/>
      <c r="U207" s="358"/>
      <c r="V207" s="358"/>
      <c r="W207" s="352"/>
      <c r="X207" s="359"/>
      <c r="Y207" s="358"/>
      <c r="Z207" s="360"/>
      <c r="AA207" s="354"/>
      <c r="AB207" s="278"/>
      <c r="AE207" s="355"/>
      <c r="AF207" s="355"/>
      <c r="AG207" s="356"/>
      <c r="AH207" s="356"/>
    </row>
    <row r="208" spans="1:34" ht="32.25" thickBot="1">
      <c r="A208" s="125"/>
      <c r="B208" s="256" t="s">
        <v>221</v>
      </c>
      <c r="C208" s="374">
        <f t="shared" ref="C208:S208" si="65">IF(((C206="")*AND(C207="")),"",(C206-C207)*2)</f>
        <v>2046.92</v>
      </c>
      <c r="D208" s="374">
        <f t="shared" si="65"/>
        <v>2058.92</v>
      </c>
      <c r="E208" s="374">
        <f t="shared" si="65"/>
        <v>2077.1999999999989</v>
      </c>
      <c r="F208" s="374">
        <f t="shared" si="65"/>
        <v>2062.4400000000005</v>
      </c>
      <c r="G208" s="374">
        <f t="shared" si="65"/>
        <v>2087.880000000001</v>
      </c>
      <c r="H208" s="374">
        <f t="shared" si="65"/>
        <v>2111.5999999999985</v>
      </c>
      <c r="I208" s="374">
        <f t="shared" si="65"/>
        <v>2163.4800000000014</v>
      </c>
      <c r="J208" s="374">
        <f t="shared" si="65"/>
        <v>2187.6399999999994</v>
      </c>
      <c r="K208" s="374">
        <f t="shared" si="65"/>
        <v>2185.2200000000012</v>
      </c>
      <c r="L208" s="374">
        <f t="shared" si="65"/>
        <v>2141.7800000000007</v>
      </c>
      <c r="M208" s="374">
        <f t="shared" si="65"/>
        <v>2149.7799999999988</v>
      </c>
      <c r="N208" s="374">
        <f t="shared" si="65"/>
        <v>2126.84</v>
      </c>
      <c r="O208" s="374">
        <f t="shared" si="65"/>
        <v>2093.5999999999985</v>
      </c>
      <c r="P208" s="374">
        <f t="shared" si="65"/>
        <v>2090.6399999999994</v>
      </c>
      <c r="Q208" s="374">
        <f t="shared" si="65"/>
        <v>2102.34</v>
      </c>
      <c r="R208" s="374">
        <f t="shared" si="65"/>
        <v>2140.84</v>
      </c>
      <c r="S208" s="375">
        <f t="shared" si="65"/>
        <v>2127.34</v>
      </c>
      <c r="T208" s="376"/>
      <c r="U208" s="374"/>
      <c r="V208" s="374"/>
      <c r="W208" s="243"/>
      <c r="X208" s="377"/>
      <c r="Y208" s="374"/>
      <c r="Z208" s="378"/>
      <c r="AA208" s="354"/>
      <c r="AB208" s="278"/>
      <c r="AE208" s="355"/>
      <c r="AF208" s="355"/>
      <c r="AG208" s="356"/>
      <c r="AH208" s="356"/>
    </row>
    <row r="209" spans="1:34">
      <c r="A209" s="369">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8">
        <f>IF((S210=""),"",MAX(C211:S211))</f>
        <v>2205.6000000000004</v>
      </c>
      <c r="U209" s="248">
        <f>IF(S210="","",MIN(C211:S211))</f>
        <v>2033.08</v>
      </c>
      <c r="V209" s="263">
        <f>IF((S211=""),"",AVERAGE(C211:S211))</f>
        <v>2122.967058823529</v>
      </c>
      <c r="W209" s="352">
        <f>STDEV(C211:S211)</f>
        <v>43.033942383418697</v>
      </c>
      <c r="X209" s="249">
        <f>IF((S210=""),"",((T209-U209)/(T209+U209))*100)</f>
        <v>4.0701350420414002</v>
      </c>
      <c r="Y209" s="250" t="str">
        <f>IF(S210="","",IF(X209&lt;15,IF(V209&gt;1690,IF(V209&lt;2125,"Pass","Fail"),"Fail"),"Fail"))</f>
        <v>Pass</v>
      </c>
      <c r="Z209" s="360">
        <v>1335</v>
      </c>
      <c r="AA209" s="354"/>
      <c r="AC209" s="316">
        <v>1600</v>
      </c>
      <c r="AD209" s="316">
        <v>2600</v>
      </c>
      <c r="AE209" s="355">
        <v>1690</v>
      </c>
      <c r="AF209" s="355">
        <v>2125</v>
      </c>
      <c r="AG209" s="356">
        <v>15</v>
      </c>
      <c r="AH209" s="356">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7"/>
      <c r="U210" s="358"/>
      <c r="V210" s="358"/>
      <c r="W210" s="352"/>
      <c r="X210" s="359"/>
      <c r="Y210" s="358"/>
      <c r="Z210" s="360"/>
      <c r="AA210" s="354"/>
      <c r="AB210" s="278"/>
      <c r="AE210" s="355"/>
      <c r="AF210" s="355"/>
      <c r="AG210" s="356"/>
      <c r="AH210" s="356"/>
    </row>
    <row r="211" spans="1:34" ht="32.25" thickBot="1">
      <c r="A211" s="125"/>
      <c r="B211" s="256" t="s">
        <v>221</v>
      </c>
      <c r="C211" s="374">
        <f t="shared" ref="C211:S211" si="66">IF(((C209="")*AND(C210="")),"",(C209-C210)*2)</f>
        <v>2033.08</v>
      </c>
      <c r="D211" s="374">
        <f t="shared" si="66"/>
        <v>2084.5600000000013</v>
      </c>
      <c r="E211" s="374">
        <f t="shared" si="66"/>
        <v>2088.4399999999987</v>
      </c>
      <c r="F211" s="374">
        <f t="shared" si="66"/>
        <v>2060.119999999999</v>
      </c>
      <c r="G211" s="374">
        <f t="shared" si="66"/>
        <v>2091.1399999999994</v>
      </c>
      <c r="H211" s="374">
        <f t="shared" si="66"/>
        <v>2132.2999999999993</v>
      </c>
      <c r="I211" s="374">
        <f t="shared" si="66"/>
        <v>2167.6800000000003</v>
      </c>
      <c r="J211" s="374">
        <f t="shared" si="66"/>
        <v>2205.6000000000004</v>
      </c>
      <c r="K211" s="374">
        <f t="shared" si="66"/>
        <v>2162.42</v>
      </c>
      <c r="L211" s="374">
        <f t="shared" si="66"/>
        <v>2153.1200000000008</v>
      </c>
      <c r="M211" s="374">
        <f t="shared" si="66"/>
        <v>2153.6000000000004</v>
      </c>
      <c r="N211" s="374">
        <f t="shared" si="66"/>
        <v>2120.0599999999995</v>
      </c>
      <c r="O211" s="374">
        <f t="shared" si="66"/>
        <v>2101.08</v>
      </c>
      <c r="P211" s="374">
        <f t="shared" si="66"/>
        <v>2114.16</v>
      </c>
      <c r="Q211" s="374">
        <f t="shared" si="66"/>
        <v>2134.9799999999996</v>
      </c>
      <c r="R211" s="374">
        <f t="shared" si="66"/>
        <v>2145.4799999999996</v>
      </c>
      <c r="S211" s="375">
        <f t="shared" si="66"/>
        <v>2142.6200000000008</v>
      </c>
      <c r="T211" s="376"/>
      <c r="U211" s="374"/>
      <c r="V211" s="374"/>
      <c r="W211" s="243"/>
      <c r="X211" s="377"/>
      <c r="Y211" s="374"/>
      <c r="Z211" s="378"/>
      <c r="AA211" s="354"/>
      <c r="AB211" s="278"/>
      <c r="AE211" s="355"/>
      <c r="AF211" s="355"/>
      <c r="AG211" s="356"/>
      <c r="AH211" s="356"/>
    </row>
    <row r="212" spans="1:34">
      <c r="A212" s="369">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8">
        <f>IF((S213=""),"",MAX(C214:S214))</f>
        <v>2182.66</v>
      </c>
      <c r="U212" s="248">
        <f>IF(S213="","",MIN(C214:S214))</f>
        <v>2031.3200000000006</v>
      </c>
      <c r="V212" s="263">
        <f>IF((S214=""),"",AVERAGE(C214:S214))</f>
        <v>2100.38</v>
      </c>
      <c r="W212" s="352">
        <f>STDEV(C214:S214)</f>
        <v>41.01981777140454</v>
      </c>
      <c r="X212" s="249">
        <f>IF((S213=""),"",((T212-U212)/(T212+U212))*100)</f>
        <v>3.5913791712347765</v>
      </c>
      <c r="Y212" s="250" t="str">
        <f>IF(S213="","",IF(X212&lt;15,IF(V212&gt;1690,IF(V212&lt;2125,"Pass","Fail"),"Fail"),"Fail"))</f>
        <v>Pass</v>
      </c>
      <c r="Z212" s="360">
        <v>1428</v>
      </c>
      <c r="AA212" s="354"/>
      <c r="AC212" s="316">
        <v>1600</v>
      </c>
      <c r="AD212" s="316">
        <v>2600</v>
      </c>
      <c r="AE212" s="355">
        <v>1690</v>
      </c>
      <c r="AF212" s="355">
        <v>2125</v>
      </c>
      <c r="AG212" s="356">
        <v>15</v>
      </c>
      <c r="AH212" s="356">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7"/>
      <c r="U213" s="358"/>
      <c r="V213" s="358"/>
      <c r="W213" s="352"/>
      <c r="X213" s="359"/>
      <c r="Y213" s="358"/>
      <c r="Z213" s="360"/>
      <c r="AA213" s="354"/>
      <c r="AB213" s="278"/>
      <c r="AE213" s="355"/>
      <c r="AF213" s="355"/>
      <c r="AG213" s="356"/>
      <c r="AH213" s="356"/>
    </row>
    <row r="214" spans="1:34" ht="32.25" thickBot="1">
      <c r="A214" s="125"/>
      <c r="B214" s="256" t="s">
        <v>221</v>
      </c>
      <c r="C214" s="374">
        <f t="shared" ref="C214:S214" si="67">IF(((C212="")*AND(C213="")),"",(C212-C213)*2)</f>
        <v>2031.3200000000006</v>
      </c>
      <c r="D214" s="374">
        <f t="shared" si="67"/>
        <v>2040.92</v>
      </c>
      <c r="E214" s="374">
        <f t="shared" si="67"/>
        <v>2056.2600000000002</v>
      </c>
      <c r="F214" s="374">
        <f t="shared" si="67"/>
        <v>2063.9799999999996</v>
      </c>
      <c r="G214" s="374">
        <f t="shared" si="67"/>
        <v>2074.38</v>
      </c>
      <c r="H214" s="374">
        <f t="shared" si="67"/>
        <v>2103.6399999999994</v>
      </c>
      <c r="I214" s="374">
        <f t="shared" si="67"/>
        <v>2139.1800000000003</v>
      </c>
      <c r="J214" s="374">
        <f t="shared" si="67"/>
        <v>2169.8600000000006</v>
      </c>
      <c r="K214" s="374">
        <f t="shared" si="67"/>
        <v>2182.66</v>
      </c>
      <c r="L214" s="374">
        <f t="shared" si="67"/>
        <v>2118.3000000000002</v>
      </c>
      <c r="M214" s="374">
        <f t="shared" si="67"/>
        <v>2117.46</v>
      </c>
      <c r="N214" s="374">
        <f t="shared" si="67"/>
        <v>2098.3399999999992</v>
      </c>
      <c r="O214" s="374">
        <f t="shared" si="67"/>
        <v>2087.04</v>
      </c>
      <c r="P214" s="374">
        <f t="shared" si="67"/>
        <v>2087.42</v>
      </c>
      <c r="Q214" s="374">
        <f t="shared" si="67"/>
        <v>2102.2399999999998</v>
      </c>
      <c r="R214" s="374">
        <f t="shared" si="67"/>
        <v>2121.9799999999996</v>
      </c>
      <c r="S214" s="375">
        <f t="shared" si="67"/>
        <v>2111.4800000000005</v>
      </c>
      <c r="T214" s="376"/>
      <c r="U214" s="374"/>
      <c r="V214" s="374"/>
      <c r="W214" s="243"/>
      <c r="X214" s="377"/>
      <c r="Y214" s="374"/>
      <c r="Z214" s="378"/>
      <c r="AA214" s="354"/>
      <c r="AB214" s="278"/>
      <c r="AE214" s="355"/>
      <c r="AF214" s="355"/>
      <c r="AG214" s="356"/>
      <c r="AH214" s="356"/>
    </row>
    <row r="215" spans="1:34">
      <c r="A215" s="369">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8">
        <f>IF((S216=""),"",MAX(C217:S217))</f>
        <v>1875.4399999999996</v>
      </c>
      <c r="U215" s="248">
        <f>IF(S216="","",MIN(C217:S217))</f>
        <v>1726.9399999999996</v>
      </c>
      <c r="V215" s="263">
        <f>IF((S217=""),"",AVERAGE(C217:S217))</f>
        <v>1778.778823529412</v>
      </c>
      <c r="W215" s="352">
        <f>STDEV(C217:S217)</f>
        <v>44.504668558794158</v>
      </c>
      <c r="X215" s="249">
        <f>IF((S216=""),"",((T215-U215)/(T215+U215))*100)</f>
        <v>4.122274718380627</v>
      </c>
      <c r="Y215" s="250" t="str">
        <f>IF(S216="","",IF(X215&lt;15,IF(V215&gt;1690,IF(V215&lt;2125,"Pass","Fail"),"Fail"),"Fail"))</f>
        <v>Pass</v>
      </c>
      <c r="Z215" s="360">
        <v>1428</v>
      </c>
      <c r="AA215" s="354"/>
      <c r="AC215" s="316">
        <v>1600</v>
      </c>
      <c r="AD215" s="316">
        <v>2600</v>
      </c>
      <c r="AE215" s="355">
        <v>1690</v>
      </c>
      <c r="AF215" s="355">
        <v>2125</v>
      </c>
      <c r="AG215" s="356">
        <v>15</v>
      </c>
      <c r="AH215" s="356">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7"/>
      <c r="U216" s="358"/>
      <c r="V216" s="358"/>
      <c r="W216" s="352"/>
      <c r="X216" s="359"/>
      <c r="Y216" s="358"/>
      <c r="Z216" s="360"/>
      <c r="AA216" s="354"/>
      <c r="AB216" s="278"/>
      <c r="AE216" s="355"/>
      <c r="AF216" s="355"/>
      <c r="AG216" s="356"/>
      <c r="AH216" s="356"/>
    </row>
    <row r="217" spans="1:34" ht="32.25" thickBot="1">
      <c r="A217" s="125"/>
      <c r="B217" s="256" t="s">
        <v>221</v>
      </c>
      <c r="C217" s="374">
        <f t="shared" ref="C217:S217" si="68">IF(((C215="")*AND(C216="")),"",(C215-C216)*2)</f>
        <v>1760.96</v>
      </c>
      <c r="D217" s="374">
        <f t="shared" si="68"/>
        <v>1726.9799999999996</v>
      </c>
      <c r="E217" s="374">
        <f t="shared" si="68"/>
        <v>1746.1000000000004</v>
      </c>
      <c r="F217" s="374">
        <f t="shared" si="68"/>
        <v>1726.9399999999996</v>
      </c>
      <c r="G217" s="374">
        <f t="shared" si="68"/>
        <v>1727.3600000000006</v>
      </c>
      <c r="H217" s="374">
        <f t="shared" si="68"/>
        <v>1771</v>
      </c>
      <c r="I217" s="374">
        <f t="shared" si="68"/>
        <v>1825.2999999999993</v>
      </c>
      <c r="J217" s="374">
        <f t="shared" si="68"/>
        <v>1856.8999999999996</v>
      </c>
      <c r="K217" s="374">
        <f t="shared" si="68"/>
        <v>1875.4399999999996</v>
      </c>
      <c r="L217" s="374">
        <f t="shared" si="68"/>
        <v>1808.3199999999997</v>
      </c>
      <c r="M217" s="374">
        <f t="shared" si="68"/>
        <v>1796.1999999999989</v>
      </c>
      <c r="N217" s="374">
        <f t="shared" si="68"/>
        <v>1767.8400000000001</v>
      </c>
      <c r="O217" s="374">
        <f t="shared" si="68"/>
        <v>1748.1400000000012</v>
      </c>
      <c r="P217" s="374">
        <f t="shared" si="68"/>
        <v>1741.7999999999993</v>
      </c>
      <c r="Q217" s="374">
        <f t="shared" si="68"/>
        <v>1764.7399999999998</v>
      </c>
      <c r="R217" s="374">
        <f t="shared" si="68"/>
        <v>1790.1400000000003</v>
      </c>
      <c r="S217" s="375">
        <f t="shared" si="68"/>
        <v>1805.079999999999</v>
      </c>
      <c r="T217" s="376"/>
      <c r="U217" s="374"/>
      <c r="V217" s="374"/>
      <c r="W217" s="243"/>
      <c r="X217" s="377"/>
      <c r="Y217" s="374"/>
      <c r="Z217" s="378"/>
      <c r="AA217" s="354"/>
      <c r="AB217" s="278"/>
      <c r="AE217" s="355"/>
      <c r="AF217" s="355"/>
      <c r="AG217" s="356"/>
      <c r="AH217" s="356"/>
    </row>
    <row r="218" spans="1:34">
      <c r="A218" s="369">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80">
        <f>STDEV(C220:S220)</f>
        <v>54.257793503614465</v>
      </c>
      <c r="X218" s="249">
        <f>IF((S219=""),"",((T218-U218)/(T218+U218))*100)</f>
        <v>6.057580109505432</v>
      </c>
      <c r="Y218" s="250" t="str">
        <f>IF(S219="","",IF(X218&lt;15,IF(V218&gt;1690,IF(V218&lt;2125,"Pass","Fail"),"Fail"),"Fail"))</f>
        <v>Pass</v>
      </c>
      <c r="Z218" s="360">
        <v>1335</v>
      </c>
      <c r="AA218" s="278" t="s">
        <v>97</v>
      </c>
      <c r="AC218" s="316">
        <v>1600</v>
      </c>
      <c r="AD218" s="316">
        <v>2600</v>
      </c>
      <c r="AE218" s="355">
        <v>1690</v>
      </c>
      <c r="AF218" s="355">
        <v>2125</v>
      </c>
      <c r="AG218" s="356">
        <v>15</v>
      </c>
      <c r="AH218" s="356">
        <v>15</v>
      </c>
    </row>
    <row r="219" spans="1:34">
      <c r="A219" s="125"/>
      <c r="B219" s="248" t="s">
        <v>78</v>
      </c>
      <c r="C219" s="358">
        <v>1956</v>
      </c>
      <c r="D219" s="358">
        <v>1920</v>
      </c>
      <c r="E219" s="358">
        <v>1913</v>
      </c>
      <c r="F219" s="358">
        <v>1914</v>
      </c>
      <c r="G219" s="358">
        <v>1903</v>
      </c>
      <c r="H219" s="358">
        <v>1879</v>
      </c>
      <c r="I219" s="358">
        <v>1856</v>
      </c>
      <c r="J219" s="358">
        <v>1845</v>
      </c>
      <c r="K219" s="358">
        <v>1865</v>
      </c>
      <c r="L219" s="358">
        <v>1910</v>
      </c>
      <c r="M219" s="358">
        <v>1874</v>
      </c>
      <c r="N219" s="358">
        <v>1879</v>
      </c>
      <c r="O219" s="358">
        <v>1893</v>
      </c>
      <c r="P219" s="358">
        <v>1893</v>
      </c>
      <c r="Q219" s="358">
        <v>1878</v>
      </c>
      <c r="R219" s="358">
        <v>1874</v>
      </c>
      <c r="S219" s="358">
        <v>1895</v>
      </c>
      <c r="T219" s="358"/>
      <c r="U219" s="358"/>
      <c r="V219" s="358"/>
      <c r="W219" s="380"/>
      <c r="X219" s="359"/>
      <c r="Y219" s="358"/>
      <c r="Z219" s="360"/>
      <c r="AA219" s="354"/>
      <c r="AB219" s="278"/>
      <c r="AE219" s="355"/>
      <c r="AF219" s="355"/>
      <c r="AG219" s="356"/>
      <c r="AH219" s="356"/>
    </row>
    <row r="220" spans="1:34" ht="32.25" thickBot="1">
      <c r="A220" s="125"/>
      <c r="B220" s="256" t="s">
        <v>221</v>
      </c>
      <c r="C220" s="358">
        <f t="shared" ref="C220:S220" si="69">IF(((C218="")*AND(C219="")),"",(C218-C219)*2)</f>
        <v>1674.58</v>
      </c>
      <c r="D220" s="358">
        <f t="shared" si="69"/>
        <v>1729.1000000000004</v>
      </c>
      <c r="E220" s="358">
        <f t="shared" si="69"/>
        <v>1743.3599999999997</v>
      </c>
      <c r="F220" s="358">
        <f t="shared" si="69"/>
        <v>1748.4799999999996</v>
      </c>
      <c r="G220" s="358">
        <f t="shared" si="69"/>
        <v>1772.7799999999997</v>
      </c>
      <c r="H220" s="358">
        <f t="shared" si="69"/>
        <v>1817.4399999999996</v>
      </c>
      <c r="I220" s="358">
        <f t="shared" si="69"/>
        <v>1857.8599999999997</v>
      </c>
      <c r="J220" s="358">
        <f t="shared" si="69"/>
        <v>1890.54</v>
      </c>
      <c r="K220" s="358">
        <f t="shared" si="69"/>
        <v>1874.8199999999997</v>
      </c>
      <c r="L220" s="358">
        <f t="shared" si="69"/>
        <v>1760.2600000000002</v>
      </c>
      <c r="M220" s="358">
        <f t="shared" si="69"/>
        <v>1821.6400000000003</v>
      </c>
      <c r="N220" s="358">
        <f t="shared" si="69"/>
        <v>1808.54</v>
      </c>
      <c r="O220" s="358">
        <f t="shared" si="69"/>
        <v>1787.7799999999997</v>
      </c>
      <c r="P220" s="358">
        <f t="shared" si="69"/>
        <v>1782.2399999999998</v>
      </c>
      <c r="Q220" s="358">
        <f t="shared" si="69"/>
        <v>1805.5200000000004</v>
      </c>
      <c r="R220" s="358">
        <f t="shared" si="69"/>
        <v>1818.92</v>
      </c>
      <c r="S220" s="358">
        <f t="shared" si="69"/>
        <v>1798.54</v>
      </c>
      <c r="T220" s="358"/>
      <c r="U220" s="358"/>
      <c r="V220" s="358"/>
      <c r="W220" s="387"/>
      <c r="X220" s="359"/>
      <c r="Y220" s="358"/>
      <c r="Z220" s="360"/>
      <c r="AA220" s="354"/>
      <c r="AB220" s="278"/>
      <c r="AE220" s="355"/>
      <c r="AF220" s="355"/>
      <c r="AG220" s="356"/>
      <c r="AH220" s="356"/>
    </row>
    <row r="221" spans="1:34">
      <c r="A221" s="369">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80">
        <f>STDEV(C223:S223)</f>
        <v>45.858000681093316</v>
      </c>
      <c r="X221" s="249">
        <f>IF((S222=""),"",((T221-U221)/(T221+U221))*100)</f>
        <v>3.6825217063042639</v>
      </c>
      <c r="Y221" s="250" t="str">
        <f>IF(S222="","",IF(X221&lt;15,IF(V221&gt;1690,IF(V221&lt;2125,"Pass","Fail"),"Fail"),"Fail"))</f>
        <v>Pass</v>
      </c>
      <c r="Z221" s="360">
        <v>74</v>
      </c>
      <c r="AA221" s="354"/>
      <c r="AC221" s="316">
        <v>1600</v>
      </c>
      <c r="AD221" s="316">
        <v>2600</v>
      </c>
      <c r="AE221" s="355">
        <v>1690</v>
      </c>
      <c r="AF221" s="355">
        <v>2125</v>
      </c>
      <c r="AG221" s="356">
        <v>15</v>
      </c>
      <c r="AH221" s="356">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8"/>
      <c r="U222" s="358"/>
      <c r="V222" s="358"/>
      <c r="W222" s="380"/>
      <c r="X222" s="359"/>
      <c r="Y222" s="358"/>
      <c r="Z222" s="360"/>
      <c r="AA222" s="354"/>
      <c r="AB222" s="278"/>
      <c r="AE222" s="355"/>
      <c r="AF222" s="355"/>
      <c r="AG222" s="356"/>
      <c r="AH222" s="356"/>
    </row>
    <row r="223" spans="1:34" ht="32.25" thickBot="1">
      <c r="A223" s="125"/>
      <c r="B223" s="256" t="s">
        <v>221</v>
      </c>
      <c r="C223" s="358">
        <f t="shared" ref="C223:S223" si="70">IF(((C221="")*AND(C222="")),"",(C221-C222)*2)</f>
        <v>2041.1599999999999</v>
      </c>
      <c r="D223" s="358">
        <f t="shared" si="70"/>
        <v>2060.9800000000014</v>
      </c>
      <c r="E223" s="358">
        <f t="shared" si="70"/>
        <v>2053.2800000000007</v>
      </c>
      <c r="F223" s="358">
        <f t="shared" si="70"/>
        <v>2078.4800000000014</v>
      </c>
      <c r="G223" s="358">
        <f t="shared" si="70"/>
        <v>2092.7800000000007</v>
      </c>
      <c r="H223" s="358">
        <f t="shared" si="70"/>
        <v>2131.380000000001</v>
      </c>
      <c r="I223" s="358">
        <f t="shared" si="70"/>
        <v>2168.5</v>
      </c>
      <c r="J223" s="358">
        <f t="shared" si="70"/>
        <v>2196.08</v>
      </c>
      <c r="K223" s="358">
        <f t="shared" si="70"/>
        <v>2197.2399999999998</v>
      </c>
      <c r="L223" s="358">
        <f t="shared" si="70"/>
        <v>2120.2000000000007</v>
      </c>
      <c r="M223" s="358">
        <f t="shared" si="70"/>
        <v>2128.42</v>
      </c>
      <c r="N223" s="358">
        <f t="shared" si="70"/>
        <v>2111.1399999999994</v>
      </c>
      <c r="O223" s="358">
        <f t="shared" si="70"/>
        <v>2114.0400000000009</v>
      </c>
      <c r="P223" s="358">
        <f t="shared" si="70"/>
        <v>2103.34</v>
      </c>
      <c r="Q223" s="358">
        <f t="shared" si="70"/>
        <v>2112.2399999999998</v>
      </c>
      <c r="R223" s="358">
        <f t="shared" si="70"/>
        <v>2154.0399999999991</v>
      </c>
      <c r="S223" s="358">
        <f t="shared" si="70"/>
        <v>2153.84</v>
      </c>
      <c r="T223" s="358"/>
      <c r="U223" s="358"/>
      <c r="V223" s="358"/>
      <c r="W223" s="387"/>
      <c r="X223" s="359"/>
      <c r="Y223" s="358"/>
      <c r="Z223" s="360"/>
      <c r="AA223" s="354"/>
      <c r="AB223" s="278"/>
      <c r="AE223" s="355"/>
      <c r="AF223" s="355"/>
      <c r="AG223" s="356"/>
      <c r="AH223" s="356"/>
    </row>
    <row r="224" spans="1:34">
      <c r="A224" s="367">
        <v>43438</v>
      </c>
      <c r="B224" s="248" t="s">
        <v>77</v>
      </c>
      <c r="C224" s="302">
        <v>5269</v>
      </c>
      <c r="D224" s="303">
        <v>5245</v>
      </c>
      <c r="E224" s="303">
        <v>5230</v>
      </c>
      <c r="F224" s="303">
        <v>5219</v>
      </c>
      <c r="G224" s="303">
        <v>5214</v>
      </c>
      <c r="H224" s="303">
        <v>5226</v>
      </c>
      <c r="I224" s="303">
        <v>5231</v>
      </c>
      <c r="J224" s="303">
        <v>5245</v>
      </c>
      <c r="K224" s="303">
        <v>5287</v>
      </c>
      <c r="L224" s="303">
        <v>5262</v>
      </c>
      <c r="M224" s="303">
        <v>5243</v>
      </c>
      <c r="N224" s="303">
        <v>5225</v>
      </c>
      <c r="O224" s="303">
        <v>5216</v>
      </c>
      <c r="P224" s="303">
        <v>5220</v>
      </c>
      <c r="Q224" s="303">
        <v>5226</v>
      </c>
      <c r="R224" s="303">
        <v>5232</v>
      </c>
      <c r="S224" s="386">
        <v>5253</v>
      </c>
      <c r="T224" s="368">
        <f>IF((S225=""),"",MAX(C226:S226))</f>
        <v>2184</v>
      </c>
      <c r="U224" s="248">
        <f>IF(S225="","",MIN(C226:S226))</f>
        <v>2026</v>
      </c>
      <c r="V224" s="263">
        <f>IF((S226=""),"",AVERAGE(C226:S226))</f>
        <v>2121.6470588235293</v>
      </c>
      <c r="W224" s="352">
        <f>STDEV(C226:S226)</f>
        <v>36.367810589300831</v>
      </c>
      <c r="X224" s="249">
        <f>IF((S225=""),"",((T224-U224)/(T224+U224))*100)</f>
        <v>3.7529691211401426</v>
      </c>
      <c r="Y224" s="250" t="str">
        <f>IF(S225="","",IF(X224&lt;15,IF(V224&gt;1690,IF(V224&lt;2125,"Pass","Fail"),"Fail"),"Fail"))</f>
        <v>Pass</v>
      </c>
      <c r="Z224" s="360">
        <v>1340</v>
      </c>
      <c r="AA224" s="354"/>
      <c r="AC224" s="316">
        <v>1600</v>
      </c>
      <c r="AD224" s="316">
        <v>2600</v>
      </c>
      <c r="AE224" s="355">
        <v>1690</v>
      </c>
      <c r="AF224" s="355">
        <v>2125</v>
      </c>
      <c r="AG224" s="356">
        <v>15</v>
      </c>
      <c r="AH224" s="356">
        <v>15</v>
      </c>
    </row>
    <row r="225" spans="1:34">
      <c r="A225" s="125"/>
      <c r="B225" s="248" t="s">
        <v>78</v>
      </c>
      <c r="C225" s="302">
        <v>4256</v>
      </c>
      <c r="D225" s="303">
        <v>4195</v>
      </c>
      <c r="E225" s="303">
        <v>4175</v>
      </c>
      <c r="F225" s="303">
        <v>4164</v>
      </c>
      <c r="G225" s="303">
        <v>4161</v>
      </c>
      <c r="H225" s="303">
        <v>4153</v>
      </c>
      <c r="I225" s="303">
        <v>4151</v>
      </c>
      <c r="J225" s="303">
        <v>4153</v>
      </c>
      <c r="K225" s="303">
        <v>4228</v>
      </c>
      <c r="L225" s="303">
        <v>4221</v>
      </c>
      <c r="M225" s="303">
        <v>4160</v>
      </c>
      <c r="N225" s="303">
        <v>4156</v>
      </c>
      <c r="O225" s="303">
        <v>4158</v>
      </c>
      <c r="P225" s="303">
        <v>4158</v>
      </c>
      <c r="Q225" s="303">
        <v>4156</v>
      </c>
      <c r="R225" s="303">
        <v>4161</v>
      </c>
      <c r="S225" s="303">
        <v>4203</v>
      </c>
      <c r="T225" s="357"/>
      <c r="U225" s="358"/>
      <c r="V225" s="358"/>
      <c r="W225" s="352"/>
      <c r="X225" s="359"/>
      <c r="Y225" s="358"/>
      <c r="Z225" s="360"/>
      <c r="AA225" s="354"/>
      <c r="AB225" s="278"/>
      <c r="AE225" s="355"/>
      <c r="AF225" s="355"/>
      <c r="AG225" s="356"/>
      <c r="AH225" s="356"/>
    </row>
    <row r="226" spans="1:34" ht="32.25" thickBot="1">
      <c r="A226" s="125"/>
      <c r="B226" s="256" t="s">
        <v>221</v>
      </c>
      <c r="C226" s="374">
        <f t="shared" ref="C226:S226" si="71">IF(((C224="")*AND(C225="")),"",(C224-C225)*2)</f>
        <v>2026</v>
      </c>
      <c r="D226" s="374">
        <f t="shared" si="71"/>
        <v>2100</v>
      </c>
      <c r="E226" s="374">
        <f t="shared" si="71"/>
        <v>2110</v>
      </c>
      <c r="F226" s="374">
        <f t="shared" si="71"/>
        <v>2110</v>
      </c>
      <c r="G226" s="374">
        <f t="shared" si="71"/>
        <v>2106</v>
      </c>
      <c r="H226" s="374">
        <f t="shared" si="71"/>
        <v>2146</v>
      </c>
      <c r="I226" s="374">
        <f t="shared" si="71"/>
        <v>2160</v>
      </c>
      <c r="J226" s="374">
        <f t="shared" si="71"/>
        <v>2184</v>
      </c>
      <c r="K226" s="374">
        <f t="shared" si="71"/>
        <v>2118</v>
      </c>
      <c r="L226" s="374">
        <f t="shared" si="71"/>
        <v>2082</v>
      </c>
      <c r="M226" s="374">
        <f t="shared" si="71"/>
        <v>2166</v>
      </c>
      <c r="N226" s="374">
        <f t="shared" si="71"/>
        <v>2138</v>
      </c>
      <c r="O226" s="374">
        <f t="shared" si="71"/>
        <v>2116</v>
      </c>
      <c r="P226" s="374">
        <f t="shared" si="71"/>
        <v>2124</v>
      </c>
      <c r="Q226" s="374">
        <f t="shared" si="71"/>
        <v>2140</v>
      </c>
      <c r="R226" s="374">
        <f t="shared" si="71"/>
        <v>2142</v>
      </c>
      <c r="S226" s="375">
        <f t="shared" si="71"/>
        <v>2100</v>
      </c>
      <c r="T226" s="376"/>
      <c r="U226" s="374"/>
      <c r="V226" s="374"/>
      <c r="W226" s="243"/>
      <c r="X226" s="377"/>
      <c r="Y226" s="374"/>
      <c r="Z226" s="378"/>
      <c r="AA226" s="354"/>
      <c r="AB226" s="278"/>
      <c r="AE226" s="355"/>
      <c r="AF226" s="355"/>
      <c r="AG226" s="356"/>
      <c r="AH226" s="356"/>
    </row>
    <row r="227" spans="1:34">
      <c r="A227" s="367">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8">
        <f>IF((S228=""),"",MAX(C229:S229))</f>
        <v>1961.0600000000004</v>
      </c>
      <c r="U227" s="248">
        <f>IF(S228="","",MIN(C229:S229))</f>
        <v>1453.0600000000004</v>
      </c>
      <c r="V227" s="263">
        <f>IF((S229=""),"",AVERAGE(C229:S229))</f>
        <v>1558.6141176470589</v>
      </c>
      <c r="W227" s="352">
        <f>STDEV(C229:S229)</f>
        <v>118.24932108995547</v>
      </c>
      <c r="X227" s="249">
        <f>IF((S228=""),"",((T227-U227)/(T227+U227))*100)</f>
        <v>14.87938326713765</v>
      </c>
      <c r="Y227" s="250" t="str">
        <f>IF(S228="","",IF(X227&lt;15,IF(V227&gt;1690,IF(V227&lt;2125,"Pass","Fail"),"Fail"),"Fail"))</f>
        <v>Fail</v>
      </c>
      <c r="Z227" s="360">
        <v>1340</v>
      </c>
      <c r="AA227" s="354"/>
      <c r="AC227" s="316">
        <v>1600</v>
      </c>
      <c r="AD227" s="316">
        <v>2600</v>
      </c>
      <c r="AE227" s="355">
        <v>1690</v>
      </c>
      <c r="AF227" s="355">
        <v>2125</v>
      </c>
      <c r="AG227" s="356">
        <v>15</v>
      </c>
      <c r="AH227" s="356">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7"/>
      <c r="U228" s="358"/>
      <c r="V228" s="358"/>
      <c r="W228" s="352"/>
      <c r="X228" s="359"/>
      <c r="Y228" s="358"/>
      <c r="Z228" s="360"/>
      <c r="AA228" s="354"/>
      <c r="AB228" s="278"/>
      <c r="AE228" s="355"/>
      <c r="AF228" s="355"/>
      <c r="AG228" s="356"/>
      <c r="AH228" s="356"/>
    </row>
    <row r="229" spans="1:34" ht="32.25" thickBot="1">
      <c r="A229" s="125"/>
      <c r="B229" s="256" t="s">
        <v>221</v>
      </c>
      <c r="C229" s="374">
        <f t="shared" ref="C229:S229" si="72">IF(((C227="")*AND(C228="")),"",(C227-C228)*2)</f>
        <v>1469.7600000000002</v>
      </c>
      <c r="D229" s="374">
        <f t="shared" si="72"/>
        <v>1453.0600000000004</v>
      </c>
      <c r="E229" s="374">
        <f t="shared" si="72"/>
        <v>1464.08</v>
      </c>
      <c r="F229" s="374">
        <f t="shared" si="72"/>
        <v>1484.7000000000007</v>
      </c>
      <c r="G229" s="374">
        <f t="shared" si="72"/>
        <v>1492.3000000000002</v>
      </c>
      <c r="H229" s="374">
        <f t="shared" si="72"/>
        <v>1529.2200000000003</v>
      </c>
      <c r="I229" s="374">
        <f t="shared" si="72"/>
        <v>1588.1999999999998</v>
      </c>
      <c r="J229" s="374">
        <f t="shared" si="72"/>
        <v>1624.6200000000008</v>
      </c>
      <c r="K229" s="374">
        <f t="shared" si="72"/>
        <v>1653.6000000000004</v>
      </c>
      <c r="L229" s="374">
        <f t="shared" si="72"/>
        <v>1575.1400000000003</v>
      </c>
      <c r="M229" s="374">
        <f t="shared" si="72"/>
        <v>1557.0399999999991</v>
      </c>
      <c r="N229" s="374">
        <f t="shared" si="72"/>
        <v>1961.0600000000004</v>
      </c>
      <c r="O229" s="374">
        <f t="shared" si="72"/>
        <v>1497.6600000000008</v>
      </c>
      <c r="P229" s="374">
        <f t="shared" si="72"/>
        <v>1506.7999999999993</v>
      </c>
      <c r="Q229" s="374">
        <f t="shared" si="72"/>
        <v>1514.8599999999997</v>
      </c>
      <c r="R229" s="374">
        <f t="shared" si="72"/>
        <v>1552.2800000000007</v>
      </c>
      <c r="S229" s="375">
        <f t="shared" si="72"/>
        <v>1572.0599999999995</v>
      </c>
      <c r="T229" s="376"/>
      <c r="U229" s="374"/>
      <c r="V229" s="374"/>
      <c r="W229" s="243"/>
      <c r="X229" s="377"/>
      <c r="Y229" s="374"/>
      <c r="Z229" s="378"/>
      <c r="AA229" s="354"/>
      <c r="AB229" s="278"/>
      <c r="AE229" s="355"/>
      <c r="AF229" s="355"/>
      <c r="AG229" s="356"/>
      <c r="AH229" s="356"/>
    </row>
    <row r="230" spans="1:34">
      <c r="A230" s="367">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8">
        <f>IF((S231=""),"",MAX(C232:S232))</f>
        <v>1754.4000000000005</v>
      </c>
      <c r="U230" s="248">
        <f>IF(S231="","",MIN(C232:S232))</f>
        <v>1623.6000000000004</v>
      </c>
      <c r="V230" s="263">
        <f>IF((S232=""),"",AVERAGE(C232:S232))</f>
        <v>1688.8823529411766</v>
      </c>
      <c r="W230" s="352">
        <f>STDEV(C232:S232)</f>
        <v>41.022037907906387</v>
      </c>
      <c r="X230" s="249">
        <f>IF((S231=""),"",((T230-U230)/(T230+U230))*100)</f>
        <v>3.8721136767317983</v>
      </c>
      <c r="Y230" s="250" t="str">
        <f>IF(S231="","",IF(X230&lt;15,IF(V230&gt;1690,IF(V230&lt;2125,"Pass","Fail"),"Fail"),"Fail"))</f>
        <v>Fail</v>
      </c>
      <c r="Z230" s="360">
        <v>1428</v>
      </c>
      <c r="AA230" s="354"/>
      <c r="AC230" s="316">
        <v>1600</v>
      </c>
      <c r="AD230" s="316">
        <v>2600</v>
      </c>
      <c r="AE230" s="355">
        <v>1690</v>
      </c>
      <c r="AF230" s="355">
        <v>2125</v>
      </c>
      <c r="AG230" s="356">
        <v>15</v>
      </c>
      <c r="AH230" s="356">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7"/>
      <c r="U231" s="358"/>
      <c r="V231" s="358"/>
      <c r="W231" s="352"/>
      <c r="X231" s="359"/>
      <c r="Y231" s="358"/>
      <c r="Z231" s="360"/>
      <c r="AA231" s="354"/>
      <c r="AB231" s="278"/>
      <c r="AE231" s="355"/>
      <c r="AF231" s="355"/>
      <c r="AG231" s="356"/>
      <c r="AH231" s="356"/>
    </row>
    <row r="232" spans="1:34" ht="32.25" thickBot="1">
      <c r="A232" s="125"/>
      <c r="B232" s="256" t="s">
        <v>221</v>
      </c>
      <c r="C232" s="374">
        <f t="shared" ref="C232:S232" si="73">IF(((C230="")*AND(C231="")),"",(C230-C231)*2)</f>
        <v>1673.3400000000001</v>
      </c>
      <c r="D232" s="374">
        <f t="shared" si="73"/>
        <v>1649.3000000000002</v>
      </c>
      <c r="E232" s="374">
        <f t="shared" si="73"/>
        <v>1623.6000000000004</v>
      </c>
      <c r="F232" s="374">
        <f t="shared" si="73"/>
        <v>1629.5</v>
      </c>
      <c r="G232" s="374">
        <f t="shared" si="73"/>
        <v>1722.6399999999994</v>
      </c>
      <c r="H232" s="374">
        <f t="shared" si="73"/>
        <v>1666.2799999999997</v>
      </c>
      <c r="I232" s="374">
        <f t="shared" si="73"/>
        <v>1704.8400000000001</v>
      </c>
      <c r="J232" s="374">
        <f t="shared" si="73"/>
        <v>1737.6800000000003</v>
      </c>
      <c r="K232" s="374">
        <f t="shared" si="73"/>
        <v>1754.4000000000005</v>
      </c>
      <c r="L232" s="374">
        <f t="shared" si="73"/>
        <v>1738.92</v>
      </c>
      <c r="M232" s="374">
        <f t="shared" si="73"/>
        <v>1712.7600000000002</v>
      </c>
      <c r="N232" s="374">
        <f t="shared" si="73"/>
        <v>1734.7200000000003</v>
      </c>
      <c r="O232" s="374">
        <f t="shared" si="73"/>
        <v>1652.2799999999997</v>
      </c>
      <c r="P232" s="374">
        <f t="shared" si="73"/>
        <v>1650.5999999999995</v>
      </c>
      <c r="Q232" s="374">
        <f t="shared" si="73"/>
        <v>1667.08</v>
      </c>
      <c r="R232" s="374">
        <f t="shared" si="73"/>
        <v>1687.12</v>
      </c>
      <c r="S232" s="375">
        <f t="shared" si="73"/>
        <v>1705.9399999999996</v>
      </c>
      <c r="T232" s="376"/>
      <c r="U232" s="374"/>
      <c r="V232" s="374"/>
      <c r="W232" s="243"/>
      <c r="X232" s="377"/>
      <c r="Y232" s="374"/>
      <c r="Z232" s="378"/>
      <c r="AA232" s="354"/>
      <c r="AB232" s="278"/>
      <c r="AE232" s="355"/>
      <c r="AF232" s="355"/>
      <c r="AG232" s="356"/>
      <c r="AH232" s="356"/>
    </row>
    <row r="233" spans="1:34">
      <c r="A233" s="367">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8">
        <f>IF((S234=""),"",MAX(C235:S235))</f>
        <v>2163.2199999999993</v>
      </c>
      <c r="U233" s="248">
        <f>IF(S234="","",MIN(C235:S235))</f>
        <v>2082.2000000000007</v>
      </c>
      <c r="V233" s="263">
        <f>IF((S235=""),"",AVERAGE(C235:S235))</f>
        <v>2120.6164705882352</v>
      </c>
      <c r="W233" s="352">
        <f>STDEV(C235:S235)</f>
        <v>21.513204358380765</v>
      </c>
      <c r="X233" s="249">
        <f>IF((S234=""),"",((T233-U233)/(T233+U233))*100)</f>
        <v>1.9084095330968105</v>
      </c>
      <c r="Y233" s="250" t="str">
        <f>IF(S234="","",IF(X233&lt;15,IF(V233&gt;1690,IF(V233&lt;2125,"Pass","Fail"),"Fail"),"Fail"))</f>
        <v>Pass</v>
      </c>
      <c r="Z233" s="360">
        <v>1428</v>
      </c>
      <c r="AA233" s="354"/>
      <c r="AC233" s="316">
        <v>1600</v>
      </c>
      <c r="AD233" s="316">
        <v>2600</v>
      </c>
      <c r="AE233" s="355">
        <v>1690</v>
      </c>
      <c r="AF233" s="355">
        <v>2125</v>
      </c>
      <c r="AG233" s="356">
        <v>15</v>
      </c>
      <c r="AH233" s="356">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7"/>
      <c r="U234" s="358"/>
      <c r="V234" s="358"/>
      <c r="W234" s="352"/>
      <c r="X234" s="359"/>
      <c r="Y234" s="358"/>
      <c r="Z234" s="360"/>
      <c r="AA234" s="354"/>
      <c r="AB234" s="278"/>
      <c r="AE234" s="355"/>
      <c r="AF234" s="355"/>
      <c r="AG234" s="356"/>
      <c r="AH234" s="356"/>
    </row>
    <row r="235" spans="1:34" ht="32.25" thickBot="1">
      <c r="A235" s="125"/>
      <c r="B235" s="256" t="s">
        <v>221</v>
      </c>
      <c r="C235" s="374">
        <f t="shared" ref="C235:S235" si="74">IF(((C233="")*AND(C234="")),"",(C233-C234)*2)</f>
        <v>2163.2199999999993</v>
      </c>
      <c r="D235" s="374">
        <f t="shared" si="74"/>
        <v>2158.6399999999994</v>
      </c>
      <c r="E235" s="374">
        <f t="shared" si="74"/>
        <v>2134.6800000000003</v>
      </c>
      <c r="F235" s="374">
        <f t="shared" si="74"/>
        <v>2109.119999999999</v>
      </c>
      <c r="G235" s="374">
        <f t="shared" si="74"/>
        <v>2082.2000000000007</v>
      </c>
      <c r="H235" s="374">
        <f t="shared" si="74"/>
        <v>2096.1600000000017</v>
      </c>
      <c r="I235" s="374">
        <f t="shared" si="74"/>
        <v>2098.42</v>
      </c>
      <c r="J235" s="374">
        <f t="shared" si="74"/>
        <v>2103.8199999999997</v>
      </c>
      <c r="K235" s="374">
        <f t="shared" si="74"/>
        <v>2106.66</v>
      </c>
      <c r="L235" s="374">
        <f t="shared" si="74"/>
        <v>2122.16</v>
      </c>
      <c r="M235" s="374">
        <f t="shared" si="74"/>
        <v>2119.7399999999998</v>
      </c>
      <c r="N235" s="374">
        <f t="shared" si="74"/>
        <v>2122.58</v>
      </c>
      <c r="O235" s="374">
        <f t="shared" si="74"/>
        <v>2114.119999999999</v>
      </c>
      <c r="P235" s="374">
        <f t="shared" si="74"/>
        <v>2113.2199999999993</v>
      </c>
      <c r="Q235" s="374">
        <f t="shared" si="74"/>
        <v>2136.8199999999997</v>
      </c>
      <c r="R235" s="374">
        <f t="shared" si="74"/>
        <v>2137.7000000000007</v>
      </c>
      <c r="S235" s="375">
        <f t="shared" si="74"/>
        <v>2131.2199999999993</v>
      </c>
      <c r="T235" s="376"/>
      <c r="U235" s="374"/>
      <c r="V235" s="374"/>
      <c r="W235" s="243"/>
      <c r="X235" s="377"/>
      <c r="Y235" s="374"/>
      <c r="Z235" s="378"/>
      <c r="AA235" s="354"/>
      <c r="AB235" s="278"/>
      <c r="AE235" s="355"/>
      <c r="AF235" s="355"/>
      <c r="AG235" s="356"/>
      <c r="AH235" s="356"/>
    </row>
    <row r="236" spans="1:34">
      <c r="A236" s="367">
        <v>43458</v>
      </c>
      <c r="B236" s="248" t="s">
        <v>77</v>
      </c>
      <c r="C236" s="302">
        <v>4369</v>
      </c>
      <c r="D236" s="303">
        <v>4306</v>
      </c>
      <c r="E236" s="303">
        <v>4285</v>
      </c>
      <c r="F236" s="303">
        <v>4268</v>
      </c>
      <c r="G236" s="303">
        <v>4260</v>
      </c>
      <c r="H236" s="303">
        <v>4240</v>
      </c>
      <c r="I236" s="303">
        <v>4224</v>
      </c>
      <c r="J236" s="303">
        <v>4227</v>
      </c>
      <c r="K236" s="303">
        <v>4293</v>
      </c>
      <c r="L236" s="303">
        <v>4306</v>
      </c>
      <c r="M236" s="303">
        <v>4251</v>
      </c>
      <c r="N236" s="303">
        <v>4249</v>
      </c>
      <c r="O236" s="303">
        <v>4250</v>
      </c>
      <c r="P236" s="303">
        <v>4253</v>
      </c>
      <c r="Q236" s="303">
        <v>4245</v>
      </c>
      <c r="R236" s="303">
        <v>4249</v>
      </c>
      <c r="S236" s="303">
        <v>4297</v>
      </c>
      <c r="T236" s="368">
        <f>IF((S237=""),"",MAX(C238:S238))</f>
        <v>1880</v>
      </c>
      <c r="U236" s="248">
        <f>IF(S237="","",MIN(C238:S238))</f>
        <v>1700</v>
      </c>
      <c r="V236" s="263">
        <f>IF((S238=""),"",AVERAGE(C238:S238))</f>
        <v>1772</v>
      </c>
      <c r="W236" s="352">
        <f>STDEV(C238:S238)</f>
        <v>51.249390240275055</v>
      </c>
      <c r="X236" s="249">
        <f>IF((S237=""),"",((T236-U236)/(T236+U236))*100)</f>
        <v>5.027932960893855</v>
      </c>
      <c r="Y236" s="250" t="str">
        <f>IF(S237="","",IF(X236&lt;15,IF(V236&gt;1690,IF(V236&lt;2125,"Pass","Fail"),"Fail"),"Fail"))</f>
        <v>Pass</v>
      </c>
      <c r="Z236" s="360">
        <v>1428</v>
      </c>
      <c r="AA236" s="354"/>
      <c r="AC236" s="316">
        <v>1600</v>
      </c>
      <c r="AD236" s="316">
        <v>2600</v>
      </c>
      <c r="AE236" s="355">
        <v>1690</v>
      </c>
      <c r="AF236" s="355">
        <v>2125</v>
      </c>
      <c r="AG236" s="356">
        <v>15</v>
      </c>
      <c r="AH236" s="356">
        <v>15</v>
      </c>
    </row>
    <row r="237" spans="1:34">
      <c r="A237" s="125"/>
      <c r="B237" s="248" t="s">
        <v>78</v>
      </c>
      <c r="C237" s="302">
        <v>3509</v>
      </c>
      <c r="D237" s="303">
        <v>3448</v>
      </c>
      <c r="E237" s="303">
        <v>3428</v>
      </c>
      <c r="F237" s="303">
        <v>3418</v>
      </c>
      <c r="G237" s="303">
        <v>3396</v>
      </c>
      <c r="H237" s="303">
        <v>3355</v>
      </c>
      <c r="I237" s="303">
        <v>3310</v>
      </c>
      <c r="J237" s="303">
        <v>3287</v>
      </c>
      <c r="K237" s="303">
        <v>3366</v>
      </c>
      <c r="L237" s="303">
        <v>3406</v>
      </c>
      <c r="M237" s="303">
        <v>3350</v>
      </c>
      <c r="N237" s="303">
        <v>3359</v>
      </c>
      <c r="O237" s="303">
        <v>3381</v>
      </c>
      <c r="P237" s="303">
        <v>3379</v>
      </c>
      <c r="Q237" s="303">
        <v>3361</v>
      </c>
      <c r="R237" s="303">
        <v>3351</v>
      </c>
      <c r="S237" s="303">
        <v>3406</v>
      </c>
      <c r="T237" s="357"/>
      <c r="U237" s="358"/>
      <c r="V237" s="358"/>
      <c r="W237" s="352"/>
      <c r="X237" s="359"/>
      <c r="Y237" s="358"/>
      <c r="Z237" s="360"/>
      <c r="AA237" s="354"/>
      <c r="AB237" s="278"/>
      <c r="AE237" s="355"/>
      <c r="AF237" s="355"/>
      <c r="AG237" s="356"/>
      <c r="AH237" s="356"/>
    </row>
    <row r="238" spans="1:34" ht="32.25" thickBot="1">
      <c r="A238" s="125"/>
      <c r="B238" s="256" t="s">
        <v>221</v>
      </c>
      <c r="C238" s="374">
        <f t="shared" ref="C238:S238" si="75">IF(((C236="")*AND(C237="")),"",(C236-C237)*2)</f>
        <v>1720</v>
      </c>
      <c r="D238" s="374">
        <f t="shared" si="75"/>
        <v>1716</v>
      </c>
      <c r="E238" s="374">
        <f t="shared" si="75"/>
        <v>1714</v>
      </c>
      <c r="F238" s="374">
        <f t="shared" si="75"/>
        <v>1700</v>
      </c>
      <c r="G238" s="374">
        <f t="shared" si="75"/>
        <v>1728</v>
      </c>
      <c r="H238" s="374">
        <f t="shared" si="75"/>
        <v>1770</v>
      </c>
      <c r="I238" s="374">
        <f t="shared" si="75"/>
        <v>1828</v>
      </c>
      <c r="J238" s="374">
        <f t="shared" si="75"/>
        <v>1880</v>
      </c>
      <c r="K238" s="374">
        <f t="shared" si="75"/>
        <v>1854</v>
      </c>
      <c r="L238" s="374">
        <f t="shared" si="75"/>
        <v>1800</v>
      </c>
      <c r="M238" s="374">
        <f t="shared" si="75"/>
        <v>1802</v>
      </c>
      <c r="N238" s="374">
        <f t="shared" si="75"/>
        <v>1780</v>
      </c>
      <c r="O238" s="374">
        <f t="shared" si="75"/>
        <v>1738</v>
      </c>
      <c r="P238" s="374">
        <f t="shared" si="75"/>
        <v>1748</v>
      </c>
      <c r="Q238" s="374">
        <f t="shared" si="75"/>
        <v>1768</v>
      </c>
      <c r="R238" s="374">
        <f t="shared" si="75"/>
        <v>1796</v>
      </c>
      <c r="S238" s="375">
        <f t="shared" si="75"/>
        <v>1782</v>
      </c>
      <c r="T238" s="376"/>
      <c r="U238" s="374"/>
      <c r="V238" s="374"/>
      <c r="W238" s="243"/>
      <c r="X238" s="377"/>
      <c r="Y238" s="374"/>
      <c r="Z238" s="378"/>
      <c r="AA238" s="354"/>
      <c r="AB238" s="278"/>
      <c r="AE238" s="355"/>
      <c r="AF238" s="355"/>
      <c r="AG238" s="356"/>
      <c r="AH238" s="356"/>
    </row>
    <row r="239" spans="1:34">
      <c r="A239" s="367">
        <v>43460</v>
      </c>
      <c r="B239" s="248" t="s">
        <v>77</v>
      </c>
      <c r="C239" s="302">
        <v>5407</v>
      </c>
      <c r="D239" s="303">
        <v>5366</v>
      </c>
      <c r="E239" s="303">
        <v>5345</v>
      </c>
      <c r="F239" s="303">
        <v>5339</v>
      </c>
      <c r="G239" s="303">
        <v>5335</v>
      </c>
      <c r="H239" s="303">
        <v>5339</v>
      </c>
      <c r="I239" s="303">
        <v>5351</v>
      </c>
      <c r="J239" s="303">
        <v>5367</v>
      </c>
      <c r="K239" s="303">
        <v>5403</v>
      </c>
      <c r="L239" s="303">
        <v>5365</v>
      </c>
      <c r="M239" s="303">
        <v>5354</v>
      </c>
      <c r="N239" s="303">
        <v>5342</v>
      </c>
      <c r="O239" s="303">
        <v>5339</v>
      </c>
      <c r="P239" s="303">
        <v>5339</v>
      </c>
      <c r="Q239" s="303">
        <v>5345</v>
      </c>
      <c r="R239" s="303">
        <v>5359</v>
      </c>
      <c r="S239" s="386">
        <v>5365</v>
      </c>
      <c r="T239" s="368">
        <f>IF((S240=""),"",MAX(C241:S241))</f>
        <v>2176</v>
      </c>
      <c r="U239" s="248">
        <f>IF(S240="","",MIN(C241:S241))</f>
        <v>2022</v>
      </c>
      <c r="V239" s="263">
        <f>IF((S241=""),"",AVERAGE(C241:S241))</f>
        <v>2108.4705882352941</v>
      </c>
      <c r="W239" s="352">
        <f>STDEV(C241:S241)</f>
        <v>38.739704514650185</v>
      </c>
      <c r="X239" s="249">
        <f>IF((S240=""),"",((T239-U239)/(T239+U239))*100)</f>
        <v>3.6684135302525012</v>
      </c>
      <c r="Y239" s="250" t="str">
        <f>IF(S240="","",IF(X239&lt;15,IF(V239&gt;1690,IF(V239&lt;2125,"Pass","Fail"),"Fail"),"Fail"))</f>
        <v>Pass</v>
      </c>
      <c r="Z239" s="360">
        <v>1340</v>
      </c>
      <c r="AA239" s="354"/>
      <c r="AC239" s="316">
        <v>1600</v>
      </c>
      <c r="AD239" s="316">
        <v>2600</v>
      </c>
      <c r="AE239" s="355">
        <v>1690</v>
      </c>
      <c r="AF239" s="355">
        <v>2125</v>
      </c>
      <c r="AG239" s="356">
        <v>15</v>
      </c>
      <c r="AH239" s="356">
        <v>15</v>
      </c>
    </row>
    <row r="240" spans="1:34">
      <c r="A240" s="125"/>
      <c r="B240" s="248" t="s">
        <v>78</v>
      </c>
      <c r="C240" s="302">
        <v>4396</v>
      </c>
      <c r="D240" s="303">
        <v>4321</v>
      </c>
      <c r="E240" s="303">
        <v>4307</v>
      </c>
      <c r="F240" s="303">
        <v>4289</v>
      </c>
      <c r="G240" s="303">
        <v>4285</v>
      </c>
      <c r="H240" s="303">
        <v>4283</v>
      </c>
      <c r="I240" s="303">
        <v>4273</v>
      </c>
      <c r="J240" s="303">
        <v>4279</v>
      </c>
      <c r="K240" s="303">
        <v>4336</v>
      </c>
      <c r="L240" s="303">
        <v>4316</v>
      </c>
      <c r="M240" s="303">
        <v>4275</v>
      </c>
      <c r="N240" s="303">
        <v>4275</v>
      </c>
      <c r="O240" s="303">
        <v>4283</v>
      </c>
      <c r="P240" s="303">
        <v>4288</v>
      </c>
      <c r="Q240" s="303">
        <v>4288</v>
      </c>
      <c r="R240" s="303">
        <v>4301</v>
      </c>
      <c r="S240" s="386">
        <v>4343</v>
      </c>
      <c r="T240" s="357"/>
      <c r="U240" s="358"/>
      <c r="V240" s="358"/>
      <c r="W240" s="352"/>
      <c r="X240" s="359"/>
      <c r="Y240" s="358"/>
      <c r="Z240" s="360"/>
      <c r="AA240" s="354"/>
      <c r="AB240" s="278"/>
      <c r="AE240" s="355"/>
      <c r="AF240" s="355"/>
      <c r="AG240" s="356"/>
      <c r="AH240" s="356"/>
    </row>
    <row r="241" spans="1:34" ht="32.25" thickBot="1">
      <c r="A241" s="125"/>
      <c r="B241" s="256" t="s">
        <v>221</v>
      </c>
      <c r="C241" s="374">
        <f t="shared" ref="C241:S241" si="76">IF(((C239="")*AND(C240="")),"",(C239-C240)*2)</f>
        <v>2022</v>
      </c>
      <c r="D241" s="374">
        <f t="shared" si="76"/>
        <v>2090</v>
      </c>
      <c r="E241" s="374">
        <f t="shared" si="76"/>
        <v>2076</v>
      </c>
      <c r="F241" s="374">
        <f t="shared" si="76"/>
        <v>2100</v>
      </c>
      <c r="G241" s="374">
        <f t="shared" si="76"/>
        <v>2100</v>
      </c>
      <c r="H241" s="374">
        <f t="shared" si="76"/>
        <v>2112</v>
      </c>
      <c r="I241" s="374">
        <f t="shared" si="76"/>
        <v>2156</v>
      </c>
      <c r="J241" s="374">
        <f t="shared" si="76"/>
        <v>2176</v>
      </c>
      <c r="K241" s="374">
        <f t="shared" si="76"/>
        <v>2134</v>
      </c>
      <c r="L241" s="374">
        <f t="shared" si="76"/>
        <v>2098</v>
      </c>
      <c r="M241" s="374">
        <f t="shared" si="76"/>
        <v>2158</v>
      </c>
      <c r="N241" s="374">
        <f t="shared" si="76"/>
        <v>2134</v>
      </c>
      <c r="O241" s="374">
        <f t="shared" si="76"/>
        <v>2112</v>
      </c>
      <c r="P241" s="374">
        <f t="shared" si="76"/>
        <v>2102</v>
      </c>
      <c r="Q241" s="374">
        <f t="shared" si="76"/>
        <v>2114</v>
      </c>
      <c r="R241" s="374">
        <f t="shared" si="76"/>
        <v>2116</v>
      </c>
      <c r="S241" s="375">
        <f t="shared" si="76"/>
        <v>2044</v>
      </c>
      <c r="T241" s="376"/>
      <c r="U241" s="374"/>
      <c r="V241" s="374"/>
      <c r="W241" s="243"/>
      <c r="X241" s="377"/>
      <c r="Y241" s="374"/>
      <c r="Z241" s="378"/>
      <c r="AA241" s="354"/>
      <c r="AB241" s="278"/>
      <c r="AE241" s="355"/>
      <c r="AF241" s="355"/>
      <c r="AG241" s="356"/>
      <c r="AH241" s="356"/>
    </row>
    <row r="242" spans="1:34">
      <c r="A242" s="367">
        <v>43466</v>
      </c>
      <c r="B242" s="248" t="s">
        <v>77</v>
      </c>
      <c r="C242" s="302">
        <v>5381</v>
      </c>
      <c r="D242" s="303">
        <v>5337</v>
      </c>
      <c r="E242" s="303">
        <v>5314</v>
      </c>
      <c r="F242" s="303">
        <v>5309</v>
      </c>
      <c r="G242" s="303">
        <v>5304</v>
      </c>
      <c r="H242" s="303">
        <v>5309</v>
      </c>
      <c r="I242" s="303">
        <v>5322</v>
      </c>
      <c r="J242" s="303">
        <v>5336</v>
      </c>
      <c r="K242" s="303">
        <v>5374</v>
      </c>
      <c r="L242" s="303">
        <v>5333</v>
      </c>
      <c r="M242" s="303">
        <v>5320</v>
      </c>
      <c r="N242" s="303">
        <v>5318</v>
      </c>
      <c r="O242" s="303">
        <v>5311</v>
      </c>
      <c r="P242" s="303">
        <v>5307</v>
      </c>
      <c r="Q242" s="303">
        <v>5322</v>
      </c>
      <c r="R242" s="303">
        <v>5338</v>
      </c>
      <c r="S242" s="386">
        <v>5358</v>
      </c>
      <c r="T242" s="368">
        <f>IF((S243=""),"",MAX(C244:S244))</f>
        <v>2190</v>
      </c>
      <c r="U242" s="248">
        <f>IF(S243="","",MIN(C244:S244))</f>
        <v>2024</v>
      </c>
      <c r="V242" s="263">
        <f>IF((S244=""),"",AVERAGE(C244:S244))</f>
        <v>2114.2352941176468</v>
      </c>
      <c r="W242" s="352">
        <f>STDEV(C244:S244)</f>
        <v>42.97605352368187</v>
      </c>
      <c r="X242" s="249">
        <f>IF((S243=""),"",((T242-U242)/(T242+U242))*100)</f>
        <v>3.9392501186521121</v>
      </c>
      <c r="Y242" s="250" t="str">
        <f>IF(S243="","",IF(X242&lt;15,IF(V242&gt;1690,IF(V242&lt;2125,"Pass","Fail"),"Fail"),"Fail"))</f>
        <v>Pass</v>
      </c>
      <c r="Z242" s="360" t="s">
        <v>98</v>
      </c>
      <c r="AA242" s="244" t="s">
        <v>99</v>
      </c>
      <c r="AC242" s="316">
        <v>1600</v>
      </c>
      <c r="AD242" s="316">
        <v>2600</v>
      </c>
      <c r="AE242" s="355">
        <v>1690</v>
      </c>
      <c r="AF242" s="355">
        <v>2125</v>
      </c>
      <c r="AG242" s="356">
        <v>15</v>
      </c>
      <c r="AH242" s="356">
        <v>15</v>
      </c>
    </row>
    <row r="243" spans="1:34">
      <c r="A243" s="125"/>
      <c r="B243" s="248" t="s">
        <v>78</v>
      </c>
      <c r="C243" s="302">
        <v>4369</v>
      </c>
      <c r="D243" s="303">
        <v>4302</v>
      </c>
      <c r="E243" s="303">
        <v>4281</v>
      </c>
      <c r="F243" s="303">
        <v>4268</v>
      </c>
      <c r="G243" s="303">
        <v>4253</v>
      </c>
      <c r="H243" s="303">
        <v>4248</v>
      </c>
      <c r="I243" s="303">
        <v>4240</v>
      </c>
      <c r="J243" s="303">
        <v>4241</v>
      </c>
      <c r="K243" s="303">
        <v>4311</v>
      </c>
      <c r="L243" s="303">
        <v>4279</v>
      </c>
      <c r="M243" s="303">
        <v>4242</v>
      </c>
      <c r="N243" s="303">
        <v>4251</v>
      </c>
      <c r="O243" s="303">
        <v>4254</v>
      </c>
      <c r="P243" s="303">
        <v>4253</v>
      </c>
      <c r="Q243" s="303">
        <v>4246</v>
      </c>
      <c r="R243" s="303">
        <v>4260</v>
      </c>
      <c r="S243" s="386">
        <v>4324</v>
      </c>
      <c r="T243" s="357"/>
      <c r="U243" s="358"/>
      <c r="V243" s="358"/>
      <c r="W243" s="352"/>
      <c r="X243" s="359"/>
      <c r="Y243" s="358"/>
      <c r="Z243" s="360"/>
      <c r="AA243" s="354"/>
      <c r="AB243" s="278"/>
    </row>
    <row r="244" spans="1:34" ht="32.25" thickBot="1">
      <c r="A244" s="125"/>
      <c r="B244" s="256" t="s">
        <v>221</v>
      </c>
      <c r="C244" s="358">
        <f t="shared" ref="C244:S244" si="77">IF(((C242="")*AND(C243="")),"",(C242-C243)*2)</f>
        <v>2024</v>
      </c>
      <c r="D244" s="358">
        <f t="shared" si="77"/>
        <v>2070</v>
      </c>
      <c r="E244" s="358">
        <f t="shared" si="77"/>
        <v>2066</v>
      </c>
      <c r="F244" s="358">
        <f t="shared" si="77"/>
        <v>2082</v>
      </c>
      <c r="G244" s="358">
        <f t="shared" si="77"/>
        <v>2102</v>
      </c>
      <c r="H244" s="358">
        <f t="shared" si="77"/>
        <v>2122</v>
      </c>
      <c r="I244" s="358">
        <f t="shared" si="77"/>
        <v>2164</v>
      </c>
      <c r="J244" s="358">
        <f t="shared" si="77"/>
        <v>2190</v>
      </c>
      <c r="K244" s="358">
        <f t="shared" si="77"/>
        <v>2126</v>
      </c>
      <c r="L244" s="358">
        <f t="shared" si="77"/>
        <v>2108</v>
      </c>
      <c r="M244" s="358">
        <f t="shared" si="77"/>
        <v>2156</v>
      </c>
      <c r="N244" s="358">
        <f t="shared" si="77"/>
        <v>2134</v>
      </c>
      <c r="O244" s="358">
        <f t="shared" si="77"/>
        <v>2114</v>
      </c>
      <c r="P244" s="358">
        <f t="shared" si="77"/>
        <v>2108</v>
      </c>
      <c r="Q244" s="358">
        <f t="shared" si="77"/>
        <v>2152</v>
      </c>
      <c r="R244" s="358">
        <f t="shared" si="77"/>
        <v>2156</v>
      </c>
      <c r="S244" s="388">
        <f t="shared" si="77"/>
        <v>2068</v>
      </c>
      <c r="T244" s="357"/>
      <c r="U244" s="358"/>
      <c r="V244" s="358"/>
      <c r="W244" s="389"/>
      <c r="X244" s="359"/>
      <c r="Y244" s="358"/>
      <c r="Z244" s="360"/>
      <c r="AA244" s="354"/>
      <c r="AB244" s="278"/>
    </row>
    <row r="245" spans="1:34">
      <c r="A245" s="390">
        <v>43476</v>
      </c>
      <c r="B245" s="248" t="s">
        <v>77</v>
      </c>
      <c r="C245" s="391">
        <v>5360</v>
      </c>
      <c r="D245" s="391">
        <v>5320</v>
      </c>
      <c r="E245" s="391">
        <v>5299</v>
      </c>
      <c r="F245" s="391">
        <v>5294</v>
      </c>
      <c r="G245" s="391">
        <v>5294</v>
      </c>
      <c r="H245" s="391">
        <v>5296</v>
      </c>
      <c r="I245" s="391">
        <v>5310</v>
      </c>
      <c r="J245" s="391">
        <v>5306</v>
      </c>
      <c r="K245" s="391">
        <v>5349</v>
      </c>
      <c r="L245" s="391">
        <v>5330</v>
      </c>
      <c r="M245" s="391">
        <v>5305</v>
      </c>
      <c r="N245" s="391">
        <v>5298</v>
      </c>
      <c r="O245" s="391">
        <v>5293</v>
      </c>
      <c r="P245" s="391">
        <v>5299</v>
      </c>
      <c r="Q245" s="391">
        <v>5301</v>
      </c>
      <c r="R245" s="391">
        <v>5314</v>
      </c>
      <c r="S245" s="391">
        <v>5345</v>
      </c>
      <c r="T245" s="248">
        <f>IF((S246=""),"",MAX(C247:S247))</f>
        <v>294</v>
      </c>
      <c r="U245" s="248">
        <f>IF(S246="","",MIN(C247:S247))</f>
        <v>202</v>
      </c>
      <c r="V245" s="248">
        <f>IF((S247=""),"",AVERAGE(C247:S247))</f>
        <v>264.58823529411762</v>
      </c>
      <c r="W245" s="380">
        <f>STDEV(C247:S247)</f>
        <v>29.109832581812881</v>
      </c>
      <c r="X245" s="248">
        <f>IF((S246=""),"",((T245-U245)/(T245+U245))*100)</f>
        <v>18.548387096774192</v>
      </c>
      <c r="Y245" s="250" t="str">
        <f>IF(S246="","",IF(X245&lt;15,IF(V245&gt;1680,IF(V245&lt;2200,"Pass","Fail"),"Fail"),"Fail"))</f>
        <v>Fail</v>
      </c>
      <c r="Z245" s="360">
        <v>1340</v>
      </c>
      <c r="AA245" s="124"/>
      <c r="AC245" s="316">
        <v>1600</v>
      </c>
      <c r="AD245" s="316">
        <v>2600</v>
      </c>
      <c r="AE245" s="355">
        <v>1690</v>
      </c>
      <c r="AF245" s="355">
        <v>2210</v>
      </c>
      <c r="AG245" s="356">
        <v>15</v>
      </c>
      <c r="AH245" s="356">
        <v>15</v>
      </c>
    </row>
    <row r="246" spans="1:34">
      <c r="A246" s="392"/>
      <c r="B246" s="248" t="s">
        <v>78</v>
      </c>
      <c r="C246" s="391">
        <v>5231</v>
      </c>
      <c r="D246" s="391">
        <v>5181</v>
      </c>
      <c r="E246" s="391">
        <v>5162</v>
      </c>
      <c r="F246" s="391">
        <v>5148</v>
      </c>
      <c r="G246" s="391">
        <v>5149</v>
      </c>
      <c r="H246" s="391">
        <v>5151</v>
      </c>
      <c r="I246" s="391">
        <v>5165</v>
      </c>
      <c r="J246" s="391">
        <v>5191</v>
      </c>
      <c r="K246" s="391">
        <v>5248</v>
      </c>
      <c r="L246" s="391">
        <v>5216</v>
      </c>
      <c r="M246" s="391">
        <v>5175</v>
      </c>
      <c r="N246" s="391">
        <v>5158</v>
      </c>
      <c r="O246" s="391">
        <v>5149</v>
      </c>
      <c r="P246" s="391">
        <v>5152</v>
      </c>
      <c r="Q246" s="391">
        <v>5166</v>
      </c>
      <c r="R246" s="391">
        <v>5185</v>
      </c>
      <c r="S246" s="391">
        <v>5237</v>
      </c>
      <c r="T246" s="358"/>
      <c r="U246" s="358"/>
      <c r="V246" s="358"/>
      <c r="W246" s="380"/>
      <c r="X246" s="358"/>
      <c r="Y246" s="358"/>
      <c r="Z246" s="360"/>
      <c r="AA246" s="124"/>
      <c r="AB246" s="125"/>
    </row>
    <row r="247" spans="1:34" ht="32.25" thickBot="1">
      <c r="A247" s="393"/>
      <c r="B247" s="256" t="s">
        <v>221</v>
      </c>
      <c r="C247" s="358">
        <f t="shared" ref="C247:S247" si="78">IF(((C245="")*AND(C246="")),"",(C245-C246)*2)</f>
        <v>258</v>
      </c>
      <c r="D247" s="358">
        <f t="shared" si="78"/>
        <v>278</v>
      </c>
      <c r="E247" s="358">
        <f t="shared" si="78"/>
        <v>274</v>
      </c>
      <c r="F247" s="358">
        <f t="shared" si="78"/>
        <v>292</v>
      </c>
      <c r="G247" s="358">
        <f t="shared" si="78"/>
        <v>290</v>
      </c>
      <c r="H247" s="358">
        <f t="shared" si="78"/>
        <v>290</v>
      </c>
      <c r="I247" s="358">
        <f t="shared" si="78"/>
        <v>290</v>
      </c>
      <c r="J247" s="358">
        <f t="shared" si="78"/>
        <v>230</v>
      </c>
      <c r="K247" s="358">
        <f t="shared" si="78"/>
        <v>202</v>
      </c>
      <c r="L247" s="358">
        <f t="shared" si="78"/>
        <v>228</v>
      </c>
      <c r="M247" s="358">
        <f t="shared" si="78"/>
        <v>260</v>
      </c>
      <c r="N247" s="358">
        <f t="shared" si="78"/>
        <v>280</v>
      </c>
      <c r="O247" s="358">
        <f t="shared" si="78"/>
        <v>288</v>
      </c>
      <c r="P247" s="358">
        <f t="shared" si="78"/>
        <v>294</v>
      </c>
      <c r="Q247" s="358">
        <f t="shared" si="78"/>
        <v>270</v>
      </c>
      <c r="R247" s="358">
        <f t="shared" si="78"/>
        <v>258</v>
      </c>
      <c r="S247" s="358">
        <f t="shared" si="78"/>
        <v>216</v>
      </c>
      <c r="T247" s="358"/>
      <c r="U247" s="358"/>
      <c r="V247" s="358"/>
      <c r="W247" s="387"/>
      <c r="X247" s="358"/>
      <c r="Y247" s="358"/>
      <c r="Z247" s="360"/>
      <c r="AA247" s="124"/>
      <c r="AB247" s="125"/>
    </row>
    <row r="248" spans="1:34">
      <c r="A248" s="390">
        <v>43480</v>
      </c>
      <c r="B248" s="248" t="s">
        <v>77</v>
      </c>
      <c r="C248" s="391">
        <v>5459</v>
      </c>
      <c r="D248" s="391">
        <v>5414</v>
      </c>
      <c r="E248" s="391">
        <v>5394</v>
      </c>
      <c r="F248" s="391">
        <v>5387</v>
      </c>
      <c r="G248" s="391">
        <v>5391</v>
      </c>
      <c r="H248" s="391">
        <v>5397</v>
      </c>
      <c r="I248" s="391">
        <v>5405</v>
      </c>
      <c r="J248" s="391">
        <v>5430</v>
      </c>
      <c r="K248" s="391">
        <v>5467</v>
      </c>
      <c r="L248" s="391">
        <v>5418</v>
      </c>
      <c r="M248" s="391">
        <v>5407</v>
      </c>
      <c r="N248" s="391">
        <v>5401</v>
      </c>
      <c r="O248" s="391">
        <v>5390</v>
      </c>
      <c r="P248" s="391">
        <v>5394</v>
      </c>
      <c r="Q248" s="391">
        <v>5399</v>
      </c>
      <c r="R248" s="391">
        <v>5406</v>
      </c>
      <c r="S248" s="391">
        <v>5444</v>
      </c>
      <c r="T248" s="248">
        <f>IF((S249=""),"",MAX(C250:S250))</f>
        <v>2162</v>
      </c>
      <c r="U248" s="248">
        <f>IF(S249="","",MIN(C250:S250))</f>
        <v>2028</v>
      </c>
      <c r="V248" s="248">
        <f>IF((S250=""),"",AVERAGE(C250:S250))</f>
        <v>2089.294117647059</v>
      </c>
      <c r="W248" s="380">
        <f>STDEV(C250:S250)</f>
        <v>34.618933955787611</v>
      </c>
      <c r="X248" s="248">
        <f>IF((S249=""),"",((T248-U248)/(T248+U248))*100)</f>
        <v>3.1980906921241052</v>
      </c>
      <c r="Y248" s="250" t="str">
        <f>IF(S249="","",IF(X248&lt;15,IF(V248&gt;1680,IF(V248&lt;2200,"Pass","Fail"),"Fail"),"Fail"))</f>
        <v>Pass</v>
      </c>
      <c r="Z248" s="360" t="s">
        <v>137</v>
      </c>
      <c r="AA248" s="124"/>
      <c r="AC248" s="316">
        <v>1600</v>
      </c>
      <c r="AD248" s="316">
        <v>2600</v>
      </c>
      <c r="AE248" s="355">
        <v>1690</v>
      </c>
      <c r="AF248" s="355">
        <v>2210</v>
      </c>
      <c r="AG248" s="356">
        <v>15</v>
      </c>
      <c r="AH248" s="356">
        <v>15</v>
      </c>
    </row>
    <row r="249" spans="1:34">
      <c r="A249" s="392"/>
      <c r="B249" s="248" t="s">
        <v>78</v>
      </c>
      <c r="C249" s="391">
        <v>4445</v>
      </c>
      <c r="D249" s="391">
        <v>4389</v>
      </c>
      <c r="E249" s="391">
        <v>4367</v>
      </c>
      <c r="F249" s="391">
        <v>4359</v>
      </c>
      <c r="G249" s="391">
        <v>4352</v>
      </c>
      <c r="H249" s="391">
        <v>4345</v>
      </c>
      <c r="I249" s="391">
        <v>4341</v>
      </c>
      <c r="J249" s="391">
        <v>4349</v>
      </c>
      <c r="K249" s="391">
        <v>4426</v>
      </c>
      <c r="L249" s="391">
        <v>4372</v>
      </c>
      <c r="M249" s="391">
        <v>4339</v>
      </c>
      <c r="N249" s="391">
        <v>4342</v>
      </c>
      <c r="O249" s="391">
        <v>4347</v>
      </c>
      <c r="P249" s="391">
        <v>4349</v>
      </c>
      <c r="Q249" s="391">
        <v>4348</v>
      </c>
      <c r="R249" s="391">
        <v>4358</v>
      </c>
      <c r="S249" s="391">
        <v>4416</v>
      </c>
      <c r="T249" s="358"/>
      <c r="U249" s="358"/>
      <c r="V249" s="358"/>
      <c r="W249" s="380"/>
      <c r="X249" s="358"/>
      <c r="Y249" s="358"/>
      <c r="Z249" s="360"/>
      <c r="AA249" s="124"/>
      <c r="AB249" s="125"/>
    </row>
    <row r="250" spans="1:34" ht="32.25" thickBot="1">
      <c r="A250" s="393"/>
      <c r="B250" s="256" t="s">
        <v>221</v>
      </c>
      <c r="C250" s="358">
        <f t="shared" ref="C250:S250" si="79">IF(((C248="")*AND(C249="")),"",(C248-C249)*2)</f>
        <v>2028</v>
      </c>
      <c r="D250" s="358">
        <f t="shared" si="79"/>
        <v>2050</v>
      </c>
      <c r="E250" s="358">
        <f t="shared" si="79"/>
        <v>2054</v>
      </c>
      <c r="F250" s="358">
        <f t="shared" si="79"/>
        <v>2056</v>
      </c>
      <c r="G250" s="358">
        <f t="shared" si="79"/>
        <v>2078</v>
      </c>
      <c r="H250" s="358">
        <f t="shared" si="79"/>
        <v>2104</v>
      </c>
      <c r="I250" s="358">
        <f t="shared" si="79"/>
        <v>2128</v>
      </c>
      <c r="J250" s="358">
        <f t="shared" si="79"/>
        <v>2162</v>
      </c>
      <c r="K250" s="358">
        <f t="shared" si="79"/>
        <v>2082</v>
      </c>
      <c r="L250" s="358">
        <f t="shared" si="79"/>
        <v>2092</v>
      </c>
      <c r="M250" s="358">
        <f t="shared" si="79"/>
        <v>2136</v>
      </c>
      <c r="N250" s="358">
        <f t="shared" si="79"/>
        <v>2118</v>
      </c>
      <c r="O250" s="358">
        <f t="shared" si="79"/>
        <v>2086</v>
      </c>
      <c r="P250" s="358">
        <f t="shared" si="79"/>
        <v>2090</v>
      </c>
      <c r="Q250" s="358">
        <f t="shared" si="79"/>
        <v>2102</v>
      </c>
      <c r="R250" s="358">
        <f t="shared" si="79"/>
        <v>2096</v>
      </c>
      <c r="S250" s="358">
        <f t="shared" si="79"/>
        <v>2056</v>
      </c>
      <c r="T250" s="358"/>
      <c r="U250" s="358"/>
      <c r="V250" s="358"/>
      <c r="W250" s="387"/>
      <c r="X250" s="358"/>
      <c r="Y250" s="358"/>
      <c r="Z250" s="360"/>
      <c r="AA250" s="124"/>
      <c r="AB250" s="125"/>
    </row>
    <row r="251" spans="1:34">
      <c r="A251" s="390">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80">
        <f>STDEV(C253:S253)</f>
        <v>20.173545869289747</v>
      </c>
      <c r="X251" s="248">
        <f>IF((S252=""),"",((T251-U251)/(T251+U251))*100)</f>
        <v>1.8816440225115243</v>
      </c>
      <c r="Y251" s="250" t="str">
        <f>IF(S252="","",IF(X251&lt;15,IF(V251&gt;1680,IF(V251&lt;2200,"Pass","Fail"),"Fail"),"Fail"))</f>
        <v>Pass</v>
      </c>
      <c r="Z251" s="360">
        <v>1335</v>
      </c>
      <c r="AA251" s="124" t="s">
        <v>147</v>
      </c>
      <c r="AC251" s="316">
        <v>1600</v>
      </c>
      <c r="AD251" s="316">
        <v>2600</v>
      </c>
      <c r="AE251" s="355">
        <v>1690</v>
      </c>
      <c r="AF251" s="355">
        <v>2210</v>
      </c>
      <c r="AG251" s="356">
        <v>15</v>
      </c>
      <c r="AH251" s="356">
        <v>15</v>
      </c>
    </row>
    <row r="252" spans="1:34">
      <c r="A252" s="392"/>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8"/>
      <c r="U252" s="358"/>
      <c r="V252" s="358"/>
      <c r="W252" s="380"/>
      <c r="X252" s="358"/>
      <c r="Y252" s="358"/>
      <c r="Z252" s="360"/>
      <c r="AA252" s="124"/>
      <c r="AB252" s="125"/>
    </row>
    <row r="253" spans="1:34" ht="32.25" thickBot="1">
      <c r="A253" s="393"/>
      <c r="B253" s="256" t="s">
        <v>221</v>
      </c>
      <c r="C253" s="358">
        <f t="shared" ref="C253:S253" si="80">IF(((C251="")*AND(C252="")),"",(C251-C252)*2)</f>
        <v>2150.6399999999994</v>
      </c>
      <c r="D253" s="358">
        <f t="shared" si="80"/>
        <v>2142.66</v>
      </c>
      <c r="E253" s="358">
        <f t="shared" si="80"/>
        <v>2111.7600000000002</v>
      </c>
      <c r="F253" s="358">
        <f t="shared" si="80"/>
        <v>2093.7800000000007</v>
      </c>
      <c r="G253" s="358">
        <f t="shared" si="80"/>
        <v>2100.42</v>
      </c>
      <c r="H253" s="358">
        <f t="shared" si="80"/>
        <v>2112.58</v>
      </c>
      <c r="I253" s="358">
        <f t="shared" si="80"/>
        <v>2089.9799999999996</v>
      </c>
      <c r="J253" s="358">
        <f t="shared" si="80"/>
        <v>2083.380000000001</v>
      </c>
      <c r="K253" s="358">
        <f t="shared" si="80"/>
        <v>2089.9000000000015</v>
      </c>
      <c r="L253" s="358">
        <f t="shared" si="80"/>
        <v>2099.7800000000007</v>
      </c>
      <c r="M253" s="358">
        <f t="shared" si="80"/>
        <v>2085.2800000000007</v>
      </c>
      <c r="N253" s="358">
        <f t="shared" si="80"/>
        <v>2100.84</v>
      </c>
      <c r="O253" s="358">
        <f t="shared" si="80"/>
        <v>2071.1999999999989</v>
      </c>
      <c r="P253" s="358">
        <f t="shared" si="80"/>
        <v>2089.84</v>
      </c>
      <c r="Q253" s="358">
        <f t="shared" si="80"/>
        <v>2100</v>
      </c>
      <c r="R253" s="358">
        <f t="shared" si="80"/>
        <v>2115.8199999999997</v>
      </c>
      <c r="S253" s="358">
        <f t="shared" si="80"/>
        <v>2100.7600000000002</v>
      </c>
      <c r="T253" s="358"/>
      <c r="U253" s="358"/>
      <c r="V253" s="358"/>
      <c r="W253" s="387"/>
      <c r="X253" s="358"/>
      <c r="Y253" s="358"/>
      <c r="Z253" s="360"/>
      <c r="AA253" s="124"/>
      <c r="AB253" s="125"/>
    </row>
    <row r="254" spans="1:34">
      <c r="A254" s="390">
        <v>43493</v>
      </c>
      <c r="B254" s="248" t="s">
        <v>77</v>
      </c>
      <c r="C254" s="302">
        <v>5280</v>
      </c>
      <c r="D254" s="303">
        <v>5252</v>
      </c>
      <c r="E254" s="303">
        <v>5238</v>
      </c>
      <c r="F254" s="303">
        <v>5230</v>
      </c>
      <c r="G254" s="303">
        <v>5232</v>
      </c>
      <c r="H254" s="303">
        <v>5233</v>
      </c>
      <c r="I254" s="303">
        <v>5246</v>
      </c>
      <c r="J254" s="303">
        <v>5258</v>
      </c>
      <c r="K254" s="303">
        <v>5301</v>
      </c>
      <c r="L254" s="303">
        <v>5275</v>
      </c>
      <c r="M254" s="303">
        <v>5256</v>
      </c>
      <c r="N254" s="303">
        <v>5243</v>
      </c>
      <c r="O254" s="303">
        <v>5238</v>
      </c>
      <c r="P254" s="303">
        <v>5233</v>
      </c>
      <c r="Q254" s="303">
        <v>5233</v>
      </c>
      <c r="R254" s="303">
        <v>5252</v>
      </c>
      <c r="S254" s="303">
        <v>5261</v>
      </c>
      <c r="T254" s="248">
        <f>IF((S255=""),"",MAX(C256:S256))</f>
        <v>2178</v>
      </c>
      <c r="U254" s="248">
        <f>IF(S255="","",MIN(C256:S256))</f>
        <v>2012</v>
      </c>
      <c r="V254" s="248">
        <f>IF((S256=""),"",AVERAGE(C256:S256))</f>
        <v>2108.4705882352941</v>
      </c>
      <c r="W254" s="380">
        <f>STDEV(C256:S256)</f>
        <v>42.25239290125954</v>
      </c>
      <c r="X254" s="248">
        <f>IF((S255=""),"",((T254-U254)/(T254+U254))*100)</f>
        <v>3.9618138424821003</v>
      </c>
      <c r="Y254" s="250" t="str">
        <f>IF(S255="","",IF(X254&lt;15,IF(V254&gt;1680,IF(V254&lt;2200,"Pass","Fail"),"Fail"),"Fail"))</f>
        <v>Pass</v>
      </c>
      <c r="Z254" s="394" t="s">
        <v>98</v>
      </c>
      <c r="AA254" s="124" t="s">
        <v>148</v>
      </c>
      <c r="AC254" s="316">
        <v>1600</v>
      </c>
      <c r="AD254" s="316">
        <v>2600</v>
      </c>
      <c r="AE254" s="355">
        <v>1690</v>
      </c>
      <c r="AF254" s="355">
        <v>2210</v>
      </c>
      <c r="AG254" s="356">
        <v>15</v>
      </c>
      <c r="AH254" s="356">
        <v>15</v>
      </c>
    </row>
    <row r="255" spans="1:34">
      <c r="A255" s="392"/>
      <c r="B255" s="248" t="s">
        <v>78</v>
      </c>
      <c r="C255" s="302">
        <v>4274</v>
      </c>
      <c r="D255" s="303">
        <v>4218</v>
      </c>
      <c r="E255" s="303">
        <v>4198</v>
      </c>
      <c r="F255" s="303">
        <v>4194</v>
      </c>
      <c r="G255" s="303">
        <v>4185</v>
      </c>
      <c r="H255" s="303">
        <v>4171</v>
      </c>
      <c r="I255" s="303">
        <v>4163</v>
      </c>
      <c r="J255" s="303">
        <v>4169</v>
      </c>
      <c r="K255" s="303">
        <v>4249</v>
      </c>
      <c r="L255" s="303">
        <v>4233</v>
      </c>
      <c r="M255" s="303">
        <v>4179</v>
      </c>
      <c r="N255" s="303">
        <v>4170</v>
      </c>
      <c r="O255" s="303">
        <v>4178</v>
      </c>
      <c r="P255" s="303">
        <v>4178</v>
      </c>
      <c r="Q255" s="303">
        <v>4175</v>
      </c>
      <c r="R255" s="303">
        <v>4180</v>
      </c>
      <c r="S255" s="303">
        <v>4225</v>
      </c>
      <c r="T255" s="358"/>
      <c r="U255" s="358"/>
      <c r="V255" s="358"/>
      <c r="W255" s="380"/>
      <c r="X255" s="358"/>
      <c r="Y255" s="358"/>
      <c r="Z255" s="360"/>
      <c r="AA255" s="124"/>
      <c r="AB255" s="125"/>
    </row>
    <row r="256" spans="1:34" ht="32.25" thickBot="1">
      <c r="A256" s="393"/>
      <c r="B256" s="256" t="s">
        <v>221</v>
      </c>
      <c r="C256" s="358">
        <f t="shared" ref="C256:S256" si="81">IF(((C254="")*AND(C255="")),"",(C254-C255)*2)</f>
        <v>2012</v>
      </c>
      <c r="D256" s="358">
        <f t="shared" si="81"/>
        <v>2068</v>
      </c>
      <c r="E256" s="358">
        <f t="shared" si="81"/>
        <v>2080</v>
      </c>
      <c r="F256" s="358">
        <f t="shared" si="81"/>
        <v>2072</v>
      </c>
      <c r="G256" s="358">
        <f t="shared" si="81"/>
        <v>2094</v>
      </c>
      <c r="H256" s="358">
        <f t="shared" si="81"/>
        <v>2124</v>
      </c>
      <c r="I256" s="358">
        <f t="shared" si="81"/>
        <v>2166</v>
      </c>
      <c r="J256" s="358">
        <f t="shared" si="81"/>
        <v>2178</v>
      </c>
      <c r="K256" s="358">
        <f t="shared" si="81"/>
        <v>2104</v>
      </c>
      <c r="L256" s="358">
        <f t="shared" si="81"/>
        <v>2084</v>
      </c>
      <c r="M256" s="358">
        <f t="shared" si="81"/>
        <v>2154</v>
      </c>
      <c r="N256" s="358">
        <f t="shared" si="81"/>
        <v>2146</v>
      </c>
      <c r="O256" s="358">
        <f t="shared" si="81"/>
        <v>2120</v>
      </c>
      <c r="P256" s="358">
        <f t="shared" si="81"/>
        <v>2110</v>
      </c>
      <c r="Q256" s="358">
        <f t="shared" si="81"/>
        <v>2116</v>
      </c>
      <c r="R256" s="358">
        <f t="shared" si="81"/>
        <v>2144</v>
      </c>
      <c r="S256" s="358">
        <f t="shared" si="81"/>
        <v>2072</v>
      </c>
      <c r="T256" s="358"/>
      <c r="U256" s="358"/>
      <c r="V256" s="358"/>
      <c r="W256" s="387"/>
      <c r="X256" s="358"/>
      <c r="Y256" s="358"/>
      <c r="Z256" s="360"/>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80">
        <f>STDEV(C259:S259)</f>
        <v>33.208341174015246</v>
      </c>
      <c r="X257" s="248">
        <f>IF((S258=""),"",((T257-U257)/(T257+U257))*100)</f>
        <v>2.6800199823965007</v>
      </c>
      <c r="Y257" s="250" t="str">
        <f>IF(S258="","",IF(X257&lt;15,IF(V257&gt;1680,IF(V257&lt;2200,"Pass","Fail"),"Fail"),"Fail"))</f>
        <v>Pass</v>
      </c>
      <c r="Z257" s="394">
        <v>121</v>
      </c>
      <c r="AA257" s="124" t="s">
        <v>149</v>
      </c>
      <c r="AC257" s="316">
        <v>1600</v>
      </c>
      <c r="AD257" s="316">
        <v>2600</v>
      </c>
      <c r="AE257" s="355">
        <v>1690</v>
      </c>
      <c r="AF257" s="355">
        <v>2210</v>
      </c>
      <c r="AG257" s="356">
        <v>15</v>
      </c>
      <c r="AH257" s="356">
        <v>15</v>
      </c>
    </row>
    <row r="258" spans="1:34">
      <c r="A258" s="392"/>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8"/>
      <c r="U258" s="358"/>
      <c r="V258" s="358"/>
      <c r="W258" s="380"/>
      <c r="X258" s="358"/>
      <c r="Y258" s="358"/>
      <c r="Z258" s="360"/>
      <c r="AA258" s="124"/>
      <c r="AB258" s="125"/>
    </row>
    <row r="259" spans="1:34" ht="32.25" thickBot="1">
      <c r="A259" s="393"/>
      <c r="B259" s="256" t="s">
        <v>221</v>
      </c>
      <c r="C259" s="358">
        <f t="shared" ref="C259:S259" si="82">IF(((C257="")*AND(C258="")),"",(C257-C258)*2)</f>
        <v>2062.4399999999987</v>
      </c>
      <c r="D259" s="358">
        <f t="shared" si="82"/>
        <v>2045.5199999999986</v>
      </c>
      <c r="E259" s="358">
        <f t="shared" si="82"/>
        <v>2075.9599999999991</v>
      </c>
      <c r="F259" s="358">
        <f t="shared" si="82"/>
        <v>2065.9600000000009</v>
      </c>
      <c r="G259" s="358">
        <f t="shared" si="82"/>
        <v>2078.8999999999996</v>
      </c>
      <c r="H259" s="358">
        <f t="shared" si="82"/>
        <v>2097.5399999999991</v>
      </c>
      <c r="I259" s="358">
        <f t="shared" si="82"/>
        <v>2154.8799999999992</v>
      </c>
      <c r="J259" s="358">
        <f t="shared" si="82"/>
        <v>2158.1800000000003</v>
      </c>
      <c r="K259" s="358">
        <f t="shared" si="82"/>
        <v>2156.84</v>
      </c>
      <c r="L259" s="358">
        <f t="shared" si="82"/>
        <v>2106.8199999999997</v>
      </c>
      <c r="M259" s="358">
        <f t="shared" si="82"/>
        <v>2103.4799999999996</v>
      </c>
      <c r="N259" s="358">
        <f t="shared" si="82"/>
        <v>2102.58</v>
      </c>
      <c r="O259" s="358">
        <f t="shared" si="82"/>
        <v>2075.1800000000003</v>
      </c>
      <c r="P259" s="358">
        <f t="shared" si="82"/>
        <v>2076.34</v>
      </c>
      <c r="Q259" s="358">
        <f t="shared" si="82"/>
        <v>2103.2800000000007</v>
      </c>
      <c r="R259" s="358">
        <f t="shared" si="82"/>
        <v>2103.0200000000004</v>
      </c>
      <c r="S259" s="358">
        <f t="shared" si="82"/>
        <v>2081.3799999999992</v>
      </c>
      <c r="T259" s="358"/>
      <c r="U259" s="358"/>
      <c r="V259" s="358"/>
      <c r="W259" s="387"/>
      <c r="X259" s="358"/>
      <c r="Y259" s="358"/>
      <c r="Z259" s="360"/>
      <c r="AA259" s="124"/>
      <c r="AB259" s="125"/>
    </row>
    <row r="260" spans="1:34">
      <c r="A260" s="261">
        <v>43502</v>
      </c>
      <c r="B260" s="248" t="s">
        <v>77</v>
      </c>
      <c r="C260" s="302">
        <v>5342.85</v>
      </c>
      <c r="D260" s="303">
        <v>5306.3</v>
      </c>
      <c r="E260" s="303">
        <v>5287.58</v>
      </c>
      <c r="F260" s="303">
        <v>5270.74</v>
      </c>
      <c r="G260" s="303">
        <v>5281.25</v>
      </c>
      <c r="H260" s="303">
        <v>5281.25</v>
      </c>
      <c r="I260" s="303">
        <v>5293.92</v>
      </c>
      <c r="J260" s="303">
        <v>5308.26</v>
      </c>
      <c r="K260" s="303">
        <v>5344.48</v>
      </c>
      <c r="L260" s="303">
        <v>5311.73</v>
      </c>
      <c r="M260" s="303">
        <v>5295.65</v>
      </c>
      <c r="N260" s="303">
        <v>5285.11</v>
      </c>
      <c r="O260" s="303">
        <v>5281.43</v>
      </c>
      <c r="P260" s="303">
        <v>5279.67</v>
      </c>
      <c r="Q260" s="303">
        <v>5285.75</v>
      </c>
      <c r="R260" s="303">
        <v>5295.27</v>
      </c>
      <c r="S260" s="386">
        <v>5325.96</v>
      </c>
      <c r="T260" s="248">
        <f>IF((S261=""),"",MAX(C262:S262))</f>
        <v>2156.7600000000002</v>
      </c>
      <c r="U260" s="248">
        <f>IF(S261="","",MIN(C262:S262))</f>
        <v>1893.880000000001</v>
      </c>
      <c r="V260" s="248">
        <f>IF((S262=""),"",AVERAGE(C262:S262))</f>
        <v>2035.6282352941173</v>
      </c>
      <c r="W260" s="380">
        <f>STDEV(C262:S262)</f>
        <v>88.919646327140441</v>
      </c>
      <c r="X260" s="248">
        <f>IF((S261=""),"",((T260-U260)/(T260+U260))*100)</f>
        <v>6.4898386427823525</v>
      </c>
      <c r="Y260" s="250" t="str">
        <f>IF(S261="","",IF(X260&lt;15,IF(V260&gt;1680,IF(V260&lt;2200,"Pass","Fail"),"Fail"),"Fail"))</f>
        <v>Pass</v>
      </c>
      <c r="Z260" s="394">
        <v>102</v>
      </c>
      <c r="AA260" s="124" t="s">
        <v>150</v>
      </c>
      <c r="AC260" s="316">
        <v>1600</v>
      </c>
      <c r="AD260" s="316">
        <v>2600</v>
      </c>
      <c r="AE260" s="355">
        <v>1690</v>
      </c>
      <c r="AF260" s="355">
        <v>2210</v>
      </c>
      <c r="AG260" s="356">
        <v>15</v>
      </c>
      <c r="AH260" s="356">
        <v>15</v>
      </c>
    </row>
    <row r="261" spans="1:34">
      <c r="A261" s="392"/>
      <c r="B261" s="248" t="s">
        <v>78</v>
      </c>
      <c r="C261" s="302">
        <v>4395.91</v>
      </c>
      <c r="D261" s="303">
        <v>4335.45</v>
      </c>
      <c r="E261" s="303">
        <v>4317.5</v>
      </c>
      <c r="F261" s="303">
        <v>4308.16</v>
      </c>
      <c r="G261" s="303">
        <v>4252.45</v>
      </c>
      <c r="H261" s="303">
        <v>4233.2299999999996</v>
      </c>
      <c r="I261" s="303">
        <v>4221.88</v>
      </c>
      <c r="J261" s="303">
        <v>4229.88</v>
      </c>
      <c r="K261" s="303">
        <v>4357.05</v>
      </c>
      <c r="L261" s="303">
        <v>4337.8</v>
      </c>
      <c r="M261" s="303">
        <v>4235.6499999999996</v>
      </c>
      <c r="N261" s="303">
        <v>4229.45</v>
      </c>
      <c r="O261" s="303">
        <v>4235.3599999999997</v>
      </c>
      <c r="P261" s="303">
        <v>4239.3</v>
      </c>
      <c r="Q261" s="303">
        <v>4243.07</v>
      </c>
      <c r="R261" s="303">
        <v>4245.13</v>
      </c>
      <c r="S261" s="386">
        <v>4357.09</v>
      </c>
      <c r="T261" s="358"/>
      <c r="U261" s="358"/>
      <c r="V261" s="358"/>
      <c r="W261" s="380"/>
      <c r="X261" s="358"/>
      <c r="Y261" s="358"/>
      <c r="Z261" s="360"/>
      <c r="AA261" s="124"/>
      <c r="AB261" s="125"/>
    </row>
    <row r="262" spans="1:34" ht="32.25" thickBot="1">
      <c r="A262" s="393"/>
      <c r="B262" s="256" t="s">
        <v>221</v>
      </c>
      <c r="C262" s="358">
        <f t="shared" ref="C262:S262" si="83">IF(((C260="")*AND(C261="")),"",(C260-C261)*2)</f>
        <v>1893.880000000001</v>
      </c>
      <c r="D262" s="358">
        <f t="shared" si="83"/>
        <v>1941.7000000000007</v>
      </c>
      <c r="E262" s="358">
        <f t="shared" si="83"/>
        <v>1940.1599999999999</v>
      </c>
      <c r="F262" s="358">
        <f t="shared" si="83"/>
        <v>1925.1599999999999</v>
      </c>
      <c r="G262" s="358">
        <f t="shared" si="83"/>
        <v>2057.6000000000004</v>
      </c>
      <c r="H262" s="358">
        <f t="shared" si="83"/>
        <v>2096.0400000000009</v>
      </c>
      <c r="I262" s="358">
        <f>IF(((I260="")*AND(I261="")),"",(I260-I261)*2)</f>
        <v>2144.08</v>
      </c>
      <c r="J262" s="358">
        <f>IF(((J260="")*AND(J261="")),"",(J260-J261)*2)</f>
        <v>2156.7600000000002</v>
      </c>
      <c r="K262" s="358">
        <f>IF(((K260="")*AND(K261="")),"",(K260-K261)*2)</f>
        <v>1974.8599999999988</v>
      </c>
      <c r="L262" s="358">
        <f>IF(((L260="")*AND(L261="")),"",(L260-L261)*2)</f>
        <v>1947.8599999999988</v>
      </c>
      <c r="M262" s="358">
        <f t="shared" si="83"/>
        <v>2120</v>
      </c>
      <c r="N262" s="358">
        <f t="shared" si="83"/>
        <v>2111.3199999999997</v>
      </c>
      <c r="O262" s="358">
        <f t="shared" si="83"/>
        <v>2092.1400000000012</v>
      </c>
      <c r="P262" s="358">
        <f t="shared" si="83"/>
        <v>2080.7399999999998</v>
      </c>
      <c r="Q262" s="358">
        <f t="shared" si="83"/>
        <v>2085.3600000000006</v>
      </c>
      <c r="R262" s="358">
        <f t="shared" si="83"/>
        <v>2100.2800000000007</v>
      </c>
      <c r="S262" s="358">
        <f t="shared" si="83"/>
        <v>1937.7399999999998</v>
      </c>
      <c r="T262" s="358"/>
      <c r="U262" s="358"/>
      <c r="V262" s="358"/>
      <c r="W262" s="387"/>
      <c r="X262" s="358"/>
      <c r="Y262" s="358"/>
      <c r="Z262" s="360"/>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80">
        <f>STDEV(C265:S265)</f>
        <v>70.515333084366873</v>
      </c>
      <c r="X263" s="248">
        <f>IF((S264=""),"",((T263-U263)/(T263+U263))*100)</f>
        <v>8.0848632628179846</v>
      </c>
      <c r="Y263" s="250" t="str">
        <f>IF(S264="","",IF(X263&lt;15,IF(V263&gt;1680,IF(V263&lt;2200,"Pass","Fail"),"Fail"),"Fail"))</f>
        <v>Pass</v>
      </c>
      <c r="Z263" s="394">
        <v>74</v>
      </c>
      <c r="AA263" s="124"/>
      <c r="AC263" s="316">
        <v>1600</v>
      </c>
      <c r="AD263" s="316">
        <v>2600</v>
      </c>
      <c r="AE263" s="355">
        <v>1690</v>
      </c>
      <c r="AF263" s="355">
        <v>2210</v>
      </c>
      <c r="AG263" s="356">
        <v>15</v>
      </c>
      <c r="AH263" s="356">
        <v>15</v>
      </c>
    </row>
    <row r="264" spans="1:34">
      <c r="A264" s="392"/>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6">
        <v>4357.09</v>
      </c>
      <c r="T264" s="358"/>
      <c r="U264" s="358"/>
      <c r="V264" s="358"/>
      <c r="W264" s="380"/>
      <c r="X264" s="358"/>
      <c r="Y264" s="358"/>
      <c r="Z264" s="360"/>
      <c r="AA264" s="124"/>
      <c r="AB264" s="125"/>
    </row>
    <row r="265" spans="1:34" ht="32.25" thickBot="1">
      <c r="A265" s="393"/>
      <c r="B265" s="256" t="s">
        <v>221</v>
      </c>
      <c r="C265" s="358">
        <f t="shared" ref="C265:H265" si="84">IF(((C263="")*AND(C264="")),"",(C263-C264)*2)</f>
        <v>2118.8199999999997</v>
      </c>
      <c r="D265" s="358">
        <f t="shared" si="84"/>
        <v>2112.4599999999991</v>
      </c>
      <c r="E265" s="358">
        <f t="shared" si="84"/>
        <v>2097.6399999999994</v>
      </c>
      <c r="F265" s="358">
        <f t="shared" si="84"/>
        <v>2051.9799999999996</v>
      </c>
      <c r="G265" s="358">
        <f t="shared" si="84"/>
        <v>2060.8199999999997</v>
      </c>
      <c r="H265" s="358">
        <f t="shared" si="84"/>
        <v>2063.6399999999994</v>
      </c>
      <c r="I265" s="358">
        <f>IF(((I263="")*AND(I264="")),"",(I263-I264)*2)</f>
        <v>2067.7399999999998</v>
      </c>
      <c r="J265" s="358">
        <f>IF(((J263="")*AND(J264="")),"",(J263-J264)*2)</f>
        <v>2076.0400000000009</v>
      </c>
      <c r="K265" s="358">
        <f>IF(((K263="")*AND(K264="")),"",(K263-K264)*2)</f>
        <v>2062.2399999999998</v>
      </c>
      <c r="L265" s="358">
        <f>IF(((L263="")*AND(L264="")),"",(L263-L264)*2)</f>
        <v>2075.3999999999996</v>
      </c>
      <c r="M265" s="358">
        <f t="shared" ref="M265:S265" si="85">IF(((M263="")*AND(M264="")),"",(M263-M264)*2)</f>
        <v>2094.2399999999998</v>
      </c>
      <c r="N265" s="358">
        <f t="shared" si="85"/>
        <v>2070.619999999999</v>
      </c>
      <c r="O265" s="358">
        <f t="shared" si="85"/>
        <v>2072.1399999999994</v>
      </c>
      <c r="P265" s="358">
        <f t="shared" si="85"/>
        <v>2062.5400000000009</v>
      </c>
      <c r="Q265" s="358">
        <f t="shared" si="85"/>
        <v>2109.9400000000005</v>
      </c>
      <c r="R265" s="358">
        <f t="shared" si="85"/>
        <v>2091.6000000000004</v>
      </c>
      <c r="S265" s="358">
        <f t="shared" si="85"/>
        <v>1801.8400000000001</v>
      </c>
      <c r="T265" s="358"/>
      <c r="U265" s="358"/>
      <c r="V265" s="358"/>
      <c r="W265" s="387"/>
      <c r="X265" s="358"/>
      <c r="Y265" s="358"/>
      <c r="Z265" s="360"/>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80">
        <f>STDEV(C268:S268)</f>
        <v>34.530005451347492</v>
      </c>
      <c r="X266" s="248">
        <f>IF((S267=""),"",((T266-U266)/(T266+U266))*100)</f>
        <v>3.3737922641964522</v>
      </c>
      <c r="Y266" s="250" t="str">
        <f>IF(S267="","",IF(X266&lt;15,IF(V266&gt;1680,IF(V266&lt;2200,"Pass","Fail"),"Fail"),"Fail"))</f>
        <v>Pass</v>
      </c>
      <c r="Z266" s="394" t="s">
        <v>138</v>
      </c>
      <c r="AA266" s="124"/>
      <c r="AC266" s="316">
        <v>1600</v>
      </c>
      <c r="AD266" s="316">
        <v>2600</v>
      </c>
      <c r="AE266" s="355">
        <v>1690</v>
      </c>
      <c r="AF266" s="355">
        <v>2210</v>
      </c>
      <c r="AG266" s="356">
        <v>15</v>
      </c>
      <c r="AH266" s="356">
        <v>15</v>
      </c>
    </row>
    <row r="267" spans="1:34">
      <c r="A267" s="392"/>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8"/>
      <c r="U267" s="358"/>
      <c r="V267" s="358"/>
      <c r="W267" s="380"/>
      <c r="X267" s="358"/>
      <c r="Y267" s="358"/>
      <c r="Z267" s="360"/>
      <c r="AA267" s="124"/>
      <c r="AB267" s="125"/>
    </row>
    <row r="268" spans="1:34" ht="32.25" thickBot="1">
      <c r="A268" s="393"/>
      <c r="B268" s="256" t="s">
        <v>221</v>
      </c>
      <c r="C268" s="358">
        <f t="shared" ref="C268:H268" si="86">IF(((C266="")*AND(C267="")),"",(C266-C267)*2)</f>
        <v>1854.4600000000009</v>
      </c>
      <c r="D268" s="358">
        <f t="shared" si="86"/>
        <v>1857.119999999999</v>
      </c>
      <c r="E268" s="358">
        <f t="shared" si="86"/>
        <v>1867.1200000000008</v>
      </c>
      <c r="F268" s="358">
        <f t="shared" si="86"/>
        <v>1842.1400000000012</v>
      </c>
      <c r="G268" s="358">
        <f t="shared" si="86"/>
        <v>1872.1599999999999</v>
      </c>
      <c r="H268" s="358">
        <f t="shared" si="86"/>
        <v>1908.8400000000001</v>
      </c>
      <c r="I268" s="358">
        <f>IF(((I266="")*AND(I267="")),"",(I266-I267)*2)</f>
        <v>1922.3400000000001</v>
      </c>
      <c r="J268" s="358">
        <f>IF(((J266="")*AND(J267="")),"",(J266-J267)*2)</f>
        <v>1970.7800000000007</v>
      </c>
      <c r="K268" s="358">
        <f>IF(((K266="")*AND(K267="")),"",(K266-K267)*2)</f>
        <v>1952.2799999999988</v>
      </c>
      <c r="L268" s="358">
        <f>IF(((L266="")*AND(L267="")),"",(L266-L267)*2)</f>
        <v>1918.1800000000003</v>
      </c>
      <c r="M268" s="358">
        <f t="shared" ref="M268:S268" si="87">IF(((M266="")*AND(M267="")),"",(M266-M267)*2)</f>
        <v>1918.6000000000004</v>
      </c>
      <c r="N268" s="358">
        <f t="shared" si="87"/>
        <v>1908.4600000000009</v>
      </c>
      <c r="O268" s="358">
        <f t="shared" si="87"/>
        <v>1871.7199999999993</v>
      </c>
      <c r="P268" s="358">
        <f t="shared" si="87"/>
        <v>1886.4599999999991</v>
      </c>
      <c r="Q268" s="358">
        <f t="shared" si="87"/>
        <v>1905.6599999999999</v>
      </c>
      <c r="R268" s="358">
        <f t="shared" si="87"/>
        <v>1897.8600000000006</v>
      </c>
      <c r="S268" s="358">
        <f t="shared" si="87"/>
        <v>1899.1599999999999</v>
      </c>
      <c r="T268" s="358"/>
      <c r="U268" s="358"/>
      <c r="V268" s="358"/>
      <c r="W268" s="387"/>
      <c r="X268" s="358"/>
      <c r="Y268" s="358"/>
      <c r="Z268" s="360"/>
      <c r="AA268" s="124"/>
      <c r="AB268" s="125"/>
    </row>
    <row r="269" spans="1:34">
      <c r="A269" s="261">
        <v>43522</v>
      </c>
      <c r="B269" s="248" t="s">
        <v>77</v>
      </c>
      <c r="C269" s="302">
        <v>5477</v>
      </c>
      <c r="D269" s="303">
        <v>5436</v>
      </c>
      <c r="E269" s="303">
        <v>5413</v>
      </c>
      <c r="F269" s="303">
        <v>5410</v>
      </c>
      <c r="G269" s="303">
        <v>5408</v>
      </c>
      <c r="H269" s="303">
        <v>5410</v>
      </c>
      <c r="I269" s="303">
        <v>5429</v>
      </c>
      <c r="J269" s="303">
        <v>5446</v>
      </c>
      <c r="K269" s="303">
        <v>5490</v>
      </c>
      <c r="L269" s="303">
        <v>5447</v>
      </c>
      <c r="M269" s="303">
        <v>5429</v>
      </c>
      <c r="N269" s="303">
        <v>5419</v>
      </c>
      <c r="O269" s="303">
        <v>5409</v>
      </c>
      <c r="P269" s="303">
        <v>5406</v>
      </c>
      <c r="Q269" s="303">
        <v>5425</v>
      </c>
      <c r="R269" s="303">
        <v>5425</v>
      </c>
      <c r="S269" s="386">
        <v>5462</v>
      </c>
      <c r="T269" s="248">
        <f>IF((S270=""),"",MAX(C271:S271))</f>
        <v>2212</v>
      </c>
      <c r="U269" s="248">
        <f>IF(S270="","",MIN(C271:S271))</f>
        <v>2034</v>
      </c>
      <c r="V269" s="248">
        <f>IF((S271=""),"",AVERAGE(C271:S271))</f>
        <v>2124.9411764705883</v>
      </c>
      <c r="W269" s="380">
        <f>STDEV(C271:S271)</f>
        <v>46.744612775480675</v>
      </c>
      <c r="X269" s="248">
        <f>IF((S270=""),"",((T269-U269)/(T269+U269))*100)</f>
        <v>4.1921808761186998</v>
      </c>
      <c r="Y269" s="250" t="str">
        <f>IF(S270="","",IF(X269&lt;15,IF(V269&gt;1680,IF(V269&lt;2200,"Pass","Fail"),"Fail"),"Fail"))</f>
        <v>Pass</v>
      </c>
      <c r="Z269" s="394" t="s">
        <v>98</v>
      </c>
      <c r="AA269" s="124" t="s">
        <v>151</v>
      </c>
      <c r="AC269" s="316">
        <v>1600</v>
      </c>
      <c r="AD269" s="316">
        <v>2600</v>
      </c>
      <c r="AE269" s="355">
        <v>1690</v>
      </c>
      <c r="AF269" s="355">
        <v>2210</v>
      </c>
      <c r="AG269" s="356">
        <v>15</v>
      </c>
      <c r="AH269" s="356">
        <v>15</v>
      </c>
    </row>
    <row r="270" spans="1:34">
      <c r="A270" s="392"/>
      <c r="B270" s="248" t="s">
        <v>78</v>
      </c>
      <c r="C270" s="302">
        <v>4460</v>
      </c>
      <c r="D270" s="303">
        <v>4401</v>
      </c>
      <c r="E270" s="303">
        <v>4378</v>
      </c>
      <c r="F270" s="303">
        <v>4365</v>
      </c>
      <c r="G270" s="303">
        <v>4354</v>
      </c>
      <c r="H270" s="303">
        <v>4344</v>
      </c>
      <c r="I270" s="303">
        <v>4335</v>
      </c>
      <c r="J270" s="303">
        <v>4340</v>
      </c>
      <c r="K270" s="303">
        <v>4413</v>
      </c>
      <c r="L270" s="303">
        <v>4390</v>
      </c>
      <c r="M270" s="303">
        <v>4343</v>
      </c>
      <c r="N270" s="303">
        <v>4345</v>
      </c>
      <c r="O270" s="303">
        <v>4350</v>
      </c>
      <c r="P270" s="303">
        <v>4351</v>
      </c>
      <c r="Q270" s="303">
        <v>4345</v>
      </c>
      <c r="R270" s="303">
        <v>4347</v>
      </c>
      <c r="S270" s="386">
        <v>4418</v>
      </c>
      <c r="T270" s="358"/>
      <c r="U270" s="358"/>
      <c r="V270" s="358"/>
      <c r="W270" s="380"/>
      <c r="X270" s="358"/>
      <c r="Y270" s="358"/>
      <c r="Z270" s="360"/>
      <c r="AA270" s="124"/>
      <c r="AB270" s="125"/>
    </row>
    <row r="271" spans="1:34" ht="32.25" thickBot="1">
      <c r="A271" s="393"/>
      <c r="B271" s="256" t="s">
        <v>221</v>
      </c>
      <c r="C271" s="358">
        <f t="shared" ref="C271:H271" si="88">IF(((C269="")*AND(C270="")),"",(C269-C270)*2)</f>
        <v>2034</v>
      </c>
      <c r="D271" s="358">
        <f t="shared" si="88"/>
        <v>2070</v>
      </c>
      <c r="E271" s="358">
        <f t="shared" si="88"/>
        <v>2070</v>
      </c>
      <c r="F271" s="358">
        <f t="shared" si="88"/>
        <v>2090</v>
      </c>
      <c r="G271" s="358">
        <f t="shared" si="88"/>
        <v>2108</v>
      </c>
      <c r="H271" s="358">
        <f t="shared" si="88"/>
        <v>2132</v>
      </c>
      <c r="I271" s="358">
        <f>IF(((I269="")*AND(I270="")),"",(I269-I270)*2)</f>
        <v>2188</v>
      </c>
      <c r="J271" s="358">
        <f>IF(((J269="")*AND(J270="")),"",(J269-J270)*2)</f>
        <v>2212</v>
      </c>
      <c r="K271" s="358">
        <f>IF(((K269="")*AND(K270="")),"",(K269-K270)*2)</f>
        <v>2154</v>
      </c>
      <c r="L271" s="358">
        <f>IF(((L269="")*AND(L270="")),"",(L269-L270)*2)</f>
        <v>2114</v>
      </c>
      <c r="M271" s="358">
        <f t="shared" ref="M271:S271" si="89">IF(((M269="")*AND(M270="")),"",(M269-M270)*2)</f>
        <v>2172</v>
      </c>
      <c r="N271" s="358">
        <f t="shared" si="89"/>
        <v>2148</v>
      </c>
      <c r="O271" s="358">
        <f t="shared" si="89"/>
        <v>2118</v>
      </c>
      <c r="P271" s="358">
        <f t="shared" si="89"/>
        <v>2110</v>
      </c>
      <c r="Q271" s="358">
        <f t="shared" si="89"/>
        <v>2160</v>
      </c>
      <c r="R271" s="358">
        <f t="shared" si="89"/>
        <v>2156</v>
      </c>
      <c r="S271" s="358">
        <f t="shared" si="89"/>
        <v>2088</v>
      </c>
      <c r="T271" s="358"/>
      <c r="U271" s="358"/>
      <c r="V271" s="358"/>
      <c r="W271" s="387"/>
      <c r="X271" s="358"/>
      <c r="Y271" s="358"/>
      <c r="Z271" s="360"/>
      <c r="AA271" s="124"/>
      <c r="AB271" s="125"/>
    </row>
    <row r="272" spans="1:34">
      <c r="A272" s="261">
        <v>43528</v>
      </c>
      <c r="B272" s="248" t="s">
        <v>77</v>
      </c>
      <c r="C272" s="302">
        <v>5455</v>
      </c>
      <c r="D272" s="303">
        <v>5408</v>
      </c>
      <c r="E272" s="303">
        <v>5381</v>
      </c>
      <c r="F272" s="303">
        <v>5374</v>
      </c>
      <c r="G272" s="303">
        <v>5373</v>
      </c>
      <c r="H272" s="303">
        <v>5387</v>
      </c>
      <c r="I272" s="303">
        <v>5409</v>
      </c>
      <c r="J272" s="303">
        <v>5443</v>
      </c>
      <c r="K272" s="303">
        <v>5495</v>
      </c>
      <c r="L272" s="303">
        <v>5447</v>
      </c>
      <c r="M272" s="303">
        <v>5416</v>
      </c>
      <c r="N272" s="303">
        <v>5391</v>
      </c>
      <c r="O272" s="303">
        <v>5376</v>
      </c>
      <c r="P272" s="303">
        <v>5373</v>
      </c>
      <c r="Q272" s="303">
        <v>5381</v>
      </c>
      <c r="R272" s="303">
        <v>5402</v>
      </c>
      <c r="S272" s="386">
        <v>5451</v>
      </c>
      <c r="T272" s="248">
        <f>IF((S273=""),"",MAX(C274:S274))</f>
        <v>2158</v>
      </c>
      <c r="U272" s="248">
        <f>IF(S273="","",MIN(C274:S274))</f>
        <v>2018</v>
      </c>
      <c r="V272" s="248">
        <f>IF((S274=""),"",AVERAGE(C274:S274))</f>
        <v>2086.3529411764707</v>
      </c>
      <c r="W272" s="380">
        <f>STDEV(C274:S274)</f>
        <v>35.729786552108898</v>
      </c>
      <c r="X272" s="248">
        <f>IF((S273=""),"",((T272-U272)/(T272+U272))*100)</f>
        <v>3.3524904214559386</v>
      </c>
      <c r="Y272" s="250" t="str">
        <f>IF(S273="","",IF(X272&lt;15,IF(V272&gt;1680,IF(V272&lt;2200,"Pass","Fail"),"Fail"),"Fail"))</f>
        <v>Pass</v>
      </c>
      <c r="Z272" s="394">
        <v>1159</v>
      </c>
      <c r="AA272" s="124" t="s">
        <v>152</v>
      </c>
      <c r="AC272" s="316">
        <v>1600</v>
      </c>
      <c r="AD272" s="316">
        <v>2600</v>
      </c>
      <c r="AE272" s="355">
        <v>1690</v>
      </c>
      <c r="AF272" s="355">
        <v>2210</v>
      </c>
      <c r="AG272" s="356">
        <v>15</v>
      </c>
      <c r="AH272" s="356">
        <v>15</v>
      </c>
    </row>
    <row r="273" spans="1:36">
      <c r="A273" s="392"/>
      <c r="B273" s="248" t="s">
        <v>78</v>
      </c>
      <c r="C273" s="302">
        <v>4446</v>
      </c>
      <c r="D273" s="303">
        <v>4380</v>
      </c>
      <c r="E273" s="303">
        <v>4356</v>
      </c>
      <c r="F273" s="303">
        <v>4343</v>
      </c>
      <c r="G273" s="303">
        <v>4339</v>
      </c>
      <c r="H273" s="303">
        <v>4338</v>
      </c>
      <c r="I273" s="303">
        <v>4343</v>
      </c>
      <c r="J273" s="303">
        <v>4364</v>
      </c>
      <c r="K273" s="303">
        <v>4453</v>
      </c>
      <c r="L273" s="303">
        <v>4405</v>
      </c>
      <c r="M273" s="303">
        <v>4346</v>
      </c>
      <c r="N273" s="303">
        <v>4336</v>
      </c>
      <c r="O273" s="303">
        <v>4333</v>
      </c>
      <c r="P273" s="303">
        <v>4334</v>
      </c>
      <c r="Q273" s="303">
        <v>4337</v>
      </c>
      <c r="R273" s="303">
        <v>4349</v>
      </c>
      <c r="S273" s="386">
        <v>4426</v>
      </c>
      <c r="T273" s="358"/>
      <c r="U273" s="358"/>
      <c r="V273" s="358"/>
      <c r="W273" s="380"/>
      <c r="X273" s="358"/>
      <c r="Y273" s="358"/>
      <c r="Z273" s="360"/>
      <c r="AA273" s="124"/>
      <c r="AB273" s="125"/>
    </row>
    <row r="274" spans="1:36" ht="32.25" thickBot="1">
      <c r="A274" s="393"/>
      <c r="B274" s="256" t="s">
        <v>221</v>
      </c>
      <c r="C274" s="358">
        <f t="shared" ref="C274:H274" si="90">IF(((C272="")*AND(C273="")),"",(C272-C273)*2)</f>
        <v>2018</v>
      </c>
      <c r="D274" s="358">
        <f t="shared" si="90"/>
        <v>2056</v>
      </c>
      <c r="E274" s="358">
        <f t="shared" si="90"/>
        <v>2050</v>
      </c>
      <c r="F274" s="358">
        <f t="shared" si="90"/>
        <v>2062</v>
      </c>
      <c r="G274" s="358">
        <f t="shared" si="90"/>
        <v>2068</v>
      </c>
      <c r="H274" s="358">
        <f t="shared" si="90"/>
        <v>2098</v>
      </c>
      <c r="I274" s="358">
        <f>IF(((I272="")*AND(I273="")),"",(I272-I273)*2)</f>
        <v>2132</v>
      </c>
      <c r="J274" s="358">
        <f>IF(((J272="")*AND(J273="")),"",(J272-J273)*2)</f>
        <v>2158</v>
      </c>
      <c r="K274" s="358">
        <f>IF(((K272="")*AND(K273="")),"",(K272-K273)*2)</f>
        <v>2084</v>
      </c>
      <c r="L274" s="358">
        <f>IF(((L272="")*AND(L273="")),"",(L272-L273)*2)</f>
        <v>2084</v>
      </c>
      <c r="M274" s="358">
        <f t="shared" ref="M274:S274" si="91">IF(((M272="")*AND(M273="")),"",(M272-M273)*2)</f>
        <v>2140</v>
      </c>
      <c r="N274" s="358">
        <f t="shared" si="91"/>
        <v>2110</v>
      </c>
      <c r="O274" s="358">
        <f t="shared" si="91"/>
        <v>2086</v>
      </c>
      <c r="P274" s="358">
        <f t="shared" si="91"/>
        <v>2078</v>
      </c>
      <c r="Q274" s="358">
        <f t="shared" si="91"/>
        <v>2088</v>
      </c>
      <c r="R274" s="358">
        <f t="shared" si="91"/>
        <v>2106</v>
      </c>
      <c r="S274" s="358">
        <f t="shared" si="91"/>
        <v>2050</v>
      </c>
      <c r="T274" s="358"/>
      <c r="U274" s="358"/>
      <c r="V274" s="358"/>
      <c r="W274" s="387"/>
      <c r="X274" s="358"/>
      <c r="Y274" s="358"/>
      <c r="Z274" s="360"/>
      <c r="AA274" s="124"/>
      <c r="AB274" s="125"/>
    </row>
    <row r="275" spans="1:36">
      <c r="A275" s="261">
        <v>43544</v>
      </c>
      <c r="B275" s="248" t="s">
        <v>77</v>
      </c>
      <c r="C275" s="302">
        <v>5497</v>
      </c>
      <c r="D275" s="303">
        <v>5447</v>
      </c>
      <c r="E275" s="303">
        <v>5428</v>
      </c>
      <c r="F275" s="303">
        <v>5421</v>
      </c>
      <c r="G275" s="303">
        <v>5422</v>
      </c>
      <c r="H275" s="303">
        <v>5435</v>
      </c>
      <c r="I275" s="303">
        <v>5450</v>
      </c>
      <c r="J275" s="303">
        <v>5473</v>
      </c>
      <c r="K275" s="303">
        <v>5514</v>
      </c>
      <c r="L275" s="303">
        <v>5437</v>
      </c>
      <c r="M275" s="303">
        <v>5437</v>
      </c>
      <c r="N275" s="303">
        <v>5429</v>
      </c>
      <c r="O275" s="303">
        <v>5423</v>
      </c>
      <c r="P275" s="303">
        <v>5426</v>
      </c>
      <c r="Q275" s="303">
        <v>5431</v>
      </c>
      <c r="R275" s="303">
        <v>5436</v>
      </c>
      <c r="S275" s="386">
        <v>5452</v>
      </c>
      <c r="T275" s="248">
        <f>IF((S276=""),"",MAX(C277:S277))</f>
        <v>2174.2199999999993</v>
      </c>
      <c r="U275" s="248">
        <f>IF(S276="","",MIN(C277:S277))</f>
        <v>2044.8600000000006</v>
      </c>
      <c r="V275" s="248">
        <f>IF((S277=""),"",AVERAGE(C277:S277))</f>
        <v>2118.8294117647056</v>
      </c>
      <c r="W275" s="380">
        <f>STDEV(C277:S277)</f>
        <v>35.531605731831839</v>
      </c>
      <c r="X275" s="248">
        <f>IF((S276=""),"",((T275-U275)/(T275+U275))*100)</f>
        <v>3.0660712762023654</v>
      </c>
      <c r="Y275" s="250" t="str">
        <f>IF(S276="","",IF(X275&lt;15,IF(V275&gt;1680,IF(V275&lt;2200,"Pass","Fail"),"Fail"),"Fail"))</f>
        <v>Pass</v>
      </c>
      <c r="Z275" s="394" t="s">
        <v>162</v>
      </c>
      <c r="AA275" s="125"/>
      <c r="AB275" s="344" t="s">
        <v>153</v>
      </c>
      <c r="AC275" s="316">
        <v>1600</v>
      </c>
      <c r="AD275" s="316">
        <v>2600</v>
      </c>
      <c r="AE275" s="355">
        <v>1690</v>
      </c>
      <c r="AF275" s="355">
        <v>2210</v>
      </c>
      <c r="AG275" s="356">
        <v>15</v>
      </c>
      <c r="AH275" s="356">
        <v>15</v>
      </c>
    </row>
    <row r="276" spans="1:36">
      <c r="A276" s="392"/>
      <c r="B276" s="248" t="s">
        <v>78</v>
      </c>
      <c r="C276" s="302">
        <v>4463.33</v>
      </c>
      <c r="D276" s="303">
        <v>4397.1499999999996</v>
      </c>
      <c r="E276" s="303">
        <v>4370.92</v>
      </c>
      <c r="F276" s="303">
        <v>4362.21</v>
      </c>
      <c r="G276" s="303">
        <v>4358.63</v>
      </c>
      <c r="H276" s="303">
        <v>4347.8900000000003</v>
      </c>
      <c r="I276" s="303">
        <v>4398.8999999999996</v>
      </c>
      <c r="J276" s="303">
        <v>4395.1899999999996</v>
      </c>
      <c r="K276" s="303">
        <v>4491.57</v>
      </c>
      <c r="L276" s="303">
        <v>4370.12</v>
      </c>
      <c r="M276" s="303">
        <v>4392.38</v>
      </c>
      <c r="N276" s="303">
        <v>4390.29</v>
      </c>
      <c r="O276" s="303">
        <v>4347.83</v>
      </c>
      <c r="P276" s="303">
        <v>4354.8100000000004</v>
      </c>
      <c r="Q276" s="303">
        <v>4354.49</v>
      </c>
      <c r="R276" s="303">
        <v>4357.97</v>
      </c>
      <c r="S276" s="386">
        <v>4394.2700000000004</v>
      </c>
      <c r="T276" s="358"/>
      <c r="U276" s="358"/>
      <c r="V276" s="358"/>
      <c r="W276" s="380"/>
      <c r="X276" s="358"/>
      <c r="Y276" s="358"/>
      <c r="Z276" s="360"/>
      <c r="AA276" s="124"/>
      <c r="AB276" s="125"/>
    </row>
    <row r="277" spans="1:36" ht="32.25" thickBot="1">
      <c r="A277" s="393"/>
      <c r="B277" s="256" t="s">
        <v>221</v>
      </c>
      <c r="C277" s="358">
        <f t="shared" ref="C277:S277" si="92">IF(((C275="")*AND(C276="")),"",(C275-C276)*2)</f>
        <v>2067.34</v>
      </c>
      <c r="D277" s="358">
        <f t="shared" si="92"/>
        <v>2099.7000000000007</v>
      </c>
      <c r="E277" s="358">
        <f t="shared" si="92"/>
        <v>2114.16</v>
      </c>
      <c r="F277" s="358">
        <f t="shared" si="92"/>
        <v>2117.58</v>
      </c>
      <c r="G277" s="358">
        <f t="shared" si="92"/>
        <v>2126.7399999999998</v>
      </c>
      <c r="H277" s="358">
        <f t="shared" si="92"/>
        <v>2174.2199999999993</v>
      </c>
      <c r="I277" s="358">
        <f t="shared" si="92"/>
        <v>2102.2000000000007</v>
      </c>
      <c r="J277" s="358">
        <f t="shared" si="92"/>
        <v>2155.6200000000008</v>
      </c>
      <c r="K277" s="358">
        <f t="shared" si="92"/>
        <v>2044.8600000000006</v>
      </c>
      <c r="L277" s="358">
        <f t="shared" si="92"/>
        <v>2133.7600000000002</v>
      </c>
      <c r="M277" s="358">
        <f t="shared" si="92"/>
        <v>2089.2399999999998</v>
      </c>
      <c r="N277" s="358">
        <f t="shared" si="92"/>
        <v>2077.42</v>
      </c>
      <c r="O277" s="358">
        <f t="shared" si="92"/>
        <v>2150.34</v>
      </c>
      <c r="P277" s="358">
        <f t="shared" si="92"/>
        <v>2142.3799999999992</v>
      </c>
      <c r="Q277" s="358">
        <f t="shared" si="92"/>
        <v>2153.0200000000004</v>
      </c>
      <c r="R277" s="358">
        <f t="shared" si="92"/>
        <v>2156.0599999999995</v>
      </c>
      <c r="S277" s="358">
        <f t="shared" si="92"/>
        <v>2115.4599999999991</v>
      </c>
      <c r="T277" s="358"/>
      <c r="U277" s="358"/>
      <c r="V277" s="358"/>
      <c r="W277" s="387"/>
      <c r="X277" s="358"/>
      <c r="Y277" s="358"/>
      <c r="Z277" s="360"/>
      <c r="AA277" s="124"/>
      <c r="AB277" s="125"/>
    </row>
    <row r="278" spans="1:36">
      <c r="A278" s="261">
        <v>43546</v>
      </c>
      <c r="B278" s="248" t="s">
        <v>77</v>
      </c>
      <c r="C278" s="395">
        <v>5345</v>
      </c>
      <c r="D278" s="396">
        <v>5314</v>
      </c>
      <c r="E278" s="396">
        <v>5296</v>
      </c>
      <c r="F278" s="396">
        <v>5293</v>
      </c>
      <c r="G278" s="396">
        <v>5291</v>
      </c>
      <c r="H278" s="396">
        <v>5293</v>
      </c>
      <c r="I278" s="396">
        <v>5297</v>
      </c>
      <c r="J278" s="396">
        <v>5309</v>
      </c>
      <c r="K278" s="396">
        <v>5345</v>
      </c>
      <c r="L278" s="396">
        <v>5346</v>
      </c>
      <c r="M278" s="396">
        <v>5317</v>
      </c>
      <c r="N278" s="396">
        <v>5298</v>
      </c>
      <c r="O278" s="396">
        <v>5293</v>
      </c>
      <c r="P278" s="396">
        <v>5291</v>
      </c>
      <c r="Q278" s="396">
        <v>5296</v>
      </c>
      <c r="R278" s="396">
        <v>5306</v>
      </c>
      <c r="S278" s="396">
        <v>5340</v>
      </c>
      <c r="T278" s="248">
        <f>IF((S279=""),"",MAX(C280:S280))</f>
        <v>2226</v>
      </c>
      <c r="U278" s="248">
        <f>IF(S279="","",MIN(C280:S280))</f>
        <v>2016</v>
      </c>
      <c r="V278" s="248">
        <f>IF((S280=""),"",AVERAGE(C280:S280))</f>
        <v>2146.5882352941176</v>
      </c>
      <c r="W278" s="380">
        <f>STDEV(C280:S280)</f>
        <v>54.501214233636468</v>
      </c>
      <c r="X278" s="248">
        <f>IF((S279=""),"",((T278-U278)/(T278+U278))*100)</f>
        <v>4.9504950495049505</v>
      </c>
      <c r="Y278" s="250" t="str">
        <f>IF(S279="","",IF(X278&lt;15,IF(V278&gt;1680,IF(V278&lt;2200,"Pass","Fail"),"Fail"),"Fail"))</f>
        <v>Pass</v>
      </c>
      <c r="Z278" s="394">
        <v>1340</v>
      </c>
      <c r="AA278" s="268"/>
      <c r="AC278" s="316">
        <v>1600</v>
      </c>
      <c r="AD278" s="316">
        <v>2600</v>
      </c>
      <c r="AE278" s="355">
        <v>1690</v>
      </c>
      <c r="AF278" s="355">
        <v>2210</v>
      </c>
      <c r="AG278" s="356">
        <v>15</v>
      </c>
      <c r="AH278" s="356">
        <v>15</v>
      </c>
    </row>
    <row r="279" spans="1:36">
      <c r="A279" s="392"/>
      <c r="B279" s="248" t="s">
        <v>78</v>
      </c>
      <c r="C279" s="395">
        <v>4320</v>
      </c>
      <c r="D279" s="396">
        <v>4257</v>
      </c>
      <c r="E279" s="396">
        <v>4236</v>
      </c>
      <c r="F279" s="396">
        <v>4227</v>
      </c>
      <c r="G279" s="396">
        <v>4221</v>
      </c>
      <c r="H279" s="396">
        <v>4202</v>
      </c>
      <c r="I279" s="396">
        <v>4189</v>
      </c>
      <c r="J279" s="396">
        <v>4196</v>
      </c>
      <c r="K279" s="396">
        <v>4271</v>
      </c>
      <c r="L279" s="396">
        <v>4269</v>
      </c>
      <c r="M279" s="396">
        <v>4309</v>
      </c>
      <c r="N279" s="396">
        <v>4200</v>
      </c>
      <c r="O279" s="396">
        <v>4205</v>
      </c>
      <c r="P279" s="396">
        <v>4208</v>
      </c>
      <c r="Q279" s="396">
        <v>4208</v>
      </c>
      <c r="R279" s="396">
        <v>4220</v>
      </c>
      <c r="S279" s="396">
        <v>4286</v>
      </c>
      <c r="T279" s="358"/>
      <c r="U279" s="358"/>
      <c r="V279" s="358"/>
      <c r="W279" s="380"/>
      <c r="X279" s="358"/>
      <c r="Y279" s="358"/>
      <c r="Z279" s="360"/>
      <c r="AA279" s="124"/>
      <c r="AB279" s="125"/>
    </row>
    <row r="280" spans="1:36" ht="32.25" thickBot="1">
      <c r="A280" s="393"/>
      <c r="B280" s="256" t="s">
        <v>221</v>
      </c>
      <c r="C280" s="358">
        <f t="shared" ref="C280:S280" si="93">IF(((C278="")*AND(C279="")),"",(C278-C279)*2)</f>
        <v>2050</v>
      </c>
      <c r="D280" s="358">
        <f t="shared" si="93"/>
        <v>2114</v>
      </c>
      <c r="E280" s="358">
        <f t="shared" si="93"/>
        <v>2120</v>
      </c>
      <c r="F280" s="358">
        <f t="shared" si="93"/>
        <v>2132</v>
      </c>
      <c r="G280" s="358">
        <f t="shared" si="93"/>
        <v>2140</v>
      </c>
      <c r="H280" s="358">
        <f t="shared" si="93"/>
        <v>2182</v>
      </c>
      <c r="I280" s="358">
        <f t="shared" si="93"/>
        <v>2216</v>
      </c>
      <c r="J280" s="358">
        <f t="shared" si="93"/>
        <v>2226</v>
      </c>
      <c r="K280" s="358">
        <f t="shared" si="93"/>
        <v>2148</v>
      </c>
      <c r="L280" s="358">
        <f t="shared" si="93"/>
        <v>2154</v>
      </c>
      <c r="M280" s="358">
        <f t="shared" si="93"/>
        <v>2016</v>
      </c>
      <c r="N280" s="358">
        <f t="shared" si="93"/>
        <v>2196</v>
      </c>
      <c r="O280" s="358">
        <f t="shared" si="93"/>
        <v>2176</v>
      </c>
      <c r="P280" s="358">
        <f t="shared" si="93"/>
        <v>2166</v>
      </c>
      <c r="Q280" s="358">
        <f t="shared" si="93"/>
        <v>2176</v>
      </c>
      <c r="R280" s="358">
        <f t="shared" si="93"/>
        <v>2172</v>
      </c>
      <c r="S280" s="358">
        <f t="shared" si="93"/>
        <v>2108</v>
      </c>
      <c r="T280" s="358"/>
      <c r="U280" s="358"/>
      <c r="V280" s="358"/>
      <c r="W280" s="387"/>
      <c r="X280" s="358"/>
      <c r="Y280" s="358"/>
      <c r="Z280" s="360"/>
      <c r="AA280" s="124"/>
      <c r="AB280" s="125"/>
    </row>
    <row r="281" spans="1:36">
      <c r="A281" s="261">
        <v>43549</v>
      </c>
      <c r="B281" s="248" t="s">
        <v>77</v>
      </c>
      <c r="C281" s="302">
        <v>5329</v>
      </c>
      <c r="D281" s="303">
        <v>5248</v>
      </c>
      <c r="E281" s="303">
        <v>5194</v>
      </c>
      <c r="F281" s="303">
        <v>5168</v>
      </c>
      <c r="G281" s="303">
        <v>5165</v>
      </c>
      <c r="H281" s="303">
        <v>5182</v>
      </c>
      <c r="I281" s="303">
        <v>5225</v>
      </c>
      <c r="J281" s="303">
        <v>5284</v>
      </c>
      <c r="K281" s="303">
        <v>5370</v>
      </c>
      <c r="L281" s="303">
        <v>5261</v>
      </c>
      <c r="M281" s="303">
        <v>5241</v>
      </c>
      <c r="N281" s="303">
        <v>5205</v>
      </c>
      <c r="O281" s="303">
        <v>5173</v>
      </c>
      <c r="P281" s="303">
        <v>5173</v>
      </c>
      <c r="Q281" s="303">
        <v>5194</v>
      </c>
      <c r="R281" s="303">
        <v>5229</v>
      </c>
      <c r="S281" s="386">
        <v>5298</v>
      </c>
      <c r="T281" s="248">
        <f>IF((S282=""),"",MAX(C283:S283))</f>
        <v>2250</v>
      </c>
      <c r="U281" s="248">
        <f>IF(S282="","",MIN(C283:S283))</f>
        <v>2066</v>
      </c>
      <c r="V281" s="248">
        <f>IF((S283=""),"",AVERAGE(C283:S283))</f>
        <v>2184.5882352941176</v>
      </c>
      <c r="W281" s="380">
        <f>STDEV(C283:S283)</f>
        <v>43.656412506534913</v>
      </c>
      <c r="X281" s="248">
        <f>IF((S282=""),"",((T281-U281)/(T281+U281))*100)</f>
        <v>4.2632066728452278</v>
      </c>
      <c r="Y281" s="250" t="str">
        <f>IF(S282="","",IF(X281&lt;15,IF(V281&gt;1680,IF(V281&lt;2200,"Pass","Fail"),"Fail"),"Fail"))</f>
        <v>Pass</v>
      </c>
      <c r="Z281" s="394">
        <v>1159</v>
      </c>
      <c r="AA281" s="397" t="s">
        <v>163</v>
      </c>
      <c r="AC281" s="316">
        <v>1600</v>
      </c>
      <c r="AD281" s="316">
        <v>2600</v>
      </c>
      <c r="AE281" s="355">
        <v>1690</v>
      </c>
      <c r="AF281" s="355">
        <v>2210</v>
      </c>
      <c r="AG281" s="356">
        <v>15</v>
      </c>
      <c r="AH281" s="356">
        <v>15</v>
      </c>
    </row>
    <row r="282" spans="1:36">
      <c r="A282" s="392"/>
      <c r="B282" s="248" t="s">
        <v>78</v>
      </c>
      <c r="C282" s="302">
        <v>4296</v>
      </c>
      <c r="D282" s="303">
        <v>4178</v>
      </c>
      <c r="E282" s="303">
        <v>4121</v>
      </c>
      <c r="F282" s="303">
        <v>4084</v>
      </c>
      <c r="G282" s="303">
        <v>4075</v>
      </c>
      <c r="H282" s="303">
        <v>4080</v>
      </c>
      <c r="I282" s="303">
        <v>4107</v>
      </c>
      <c r="J282" s="303">
        <v>4159</v>
      </c>
      <c r="K282" s="303">
        <v>4284</v>
      </c>
      <c r="L282" s="303">
        <v>4171</v>
      </c>
      <c r="M282" s="303">
        <v>4127</v>
      </c>
      <c r="N282" s="303">
        <v>4091</v>
      </c>
      <c r="O282" s="303">
        <v>4077</v>
      </c>
      <c r="P282" s="303">
        <v>4077</v>
      </c>
      <c r="Q282" s="303">
        <v>4093</v>
      </c>
      <c r="R282" s="303">
        <v>4130</v>
      </c>
      <c r="S282" s="386">
        <v>4220</v>
      </c>
      <c r="T282" s="358"/>
      <c r="U282" s="358"/>
      <c r="V282" s="358"/>
      <c r="W282" s="380"/>
      <c r="X282" s="358"/>
      <c r="Y282" s="358"/>
      <c r="Z282" s="360"/>
      <c r="AA282" s="124"/>
      <c r="AB282" s="125"/>
      <c r="AC282" s="124"/>
      <c r="AD282" s="124"/>
      <c r="AG282" s="316"/>
      <c r="AH282" s="316"/>
      <c r="AI282" s="124"/>
      <c r="AJ282" s="124"/>
    </row>
    <row r="283" spans="1:36" ht="32.25" thickBot="1">
      <c r="A283" s="393"/>
      <c r="B283" s="256" t="s">
        <v>221</v>
      </c>
      <c r="C283" s="358">
        <f t="shared" ref="C283:H283" si="94">IF(((C281="")*AND(C282="")),"",(C281-C282)*2)</f>
        <v>2066</v>
      </c>
      <c r="D283" s="358">
        <f t="shared" si="94"/>
        <v>2140</v>
      </c>
      <c r="E283" s="358">
        <f t="shared" si="94"/>
        <v>2146</v>
      </c>
      <c r="F283" s="358">
        <f t="shared" si="94"/>
        <v>2168</v>
      </c>
      <c r="G283" s="358">
        <f t="shared" si="94"/>
        <v>2180</v>
      </c>
      <c r="H283" s="358">
        <f t="shared" si="94"/>
        <v>2204</v>
      </c>
      <c r="I283" s="358">
        <f>IF(((I281="")*AND(I282="")),"",(I281-I282)*2)</f>
        <v>2236</v>
      </c>
      <c r="J283" s="358">
        <f>IF(((J281="")*AND(J282="")),"",(J281-J282)*2)</f>
        <v>2250</v>
      </c>
      <c r="K283" s="358">
        <f>IF(((K281="")*AND(K282="")),"",(K281-K282)*2)</f>
        <v>2172</v>
      </c>
      <c r="L283" s="358">
        <f>IF(((L281="")*AND(L282="")),"",(L281-L282)*2)</f>
        <v>2180</v>
      </c>
      <c r="M283" s="358">
        <f t="shared" ref="M283:S283" si="95">IF(((M281="")*AND(M282="")),"",(M281-M282)*2)</f>
        <v>2228</v>
      </c>
      <c r="N283" s="358">
        <f t="shared" si="95"/>
        <v>2228</v>
      </c>
      <c r="O283" s="358">
        <f t="shared" si="95"/>
        <v>2192</v>
      </c>
      <c r="P283" s="358">
        <f t="shared" si="95"/>
        <v>2192</v>
      </c>
      <c r="Q283" s="358">
        <f t="shared" si="95"/>
        <v>2202</v>
      </c>
      <c r="R283" s="358">
        <f t="shared" si="95"/>
        <v>2198</v>
      </c>
      <c r="S283" s="358">
        <f t="shared" si="95"/>
        <v>2156</v>
      </c>
      <c r="T283" s="358"/>
      <c r="U283" s="358"/>
      <c r="V283" s="358"/>
      <c r="W283" s="387"/>
      <c r="X283" s="358"/>
      <c r="Y283" s="358"/>
      <c r="Z283" s="360"/>
      <c r="AA283" s="124"/>
      <c r="AB283" s="125"/>
      <c r="AC283" s="124"/>
      <c r="AD283" s="124"/>
      <c r="AG283" s="316"/>
      <c r="AH283" s="316"/>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80">
        <f>STDEV(C286:S286)</f>
        <v>52.193324173082246</v>
      </c>
      <c r="X284" s="248">
        <f>IF((S285=""),"",((T284-U284)/(T284+U284))*100)</f>
        <v>5.1491233237124572</v>
      </c>
      <c r="Y284" s="250" t="str">
        <f>IF(S285="","",IF(X284&lt;15,IF(V284&gt;1680,IF(V284&lt;2200,"Pass","Fail"),"Fail"),"Fail"))</f>
        <v>Pass</v>
      </c>
      <c r="Z284" s="394">
        <v>1159</v>
      </c>
      <c r="AA284" s="397" t="s">
        <v>155</v>
      </c>
      <c r="AC284" s="316">
        <v>1600</v>
      </c>
      <c r="AD284" s="316">
        <v>2600</v>
      </c>
      <c r="AE284" s="355">
        <v>1690</v>
      </c>
      <c r="AF284" s="355">
        <v>2210</v>
      </c>
      <c r="AG284" s="356">
        <v>15</v>
      </c>
      <c r="AH284" s="356">
        <v>15</v>
      </c>
      <c r="AI284" s="124"/>
      <c r="AJ284" s="124"/>
    </row>
    <row r="285" spans="1:36">
      <c r="A285" s="392"/>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3">
        <v>4166</v>
      </c>
      <c r="Q285" s="303">
        <v>4169</v>
      </c>
      <c r="R285" s="303">
        <v>4200</v>
      </c>
      <c r="S285" s="386">
        <v>4274</v>
      </c>
      <c r="T285" s="358"/>
      <c r="U285" s="358"/>
      <c r="V285" s="358"/>
      <c r="W285" s="380"/>
      <c r="X285" s="358"/>
      <c r="Y285" s="358"/>
      <c r="Z285" s="360"/>
      <c r="AA285" s="124"/>
      <c r="AB285" s="125"/>
      <c r="AC285" s="124"/>
      <c r="AD285" s="124"/>
      <c r="AG285" s="316"/>
      <c r="AH285" s="316"/>
      <c r="AI285" s="124"/>
      <c r="AJ285" s="124"/>
    </row>
    <row r="286" spans="1:36" ht="32.25" thickBot="1">
      <c r="A286" s="393"/>
      <c r="B286" s="256" t="s">
        <v>221</v>
      </c>
      <c r="C286" s="358">
        <f t="shared" ref="C286:H286" si="96">IF(((C284="")*AND(C285="")),"",(C284-C285)*2)</f>
        <v>1932.3400000000001</v>
      </c>
      <c r="D286" s="358">
        <f t="shared" si="96"/>
        <v>2031.3600000000006</v>
      </c>
      <c r="E286" s="358">
        <f t="shared" si="96"/>
        <v>2072.3799999999992</v>
      </c>
      <c r="F286" s="358">
        <f t="shared" si="96"/>
        <v>2092.8999999999996</v>
      </c>
      <c r="G286" s="358">
        <f t="shared" si="96"/>
        <v>2106.2800000000007</v>
      </c>
      <c r="H286" s="358">
        <f t="shared" si="96"/>
        <v>2127.66</v>
      </c>
      <c r="I286" s="358">
        <f>IF(((I284="")*AND(I285="")),"",(I284-I285)*2)</f>
        <v>2142.1399999999994</v>
      </c>
      <c r="J286" s="358">
        <f>IF(((J284="")*AND(J285="")),"",(J284-J285)*2)</f>
        <v>2135.8199999999997</v>
      </c>
      <c r="K286" s="358">
        <f>IF(((K284="")*AND(K285="")),"",(K284-K285)*2)</f>
        <v>2062.6000000000004</v>
      </c>
      <c r="L286" s="358">
        <f>IF(((L284="")*AND(L285="")),"",(L284-L285)*2)</f>
        <v>2063.8199999999997</v>
      </c>
      <c r="M286" s="358">
        <f t="shared" ref="M286:S286" si="97">IF(((M284="")*AND(M285="")),"",(M284-M285)*2)</f>
        <v>2122.7600000000002</v>
      </c>
      <c r="N286" s="358">
        <f t="shared" si="97"/>
        <v>2106.4799999999996</v>
      </c>
      <c r="O286" s="358">
        <f t="shared" si="97"/>
        <v>2099.3999999999996</v>
      </c>
      <c r="P286" s="358">
        <f t="shared" si="97"/>
        <v>2097.7999999999993</v>
      </c>
      <c r="Q286" s="358">
        <f t="shared" si="97"/>
        <v>2132.6200000000008</v>
      </c>
      <c r="R286" s="358">
        <f t="shared" si="97"/>
        <v>2119.5</v>
      </c>
      <c r="S286" s="358">
        <f t="shared" si="97"/>
        <v>2035.2800000000007</v>
      </c>
      <c r="T286" s="358"/>
      <c r="U286" s="358"/>
      <c r="V286" s="358"/>
      <c r="W286" s="387"/>
      <c r="X286" s="358"/>
      <c r="Y286" s="358"/>
      <c r="Z286" s="360"/>
      <c r="AA286" s="124"/>
      <c r="AB286" s="125"/>
      <c r="AC286" s="124"/>
      <c r="AD286" s="124"/>
      <c r="AG286" s="316"/>
      <c r="AH286" s="316"/>
      <c r="AI286" s="124"/>
      <c r="AJ286" s="124"/>
    </row>
    <row r="287" spans="1:36">
      <c r="A287" s="261">
        <v>43558</v>
      </c>
      <c r="B287" s="248" t="s">
        <v>77</v>
      </c>
      <c r="C287" s="302">
        <v>5445</v>
      </c>
      <c r="D287" s="303">
        <v>5389</v>
      </c>
      <c r="E287" s="303">
        <v>5356</v>
      </c>
      <c r="F287" s="303">
        <v>5343</v>
      </c>
      <c r="G287" s="303">
        <v>5339</v>
      </c>
      <c r="H287" s="303">
        <v>5352</v>
      </c>
      <c r="I287" s="303">
        <v>5377</v>
      </c>
      <c r="J287" s="303">
        <v>5421</v>
      </c>
      <c r="K287" s="303">
        <v>5471</v>
      </c>
      <c r="L287" s="303">
        <v>5360</v>
      </c>
      <c r="M287" s="303">
        <v>5376</v>
      </c>
      <c r="N287" s="303">
        <v>5359</v>
      </c>
      <c r="O287" s="303">
        <v>5346</v>
      </c>
      <c r="P287" s="303">
        <v>5343</v>
      </c>
      <c r="Q287" s="303">
        <v>5347</v>
      </c>
      <c r="R287" s="303">
        <v>5374</v>
      </c>
      <c r="S287" s="386">
        <v>5401</v>
      </c>
      <c r="T287" s="248">
        <f>IF((S288=""),"",MAX(C289:S289))</f>
        <v>2208</v>
      </c>
      <c r="U287" s="248">
        <f>IF(S288="","",MIN(C289:S289))</f>
        <v>2064</v>
      </c>
      <c r="V287" s="248">
        <f>IF((S289=""),"",AVERAGE(C289:S289))</f>
        <v>2139.4117647058824</v>
      </c>
      <c r="W287" s="380">
        <f>STDEV(C289:S289)</f>
        <v>36.781549082940188</v>
      </c>
      <c r="X287" s="248">
        <f>IF((S288=""),"",((T287-U287)/(T287+U287))*100)</f>
        <v>3.3707865168539324</v>
      </c>
      <c r="Y287" s="250" t="str">
        <f>IF(S288="","",IF(X287&lt;15,IF(V287&gt;1680,IF(V287&lt;2200,"Pass","Fail"),"Fail"),"Fail"))</f>
        <v>Pass</v>
      </c>
      <c r="Z287" s="394">
        <v>1340</v>
      </c>
      <c r="AA287" s="397" t="s">
        <v>156</v>
      </c>
      <c r="AC287" s="316">
        <v>1600</v>
      </c>
      <c r="AD287" s="316">
        <v>2600</v>
      </c>
      <c r="AE287" s="355">
        <v>1690</v>
      </c>
      <c r="AF287" s="355">
        <v>2210</v>
      </c>
      <c r="AG287" s="356">
        <v>15</v>
      </c>
      <c r="AH287" s="356">
        <v>15</v>
      </c>
      <c r="AI287" s="124"/>
      <c r="AJ287" s="124"/>
    </row>
    <row r="288" spans="1:36">
      <c r="A288" s="392"/>
      <c r="B288" s="248" t="s">
        <v>78</v>
      </c>
      <c r="C288" s="302">
        <v>4413</v>
      </c>
      <c r="D288" s="303">
        <v>4340</v>
      </c>
      <c r="E288" s="303">
        <v>4302</v>
      </c>
      <c r="F288" s="303">
        <v>4283</v>
      </c>
      <c r="G288" s="303">
        <v>4277</v>
      </c>
      <c r="H288" s="303">
        <v>4272</v>
      </c>
      <c r="I288" s="303">
        <v>4286</v>
      </c>
      <c r="J288" s="303">
        <v>4317</v>
      </c>
      <c r="K288" s="303">
        <v>4402</v>
      </c>
      <c r="L288" s="303">
        <v>4281</v>
      </c>
      <c r="M288" s="303">
        <v>4286</v>
      </c>
      <c r="N288" s="303">
        <v>4275</v>
      </c>
      <c r="O288" s="303">
        <v>4273</v>
      </c>
      <c r="P288" s="303">
        <v>4276</v>
      </c>
      <c r="Q288" s="303">
        <v>4280</v>
      </c>
      <c r="R288" s="303">
        <v>4295</v>
      </c>
      <c r="S288" s="386">
        <v>4356</v>
      </c>
      <c r="T288" s="358"/>
      <c r="U288" s="358"/>
      <c r="V288" s="358"/>
      <c r="W288" s="380"/>
      <c r="X288" s="358"/>
      <c r="Y288" s="358"/>
      <c r="Z288" s="360"/>
      <c r="AA288" s="124"/>
      <c r="AB288" s="125"/>
      <c r="AC288" s="124"/>
      <c r="AD288" s="124"/>
      <c r="AG288" s="316"/>
      <c r="AH288" s="316"/>
      <c r="AI288" s="124"/>
      <c r="AJ288" s="124"/>
    </row>
    <row r="289" spans="1:36" ht="32.25" thickBot="1">
      <c r="A289" s="393"/>
      <c r="B289" s="256" t="s">
        <v>221</v>
      </c>
      <c r="C289" s="358">
        <f t="shared" ref="C289:H289" si="98">IF(((C287="")*AND(C288="")),"",(C287-C288)*2)</f>
        <v>2064</v>
      </c>
      <c r="D289" s="358">
        <f t="shared" si="98"/>
        <v>2098</v>
      </c>
      <c r="E289" s="358">
        <f t="shared" si="98"/>
        <v>2108</v>
      </c>
      <c r="F289" s="358">
        <f t="shared" si="98"/>
        <v>2120</v>
      </c>
      <c r="G289" s="358">
        <f t="shared" si="98"/>
        <v>2124</v>
      </c>
      <c r="H289" s="358">
        <f t="shared" si="98"/>
        <v>2160</v>
      </c>
      <c r="I289" s="358">
        <f>IF(((I287="")*AND(I288="")),"",(I287-I288)*2)</f>
        <v>2182</v>
      </c>
      <c r="J289" s="358">
        <f>IF(((J287="")*AND(J288="")),"",(J287-J288)*2)</f>
        <v>2208</v>
      </c>
      <c r="K289" s="358">
        <f>IF(((K287="")*AND(K288="")),"",(K287-K288)*2)</f>
        <v>2138</v>
      </c>
      <c r="L289" s="358">
        <f>IF(((L287="")*AND(L288="")),"",(L287-L288)*2)</f>
        <v>2158</v>
      </c>
      <c r="M289" s="358">
        <f t="shared" ref="M289:S289" si="99">IF(((M287="")*AND(M288="")),"",(M287-M288)*2)</f>
        <v>2180</v>
      </c>
      <c r="N289" s="358">
        <f t="shared" si="99"/>
        <v>2168</v>
      </c>
      <c r="O289" s="358">
        <f t="shared" si="99"/>
        <v>2146</v>
      </c>
      <c r="P289" s="358">
        <f t="shared" si="99"/>
        <v>2134</v>
      </c>
      <c r="Q289" s="358">
        <f t="shared" si="99"/>
        <v>2134</v>
      </c>
      <c r="R289" s="358">
        <f t="shared" si="99"/>
        <v>2158</v>
      </c>
      <c r="S289" s="358">
        <f t="shared" si="99"/>
        <v>2090</v>
      </c>
      <c r="T289" s="358"/>
      <c r="U289" s="358"/>
      <c r="V289" s="358"/>
      <c r="W289" s="387"/>
      <c r="X289" s="358"/>
      <c r="Y289" s="358"/>
      <c r="Z289" s="360"/>
      <c r="AA289" s="124"/>
      <c r="AB289" s="125"/>
      <c r="AC289" s="124"/>
      <c r="AD289" s="124"/>
      <c r="AG289" s="316"/>
      <c r="AH289" s="316"/>
      <c r="AI289" s="124"/>
      <c r="AJ289" s="124"/>
    </row>
    <row r="290" spans="1:36">
      <c r="A290" s="261">
        <v>43564</v>
      </c>
      <c r="B290" s="248" t="s">
        <v>77</v>
      </c>
      <c r="C290" s="302">
        <v>2041</v>
      </c>
      <c r="D290" s="303">
        <v>2019</v>
      </c>
      <c r="E290" s="303">
        <v>2007</v>
      </c>
      <c r="F290" s="303">
        <v>1998</v>
      </c>
      <c r="G290" s="303">
        <v>1996</v>
      </c>
      <c r="H290" s="303">
        <v>1999</v>
      </c>
      <c r="I290" s="303">
        <v>2008</v>
      </c>
      <c r="J290" s="303">
        <v>2019</v>
      </c>
      <c r="K290" s="303">
        <v>2040</v>
      </c>
      <c r="L290" s="303">
        <v>2027</v>
      </c>
      <c r="M290" s="303">
        <v>2015</v>
      </c>
      <c r="N290" s="303">
        <v>2006</v>
      </c>
      <c r="O290" s="303">
        <v>1998</v>
      </c>
      <c r="P290" s="303">
        <v>1999</v>
      </c>
      <c r="Q290" s="303">
        <v>2007</v>
      </c>
      <c r="R290" s="303">
        <v>2018</v>
      </c>
      <c r="S290" s="303">
        <v>2036</v>
      </c>
      <c r="T290" s="248">
        <f>IF((S291=""),"",MAX(C292:S292))</f>
        <v>2178</v>
      </c>
      <c r="U290" s="248">
        <f>IF(S291="","",MIN(C292:S292))</f>
        <v>2038</v>
      </c>
      <c r="V290" s="248">
        <f>IF((S292=""),"",AVERAGE(C292:S292))</f>
        <v>2112.1176470588234</v>
      </c>
      <c r="W290" s="380">
        <f>STDEV(C292:S292)</f>
        <v>35.905922827823161</v>
      </c>
      <c r="X290" s="248">
        <f>IF((S291=""),"",((T290-U290)/(T290+U290))*100)</f>
        <v>3.3206831119544589</v>
      </c>
      <c r="Y290" s="250" t="str">
        <f>IF(S291="","",IF(X290&lt;15,IF(V290&gt;1680,IF(V290&lt;2200,"Pass","Fail"),"Fail"),"Fail"))</f>
        <v>Pass</v>
      </c>
      <c r="Z290" s="394">
        <v>1159</v>
      </c>
      <c r="AA290" s="397" t="s">
        <v>157</v>
      </c>
      <c r="AC290" s="316">
        <v>1600</v>
      </c>
      <c r="AD290" s="316">
        <v>2600</v>
      </c>
      <c r="AE290" s="355">
        <v>1690</v>
      </c>
      <c r="AF290" s="355">
        <v>2210</v>
      </c>
      <c r="AG290" s="356">
        <v>15</v>
      </c>
      <c r="AH290" s="356">
        <v>15</v>
      </c>
      <c r="AI290" s="124"/>
      <c r="AJ290" s="124"/>
    </row>
    <row r="291" spans="1:36">
      <c r="A291" s="392"/>
      <c r="B291" s="248" t="s">
        <v>78</v>
      </c>
      <c r="C291" s="302">
        <v>1022</v>
      </c>
      <c r="D291" s="303">
        <v>985</v>
      </c>
      <c r="E291" s="303">
        <v>970</v>
      </c>
      <c r="F291" s="303">
        <v>958</v>
      </c>
      <c r="G291" s="303">
        <v>948</v>
      </c>
      <c r="H291" s="303">
        <v>937</v>
      </c>
      <c r="I291" s="303">
        <v>930</v>
      </c>
      <c r="J291" s="303">
        <v>930</v>
      </c>
      <c r="K291" s="303">
        <v>959</v>
      </c>
      <c r="L291" s="303">
        <v>975</v>
      </c>
      <c r="M291" s="303">
        <v>945</v>
      </c>
      <c r="N291" s="303">
        <v>942</v>
      </c>
      <c r="O291" s="303">
        <v>944</v>
      </c>
      <c r="P291" s="303">
        <v>948</v>
      </c>
      <c r="Q291" s="303">
        <v>949</v>
      </c>
      <c r="R291" s="303">
        <v>954</v>
      </c>
      <c r="S291" s="386">
        <v>984</v>
      </c>
      <c r="T291" s="358"/>
      <c r="U291" s="358"/>
      <c r="V291" s="358"/>
      <c r="W291" s="380"/>
      <c r="X291" s="358"/>
      <c r="Y291" s="358"/>
      <c r="Z291" s="360"/>
      <c r="AA291" s="124"/>
      <c r="AB291" s="125"/>
      <c r="AC291" s="124"/>
      <c r="AD291" s="124"/>
      <c r="AG291" s="316"/>
      <c r="AH291" s="316"/>
      <c r="AI291" s="124"/>
      <c r="AJ291" s="124"/>
    </row>
    <row r="292" spans="1:36" ht="32.25" thickBot="1">
      <c r="A292" s="393"/>
      <c r="B292" s="256" t="s">
        <v>221</v>
      </c>
      <c r="C292" s="358">
        <f t="shared" ref="C292:H292" si="100">IF(((C290="")*AND(C291="")),"",(C290-C291)*2)</f>
        <v>2038</v>
      </c>
      <c r="D292" s="358">
        <f t="shared" si="100"/>
        <v>2068</v>
      </c>
      <c r="E292" s="358">
        <f t="shared" si="100"/>
        <v>2074</v>
      </c>
      <c r="F292" s="358">
        <f t="shared" si="100"/>
        <v>2080</v>
      </c>
      <c r="G292" s="358">
        <f t="shared" si="100"/>
        <v>2096</v>
      </c>
      <c r="H292" s="358">
        <f t="shared" si="100"/>
        <v>2124</v>
      </c>
      <c r="I292" s="358">
        <f>IF(((I290="")*AND(I291="")),"",(I290-I291)*2)</f>
        <v>2156</v>
      </c>
      <c r="J292" s="358">
        <f>IF(((J290="")*AND(J291="")),"",(J290-J291)*2)</f>
        <v>2178</v>
      </c>
      <c r="K292" s="358">
        <f>IF(((K290="")*AND(K291="")),"",(K290-K291)*2)</f>
        <v>2162</v>
      </c>
      <c r="L292" s="358">
        <f>IF(((L290="")*AND(L291="")),"",(L290-L291)*2)</f>
        <v>2104</v>
      </c>
      <c r="M292" s="358">
        <f t="shared" ref="M292:S292" si="101">IF(((M290="")*AND(M291="")),"",(M290-M291)*2)</f>
        <v>2140</v>
      </c>
      <c r="N292" s="358">
        <f t="shared" si="101"/>
        <v>2128</v>
      </c>
      <c r="O292" s="358">
        <f t="shared" si="101"/>
        <v>2108</v>
      </c>
      <c r="P292" s="358">
        <f t="shared" si="101"/>
        <v>2102</v>
      </c>
      <c r="Q292" s="358">
        <f t="shared" si="101"/>
        <v>2116</v>
      </c>
      <c r="R292" s="358">
        <f t="shared" si="101"/>
        <v>2128</v>
      </c>
      <c r="S292" s="358">
        <f t="shared" si="101"/>
        <v>2104</v>
      </c>
      <c r="T292" s="358"/>
      <c r="U292" s="358"/>
      <c r="V292" s="358"/>
      <c r="W292" s="387"/>
      <c r="X292" s="358"/>
      <c r="Y292" s="358"/>
      <c r="Z292" s="360"/>
      <c r="AA292" s="124"/>
      <c r="AB292" s="125"/>
      <c r="AC292" s="124"/>
      <c r="AD292" s="124"/>
      <c r="AG292" s="316"/>
      <c r="AH292" s="316"/>
      <c r="AI292" s="124"/>
      <c r="AJ292" s="124"/>
    </row>
    <row r="293" spans="1:36">
      <c r="A293" s="261">
        <v>43569</v>
      </c>
      <c r="B293" s="248" t="s">
        <v>77</v>
      </c>
      <c r="C293" s="302">
        <v>2020</v>
      </c>
      <c r="D293" s="303">
        <v>2004</v>
      </c>
      <c r="E293" s="303">
        <v>1999</v>
      </c>
      <c r="F293" s="303">
        <v>1995</v>
      </c>
      <c r="G293" s="303">
        <v>1993</v>
      </c>
      <c r="H293" s="303">
        <v>1994</v>
      </c>
      <c r="I293" s="303">
        <v>1996</v>
      </c>
      <c r="J293" s="303">
        <v>2000</v>
      </c>
      <c r="K293" s="303">
        <v>2013</v>
      </c>
      <c r="L293" s="303">
        <v>2003</v>
      </c>
      <c r="M293" s="303">
        <v>2000</v>
      </c>
      <c r="N293" s="303">
        <v>1997</v>
      </c>
      <c r="O293" s="303">
        <v>1994</v>
      </c>
      <c r="P293" s="303">
        <v>1996</v>
      </c>
      <c r="Q293" s="303">
        <v>1998</v>
      </c>
      <c r="R293" s="303">
        <v>2002</v>
      </c>
      <c r="S293" s="303">
        <v>2014</v>
      </c>
      <c r="T293" s="248">
        <f>IF((S294=""),"",MAX(C295:S295))</f>
        <v>2196.1999999999998</v>
      </c>
      <c r="U293" s="248">
        <f>IF(S294="","",MIN(C295:S295))</f>
        <v>2023.4</v>
      </c>
      <c r="V293" s="248">
        <f>IF((S295=""),"",AVERAGE(C295:S295))</f>
        <v>2113.6152941176465</v>
      </c>
      <c r="W293" s="380">
        <f>STDEV(C295:S295)</f>
        <v>45.236036259529968</v>
      </c>
      <c r="X293" s="248">
        <f>IF((S294=""),"",((T293-U293)/(T293+U293))*100)</f>
        <v>4.0951748980945997</v>
      </c>
      <c r="Y293" s="250" t="str">
        <f>IF(S294="","",IF(X293&lt;15,IF(V293&gt;1680,IF(V293&lt;2200,"Pass","Fail"),"Fail"),"Fail"))</f>
        <v>Pass</v>
      </c>
      <c r="Z293" s="394">
        <v>1534</v>
      </c>
      <c r="AA293" s="124"/>
      <c r="AC293" s="316">
        <v>1600</v>
      </c>
      <c r="AD293" s="316">
        <v>2600</v>
      </c>
      <c r="AE293" s="355">
        <v>1690</v>
      </c>
      <c r="AF293" s="355">
        <v>2210</v>
      </c>
      <c r="AG293" s="356">
        <v>15</v>
      </c>
      <c r="AH293" s="356">
        <v>15</v>
      </c>
      <c r="AI293" s="124"/>
      <c r="AJ293" s="124"/>
    </row>
    <row r="294" spans="1:36">
      <c r="A294" s="392"/>
      <c r="B294" s="248" t="s">
        <v>78</v>
      </c>
      <c r="C294" s="302">
        <v>1008.3</v>
      </c>
      <c r="D294" s="303">
        <v>977.07</v>
      </c>
      <c r="E294" s="303">
        <v>967.4</v>
      </c>
      <c r="F294" s="303">
        <v>958.5</v>
      </c>
      <c r="G294" s="303">
        <v>946.9</v>
      </c>
      <c r="H294" s="303">
        <v>929.1</v>
      </c>
      <c r="I294" s="303">
        <v>913.1</v>
      </c>
      <c r="J294" s="303">
        <v>901.9</v>
      </c>
      <c r="K294" s="303">
        <v>921.4</v>
      </c>
      <c r="L294" s="303">
        <v>950.8</v>
      </c>
      <c r="M294" s="303">
        <v>929.1</v>
      </c>
      <c r="N294" s="303">
        <v>933.6</v>
      </c>
      <c r="O294" s="303">
        <v>941.6</v>
      </c>
      <c r="P294" s="303">
        <v>943.6</v>
      </c>
      <c r="Q294" s="303">
        <v>937.7</v>
      </c>
      <c r="R294" s="303">
        <v>934.3</v>
      </c>
      <c r="S294" s="386">
        <v>957.9</v>
      </c>
      <c r="T294" s="358"/>
      <c r="U294" s="358"/>
      <c r="V294" s="358"/>
      <c r="W294" s="380"/>
      <c r="X294" s="358"/>
      <c r="Y294" s="358"/>
      <c r="Z294" s="360"/>
      <c r="AA294" s="124"/>
      <c r="AB294" s="125"/>
      <c r="AC294" s="124"/>
      <c r="AD294" s="124"/>
      <c r="AG294" s="316"/>
      <c r="AH294" s="316"/>
      <c r="AI294" s="124"/>
      <c r="AJ294" s="124"/>
    </row>
    <row r="295" spans="1:36" ht="32.25" thickBot="1">
      <c r="A295" s="393"/>
      <c r="B295" s="256" t="s">
        <v>221</v>
      </c>
      <c r="C295" s="358">
        <f t="shared" ref="C295:H295" si="102">IF(((C293="")*AND(C294="")),"",(C293-C294)*2)</f>
        <v>2023.4</v>
      </c>
      <c r="D295" s="358">
        <f t="shared" si="102"/>
        <v>2053.8599999999997</v>
      </c>
      <c r="E295" s="358">
        <f t="shared" si="102"/>
        <v>2063.1999999999998</v>
      </c>
      <c r="F295" s="358">
        <f t="shared" si="102"/>
        <v>2073</v>
      </c>
      <c r="G295" s="358">
        <f t="shared" si="102"/>
        <v>2092.1999999999998</v>
      </c>
      <c r="H295" s="358">
        <f t="shared" si="102"/>
        <v>2129.8000000000002</v>
      </c>
      <c r="I295" s="358">
        <f>IF(((I293="")*AND(I294="")),"",(I293-I294)*2)</f>
        <v>2165.8000000000002</v>
      </c>
      <c r="J295" s="358">
        <f>IF(((J293="")*AND(J294="")),"",(J293-J294)*2)</f>
        <v>2196.1999999999998</v>
      </c>
      <c r="K295" s="358">
        <f>IF(((K293="")*AND(K294="")),"",(K293-K294)*2)</f>
        <v>2183.1999999999998</v>
      </c>
      <c r="L295" s="358">
        <f>IF(((L293="")*AND(L294="")),"",(L293-L294)*2)</f>
        <v>2104.4</v>
      </c>
      <c r="M295" s="358">
        <f t="shared" ref="M295:S295" si="103">IF(((M293="")*AND(M294="")),"",(M293-M294)*2)</f>
        <v>2141.8000000000002</v>
      </c>
      <c r="N295" s="358">
        <f t="shared" si="103"/>
        <v>2126.8000000000002</v>
      </c>
      <c r="O295" s="358">
        <f t="shared" si="103"/>
        <v>2104.8000000000002</v>
      </c>
      <c r="P295" s="358">
        <f t="shared" si="103"/>
        <v>2104.8000000000002</v>
      </c>
      <c r="Q295" s="358">
        <f t="shared" si="103"/>
        <v>2120.6</v>
      </c>
      <c r="R295" s="358">
        <f t="shared" si="103"/>
        <v>2135.4</v>
      </c>
      <c r="S295" s="358">
        <f t="shared" si="103"/>
        <v>2112.1999999999998</v>
      </c>
      <c r="T295" s="358"/>
      <c r="U295" s="358"/>
      <c r="V295" s="358"/>
      <c r="W295" s="387"/>
      <c r="X295" s="358"/>
      <c r="Y295" s="358"/>
      <c r="Z295" s="360"/>
      <c r="AA295" s="124"/>
      <c r="AB295" s="125"/>
      <c r="AC295" s="124"/>
      <c r="AD295" s="124"/>
      <c r="AG295" s="316"/>
      <c r="AH295" s="316"/>
      <c r="AI295" s="124"/>
      <c r="AJ295" s="124"/>
    </row>
    <row r="296" spans="1:36">
      <c r="A296" s="261">
        <v>43577</v>
      </c>
      <c r="B296" s="248" t="s">
        <v>77</v>
      </c>
      <c r="C296" s="302">
        <v>1950</v>
      </c>
      <c r="D296" s="303">
        <v>2000</v>
      </c>
      <c r="E296" s="303">
        <v>1979</v>
      </c>
      <c r="F296" s="303">
        <v>1966</v>
      </c>
      <c r="G296" s="303">
        <v>1964</v>
      </c>
      <c r="H296" s="303">
        <v>1972</v>
      </c>
      <c r="I296" s="303">
        <v>1989</v>
      </c>
      <c r="J296" s="303">
        <v>2013</v>
      </c>
      <c r="K296" s="303">
        <v>1958</v>
      </c>
      <c r="L296" s="303">
        <v>2001</v>
      </c>
      <c r="M296" s="303">
        <v>1995</v>
      </c>
      <c r="N296" s="303">
        <v>1979</v>
      </c>
      <c r="O296" s="303">
        <v>1969</v>
      </c>
      <c r="P296" s="303">
        <v>1968</v>
      </c>
      <c r="Q296" s="303">
        <v>1978</v>
      </c>
      <c r="R296" s="303">
        <v>1994</v>
      </c>
      <c r="S296" s="386">
        <v>1937</v>
      </c>
      <c r="T296" s="248">
        <f>IF((S297=""),"",MAX(C298:S298))</f>
        <v>2172</v>
      </c>
      <c r="U296" s="248">
        <f>IF(S297="","",MIN(C298:S298))</f>
        <v>1832</v>
      </c>
      <c r="V296" s="248">
        <f>IF((S298=""),"",AVERAGE(C298:S298))</f>
        <v>2070.3529411764707</v>
      </c>
      <c r="W296" s="380">
        <f>STDEV(C298:S298)</f>
        <v>87.407766514533833</v>
      </c>
      <c r="X296" s="248">
        <f>IF((S297=""),"",((T296-U296)/(T296+U296))*100)</f>
        <v>8.4915084915084904</v>
      </c>
      <c r="Y296" s="250" t="str">
        <f>IF(S297="","",IF(X296&lt;15,IF(V296&gt;1680,IF(V296&lt;2200,"Pass","Fail"),"Fail"),"Fail"))</f>
        <v>Pass</v>
      </c>
      <c r="Z296" s="394">
        <v>1340</v>
      </c>
      <c r="AA296" s="124"/>
      <c r="AC296" s="316">
        <v>1600</v>
      </c>
      <c r="AD296" s="316">
        <v>2600</v>
      </c>
      <c r="AE296" s="355">
        <v>1690</v>
      </c>
      <c r="AF296" s="355">
        <v>2210</v>
      </c>
      <c r="AG296" s="356">
        <v>15</v>
      </c>
      <c r="AH296" s="356">
        <v>15</v>
      </c>
      <c r="AI296" s="124"/>
      <c r="AJ296" s="124"/>
    </row>
    <row r="297" spans="1:36">
      <c r="A297" s="392"/>
      <c r="B297" s="248" t="s">
        <v>78</v>
      </c>
      <c r="C297" s="302">
        <v>1034</v>
      </c>
      <c r="D297" s="303">
        <v>974</v>
      </c>
      <c r="E297" s="303">
        <v>947</v>
      </c>
      <c r="F297" s="303">
        <v>931</v>
      </c>
      <c r="G297" s="303">
        <v>921</v>
      </c>
      <c r="H297" s="303">
        <v>914</v>
      </c>
      <c r="I297" s="303">
        <v>915</v>
      </c>
      <c r="J297" s="303">
        <v>927</v>
      </c>
      <c r="K297" s="303">
        <v>979</v>
      </c>
      <c r="L297" s="303">
        <v>949</v>
      </c>
      <c r="M297" s="303">
        <v>929</v>
      </c>
      <c r="N297" s="303">
        <v>921</v>
      </c>
      <c r="O297" s="303">
        <v>920</v>
      </c>
      <c r="P297" s="303">
        <v>920</v>
      </c>
      <c r="Q297" s="303">
        <v>924</v>
      </c>
      <c r="R297" s="303">
        <v>934</v>
      </c>
      <c r="S297" s="386">
        <v>975</v>
      </c>
      <c r="T297" s="358"/>
      <c r="U297" s="358"/>
      <c r="V297" s="358"/>
      <c r="W297" s="380"/>
      <c r="X297" s="358"/>
      <c r="Y297" s="358"/>
      <c r="Z297" s="360"/>
      <c r="AA297" s="124"/>
      <c r="AB297" s="125"/>
      <c r="AC297" s="124"/>
      <c r="AD297" s="124"/>
      <c r="AG297" s="316"/>
      <c r="AH297" s="316"/>
      <c r="AI297" s="124"/>
      <c r="AJ297" s="124"/>
    </row>
    <row r="298" spans="1:36" ht="32.25" thickBot="1">
      <c r="A298" s="393"/>
      <c r="B298" s="256" t="s">
        <v>221</v>
      </c>
      <c r="C298" s="358">
        <f t="shared" ref="C298:H298" si="104">IF(((C296="")*AND(C297="")),"",(C296-C297)*2)</f>
        <v>1832</v>
      </c>
      <c r="D298" s="358">
        <f t="shared" si="104"/>
        <v>2052</v>
      </c>
      <c r="E298" s="358">
        <f t="shared" si="104"/>
        <v>2064</v>
      </c>
      <c r="F298" s="358">
        <f t="shared" si="104"/>
        <v>2070</v>
      </c>
      <c r="G298" s="358">
        <f t="shared" si="104"/>
        <v>2086</v>
      </c>
      <c r="H298" s="358">
        <f t="shared" si="104"/>
        <v>2116</v>
      </c>
      <c r="I298" s="358">
        <f>IF(((I296="")*AND(I297="")),"",(I296-I297)*2)</f>
        <v>2148</v>
      </c>
      <c r="J298" s="358">
        <f>IF(((J296="")*AND(J297="")),"",(J296-J297)*2)</f>
        <v>2172</v>
      </c>
      <c r="K298" s="358">
        <f>IF(((K296="")*AND(K297="")),"",(K296-K297)*2)</f>
        <v>1958</v>
      </c>
      <c r="L298" s="358">
        <f>IF(((L296="")*AND(L297="")),"",(L296-L297)*2)</f>
        <v>2104</v>
      </c>
      <c r="M298" s="358">
        <f t="shared" ref="M298:S298" si="105">IF(((M296="")*AND(M297="")),"",(M296-M297)*2)</f>
        <v>2132</v>
      </c>
      <c r="N298" s="358">
        <f t="shared" si="105"/>
        <v>2116</v>
      </c>
      <c r="O298" s="358">
        <f t="shared" si="105"/>
        <v>2098</v>
      </c>
      <c r="P298" s="358">
        <f t="shared" si="105"/>
        <v>2096</v>
      </c>
      <c r="Q298" s="358">
        <f t="shared" si="105"/>
        <v>2108</v>
      </c>
      <c r="R298" s="358">
        <f t="shared" si="105"/>
        <v>2120</v>
      </c>
      <c r="S298" s="358">
        <f t="shared" si="105"/>
        <v>1924</v>
      </c>
      <c r="T298" s="358"/>
      <c r="U298" s="358"/>
      <c r="V298" s="358"/>
      <c r="W298" s="387"/>
      <c r="X298" s="358"/>
      <c r="Y298" s="358"/>
      <c r="Z298" s="360"/>
      <c r="AA298" s="124"/>
      <c r="AB298" s="125"/>
      <c r="AC298" s="124"/>
      <c r="AD298" s="124"/>
      <c r="AG298" s="316"/>
      <c r="AH298" s="316"/>
      <c r="AI298" s="124"/>
      <c r="AJ298" s="124"/>
    </row>
    <row r="299" spans="1:36">
      <c r="A299" s="261">
        <v>43580</v>
      </c>
      <c r="B299" s="248" t="s">
        <v>77</v>
      </c>
      <c r="C299" s="302">
        <v>2019</v>
      </c>
      <c r="D299" s="303">
        <v>2003</v>
      </c>
      <c r="E299" s="303">
        <v>1997</v>
      </c>
      <c r="F299" s="303">
        <v>1995</v>
      </c>
      <c r="G299" s="303">
        <v>1993</v>
      </c>
      <c r="H299" s="303">
        <v>1995</v>
      </c>
      <c r="I299" s="303">
        <v>1995</v>
      </c>
      <c r="J299" s="303">
        <v>1999</v>
      </c>
      <c r="K299" s="303">
        <v>2011</v>
      </c>
      <c r="L299" s="303">
        <v>2003</v>
      </c>
      <c r="M299" s="303">
        <v>1997</v>
      </c>
      <c r="N299" s="303">
        <v>1995</v>
      </c>
      <c r="O299" s="303">
        <v>1994</v>
      </c>
      <c r="P299" s="303">
        <v>1995</v>
      </c>
      <c r="Q299" s="303">
        <v>1997</v>
      </c>
      <c r="R299" s="303">
        <v>2000</v>
      </c>
      <c r="S299" s="386">
        <v>2011</v>
      </c>
      <c r="T299" s="248">
        <f>IF((S300=""),"",MAX(C301:S301))</f>
        <v>2202</v>
      </c>
      <c r="U299" s="248">
        <f>IF(S300="","",MIN(C301:S301))</f>
        <v>2036</v>
      </c>
      <c r="V299" s="248">
        <f>IF((S301=""),"",AVERAGE(C301:S301))</f>
        <v>2120.1176470588234</v>
      </c>
      <c r="W299" s="380">
        <f>STDEV(C301:S301)</f>
        <v>41.554004549713284</v>
      </c>
      <c r="X299" s="248">
        <f>IF((S300=""),"",((T299-U299)/(T299+U299))*100)</f>
        <v>3.9169419537517696</v>
      </c>
      <c r="Y299" s="250" t="str">
        <f>IF(S300="","",IF(X299&lt;15,IF(V299&gt;1680,IF(V299&lt;2200,"Pass","Fail"),"Fail"),"Fail"))</f>
        <v>Pass</v>
      </c>
      <c r="Z299" s="394">
        <v>121</v>
      </c>
      <c r="AA299" s="124" t="s">
        <v>158</v>
      </c>
      <c r="AC299" s="316">
        <v>1600</v>
      </c>
      <c r="AD299" s="316">
        <v>2600</v>
      </c>
      <c r="AE299" s="355">
        <v>1690</v>
      </c>
      <c r="AF299" s="355">
        <v>2210</v>
      </c>
      <c r="AG299" s="356">
        <v>15</v>
      </c>
      <c r="AH299" s="356">
        <v>15</v>
      </c>
      <c r="AI299" s="124"/>
      <c r="AJ299" s="124"/>
    </row>
    <row r="300" spans="1:36">
      <c r="A300" s="392"/>
      <c r="B300" s="248" t="s">
        <v>78</v>
      </c>
      <c r="C300" s="302">
        <v>1001</v>
      </c>
      <c r="D300" s="303">
        <v>971</v>
      </c>
      <c r="E300" s="303">
        <v>962</v>
      </c>
      <c r="F300" s="303">
        <v>953</v>
      </c>
      <c r="G300" s="303">
        <v>941</v>
      </c>
      <c r="H300" s="303">
        <v>924</v>
      </c>
      <c r="I300" s="303">
        <v>908</v>
      </c>
      <c r="J300" s="303">
        <v>898</v>
      </c>
      <c r="K300" s="303">
        <v>934</v>
      </c>
      <c r="L300" s="303">
        <v>942</v>
      </c>
      <c r="M300" s="303">
        <v>922</v>
      </c>
      <c r="N300" s="303">
        <v>928</v>
      </c>
      <c r="O300" s="303">
        <v>937</v>
      </c>
      <c r="P300" s="303">
        <v>938</v>
      </c>
      <c r="Q300" s="303">
        <v>932</v>
      </c>
      <c r="R300" s="303">
        <v>928</v>
      </c>
      <c r="S300" s="386">
        <v>959</v>
      </c>
      <c r="T300" s="358"/>
      <c r="U300" s="358"/>
      <c r="V300" s="358"/>
      <c r="W300" s="380"/>
      <c r="X300" s="358"/>
      <c r="Y300" s="358"/>
      <c r="Z300" s="360"/>
      <c r="AA300" s="124"/>
      <c r="AB300" s="125"/>
      <c r="AC300" s="124"/>
      <c r="AD300" s="124"/>
      <c r="AG300" s="316"/>
      <c r="AH300" s="316"/>
      <c r="AI300" s="124"/>
      <c r="AJ300" s="124"/>
    </row>
    <row r="301" spans="1:36" ht="32.25" thickBot="1">
      <c r="A301" s="393"/>
      <c r="B301" s="256" t="s">
        <v>221</v>
      </c>
      <c r="C301" s="358">
        <f t="shared" ref="C301:H301" si="106">IF(((C299="")*AND(C300="")),"",(C299-C300)*2)</f>
        <v>2036</v>
      </c>
      <c r="D301" s="358">
        <f t="shared" si="106"/>
        <v>2064</v>
      </c>
      <c r="E301" s="358">
        <f t="shared" si="106"/>
        <v>2070</v>
      </c>
      <c r="F301" s="358">
        <f t="shared" si="106"/>
        <v>2084</v>
      </c>
      <c r="G301" s="358">
        <f t="shared" si="106"/>
        <v>2104</v>
      </c>
      <c r="H301" s="358">
        <f t="shared" si="106"/>
        <v>2142</v>
      </c>
      <c r="I301" s="358">
        <f>IF(((I299="")*AND(I300="")),"",(I299-I300)*2)</f>
        <v>2174</v>
      </c>
      <c r="J301" s="358">
        <f>IF(((J299="")*AND(J300="")),"",(J299-J300)*2)</f>
        <v>2202</v>
      </c>
      <c r="K301" s="358">
        <f>IF(((K299="")*AND(K300="")),"",(K299-K300)*2)</f>
        <v>2154</v>
      </c>
      <c r="L301" s="358">
        <f>IF(((L299="")*AND(L300="")),"",(L299-L300)*2)</f>
        <v>2122</v>
      </c>
      <c r="M301" s="358">
        <f t="shared" ref="M301:S301" si="107">IF(((M299="")*AND(M300="")),"",(M299-M300)*2)</f>
        <v>2150</v>
      </c>
      <c r="N301" s="358">
        <f t="shared" si="107"/>
        <v>2134</v>
      </c>
      <c r="O301" s="358">
        <f t="shared" si="107"/>
        <v>2114</v>
      </c>
      <c r="P301" s="358">
        <f t="shared" si="107"/>
        <v>2114</v>
      </c>
      <c r="Q301" s="358">
        <f t="shared" si="107"/>
        <v>2130</v>
      </c>
      <c r="R301" s="358">
        <f t="shared" si="107"/>
        <v>2144</v>
      </c>
      <c r="S301" s="358">
        <f t="shared" si="107"/>
        <v>2104</v>
      </c>
      <c r="T301" s="358"/>
      <c r="U301" s="358"/>
      <c r="V301" s="358"/>
      <c r="W301" s="387"/>
      <c r="X301" s="358"/>
      <c r="Y301" s="358"/>
      <c r="Z301" s="360"/>
      <c r="AA301" s="124"/>
      <c r="AB301" s="125"/>
      <c r="AC301" s="124"/>
      <c r="AD301" s="124"/>
      <c r="AG301" s="316"/>
      <c r="AH301" s="316"/>
      <c r="AI301" s="124"/>
      <c r="AJ301" s="124"/>
    </row>
    <row r="302" spans="1:36">
      <c r="A302" s="261">
        <v>43585</v>
      </c>
      <c r="B302" s="248" t="s">
        <v>77</v>
      </c>
      <c r="C302" s="302">
        <v>2050</v>
      </c>
      <c r="D302" s="303">
        <v>2019</v>
      </c>
      <c r="E302" s="303">
        <v>1996</v>
      </c>
      <c r="F302" s="303">
        <v>1984</v>
      </c>
      <c r="G302" s="303">
        <v>1981</v>
      </c>
      <c r="H302" s="303">
        <v>1989</v>
      </c>
      <c r="I302" s="303">
        <v>2005</v>
      </c>
      <c r="J302" s="303">
        <v>2030</v>
      </c>
      <c r="K302" s="303">
        <v>2061</v>
      </c>
      <c r="L302" s="303">
        <v>2013</v>
      </c>
      <c r="M302" s="303">
        <v>2013</v>
      </c>
      <c r="N302" s="303">
        <v>1997</v>
      </c>
      <c r="O302" s="303">
        <v>1986</v>
      </c>
      <c r="P302" s="303">
        <v>1986</v>
      </c>
      <c r="Q302" s="303">
        <v>1997</v>
      </c>
      <c r="R302" s="303">
        <v>2012</v>
      </c>
      <c r="S302" s="386">
        <v>2027</v>
      </c>
      <c r="T302" s="248">
        <f>IF((S303=""),"",MAX(C304:S304))</f>
        <v>2172</v>
      </c>
      <c r="U302" s="248">
        <f>IF(S303="","",MIN(C304:S304))</f>
        <v>2006</v>
      </c>
      <c r="V302" s="248">
        <f>IF((S304=""),"",AVERAGE(C304:S304))</f>
        <v>2097.1764705882351</v>
      </c>
      <c r="W302" s="380">
        <f>STDEV(C304:S304)</f>
        <v>38.75602419966237</v>
      </c>
      <c r="X302" s="248">
        <f>IF((S303=""),"",((T302-U302)/(T302+U302))*100)</f>
        <v>3.9731929152704648</v>
      </c>
      <c r="Y302" s="250" t="str">
        <f>IF(S303="","",IF(X302&lt;15,IF(V302&gt;1680,IF(V302&lt;2200,"Pass","Fail"),"Fail"),"Fail"))</f>
        <v>Pass</v>
      </c>
      <c r="Z302" s="394">
        <v>1340</v>
      </c>
      <c r="AA302" s="124"/>
      <c r="AC302" s="316">
        <v>1600</v>
      </c>
      <c r="AD302" s="316">
        <v>2600</v>
      </c>
      <c r="AE302" s="355">
        <v>1690</v>
      </c>
      <c r="AF302" s="355">
        <v>2210</v>
      </c>
      <c r="AG302" s="356">
        <v>15</v>
      </c>
      <c r="AH302" s="356">
        <v>15</v>
      </c>
      <c r="AI302" s="124"/>
      <c r="AJ302" s="124"/>
    </row>
    <row r="303" spans="1:36">
      <c r="A303" s="392"/>
      <c r="B303" s="248" t="s">
        <v>78</v>
      </c>
      <c r="C303" s="302">
        <v>1047</v>
      </c>
      <c r="D303" s="303">
        <v>996</v>
      </c>
      <c r="E303" s="303">
        <v>967</v>
      </c>
      <c r="F303" s="303">
        <v>951</v>
      </c>
      <c r="G303" s="303">
        <v>938</v>
      </c>
      <c r="H303" s="303">
        <v>932</v>
      </c>
      <c r="I303" s="303">
        <v>933</v>
      </c>
      <c r="J303" s="303">
        <v>944</v>
      </c>
      <c r="K303" s="303">
        <v>999</v>
      </c>
      <c r="L303" s="303">
        <v>967</v>
      </c>
      <c r="M303" s="303">
        <v>950</v>
      </c>
      <c r="N303" s="303">
        <v>941</v>
      </c>
      <c r="O303" s="303">
        <v>939</v>
      </c>
      <c r="P303" s="303">
        <v>939</v>
      </c>
      <c r="Q303" s="303">
        <v>943</v>
      </c>
      <c r="R303" s="303">
        <v>953</v>
      </c>
      <c r="S303" s="386">
        <v>981</v>
      </c>
      <c r="T303" s="358"/>
      <c r="U303" s="358"/>
      <c r="V303" s="358"/>
      <c r="W303" s="380"/>
      <c r="X303" s="358"/>
      <c r="Y303" s="358"/>
      <c r="Z303" s="360"/>
      <c r="AA303" s="124"/>
      <c r="AB303" s="125"/>
      <c r="AC303" s="124"/>
      <c r="AD303" s="124"/>
      <c r="AG303" s="316"/>
      <c r="AH303" s="316"/>
      <c r="AI303" s="124"/>
      <c r="AJ303" s="124"/>
    </row>
    <row r="304" spans="1:36" ht="32.25" thickBot="1">
      <c r="A304" s="393"/>
      <c r="B304" s="256" t="s">
        <v>221</v>
      </c>
      <c r="C304" s="358">
        <f t="shared" ref="C304:H304" si="108">IF(((C302="")*AND(C303="")),"",(C302-C303)*2)</f>
        <v>2006</v>
      </c>
      <c r="D304" s="358">
        <f t="shared" si="108"/>
        <v>2046</v>
      </c>
      <c r="E304" s="358">
        <f t="shared" si="108"/>
        <v>2058</v>
      </c>
      <c r="F304" s="358">
        <f t="shared" si="108"/>
        <v>2066</v>
      </c>
      <c r="G304" s="358">
        <f t="shared" si="108"/>
        <v>2086</v>
      </c>
      <c r="H304" s="358">
        <f t="shared" si="108"/>
        <v>2114</v>
      </c>
      <c r="I304" s="358">
        <f>IF(((I302="")*AND(I303="")),"",(I302-I303)*2)</f>
        <v>2144</v>
      </c>
      <c r="J304" s="358">
        <f>IF(((J302="")*AND(J303="")),"",(J302-J303)*2)</f>
        <v>2172</v>
      </c>
      <c r="K304" s="358">
        <f>IF(((K302="")*AND(K303="")),"",(K302-K303)*2)</f>
        <v>2124</v>
      </c>
      <c r="L304" s="358">
        <f>IF(((L302="")*AND(L303="")),"",(L302-L303)*2)</f>
        <v>2092</v>
      </c>
      <c r="M304" s="358">
        <f t="shared" ref="M304:S304" si="109">IF(((M302="")*AND(M303="")),"",(M302-M303)*2)</f>
        <v>2126</v>
      </c>
      <c r="N304" s="358">
        <f t="shared" si="109"/>
        <v>2112</v>
      </c>
      <c r="O304" s="358">
        <f t="shared" si="109"/>
        <v>2094</v>
      </c>
      <c r="P304" s="358">
        <f t="shared" si="109"/>
        <v>2094</v>
      </c>
      <c r="Q304" s="358">
        <f t="shared" si="109"/>
        <v>2108</v>
      </c>
      <c r="R304" s="358">
        <f t="shared" si="109"/>
        <v>2118</v>
      </c>
      <c r="S304" s="358">
        <f t="shared" si="109"/>
        <v>2092</v>
      </c>
      <c r="T304" s="358"/>
      <c r="U304" s="358"/>
      <c r="V304" s="358"/>
      <c r="W304" s="387"/>
      <c r="X304" s="358"/>
      <c r="Y304" s="358"/>
      <c r="Z304" s="360"/>
      <c r="AA304" s="124"/>
      <c r="AB304" s="125"/>
      <c r="AC304" s="124"/>
      <c r="AD304" s="124"/>
      <c r="AG304" s="316"/>
      <c r="AH304" s="316"/>
      <c r="AI304" s="124"/>
      <c r="AJ304" s="124"/>
    </row>
    <row r="305" spans="1:36">
      <c r="A305" s="261">
        <v>43588</v>
      </c>
      <c r="B305" s="248" t="s">
        <v>77</v>
      </c>
      <c r="C305" s="302">
        <v>2056</v>
      </c>
      <c r="D305" s="303">
        <v>2021</v>
      </c>
      <c r="E305" s="303">
        <v>1998</v>
      </c>
      <c r="F305" s="303">
        <v>1985</v>
      </c>
      <c r="G305" s="303">
        <v>1983</v>
      </c>
      <c r="H305" s="303">
        <v>1991</v>
      </c>
      <c r="I305" s="303">
        <v>2010</v>
      </c>
      <c r="J305" s="303">
        <v>2035</v>
      </c>
      <c r="K305" s="303">
        <v>2071</v>
      </c>
      <c r="L305" s="303">
        <v>2023</v>
      </c>
      <c r="M305" s="303">
        <v>2016</v>
      </c>
      <c r="N305" s="303">
        <v>2000</v>
      </c>
      <c r="O305" s="303">
        <v>1988</v>
      </c>
      <c r="P305" s="303">
        <v>1987</v>
      </c>
      <c r="Q305" s="303">
        <v>1998</v>
      </c>
      <c r="R305" s="303">
        <v>2015</v>
      </c>
      <c r="S305" s="386">
        <v>2035</v>
      </c>
      <c r="T305" s="248">
        <f>IF((S306=""),"",MAX(C307:S307))</f>
        <v>2182</v>
      </c>
      <c r="U305" s="248">
        <f>IF(S306="","",MIN(C307:S307))</f>
        <v>2018</v>
      </c>
      <c r="V305" s="248">
        <f>IF((S307=""),"",AVERAGE(C307:S307))</f>
        <v>2104.9411764705883</v>
      </c>
      <c r="W305" s="380">
        <f>STDEV(C307:S307)</f>
        <v>39.944446717029777</v>
      </c>
      <c r="X305" s="248">
        <f>IF((S306=""),"",((T305-U305)/(T305+U305))*100)</f>
        <v>3.9047619047619047</v>
      </c>
      <c r="Y305" s="250" t="str">
        <f>IF(S306="","",IF(X305&lt;15,IF(V305&gt;1680,IF(V305&lt;2200,"Pass","Fail"),"Fail"),"Fail"))</f>
        <v>Pass</v>
      </c>
      <c r="Z305" s="394">
        <v>1340</v>
      </c>
      <c r="AA305" s="124"/>
      <c r="AC305" s="316">
        <v>1600</v>
      </c>
      <c r="AD305" s="316">
        <v>2600</v>
      </c>
      <c r="AE305" s="355">
        <v>1690</v>
      </c>
      <c r="AF305" s="355">
        <v>2210</v>
      </c>
      <c r="AG305" s="356">
        <v>15</v>
      </c>
      <c r="AH305" s="356">
        <v>15</v>
      </c>
      <c r="AI305" s="124"/>
      <c r="AJ305" s="124"/>
    </row>
    <row r="306" spans="1:36">
      <c r="A306" s="392"/>
      <c r="B306" s="248" t="s">
        <v>78</v>
      </c>
      <c r="C306" s="302">
        <v>1047</v>
      </c>
      <c r="D306" s="303">
        <v>996</v>
      </c>
      <c r="E306" s="303">
        <v>967</v>
      </c>
      <c r="F306" s="303">
        <v>951</v>
      </c>
      <c r="G306" s="303">
        <v>938</v>
      </c>
      <c r="H306" s="303">
        <v>932</v>
      </c>
      <c r="I306" s="303">
        <v>933</v>
      </c>
      <c r="J306" s="303">
        <v>944</v>
      </c>
      <c r="K306" s="303">
        <v>999</v>
      </c>
      <c r="L306" s="303">
        <v>967</v>
      </c>
      <c r="M306" s="303">
        <v>950</v>
      </c>
      <c r="N306" s="303">
        <v>941</v>
      </c>
      <c r="O306" s="303">
        <v>939</v>
      </c>
      <c r="P306" s="303">
        <v>939</v>
      </c>
      <c r="Q306" s="303">
        <v>943</v>
      </c>
      <c r="R306" s="303">
        <v>953</v>
      </c>
      <c r="S306" s="386">
        <v>981</v>
      </c>
      <c r="T306" s="358"/>
      <c r="U306" s="358"/>
      <c r="V306" s="358"/>
      <c r="W306" s="380"/>
      <c r="X306" s="358"/>
      <c r="Y306" s="358"/>
      <c r="Z306" s="360"/>
      <c r="AA306" s="124"/>
      <c r="AB306" s="125"/>
      <c r="AC306" s="124"/>
      <c r="AD306" s="124"/>
      <c r="AG306" s="316"/>
      <c r="AH306" s="316"/>
      <c r="AI306" s="124"/>
      <c r="AJ306" s="124"/>
    </row>
    <row r="307" spans="1:36" ht="32.25" thickBot="1">
      <c r="A307" s="393"/>
      <c r="B307" s="256" t="s">
        <v>221</v>
      </c>
      <c r="C307" s="358">
        <f t="shared" ref="C307:H307" si="110">IF(((C305="")*AND(C306="")),"",(C305-C306)*2)</f>
        <v>2018</v>
      </c>
      <c r="D307" s="358">
        <f t="shared" si="110"/>
        <v>2050</v>
      </c>
      <c r="E307" s="358">
        <f t="shared" si="110"/>
        <v>2062</v>
      </c>
      <c r="F307" s="358">
        <f t="shared" si="110"/>
        <v>2068</v>
      </c>
      <c r="G307" s="358">
        <f t="shared" si="110"/>
        <v>2090</v>
      </c>
      <c r="H307" s="358">
        <f t="shared" si="110"/>
        <v>2118</v>
      </c>
      <c r="I307" s="358">
        <f>IF(((I305="")*AND(I306="")),"",(I305-I306)*2)</f>
        <v>2154</v>
      </c>
      <c r="J307" s="358">
        <f>IF(((J305="")*AND(J306="")),"",(J305-J306)*2)</f>
        <v>2182</v>
      </c>
      <c r="K307" s="358">
        <f>IF(((K305="")*AND(K306="")),"",(K305-K306)*2)</f>
        <v>2144</v>
      </c>
      <c r="L307" s="358">
        <f>IF(((L305="")*AND(L306="")),"",(L305-L306)*2)</f>
        <v>2112</v>
      </c>
      <c r="M307" s="358">
        <f t="shared" ref="M307:S307" si="111">IF(((M305="")*AND(M306="")),"",(M305-M306)*2)</f>
        <v>2132</v>
      </c>
      <c r="N307" s="358">
        <f t="shared" si="111"/>
        <v>2118</v>
      </c>
      <c r="O307" s="358">
        <f t="shared" si="111"/>
        <v>2098</v>
      </c>
      <c r="P307" s="358">
        <f t="shared" si="111"/>
        <v>2096</v>
      </c>
      <c r="Q307" s="358">
        <f t="shared" si="111"/>
        <v>2110</v>
      </c>
      <c r="R307" s="358">
        <f t="shared" si="111"/>
        <v>2124</v>
      </c>
      <c r="S307" s="358">
        <f t="shared" si="111"/>
        <v>2108</v>
      </c>
      <c r="T307" s="358"/>
      <c r="U307" s="358"/>
      <c r="V307" s="358"/>
      <c r="W307" s="387"/>
      <c r="X307" s="358"/>
      <c r="Y307" s="358"/>
      <c r="Z307" s="360"/>
      <c r="AA307" s="124"/>
      <c r="AB307" s="125"/>
      <c r="AC307" s="124"/>
      <c r="AD307" s="124"/>
      <c r="AG307" s="316"/>
      <c r="AH307" s="316"/>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80">
        <f>STDEV(C310:S310)</f>
        <v>41.942887043341784</v>
      </c>
      <c r="X308" s="248">
        <f>IF((S309=""),"",((T308-U308)/(T308+U308))*100)</f>
        <v>3.6911848708156079</v>
      </c>
      <c r="Y308" s="250" t="str">
        <f>IF(S309="","",IF(X308&lt;15,IF(V308&gt;1680,IF(V308&lt;2200,"Pass","Fail"),"Fail"),"Fail"))</f>
        <v>Pass</v>
      </c>
      <c r="Z308" s="394" t="s">
        <v>159</v>
      </c>
      <c r="AA308" s="124" t="s">
        <v>164</v>
      </c>
      <c r="AC308" s="316">
        <v>1600</v>
      </c>
      <c r="AD308" s="316">
        <v>2600</v>
      </c>
      <c r="AE308" s="355">
        <v>1690</v>
      </c>
      <c r="AF308" s="355">
        <v>2210</v>
      </c>
      <c r="AG308" s="356">
        <v>15</v>
      </c>
      <c r="AH308" s="356">
        <v>15</v>
      </c>
      <c r="AI308" s="124"/>
      <c r="AJ308" s="124"/>
    </row>
    <row r="309" spans="1:36">
      <c r="A309" s="392"/>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8"/>
      <c r="U309" s="358"/>
      <c r="V309" s="358"/>
      <c r="W309" s="380"/>
      <c r="X309" s="358"/>
      <c r="Y309" s="358"/>
      <c r="Z309" s="360"/>
      <c r="AA309" s="124"/>
      <c r="AB309" s="125"/>
      <c r="AC309" s="124"/>
      <c r="AD309" s="124"/>
      <c r="AG309" s="316"/>
      <c r="AH309" s="316"/>
      <c r="AI309" s="124"/>
      <c r="AJ309" s="124"/>
    </row>
    <row r="310" spans="1:36" ht="32.25" thickBot="1">
      <c r="A310" s="393"/>
      <c r="B310" s="256" t="s">
        <v>221</v>
      </c>
      <c r="C310" s="358">
        <f t="shared" ref="C310:H310" si="112">IF(((C308="")*AND(C309="")),"",(C308-C309)*2)</f>
        <v>2040.1000000000001</v>
      </c>
      <c r="D310" s="358">
        <f t="shared" si="112"/>
        <v>2059.3200000000002</v>
      </c>
      <c r="E310" s="358">
        <f t="shared" si="112"/>
        <v>2072.0600000000004</v>
      </c>
      <c r="F310" s="358">
        <f t="shared" si="112"/>
        <v>2080.6400000000003</v>
      </c>
      <c r="G310" s="358">
        <f t="shared" si="112"/>
        <v>2099.08</v>
      </c>
      <c r="H310" s="358">
        <f t="shared" si="112"/>
        <v>2130.1000000000004</v>
      </c>
      <c r="I310" s="358">
        <f>IF(((I308="")*AND(I309="")),"",(I308-I309)*2)</f>
        <v>2159.86</v>
      </c>
      <c r="J310" s="358">
        <f>IF(((J308="")*AND(J309="")),"",(J308-J309)*2)</f>
        <v>2186.38</v>
      </c>
      <c r="K310" s="358">
        <f>IF(((K308="")*AND(K309="")),"",(K308-K309)*2)</f>
        <v>2196.48</v>
      </c>
      <c r="L310" s="358">
        <f>IF(((L308="")*AND(L309="")),"",(L308-L309)*2)</f>
        <v>2143.16</v>
      </c>
      <c r="M310" s="358">
        <f t="shared" ref="M310:S310" si="113">IF(((M308="")*AND(M309="")),"",(M308-M309)*2)</f>
        <v>2138.08</v>
      </c>
      <c r="N310" s="358">
        <f t="shared" si="113"/>
        <v>2118.6800000000003</v>
      </c>
      <c r="O310" s="358">
        <f t="shared" si="113"/>
        <v>2103.2399999999998</v>
      </c>
      <c r="P310" s="358">
        <f t="shared" si="113"/>
        <v>2107.34</v>
      </c>
      <c r="Q310" s="358">
        <f t="shared" si="113"/>
        <v>2124.96</v>
      </c>
      <c r="R310" s="358">
        <f t="shared" si="113"/>
        <v>2136.2200000000003</v>
      </c>
      <c r="S310" s="358">
        <f t="shared" si="113"/>
        <v>2136.12</v>
      </c>
      <c r="T310" s="358"/>
      <c r="U310" s="358"/>
      <c r="V310" s="358"/>
      <c r="W310" s="387"/>
      <c r="X310" s="358"/>
      <c r="Y310" s="358"/>
      <c r="Z310" s="360"/>
      <c r="AA310" s="124"/>
      <c r="AB310" s="125"/>
      <c r="AC310" s="124"/>
      <c r="AD310" s="124"/>
      <c r="AG310" s="316"/>
      <c r="AH310" s="316"/>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80">
        <f>STDEV(C313:S313)</f>
        <v>42.440597032467984</v>
      </c>
      <c r="X311" s="248">
        <f>IF((S312=""),"",((T311-U311)/(T311+U311))*100)</f>
        <v>3.660734028689324</v>
      </c>
      <c r="Y311" s="250" t="str">
        <f>IF(S312="","",IF(X311&lt;15,IF(V311&gt;1680,IF(V311&lt;2200,"Pass","Fail"),"Fail"),"Fail"))</f>
        <v>Pass</v>
      </c>
      <c r="Z311" s="394">
        <v>1335</v>
      </c>
      <c r="AA311" s="124" t="s">
        <v>160</v>
      </c>
      <c r="AC311" s="316">
        <v>1600</v>
      </c>
      <c r="AD311" s="316">
        <v>2600</v>
      </c>
      <c r="AE311" s="355">
        <v>1690</v>
      </c>
      <c r="AF311" s="355">
        <v>2210</v>
      </c>
      <c r="AG311" s="356">
        <v>15</v>
      </c>
      <c r="AH311" s="356">
        <v>15</v>
      </c>
      <c r="AI311" s="124"/>
      <c r="AJ311" s="124"/>
    </row>
    <row r="312" spans="1:36">
      <c r="A312" s="392"/>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8"/>
      <c r="U312" s="358"/>
      <c r="V312" s="358"/>
      <c r="W312" s="380"/>
      <c r="X312" s="358"/>
      <c r="Y312" s="358"/>
      <c r="Z312" s="360"/>
      <c r="AA312" s="124"/>
      <c r="AB312" s="125"/>
      <c r="AC312" s="124"/>
      <c r="AD312" s="124"/>
      <c r="AG312" s="316"/>
      <c r="AH312" s="316"/>
      <c r="AI312" s="124"/>
      <c r="AJ312" s="124"/>
    </row>
    <row r="313" spans="1:36" ht="32.25" thickBot="1">
      <c r="A313" s="393"/>
      <c r="B313" s="256" t="s">
        <v>221</v>
      </c>
      <c r="C313" s="358">
        <f t="shared" ref="C313:H313" si="114">IF(((C311="")*AND(C312="")),"",(C311-C312)*2)</f>
        <v>2047.7199999999998</v>
      </c>
      <c r="D313" s="358">
        <f t="shared" si="114"/>
        <v>2069.1</v>
      </c>
      <c r="E313" s="358">
        <f t="shared" si="114"/>
        <v>2081.84</v>
      </c>
      <c r="F313" s="358">
        <f t="shared" si="114"/>
        <v>2087.16</v>
      </c>
      <c r="G313" s="358">
        <f t="shared" si="114"/>
        <v>2106.2600000000002</v>
      </c>
      <c r="H313" s="358">
        <f t="shared" si="114"/>
        <v>2139.16</v>
      </c>
      <c r="I313" s="358">
        <f>IF(((I311="")*AND(I312="")),"",(I311-I312)*2)</f>
        <v>2171.7999999999997</v>
      </c>
      <c r="J313" s="358">
        <f>IF(((J311="")*AND(J312="")),"",(J311-J312)*2)</f>
        <v>2196.62</v>
      </c>
      <c r="K313" s="358">
        <f>IF(((K311="")*AND(K312="")),"",(K311-K312)*2)</f>
        <v>2203.34</v>
      </c>
      <c r="L313" s="358">
        <f>IF(((L311="")*AND(L312="")),"",(L311-L312)*2)</f>
        <v>2154.42</v>
      </c>
      <c r="M313" s="358">
        <f t="shared" ref="M313:S313" si="115">IF(((M311="")*AND(M312="")),"",(M311-M312)*2)</f>
        <v>2150.3199999999997</v>
      </c>
      <c r="N313" s="358">
        <f t="shared" si="115"/>
        <v>2132.92</v>
      </c>
      <c r="O313" s="358">
        <f t="shared" si="115"/>
        <v>2115.0199999999995</v>
      </c>
      <c r="P313" s="358">
        <f t="shared" si="115"/>
        <v>2117.06</v>
      </c>
      <c r="Q313" s="358">
        <f t="shared" si="115"/>
        <v>2130.94</v>
      </c>
      <c r="R313" s="358">
        <f t="shared" si="115"/>
        <v>2147.58</v>
      </c>
      <c r="S313" s="358">
        <f t="shared" si="115"/>
        <v>2146.2399999999998</v>
      </c>
      <c r="T313" s="358"/>
      <c r="U313" s="358"/>
      <c r="V313" s="358"/>
      <c r="W313" s="387"/>
      <c r="X313" s="358"/>
      <c r="Y313" s="358"/>
      <c r="Z313" s="360"/>
      <c r="AA313" s="124"/>
      <c r="AB313" s="125"/>
      <c r="AC313" s="124"/>
      <c r="AD313" s="124"/>
      <c r="AG313" s="316"/>
      <c r="AH313" s="316"/>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80">
        <f>STDEV(C316:S316)</f>
        <v>41.697169109721749</v>
      </c>
      <c r="X314" s="248">
        <f>IF((S315=""),"",((T314-U314)/(T314+U314))*100)</f>
        <v>3.6941188648971757</v>
      </c>
      <c r="Y314" s="250" t="str">
        <f>IF(S315="","",IF(X314&lt;15,IF(V314&gt;1680,IF(V314&lt;2200,"Pass","Fail"),"Fail"),"Fail"))</f>
        <v>Pass</v>
      </c>
      <c r="Z314" s="394">
        <v>1335</v>
      </c>
      <c r="AA314" s="124"/>
      <c r="AC314" s="316">
        <v>1600</v>
      </c>
      <c r="AD314" s="316">
        <v>2600</v>
      </c>
      <c r="AE314" s="355">
        <v>1690</v>
      </c>
      <c r="AF314" s="355">
        <v>2210</v>
      </c>
      <c r="AG314" s="356">
        <v>15</v>
      </c>
      <c r="AH314" s="356">
        <v>15</v>
      </c>
      <c r="AI314" s="124"/>
      <c r="AJ314" s="124"/>
    </row>
    <row r="315" spans="1:36">
      <c r="A315" s="392"/>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8"/>
      <c r="U315" s="358"/>
      <c r="V315" s="358"/>
      <c r="W315" s="380"/>
      <c r="X315" s="358"/>
      <c r="Y315" s="358"/>
      <c r="Z315" s="360"/>
      <c r="AA315" s="124"/>
      <c r="AB315" s="125"/>
      <c r="AC315" s="124"/>
      <c r="AD315" s="124"/>
      <c r="AG315" s="316"/>
      <c r="AH315" s="316"/>
      <c r="AI315" s="124"/>
      <c r="AJ315" s="124"/>
    </row>
    <row r="316" spans="1:36" ht="32.25" thickBot="1">
      <c r="A316" s="393"/>
      <c r="B316" s="256" t="s">
        <v>221</v>
      </c>
      <c r="C316" s="358">
        <f t="shared" ref="C316:H316" si="116">IF(((C314="")*AND(C315="")),"",(C314-C315)*2)</f>
        <v>2046.7600000000002</v>
      </c>
      <c r="D316" s="358">
        <f t="shared" si="116"/>
        <v>2065.34</v>
      </c>
      <c r="E316" s="358">
        <f t="shared" si="116"/>
        <v>2075.8199999999997</v>
      </c>
      <c r="F316" s="358">
        <f t="shared" si="116"/>
        <v>2084.3599999999997</v>
      </c>
      <c r="G316" s="358">
        <f t="shared" si="116"/>
        <v>2103.9799999999996</v>
      </c>
      <c r="H316" s="358">
        <f t="shared" si="116"/>
        <v>2130.38</v>
      </c>
      <c r="I316" s="358">
        <f>IF(((I314="")*AND(I315="")),"",(I314-I315)*2)</f>
        <v>2161.48</v>
      </c>
      <c r="J316" s="358">
        <f>IF(((J314="")*AND(J315="")),"",(J314-J315)*2)</f>
        <v>2191.6200000000003</v>
      </c>
      <c r="K316" s="358">
        <f>IF(((K314="")*AND(K315="")),"",(K314-K315)*2)</f>
        <v>2203.7800000000007</v>
      </c>
      <c r="L316" s="358">
        <f>IF(((L314="")*AND(L315="")),"",(L314-L315)*2)</f>
        <v>2146.16</v>
      </c>
      <c r="M316" s="358">
        <f t="shared" ref="M316:S316" si="117">IF(((M314="")*AND(M315="")),"",(M314-M315)*2)</f>
        <v>2144.42</v>
      </c>
      <c r="N316" s="358">
        <f t="shared" si="117"/>
        <v>2126.0200000000004</v>
      </c>
      <c r="O316" s="358">
        <f t="shared" si="117"/>
        <v>2112.2399999999998</v>
      </c>
      <c r="P316" s="358">
        <f t="shared" si="117"/>
        <v>2108.4799999999996</v>
      </c>
      <c r="Q316" s="358">
        <f t="shared" si="117"/>
        <v>2124.7200000000003</v>
      </c>
      <c r="R316" s="358">
        <f t="shared" si="117"/>
        <v>2137.0600000000004</v>
      </c>
      <c r="S316" s="358">
        <f t="shared" si="117"/>
        <v>2140.5600000000004</v>
      </c>
      <c r="T316" s="358"/>
      <c r="U316" s="358"/>
      <c r="V316" s="358"/>
      <c r="W316" s="387"/>
      <c r="X316" s="358"/>
      <c r="Y316" s="358"/>
      <c r="Z316" s="360"/>
      <c r="AA316" s="124"/>
      <c r="AB316" s="125"/>
      <c r="AC316" s="124"/>
      <c r="AD316" s="124"/>
      <c r="AG316" s="316"/>
      <c r="AH316" s="316"/>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80">
        <f>STDEV(C319:S319)</f>
        <v>40.461748275756008</v>
      </c>
      <c r="X317" s="248">
        <f>IF((S318=""),"",((T317-U317)/(T317+U317))*100)</f>
        <v>3.455987567162909</v>
      </c>
      <c r="Y317" s="250" t="str">
        <f>IF(S318="","",IF(X317&lt;15,IF(V317&gt;1680,IF(V317&lt;2200,"Pass","Fail"),"Fail"),"Fail"))</f>
        <v>Pass</v>
      </c>
      <c r="Z317" s="394">
        <v>102</v>
      </c>
      <c r="AA317" s="124" t="s">
        <v>161</v>
      </c>
      <c r="AC317" s="316">
        <v>1600</v>
      </c>
      <c r="AD317" s="316">
        <v>2600</v>
      </c>
      <c r="AE317" s="355">
        <v>1690</v>
      </c>
      <c r="AF317" s="355">
        <v>2210</v>
      </c>
      <c r="AG317" s="356">
        <v>15</v>
      </c>
      <c r="AH317" s="356">
        <v>15</v>
      </c>
      <c r="AI317" s="124"/>
      <c r="AJ317" s="124"/>
    </row>
    <row r="318" spans="1:36">
      <c r="A318" s="392"/>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8"/>
      <c r="U318" s="358"/>
      <c r="V318" s="358"/>
      <c r="W318" s="380"/>
      <c r="X318" s="358"/>
      <c r="Y318" s="358"/>
      <c r="Z318" s="360"/>
      <c r="AA318" s="124"/>
      <c r="AB318" s="125"/>
      <c r="AC318" s="124"/>
      <c r="AD318" s="124"/>
      <c r="AG318" s="316"/>
      <c r="AH318" s="316"/>
      <c r="AI318" s="124"/>
      <c r="AJ318" s="124"/>
    </row>
    <row r="319" spans="1:36" ht="32.25" thickBot="1">
      <c r="A319" s="393"/>
      <c r="B319" s="256" t="s">
        <v>221</v>
      </c>
      <c r="C319" s="358">
        <f t="shared" ref="C319:H319" si="118">IF(((C317="")*AND(C318="")),"",(C317-C318)*2)</f>
        <v>2037.6</v>
      </c>
      <c r="D319" s="358">
        <f t="shared" si="118"/>
        <v>2056.48</v>
      </c>
      <c r="E319" s="358">
        <f t="shared" si="118"/>
        <v>2062.7600000000002</v>
      </c>
      <c r="F319" s="358">
        <f t="shared" si="118"/>
        <v>2072</v>
      </c>
      <c r="G319" s="358">
        <f t="shared" si="118"/>
        <v>2087.16</v>
      </c>
      <c r="H319" s="358">
        <f t="shared" si="118"/>
        <v>2119.9</v>
      </c>
      <c r="I319" s="358">
        <f>IF(((I317="")*AND(I318="")),"",(I317-I318)*2)</f>
        <v>2152.62</v>
      </c>
      <c r="J319" s="358">
        <f>IF(((J317="")*AND(J318="")),"",(J317-J318)*2)</f>
        <v>2177.6400000000003</v>
      </c>
      <c r="K319" s="358">
        <f>IF(((K317="")*AND(K318="")),"",(K317-K318)*2)</f>
        <v>2183.48</v>
      </c>
      <c r="L319" s="358">
        <f>IF(((L317="")*AND(L318="")),"",(L317-L318)*2)</f>
        <v>2135.94</v>
      </c>
      <c r="M319" s="358">
        <f t="shared" ref="M319:S319" si="119">IF(((M317="")*AND(M318="")),"",(M317-M318)*2)</f>
        <v>2130.8200000000002</v>
      </c>
      <c r="N319" s="358">
        <f t="shared" si="119"/>
        <v>2114.9799999999996</v>
      </c>
      <c r="O319" s="358">
        <f t="shared" si="119"/>
        <v>2096.2199999999998</v>
      </c>
      <c r="P319" s="358">
        <f t="shared" si="119"/>
        <v>2100</v>
      </c>
      <c r="Q319" s="358">
        <f t="shared" si="119"/>
        <v>2111.3199999999997</v>
      </c>
      <c r="R319" s="358">
        <f t="shared" si="119"/>
        <v>2128.8000000000002</v>
      </c>
      <c r="S319" s="358">
        <f t="shared" si="119"/>
        <v>2126.1000000000004</v>
      </c>
      <c r="T319" s="358"/>
      <c r="U319" s="358"/>
      <c r="V319" s="358"/>
      <c r="W319" s="387"/>
      <c r="X319" s="358"/>
      <c r="Y319" s="358"/>
      <c r="Z319" s="360"/>
      <c r="AA319" s="124"/>
      <c r="AB319" s="125"/>
      <c r="AC319" s="124"/>
      <c r="AD319" s="124"/>
      <c r="AG319" s="316"/>
      <c r="AH319" s="316"/>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80">
        <f>STDEV(C322:S322)</f>
        <v>38.49163480548512</v>
      </c>
      <c r="X320" s="248">
        <f>IF((S321=""),"",((T320-U320)/(T320+U320))*100)</f>
        <v>3.297923390321686</v>
      </c>
      <c r="Y320" s="250" t="str">
        <f>IF(S321="","",IF(X320&lt;15,IF(V320&gt;1680,IF(V320&lt;2200,"Pass","Fail"),"Fail"),"Fail"))</f>
        <v>Pass</v>
      </c>
      <c r="Z320" s="394">
        <v>1159</v>
      </c>
      <c r="AA320" s="284" t="s">
        <v>169</v>
      </c>
      <c r="AC320" s="316">
        <v>1600</v>
      </c>
      <c r="AD320" s="316">
        <v>2600</v>
      </c>
      <c r="AE320" s="355">
        <v>1690</v>
      </c>
      <c r="AF320" s="355">
        <v>2210</v>
      </c>
      <c r="AG320" s="356">
        <v>15</v>
      </c>
      <c r="AH320" s="356">
        <v>15</v>
      </c>
    </row>
    <row r="321" spans="1:34">
      <c r="A321" s="392"/>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8"/>
      <c r="U321" s="358"/>
      <c r="V321" s="358"/>
      <c r="W321" s="380"/>
      <c r="X321" s="358"/>
      <c r="Y321" s="358"/>
      <c r="Z321" s="360"/>
      <c r="AA321" s="124"/>
    </row>
    <row r="322" spans="1:34" ht="32.25" thickBot="1">
      <c r="A322" s="393"/>
      <c r="B322" s="256" t="s">
        <v>221</v>
      </c>
      <c r="C322" s="358">
        <f t="shared" ref="C322:H322" si="120">IF(((C320="")*AND(C321="")),"",(C320-C321)*2)</f>
        <v>2055.4800000000005</v>
      </c>
      <c r="D322" s="358">
        <f t="shared" si="120"/>
        <v>2079.2599999999998</v>
      </c>
      <c r="E322" s="358">
        <f t="shared" si="120"/>
        <v>2086.48</v>
      </c>
      <c r="F322" s="358">
        <f t="shared" si="120"/>
        <v>2093.3200000000002</v>
      </c>
      <c r="G322" s="358">
        <f t="shared" si="120"/>
        <v>2111</v>
      </c>
      <c r="H322" s="358">
        <f t="shared" si="120"/>
        <v>2139.94</v>
      </c>
      <c r="I322" s="358">
        <f>IF(((I320="")*AND(I321="")),"",(I320-I321)*2)</f>
        <v>2170.16</v>
      </c>
      <c r="J322" s="358">
        <f>IF(((J320="")*AND(J321="")),"",(J320-J321)*2)</f>
        <v>2193.12</v>
      </c>
      <c r="K322" s="358">
        <f>IF(((K320="")*AND(K321="")),"",(K320-K321)*2)</f>
        <v>2195.6799999999998</v>
      </c>
      <c r="L322" s="358">
        <f>IF(((L320="")*AND(L321="")),"",(L320-L321)*2)</f>
        <v>2159.16</v>
      </c>
      <c r="M322" s="358">
        <f t="shared" ref="M322:S322" si="121">IF(((M320="")*AND(M321="")),"",(M320-M321)*2)</f>
        <v>2151.6800000000003</v>
      </c>
      <c r="N322" s="358">
        <f t="shared" si="121"/>
        <v>2138.38</v>
      </c>
      <c r="O322" s="358">
        <f t="shared" si="121"/>
        <v>2117.46</v>
      </c>
      <c r="P322" s="358">
        <f t="shared" si="121"/>
        <v>2119.9399999999996</v>
      </c>
      <c r="Q322" s="358">
        <f t="shared" si="121"/>
        <v>2131.1999999999998</v>
      </c>
      <c r="R322" s="358">
        <f t="shared" si="121"/>
        <v>2144.42</v>
      </c>
      <c r="S322" s="358">
        <f t="shared" si="121"/>
        <v>2141.34</v>
      </c>
      <c r="T322" s="358"/>
      <c r="U322" s="358"/>
      <c r="V322" s="358"/>
      <c r="W322" s="387"/>
      <c r="X322" s="358"/>
      <c r="Y322" s="358"/>
      <c r="Z322" s="360"/>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80">
        <f>STDEV(C325:S325)</f>
        <v>41.709587591570255</v>
      </c>
      <c r="X323" s="248">
        <f>IF((S324=""),"",((T323-U323)/(T323+U323))*100)</f>
        <v>3.5296898638426506</v>
      </c>
      <c r="Y323" s="250" t="str">
        <f>IF(S324="","",IF(X323&lt;15,IF(V323&gt;1680,IF(V323&lt;2200,"Pass","Fail"),"Fail"),"Fail"))</f>
        <v>Pass</v>
      </c>
      <c r="Z323" s="394">
        <v>74</v>
      </c>
      <c r="AA323" s="398" t="s">
        <v>170</v>
      </c>
      <c r="AC323" s="316">
        <v>1600</v>
      </c>
      <c r="AD323" s="316">
        <v>2600</v>
      </c>
      <c r="AE323" s="355">
        <v>1690</v>
      </c>
      <c r="AF323" s="355">
        <v>2210</v>
      </c>
      <c r="AG323" s="356">
        <v>15</v>
      </c>
      <c r="AH323" s="356">
        <v>15</v>
      </c>
    </row>
    <row r="324" spans="1:34">
      <c r="A324" s="392"/>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8"/>
      <c r="U324" s="358"/>
      <c r="V324" s="358"/>
      <c r="W324" s="380"/>
      <c r="X324" s="358"/>
      <c r="Y324" s="358"/>
      <c r="Z324" s="360"/>
    </row>
    <row r="325" spans="1:34" ht="32.25" thickBot="1">
      <c r="A325" s="393"/>
      <c r="B325" s="256" t="s">
        <v>221</v>
      </c>
      <c r="C325" s="358">
        <f t="shared" ref="C325:H325" si="122">IF(((C323="")*AND(C324="")),"",(C323-C324)*2)</f>
        <v>2040.5400000000002</v>
      </c>
      <c r="D325" s="358">
        <f t="shared" si="122"/>
        <v>2060.2200000000003</v>
      </c>
      <c r="E325" s="358">
        <f t="shared" si="122"/>
        <v>2071.88</v>
      </c>
      <c r="F325" s="358">
        <f t="shared" si="122"/>
        <v>2078.0600000000004</v>
      </c>
      <c r="G325" s="358">
        <f t="shared" si="122"/>
        <v>2091.96</v>
      </c>
      <c r="H325" s="358">
        <f t="shared" si="122"/>
        <v>2123.5199999999995</v>
      </c>
      <c r="I325" s="358">
        <f>IF(((I323="")*AND(I324="")),"",(I323-I324)*2)</f>
        <v>2161.12</v>
      </c>
      <c r="J325" s="358">
        <f>IF(((J323="")*AND(J324="")),"",(J323-J324)*2)</f>
        <v>2187.3599999999997</v>
      </c>
      <c r="K325" s="358">
        <f>IF(((K323="")*AND(K324="")),"",(K323-K324)*2)</f>
        <v>2189.8599999999997</v>
      </c>
      <c r="L325" s="358">
        <f>IF(((L323="")*AND(L324="")),"",(L323-L324)*2)</f>
        <v>2141.46</v>
      </c>
      <c r="M325" s="358">
        <f t="shared" ref="M325:S325" si="123">IF(((M323="")*AND(M324="")),"",(M323-M324)*2)</f>
        <v>2141.4799999999996</v>
      </c>
      <c r="N325" s="358">
        <f t="shared" si="123"/>
        <v>2124.1999999999998</v>
      </c>
      <c r="O325" s="358">
        <f t="shared" si="123"/>
        <v>2103.96</v>
      </c>
      <c r="P325" s="358">
        <f t="shared" si="123"/>
        <v>2104.94</v>
      </c>
      <c r="Q325" s="358">
        <f t="shared" si="123"/>
        <v>2123.5600000000004</v>
      </c>
      <c r="R325" s="358">
        <f t="shared" si="123"/>
        <v>2139.6</v>
      </c>
      <c r="S325" s="358">
        <f t="shared" si="123"/>
        <v>2133.2799999999997</v>
      </c>
      <c r="T325" s="358"/>
      <c r="U325" s="358"/>
      <c r="V325" s="358"/>
      <c r="W325" s="387"/>
      <c r="X325" s="358"/>
      <c r="Y325" s="358"/>
      <c r="Z325" s="360"/>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80">
        <f>STDEV(C328:S328)</f>
        <v>27.782287628681019</v>
      </c>
      <c r="X326" s="248">
        <f>IF((S327=""),"",((T326-U326)/(T326+U326))*100)</f>
        <v>2.161693917528821</v>
      </c>
      <c r="Y326" s="250" t="str">
        <f>IF(S327="","",IF(X326&lt;15,IF(V326&gt;1680,IF(V326&lt;2200,"Pass","Fail"),"Fail"),"Fail"))</f>
        <v>Pass</v>
      </c>
      <c r="Z326" s="394">
        <v>1340</v>
      </c>
      <c r="AA326" s="398" t="s">
        <v>171</v>
      </c>
      <c r="AC326" s="316">
        <v>1600</v>
      </c>
      <c r="AD326" s="316">
        <v>2600</v>
      </c>
      <c r="AE326" s="355">
        <v>1690</v>
      </c>
      <c r="AF326" s="355">
        <v>2210</v>
      </c>
      <c r="AG326" s="356">
        <v>15</v>
      </c>
      <c r="AH326" s="356">
        <v>15</v>
      </c>
    </row>
    <row r="327" spans="1:34">
      <c r="A327" s="392"/>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8"/>
      <c r="U327" s="358"/>
      <c r="V327" s="358"/>
      <c r="W327" s="380"/>
      <c r="X327" s="358"/>
      <c r="Y327" s="358"/>
      <c r="Z327" s="360"/>
    </row>
    <row r="328" spans="1:34" ht="32.25" thickBot="1">
      <c r="A328" s="393"/>
      <c r="B328" s="256" t="s">
        <v>221</v>
      </c>
      <c r="C328" s="358">
        <f t="shared" ref="C328:H328" si="124">IF(((C326="")*AND(C327="")),"",(C326-C327)*2)</f>
        <v>1987.8200000000002</v>
      </c>
      <c r="D328" s="358">
        <f t="shared" si="124"/>
        <v>1990.6400000000003</v>
      </c>
      <c r="E328" s="358">
        <f t="shared" si="124"/>
        <v>1995.0800000000002</v>
      </c>
      <c r="F328" s="358">
        <f t="shared" si="124"/>
        <v>1999.9</v>
      </c>
      <c r="G328" s="358">
        <f t="shared" si="124"/>
        <v>2010</v>
      </c>
      <c r="H328" s="358">
        <f t="shared" si="124"/>
        <v>2028.6000000000001</v>
      </c>
      <c r="I328" s="358">
        <f>IF(((I326="")*AND(I327="")),"",(I326-I327)*2)</f>
        <v>2054.12</v>
      </c>
      <c r="J328" s="358">
        <f>IF(((J326="")*AND(J327="")),"",(J326-J327)*2)</f>
        <v>2073.6400000000003</v>
      </c>
      <c r="K328" s="358">
        <f>IF(((K326="")*AND(K327="")),"",(K326-K327)*2)</f>
        <v>2075.6600000000003</v>
      </c>
      <c r="L328" s="358">
        <f>IF(((L326="")*AND(L327="")),"",(L326-L327)*2)</f>
        <v>2060.16</v>
      </c>
      <c r="M328" s="358">
        <f t="shared" ref="M328:S328" si="125">IF(((M326="")*AND(M327="")),"",(M326-M327)*2)</f>
        <v>2052.1400000000003</v>
      </c>
      <c r="N328" s="358">
        <f t="shared" si="125"/>
        <v>2041.08</v>
      </c>
      <c r="O328" s="358">
        <f t="shared" si="125"/>
        <v>2023.3400000000001</v>
      </c>
      <c r="P328" s="358">
        <f t="shared" si="125"/>
        <v>2012.3999999999999</v>
      </c>
      <c r="Q328" s="358">
        <f t="shared" si="125"/>
        <v>2023.5400000000002</v>
      </c>
      <c r="R328" s="358">
        <f t="shared" si="125"/>
        <v>2033.62</v>
      </c>
      <c r="S328" s="358">
        <f t="shared" si="125"/>
        <v>2032.4599999999998</v>
      </c>
      <c r="T328" s="358"/>
      <c r="U328" s="358"/>
      <c r="V328" s="358"/>
      <c r="W328" s="387"/>
      <c r="X328" s="358"/>
      <c r="Y328" s="358"/>
      <c r="Z328" s="360"/>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80">
        <f>STDEV(C331:S331)</f>
        <v>28.760503196552317</v>
      </c>
      <c r="X329" s="248">
        <f>IF((S330=""),"",((T329-U329)/(T329+U329))*100)</f>
        <v>2.3747579272705797</v>
      </c>
      <c r="Y329" s="250" t="str">
        <f>IF(S330="","",IF(X329&lt;15,IF(V329&gt;1680,IF(V329&lt;2200,"Pass","Fail"),"Fail"),"Fail"))</f>
        <v>Pass</v>
      </c>
      <c r="Z329" s="394">
        <v>1159</v>
      </c>
      <c r="AA329" s="398" t="s">
        <v>176</v>
      </c>
      <c r="AC329" s="316">
        <v>1600</v>
      </c>
      <c r="AD329" s="316">
        <v>2600</v>
      </c>
      <c r="AE329" s="355">
        <v>1690</v>
      </c>
      <c r="AF329" s="355">
        <v>2210</v>
      </c>
      <c r="AG329" s="356">
        <v>15</v>
      </c>
      <c r="AH329" s="356">
        <v>15</v>
      </c>
    </row>
    <row r="330" spans="1:34">
      <c r="A330" s="392"/>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8"/>
      <c r="U330" s="358"/>
      <c r="V330" s="358"/>
      <c r="W330" s="380"/>
      <c r="X330" s="358"/>
      <c r="Y330" s="358"/>
      <c r="Z330" s="360"/>
    </row>
    <row r="331" spans="1:34" ht="32.25" thickBot="1">
      <c r="A331" s="393"/>
      <c r="B331" s="256" t="s">
        <v>221</v>
      </c>
      <c r="C331" s="358">
        <f t="shared" ref="C331:H331" si="126">IF(((C329="")*AND(C330="")),"",(C329-C330)*2)</f>
        <v>1996.2800000000002</v>
      </c>
      <c r="D331" s="358">
        <f t="shared" si="126"/>
        <v>2004.94</v>
      </c>
      <c r="E331" s="358">
        <f t="shared" si="126"/>
        <v>2006.8799999999999</v>
      </c>
      <c r="F331" s="358">
        <f t="shared" si="126"/>
        <v>2007.74</v>
      </c>
      <c r="G331" s="358">
        <f t="shared" si="126"/>
        <v>2017.34</v>
      </c>
      <c r="H331" s="358">
        <f t="shared" si="126"/>
        <v>2038.8999999999999</v>
      </c>
      <c r="I331" s="358">
        <f>IF(((I329="")*AND(I330="")),"",(I329-I330)*2)</f>
        <v>2063.8999999999996</v>
      </c>
      <c r="J331" s="358">
        <f>IF(((J329="")*AND(J330="")),"",(J329-J330)*2)</f>
        <v>2084.66</v>
      </c>
      <c r="K331" s="358">
        <f>IF(((K329="")*AND(K330="")),"",(K329-K330)*2)</f>
        <v>2093.3999999999996</v>
      </c>
      <c r="L331" s="358">
        <f>IF(((L329="")*AND(L330="")),"",(L329-L330)*2)</f>
        <v>2073.42</v>
      </c>
      <c r="M331" s="358">
        <f t="shared" ref="M331:S331" si="127">IF(((M329="")*AND(M330="")),"",(M329-M330)*2)</f>
        <v>2062.96</v>
      </c>
      <c r="N331" s="358">
        <f t="shared" si="127"/>
        <v>2048.9800000000005</v>
      </c>
      <c r="O331" s="358">
        <f t="shared" si="127"/>
        <v>2031.64</v>
      </c>
      <c r="P331" s="358">
        <f t="shared" si="127"/>
        <v>2026.2600000000002</v>
      </c>
      <c r="Q331" s="358">
        <f t="shared" si="127"/>
        <v>2033.48</v>
      </c>
      <c r="R331" s="358">
        <f t="shared" si="127"/>
        <v>2040.3999999999999</v>
      </c>
      <c r="S331" s="358">
        <f t="shared" si="127"/>
        <v>2041.3</v>
      </c>
      <c r="T331" s="358"/>
      <c r="U331" s="358"/>
      <c r="V331" s="358"/>
      <c r="W331" s="387"/>
      <c r="X331" s="358"/>
      <c r="Y331" s="358"/>
      <c r="Z331" s="360"/>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80">
        <f>STDEV(C334:S334)</f>
        <v>26.546671221497132</v>
      </c>
      <c r="X332" s="248">
        <f>IF((S333=""),"",((T332-U332)/(T332+U332))*100)</f>
        <v>2.0417535922453411</v>
      </c>
      <c r="Y332" s="250" t="str">
        <f>IF(S333="","",IF(X332&lt;15,IF(V332&gt;1680,IF(V332&lt;2200,"Pass","Fail"),"Fail"),"Fail"))</f>
        <v>Pass</v>
      </c>
      <c r="Z332" s="394" t="s">
        <v>177</v>
      </c>
      <c r="AA332" s="124" t="s">
        <v>178</v>
      </c>
      <c r="AC332" s="316">
        <v>1600</v>
      </c>
      <c r="AD332" s="316">
        <v>2600</v>
      </c>
      <c r="AE332" s="355">
        <v>1690</v>
      </c>
      <c r="AF332" s="355">
        <v>2210</v>
      </c>
      <c r="AG332" s="356">
        <v>15</v>
      </c>
      <c r="AH332" s="356">
        <v>15</v>
      </c>
    </row>
    <row r="333" spans="1:34">
      <c r="A333" s="392"/>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8"/>
      <c r="U333" s="358"/>
      <c r="V333" s="358"/>
      <c r="W333" s="380"/>
      <c r="X333" s="358"/>
      <c r="Y333" s="358"/>
      <c r="Z333" s="360"/>
    </row>
    <row r="334" spans="1:34" ht="32.25" thickBot="1">
      <c r="A334" s="393"/>
      <c r="B334" s="256" t="s">
        <v>221</v>
      </c>
      <c r="C334" s="358">
        <f t="shared" ref="C334:H334" si="128">IF(((C332="")*AND(C333="")),"",(C332-C333)*2)</f>
        <v>2004.98</v>
      </c>
      <c r="D334" s="358">
        <f t="shared" si="128"/>
        <v>2006.78</v>
      </c>
      <c r="E334" s="358">
        <f t="shared" si="128"/>
        <v>2007.78</v>
      </c>
      <c r="F334" s="358">
        <f t="shared" si="128"/>
        <v>2010.4399999999998</v>
      </c>
      <c r="G334" s="358">
        <f t="shared" si="128"/>
        <v>2021.2200000000003</v>
      </c>
      <c r="H334" s="358">
        <f t="shared" si="128"/>
        <v>2039.4800000000002</v>
      </c>
      <c r="I334" s="358">
        <f>IF(((I332="")*AND(I333="")),"",(I332-I333)*2)</f>
        <v>2062</v>
      </c>
      <c r="J334" s="358">
        <f>IF(((J332="")*AND(J333="")),"",(J332-J333)*2)</f>
        <v>2076.3000000000002</v>
      </c>
      <c r="K334" s="358">
        <f>IF(((K332="")*AND(K333="")),"",(K332-K333)*2)</f>
        <v>2088.56</v>
      </c>
      <c r="L334" s="358">
        <f>IF(((L332="")*AND(L333="")),"",(L332-L333)*2)</f>
        <v>2076.92</v>
      </c>
      <c r="M334" s="358">
        <f t="shared" ref="M334:S334" si="129">IF(((M332="")*AND(M333="")),"",(M332-M333)*2)</f>
        <v>2064.38</v>
      </c>
      <c r="N334" s="358">
        <f t="shared" si="129"/>
        <v>2047.2799999999997</v>
      </c>
      <c r="O334" s="358">
        <f t="shared" si="129"/>
        <v>2030.44</v>
      </c>
      <c r="P334" s="358">
        <f t="shared" si="129"/>
        <v>2023.1</v>
      </c>
      <c r="Q334" s="358">
        <f t="shared" si="129"/>
        <v>2029.76</v>
      </c>
      <c r="R334" s="358">
        <f t="shared" si="129"/>
        <v>2039.5</v>
      </c>
      <c r="S334" s="358">
        <f t="shared" si="129"/>
        <v>2045.5000000000002</v>
      </c>
      <c r="T334" s="358"/>
      <c r="U334" s="358"/>
      <c r="V334" s="358"/>
      <c r="W334" s="387"/>
      <c r="X334" s="358"/>
      <c r="Y334" s="358"/>
      <c r="Z334" s="360"/>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80">
        <f>STDEV(C337:S337)</f>
        <v>24.7628063124648</v>
      </c>
      <c r="X335" s="248">
        <f>IF((S336=""),"",((T335-U335)/(T335+U335))*100)</f>
        <v>1.9517863473431329</v>
      </c>
      <c r="Y335" s="250" t="str">
        <f>IF(S336="","",IF(X335&lt;15,IF(V335&gt;1680,IF(V335&lt;2200,"Pass","Fail"),"Fail"),"Fail"))</f>
        <v>Pass</v>
      </c>
      <c r="Z335" s="394">
        <v>121</v>
      </c>
      <c r="AA335" s="398" t="s">
        <v>179</v>
      </c>
      <c r="AC335" s="316">
        <v>1600</v>
      </c>
      <c r="AD335" s="316">
        <v>2600</v>
      </c>
      <c r="AE335" s="355">
        <v>1690</v>
      </c>
      <c r="AF335" s="355">
        <v>2210</v>
      </c>
      <c r="AG335" s="356">
        <v>15</v>
      </c>
      <c r="AH335" s="356">
        <v>15</v>
      </c>
    </row>
    <row r="336" spans="1:34">
      <c r="A336" s="392"/>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8"/>
      <c r="U336" s="358"/>
      <c r="V336" s="358"/>
      <c r="W336" s="380"/>
      <c r="X336" s="358"/>
      <c r="Y336" s="358"/>
      <c r="Z336" s="360"/>
    </row>
    <row r="337" spans="1:34" ht="32.25" thickBot="1">
      <c r="A337" s="393"/>
      <c r="B337" s="256" t="s">
        <v>221</v>
      </c>
      <c r="C337" s="358">
        <f t="shared" ref="C337:H337" si="130">IF(((C335="")*AND(C336="")),"",(C335-C336)*2)</f>
        <v>1994.42</v>
      </c>
      <c r="D337" s="358">
        <f t="shared" si="130"/>
        <v>1991.3200000000002</v>
      </c>
      <c r="E337" s="358">
        <f t="shared" si="130"/>
        <v>1995.64</v>
      </c>
      <c r="F337" s="358">
        <f t="shared" si="130"/>
        <v>2000.9199999999998</v>
      </c>
      <c r="G337" s="358">
        <f t="shared" si="130"/>
        <v>2011.92</v>
      </c>
      <c r="H337" s="358">
        <f t="shared" si="130"/>
        <v>2025.0600000000002</v>
      </c>
      <c r="I337" s="358">
        <f>IF(((I335="")*AND(I336="")),"",(I335-I336)*2)</f>
        <v>2047.88</v>
      </c>
      <c r="J337" s="358">
        <f>IF(((J335="")*AND(J336="")),"",(J335-J336)*2)</f>
        <v>2060.04</v>
      </c>
      <c r="K337" s="358">
        <f>IF(((K335="")*AND(K336="")),"",(K335-K336)*2)</f>
        <v>2070.6000000000004</v>
      </c>
      <c r="L337" s="358">
        <f>IF(((L335="")*AND(L336="")),"",(L335-L336)*2)</f>
        <v>2061.08</v>
      </c>
      <c r="M337" s="358">
        <f t="shared" ref="M337:S337" si="131">IF(((M335="")*AND(M336="")),"",(M335-M336)*2)</f>
        <v>2050.86</v>
      </c>
      <c r="N337" s="358">
        <f t="shared" si="131"/>
        <v>2030.6800000000003</v>
      </c>
      <c r="O337" s="358">
        <f t="shared" si="131"/>
        <v>2018.5600000000002</v>
      </c>
      <c r="P337" s="358">
        <f t="shared" si="131"/>
        <v>2013.4</v>
      </c>
      <c r="Q337" s="358">
        <f t="shared" si="131"/>
        <v>2016.5800000000002</v>
      </c>
      <c r="R337" s="358">
        <f t="shared" si="131"/>
        <v>2025.1599999999999</v>
      </c>
      <c r="S337" s="358">
        <f t="shared" si="131"/>
        <v>2033.9199999999998</v>
      </c>
      <c r="T337" s="358"/>
      <c r="U337" s="358"/>
      <c r="V337" s="358"/>
      <c r="W337" s="387"/>
      <c r="X337" s="358"/>
      <c r="Y337" s="358"/>
      <c r="Z337" s="360"/>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80">
        <f>STDEV(C340:S340)</f>
        <v>23.339663160994117</v>
      </c>
      <c r="X338" s="248">
        <f>IF((S339=""),"",((T338-U338)/(T338+U338))*100)</f>
        <v>1.9192665976637613</v>
      </c>
      <c r="Y338" s="250" t="str">
        <f>IF(S339="","",IF(X338&lt;15,IF(V338&gt;1680,IF(V338&lt;2200,"Pass","Fail"),"Fail"),"Fail"))</f>
        <v>Pass</v>
      </c>
      <c r="Z338" s="394">
        <v>1340</v>
      </c>
      <c r="AA338" s="124" t="s">
        <v>180</v>
      </c>
      <c r="AC338" s="316">
        <v>1600</v>
      </c>
      <c r="AD338" s="316">
        <v>2600</v>
      </c>
      <c r="AE338" s="355">
        <v>1690</v>
      </c>
      <c r="AF338" s="355">
        <v>2210</v>
      </c>
      <c r="AG338" s="356">
        <v>15</v>
      </c>
      <c r="AH338" s="356">
        <v>15</v>
      </c>
    </row>
    <row r="339" spans="1:34">
      <c r="A339" s="392"/>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8"/>
      <c r="U339" s="358"/>
      <c r="V339" s="358"/>
      <c r="W339" s="380"/>
      <c r="X339" s="358"/>
      <c r="Y339" s="358"/>
      <c r="Z339" s="360"/>
    </row>
    <row r="340" spans="1:34" ht="32.25" thickBot="1">
      <c r="A340" s="393"/>
      <c r="B340" s="256" t="s">
        <v>221</v>
      </c>
      <c r="C340" s="358">
        <f t="shared" ref="C340:H340" si="132">IF(((C338="")*AND(C339="")),"",(C338-C339)*2)</f>
        <v>1989.96</v>
      </c>
      <c r="D340" s="358">
        <f t="shared" si="132"/>
        <v>1994.8400000000001</v>
      </c>
      <c r="E340" s="358">
        <f t="shared" si="132"/>
        <v>1994.74</v>
      </c>
      <c r="F340" s="358">
        <f t="shared" si="132"/>
        <v>1998.24</v>
      </c>
      <c r="G340" s="358">
        <f t="shared" si="132"/>
        <v>2009.4</v>
      </c>
      <c r="H340" s="358">
        <f t="shared" si="132"/>
        <v>2027.2400000000002</v>
      </c>
      <c r="I340" s="358">
        <f>IF(((I338="")*AND(I339="")),"",(I338-I339)*2)</f>
        <v>2041.74</v>
      </c>
      <c r="J340" s="358">
        <f>IF(((J338="")*AND(J339="")),"",(J338-J339)*2)</f>
        <v>2060.0600000000004</v>
      </c>
      <c r="K340" s="358">
        <f>IF(((K338="")*AND(K339="")),"",(K338-K339)*2)</f>
        <v>2067.84</v>
      </c>
      <c r="L340" s="358">
        <f>IF(((L338="")*AND(L339="")),"",(L338-L339)*2)</f>
        <v>2047.2599999999998</v>
      </c>
      <c r="M340" s="358">
        <f t="shared" ref="M340:S340" si="133">IF(((M338="")*AND(M339="")),"",(M338-M339)*2)</f>
        <v>2047.0399999999997</v>
      </c>
      <c r="N340" s="358">
        <f t="shared" si="133"/>
        <v>2033.4799999999998</v>
      </c>
      <c r="O340" s="358">
        <f t="shared" si="133"/>
        <v>2019.04</v>
      </c>
      <c r="P340" s="358">
        <f t="shared" si="133"/>
        <v>2010.7199999999998</v>
      </c>
      <c r="Q340" s="358">
        <f t="shared" si="133"/>
        <v>2015.9999999999998</v>
      </c>
      <c r="R340" s="358">
        <f t="shared" si="133"/>
        <v>2023.88</v>
      </c>
      <c r="S340" s="358">
        <f t="shared" si="133"/>
        <v>2024.2200000000003</v>
      </c>
      <c r="T340" s="358"/>
      <c r="U340" s="358"/>
      <c r="V340" s="358"/>
      <c r="W340" s="387"/>
      <c r="X340" s="358"/>
      <c r="Y340" s="358"/>
      <c r="Z340" s="360"/>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80">
        <f>STDEV(C343:S343)</f>
        <v>34.909505910848743</v>
      </c>
      <c r="X341" s="248">
        <f>IF((S342=""),"",((T341-U341)/(T341+U341))*100)</f>
        <v>2.9153249537079042</v>
      </c>
      <c r="Y341" s="250" t="str">
        <f>IF(S342="","",IF(X341&lt;15,IF(V341&gt;1680,IF(V341&lt;2200,"Pass","Fail"),"Fail"),"Fail"))</f>
        <v>Pass</v>
      </c>
      <c r="Z341" s="394">
        <v>1335</v>
      </c>
      <c r="AA341" s="398" t="s">
        <v>181</v>
      </c>
      <c r="AC341" s="316">
        <v>1600</v>
      </c>
      <c r="AD341" s="316">
        <v>2600</v>
      </c>
      <c r="AE341" s="355">
        <v>1690</v>
      </c>
      <c r="AF341" s="355">
        <v>2210</v>
      </c>
      <c r="AG341" s="356">
        <v>15</v>
      </c>
      <c r="AH341" s="356">
        <v>15</v>
      </c>
    </row>
    <row r="342" spans="1:34">
      <c r="A342" s="392"/>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8"/>
      <c r="U342" s="358"/>
      <c r="V342" s="358"/>
      <c r="W342" s="380"/>
      <c r="X342" s="358"/>
      <c r="Y342" s="358"/>
      <c r="Z342" s="360"/>
    </row>
    <row r="343" spans="1:34" ht="32.25" thickBot="1">
      <c r="A343" s="393"/>
      <c r="B343" s="256" t="s">
        <v>221</v>
      </c>
      <c r="C343" s="358">
        <f t="shared" ref="C343:H343" si="134">IF(((C341="")*AND(C342="")),"",(C341-C342)*2)</f>
        <v>2029.0600000000004</v>
      </c>
      <c r="D343" s="358">
        <f t="shared" si="134"/>
        <v>2037.4000000000005</v>
      </c>
      <c r="E343" s="358">
        <f t="shared" si="134"/>
        <v>2040.38</v>
      </c>
      <c r="F343" s="358">
        <f t="shared" si="134"/>
        <v>2035.8599999999997</v>
      </c>
      <c r="G343" s="358">
        <f t="shared" si="134"/>
        <v>2053.96</v>
      </c>
      <c r="H343" s="358">
        <f t="shared" si="134"/>
        <v>2076.7599999999993</v>
      </c>
      <c r="I343" s="358">
        <f>IF(((I341="")*AND(I342="")),"",(I341-I342)*2)</f>
        <v>2116.34</v>
      </c>
      <c r="J343" s="358">
        <f>IF(((J341="")*AND(J342="")),"",(J341-J342)*2)</f>
        <v>2132.92</v>
      </c>
      <c r="K343" s="358">
        <f>IF(((K341="")*AND(K342="")),"",(K341-K342)*2)</f>
        <v>2150.92</v>
      </c>
      <c r="L343" s="358">
        <f>IF(((L341="")*AND(L342="")),"",(L341-L342)*2)</f>
        <v>2106.5</v>
      </c>
      <c r="M343" s="358">
        <f t="shared" ref="M343:S343" si="135">IF(((M341="")*AND(M342="")),"",(M341-M342)*2)</f>
        <v>2094.2199999999993</v>
      </c>
      <c r="N343" s="358">
        <f t="shared" si="135"/>
        <v>2087.88</v>
      </c>
      <c r="O343" s="358">
        <f t="shared" si="135"/>
        <v>2068.58</v>
      </c>
      <c r="P343" s="358">
        <f t="shared" si="135"/>
        <v>2058.9799999999996</v>
      </c>
      <c r="Q343" s="358">
        <f t="shared" si="135"/>
        <v>2081.0600000000004</v>
      </c>
      <c r="R343" s="358">
        <f t="shared" si="135"/>
        <v>2090.58</v>
      </c>
      <c r="S343" s="358">
        <f t="shared" si="135"/>
        <v>2089.2200000000003</v>
      </c>
      <c r="T343" s="358"/>
      <c r="U343" s="358"/>
      <c r="V343" s="358"/>
      <c r="W343" s="387"/>
      <c r="X343" s="358"/>
      <c r="Y343" s="358"/>
      <c r="Z343" s="360"/>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80">
        <f>STDEV(C346:S346)</f>
        <v>27.229290349584598</v>
      </c>
      <c r="X344" s="248">
        <f>IF((S345=""),"",((T344-U344)/(T344+U344))*100)</f>
        <v>2.0592705902855082</v>
      </c>
      <c r="Y344" s="250" t="str">
        <f>IF(S345="","",IF(X344&lt;15,IF(V344&gt;1680,IF(V344&lt;2200,"Pass","Fail"),"Fail"),"Fail"))</f>
        <v>Pass</v>
      </c>
      <c r="Z344" s="394" t="s">
        <v>183</v>
      </c>
      <c r="AA344" s="124" t="s">
        <v>184</v>
      </c>
      <c r="AC344" s="316">
        <v>1600</v>
      </c>
      <c r="AD344" s="316">
        <v>2600</v>
      </c>
      <c r="AE344" s="355">
        <v>1690</v>
      </c>
      <c r="AF344" s="355">
        <v>2210</v>
      </c>
      <c r="AG344" s="356">
        <v>15</v>
      </c>
      <c r="AH344" s="356">
        <v>15</v>
      </c>
    </row>
    <row r="345" spans="1:34">
      <c r="A345" s="392"/>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8"/>
      <c r="U345" s="358"/>
      <c r="V345" s="358"/>
      <c r="W345" s="380"/>
      <c r="X345" s="358"/>
      <c r="Y345" s="358"/>
      <c r="Z345" s="360"/>
    </row>
    <row r="346" spans="1:34" ht="32.25" thickBot="1">
      <c r="A346" s="393"/>
      <c r="B346" s="256" t="s">
        <v>221</v>
      </c>
      <c r="C346" s="358">
        <f t="shared" ref="C346:H346" si="136">IF(((C344="")*AND(C345="")),"",(C344-C345)*2)</f>
        <v>2023.2399999999998</v>
      </c>
      <c r="D346" s="358">
        <f t="shared" si="136"/>
        <v>2036.0200000000004</v>
      </c>
      <c r="E346" s="358">
        <f t="shared" si="136"/>
        <v>2037.54</v>
      </c>
      <c r="F346" s="358">
        <f t="shared" si="136"/>
        <v>2037.9399999999996</v>
      </c>
      <c r="G346" s="358">
        <f t="shared" si="136"/>
        <v>2041.58</v>
      </c>
      <c r="H346" s="358">
        <f t="shared" si="136"/>
        <v>2064.4400000000005</v>
      </c>
      <c r="I346" s="358">
        <f>IF(((I344="")*AND(I345="")),"",(I344-I345)*2)</f>
        <v>2092.46</v>
      </c>
      <c r="J346" s="358">
        <f>IF(((J344="")*AND(J345="")),"",(J344-J345)*2)</f>
        <v>2100.58</v>
      </c>
      <c r="K346" s="358">
        <f>IF(((K344="")*AND(K345="")),"",(K344-K345)*2)</f>
        <v>2108.3199999999997</v>
      </c>
      <c r="L346" s="358">
        <f>IF(((L344="")*AND(L345="")),"",(L344-L345)*2)</f>
        <v>2106.4000000000005</v>
      </c>
      <c r="M346" s="358">
        <f t="shared" ref="M346:S346" si="137">IF(((M344="")*AND(M345="")),"",(M344-M345)*2)</f>
        <v>2096.92</v>
      </c>
      <c r="N346" s="358">
        <f t="shared" si="137"/>
        <v>2080.92</v>
      </c>
      <c r="O346" s="358">
        <f t="shared" si="137"/>
        <v>2058.92</v>
      </c>
      <c r="P346" s="358">
        <f t="shared" si="137"/>
        <v>2047.2600000000002</v>
      </c>
      <c r="Q346" s="358">
        <f t="shared" si="137"/>
        <v>2066.0999999999995</v>
      </c>
      <c r="R346" s="358">
        <f t="shared" si="137"/>
        <v>2064.6400000000003</v>
      </c>
      <c r="S346" s="358">
        <f t="shared" si="137"/>
        <v>2073.1400000000003</v>
      </c>
      <c r="T346" s="358"/>
      <c r="U346" s="358"/>
      <c r="V346" s="358"/>
      <c r="W346" s="387"/>
      <c r="X346" s="358"/>
      <c r="Y346" s="358"/>
      <c r="Z346" s="360"/>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80">
        <f>STDEV(C349:S349)</f>
        <v>24.485925008675256</v>
      </c>
      <c r="X347" s="248">
        <f>IF((S348=""),"",((T347-U347)/(T347+U347))*100)</f>
        <v>1.7210613614712509</v>
      </c>
      <c r="Y347" s="250" t="str">
        <f>IF(S348="","",IF(X347&lt;15,IF(V347&gt;1680,IF(V347&lt;2200,"Pass","Fail"),"Fail"),"Fail"))</f>
        <v>Pass</v>
      </c>
      <c r="Z347" s="394">
        <v>1428</v>
      </c>
      <c r="AA347" s="398" t="s">
        <v>185</v>
      </c>
      <c r="AC347" s="316">
        <v>1600</v>
      </c>
      <c r="AD347" s="316">
        <v>2600</v>
      </c>
      <c r="AE347" s="355">
        <v>1690</v>
      </c>
      <c r="AF347" s="355">
        <v>2210</v>
      </c>
      <c r="AG347" s="356">
        <v>15</v>
      </c>
      <c r="AH347" s="356">
        <v>15</v>
      </c>
    </row>
    <row r="348" spans="1:34">
      <c r="A348" s="392"/>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8"/>
      <c r="U348" s="358"/>
      <c r="V348" s="358"/>
      <c r="W348" s="380"/>
      <c r="X348" s="358"/>
      <c r="Y348" s="358"/>
      <c r="Z348" s="360"/>
    </row>
    <row r="349" spans="1:34" ht="32.25" thickBot="1">
      <c r="A349" s="393"/>
      <c r="B349" s="256" t="s">
        <v>221</v>
      </c>
      <c r="C349" s="358">
        <f t="shared" ref="C349:H349" si="138">IF(((C347="")*AND(C348="")),"",(C347-C348)*2)</f>
        <v>2032.3199999999997</v>
      </c>
      <c r="D349" s="358">
        <f t="shared" si="138"/>
        <v>2047.96</v>
      </c>
      <c r="E349" s="358">
        <f t="shared" si="138"/>
        <v>2041.5200000000004</v>
      </c>
      <c r="F349" s="358">
        <f t="shared" si="138"/>
        <v>2038.4399999999996</v>
      </c>
      <c r="G349" s="358">
        <f t="shared" si="138"/>
        <v>2037.12</v>
      </c>
      <c r="H349" s="358">
        <f t="shared" si="138"/>
        <v>2063.6999999999998</v>
      </c>
      <c r="I349" s="358">
        <f>IF(((I347="")*AND(I348="")),"",(I347-I348)*2)</f>
        <v>2090.58</v>
      </c>
      <c r="J349" s="358">
        <f>IF(((J347="")*AND(J348="")),"",(J347-J348)*2)</f>
        <v>2103.5</v>
      </c>
      <c r="K349" s="358">
        <f>IF(((K347="")*AND(K348="")),"",(K347-K348)*2)</f>
        <v>2103.42</v>
      </c>
      <c r="L349" s="358">
        <f>IF(((L347="")*AND(L348="")),"",(L347-L348)*2)</f>
        <v>2095.7200000000003</v>
      </c>
      <c r="M349" s="358">
        <f t="shared" ref="M349:S349" si="139">IF(((M347="")*AND(M348="")),"",(M347-M348)*2)</f>
        <v>2097.8199999999997</v>
      </c>
      <c r="N349" s="358">
        <f t="shared" si="139"/>
        <v>2087.5599999999995</v>
      </c>
      <c r="O349" s="358">
        <f t="shared" si="139"/>
        <v>2060.6400000000003</v>
      </c>
      <c r="P349" s="358">
        <f t="shared" si="139"/>
        <v>2057.4799999999996</v>
      </c>
      <c r="Q349" s="358">
        <f t="shared" si="139"/>
        <v>2070.9000000000005</v>
      </c>
      <c r="R349" s="358">
        <f t="shared" si="139"/>
        <v>2060.0999999999995</v>
      </c>
      <c r="S349" s="358">
        <f t="shared" si="139"/>
        <v>2059.38</v>
      </c>
      <c r="T349" s="358"/>
      <c r="U349" s="358"/>
      <c r="V349" s="358"/>
      <c r="W349" s="387"/>
      <c r="X349" s="358"/>
      <c r="Y349" s="358"/>
      <c r="Z349" s="360"/>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80">
        <f>STDEV(C352:S352)</f>
        <v>26.464737915587566</v>
      </c>
      <c r="X350" s="248">
        <f>IF((S351=""),"",((T350-U350)/(T350+U350))*100)</f>
        <v>2.05078125</v>
      </c>
      <c r="Y350" s="250" t="str">
        <f>IF(S351="","",IF(X350&lt;15,IF(V350&gt;1680,IF(V350&lt;2200,"Pass","Fail"),"Fail"),"Fail"))</f>
        <v>Pass</v>
      </c>
      <c r="Z350" s="394">
        <v>1340</v>
      </c>
      <c r="AA350" s="398" t="s">
        <v>186</v>
      </c>
      <c r="AC350" s="316">
        <v>1600</v>
      </c>
      <c r="AD350" s="316">
        <v>2600</v>
      </c>
      <c r="AE350" s="355">
        <v>1690</v>
      </c>
      <c r="AF350" s="355">
        <v>2210</v>
      </c>
      <c r="AG350" s="356">
        <v>15</v>
      </c>
      <c r="AH350" s="356">
        <v>15</v>
      </c>
    </row>
    <row r="351" spans="1:34">
      <c r="A351" s="392"/>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8"/>
      <c r="U351" s="358"/>
      <c r="V351" s="358"/>
      <c r="W351" s="380"/>
      <c r="X351" s="358"/>
      <c r="Y351" s="358"/>
      <c r="Z351" s="360"/>
    </row>
    <row r="352" spans="1:34" ht="32.25" thickBot="1">
      <c r="A352" s="393"/>
      <c r="B352" s="256" t="s">
        <v>221</v>
      </c>
      <c r="C352" s="358">
        <f t="shared" ref="C352:H352" si="140">IF(((C350="")*AND(C351="")),"",(C350-C351)*2)</f>
        <v>2006</v>
      </c>
      <c r="D352" s="358">
        <f t="shared" si="140"/>
        <v>2014</v>
      </c>
      <c r="E352" s="358">
        <f t="shared" si="140"/>
        <v>2010</v>
      </c>
      <c r="F352" s="358">
        <f t="shared" si="140"/>
        <v>2014</v>
      </c>
      <c r="G352" s="358">
        <f t="shared" si="140"/>
        <v>2020</v>
      </c>
      <c r="H352" s="358">
        <f t="shared" si="140"/>
        <v>2036</v>
      </c>
      <c r="I352" s="358">
        <f>IF(((I350="")*AND(I351="")),"",(I350-I351)*2)</f>
        <v>2056</v>
      </c>
      <c r="J352" s="358">
        <f>IF(((J350="")*AND(J351="")),"",(J350-J351)*2)</f>
        <v>2070</v>
      </c>
      <c r="K352" s="358">
        <f>IF(((K350="")*AND(K351="")),"",(K350-K351)*2)</f>
        <v>2090</v>
      </c>
      <c r="L352" s="358">
        <f>IF(((L350="")*AND(L351="")),"",(L350-L351)*2)</f>
        <v>2084</v>
      </c>
      <c r="M352" s="358">
        <f t="shared" ref="M352:S352" si="141">IF(((M350="")*AND(M351="")),"",(M350-M351)*2)</f>
        <v>2068</v>
      </c>
      <c r="N352" s="358">
        <f t="shared" si="141"/>
        <v>2052</v>
      </c>
      <c r="O352" s="358">
        <f t="shared" si="141"/>
        <v>2032</v>
      </c>
      <c r="P352" s="358">
        <f t="shared" si="141"/>
        <v>2020</v>
      </c>
      <c r="Q352" s="358">
        <f t="shared" si="141"/>
        <v>2028</v>
      </c>
      <c r="R352" s="358">
        <f t="shared" si="141"/>
        <v>2028</v>
      </c>
      <c r="S352" s="358">
        <f t="shared" si="141"/>
        <v>2028</v>
      </c>
      <c r="T352" s="358"/>
      <c r="U352" s="358"/>
      <c r="V352" s="358"/>
      <c r="W352" s="387"/>
      <c r="X352" s="358"/>
      <c r="Y352" s="358"/>
      <c r="Z352" s="360"/>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80">
        <f>STDEV(C355:S355)</f>
        <v>20.053044949937526</v>
      </c>
      <c r="X353" s="248">
        <f>IF((S354=""),"",((T353-U353)/(T353+U353))*100)</f>
        <v>1.4560089964783403</v>
      </c>
      <c r="Y353" s="250" t="str">
        <f>IF(S354="","",IF(X353&lt;15,IF(V353&gt;1680,IF(V353&lt;2200,"Pass","Fail"),"Fail"),"Fail"))</f>
        <v>Pass</v>
      </c>
      <c r="Z353" s="394"/>
      <c r="AC353" s="316">
        <v>1600</v>
      </c>
      <c r="AD353" s="316">
        <v>2600</v>
      </c>
      <c r="AE353" s="355">
        <v>1690</v>
      </c>
      <c r="AF353" s="355">
        <v>2210</v>
      </c>
      <c r="AG353" s="356">
        <v>15</v>
      </c>
      <c r="AH353" s="356">
        <v>15</v>
      </c>
    </row>
    <row r="354" spans="1:34">
      <c r="A354" s="392"/>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8"/>
      <c r="U354" s="358"/>
      <c r="V354" s="358"/>
      <c r="W354" s="380"/>
      <c r="X354" s="358"/>
      <c r="Y354" s="358"/>
      <c r="Z354" s="360"/>
    </row>
    <row r="355" spans="1:34" ht="32.25" thickBot="1">
      <c r="A355" s="393"/>
      <c r="B355" s="256" t="s">
        <v>221</v>
      </c>
      <c r="C355" s="358">
        <f t="shared" ref="C355:H355" si="142">IF(((C353="")*AND(C354="")),"",(C353-C354)*2)</f>
        <v>1997.94</v>
      </c>
      <c r="D355" s="358">
        <f t="shared" si="142"/>
        <v>2005.04</v>
      </c>
      <c r="E355" s="358">
        <f t="shared" si="142"/>
        <v>2004.7399999999998</v>
      </c>
      <c r="F355" s="358">
        <f t="shared" si="142"/>
        <v>2005.1000000000001</v>
      </c>
      <c r="G355" s="358">
        <f t="shared" si="142"/>
        <v>2013.3</v>
      </c>
      <c r="H355" s="358">
        <f t="shared" si="142"/>
        <v>2028.8999999999999</v>
      </c>
      <c r="I355" s="358">
        <f>IF(((I353="")*AND(I354="")),"",(I353-I354)*2)</f>
        <v>2040.6999999999998</v>
      </c>
      <c r="J355" s="358">
        <f>IF(((J353="")*AND(J354="")),"",(J353-J354)*2)</f>
        <v>2056.0199999999995</v>
      </c>
      <c r="K355" s="358">
        <f>IF(((K353="")*AND(K354="")),"",(K353-K354)*2)</f>
        <v>2056.9799999999996</v>
      </c>
      <c r="L355" s="358">
        <f>IF(((L353="")*AND(L354="")),"",(L353-L354)*2)</f>
        <v>2055.06</v>
      </c>
      <c r="M355" s="358">
        <f t="shared" ref="M355:S355" si="143">IF(((M353="")*AND(M354="")),"",(M353-M354)*2)</f>
        <v>2053.7399999999998</v>
      </c>
      <c r="N355" s="358">
        <f t="shared" si="143"/>
        <v>2036.8399999999997</v>
      </c>
      <c r="O355" s="358">
        <f t="shared" si="143"/>
        <v>2026.74</v>
      </c>
      <c r="P355" s="358">
        <f t="shared" si="143"/>
        <v>2013.1999999999998</v>
      </c>
      <c r="Q355" s="358">
        <f t="shared" si="143"/>
        <v>2018.34</v>
      </c>
      <c r="R355" s="358">
        <f t="shared" si="143"/>
        <v>2020.7999999999997</v>
      </c>
      <c r="S355" s="358">
        <f t="shared" si="143"/>
        <v>2016.3200000000002</v>
      </c>
      <c r="T355" s="358"/>
      <c r="U355" s="358"/>
      <c r="V355" s="358"/>
      <c r="W355" s="387"/>
      <c r="X355" s="358"/>
      <c r="Y355" s="358"/>
      <c r="Z355" s="360"/>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80">
        <f>STDEV(C358:S358)</f>
        <v>19.990788834769475</v>
      </c>
      <c r="X356" s="248">
        <f>IF((S357=""),"",((T356-U356)/(T356+U356))*100)</f>
        <v>1.5265748031496111</v>
      </c>
      <c r="Y356" s="250" t="str">
        <f>IF(S357="","",IF(X356&lt;15,IF(V356&gt;1680,IF(V356&lt;2200,"Pass","Fail"),"Fail"),"Fail"))</f>
        <v>Pass</v>
      </c>
      <c r="Z356" s="394">
        <v>1159</v>
      </c>
      <c r="AC356" s="316">
        <v>1600</v>
      </c>
      <c r="AD356" s="316">
        <v>2600</v>
      </c>
      <c r="AE356" s="355">
        <v>1690</v>
      </c>
      <c r="AF356" s="355">
        <v>2210</v>
      </c>
      <c r="AG356" s="356">
        <v>15</v>
      </c>
      <c r="AH356" s="356">
        <v>15</v>
      </c>
    </row>
    <row r="357" spans="1:34">
      <c r="A357" s="392"/>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8"/>
      <c r="U357" s="358"/>
      <c r="V357" s="358"/>
      <c r="W357" s="380"/>
      <c r="X357" s="358"/>
      <c r="Y357" s="358"/>
      <c r="Z357" s="360"/>
    </row>
    <row r="358" spans="1:34" ht="32.25" thickBot="1">
      <c r="A358" s="393"/>
      <c r="B358" s="256" t="s">
        <v>221</v>
      </c>
      <c r="C358" s="358">
        <f t="shared" ref="C358:H358" si="144">IF(((C356="")*AND(C357="")),"",(C356-C357)*2)</f>
        <v>2000.9799999999998</v>
      </c>
      <c r="D358" s="358">
        <f t="shared" si="144"/>
        <v>2008.3000000000002</v>
      </c>
      <c r="E358" s="358">
        <f t="shared" si="144"/>
        <v>2008.44</v>
      </c>
      <c r="F358" s="358">
        <f t="shared" si="144"/>
        <v>2011.9799999999998</v>
      </c>
      <c r="G358" s="358">
        <f t="shared" si="144"/>
        <v>2017.8200000000002</v>
      </c>
      <c r="H358" s="358">
        <f t="shared" si="144"/>
        <v>2033.9199999999998</v>
      </c>
      <c r="I358" s="358">
        <f>IF(((I356="")*AND(I357="")),"",(I356-I357)*2)</f>
        <v>2046.86</v>
      </c>
      <c r="J358" s="358">
        <f>IF(((J356="")*AND(J357="")),"",(J356-J357)*2)</f>
        <v>2056.08</v>
      </c>
      <c r="K358" s="358">
        <f>IF(((K356="")*AND(K357="")),"",(K356-K357)*2)</f>
        <v>2058.12</v>
      </c>
      <c r="L358" s="358">
        <f>IF(((L356="")*AND(L357="")),"",(L356-L357)*2)</f>
        <v>2063.02</v>
      </c>
      <c r="M358" s="358">
        <f t="shared" ref="M358:S358" si="145">IF(((M356="")*AND(M357="")),"",(M356-M357)*2)</f>
        <v>2059.34</v>
      </c>
      <c r="N358" s="358">
        <f t="shared" si="145"/>
        <v>2043.5</v>
      </c>
      <c r="O358" s="358">
        <f t="shared" si="145"/>
        <v>2030.22</v>
      </c>
      <c r="P358" s="358">
        <f t="shared" si="145"/>
        <v>2017.32</v>
      </c>
      <c r="Q358" s="358">
        <f t="shared" si="145"/>
        <v>2023.92</v>
      </c>
      <c r="R358" s="358">
        <f t="shared" si="145"/>
        <v>2027.9200000000003</v>
      </c>
      <c r="S358" s="358">
        <f t="shared" si="145"/>
        <v>2022.22</v>
      </c>
      <c r="T358" s="358"/>
      <c r="U358" s="358"/>
      <c r="V358" s="358"/>
      <c r="W358" s="387"/>
      <c r="X358" s="358"/>
      <c r="Y358" s="358"/>
      <c r="Z358" s="360"/>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80">
        <f>STDEV(C361:S361)</f>
        <v>23.162243998778269</v>
      </c>
      <c r="X359" s="248">
        <f>IF((S360=""),"",((T359-U359)/(T359+U359))*100)</f>
        <v>1.6145718418278574</v>
      </c>
      <c r="Y359" s="250" t="str">
        <f>IF(S360="","",IF(X359&lt;15,IF(V359&gt;1680,IF(V359&lt;2200,"Pass","Fail"),"Fail"),"Fail"))</f>
        <v>Pass</v>
      </c>
      <c r="Z359" s="394">
        <v>1340</v>
      </c>
      <c r="AA359" s="124" t="s">
        <v>190</v>
      </c>
      <c r="AC359" s="316">
        <v>1600</v>
      </c>
      <c r="AD359" s="316">
        <v>2600</v>
      </c>
      <c r="AE359" s="355">
        <v>1690</v>
      </c>
      <c r="AF359" s="355">
        <v>2210</v>
      </c>
      <c r="AG359" s="356">
        <v>15</v>
      </c>
      <c r="AH359" s="356">
        <v>15</v>
      </c>
    </row>
    <row r="360" spans="1:34">
      <c r="A360" s="392"/>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8"/>
      <c r="U360" s="358"/>
      <c r="V360" s="358"/>
      <c r="W360" s="380"/>
      <c r="X360" s="358"/>
      <c r="Y360" s="358"/>
      <c r="Z360" s="360"/>
    </row>
    <row r="361" spans="1:34" ht="32.25" thickBot="1">
      <c r="A361" s="393"/>
      <c r="B361" s="256" t="s">
        <v>221</v>
      </c>
      <c r="C361" s="358">
        <f t="shared" ref="C361:H361" si="146">IF(((C359="")*AND(C360="")),"",(C359-C360)*2)</f>
        <v>2006.62</v>
      </c>
      <c r="D361" s="358">
        <f t="shared" si="146"/>
        <v>2011.08</v>
      </c>
      <c r="E361" s="358">
        <f t="shared" si="146"/>
        <v>2011.8400000000001</v>
      </c>
      <c r="F361" s="358">
        <f t="shared" si="146"/>
        <v>2010.4199999999998</v>
      </c>
      <c r="G361" s="358">
        <f t="shared" si="146"/>
        <v>2020.96</v>
      </c>
      <c r="H361" s="358">
        <f t="shared" si="146"/>
        <v>2037.18</v>
      </c>
      <c r="I361" s="358">
        <f>IF(((I359="")*AND(I360="")),"",(I359-I360)*2)</f>
        <v>2055.54</v>
      </c>
      <c r="J361" s="358">
        <f>IF(((J359="")*AND(J360="")),"",(J359-J360)*2)</f>
        <v>2069.5</v>
      </c>
      <c r="K361" s="358">
        <f>IF(((K359="")*AND(K360="")),"",(K359-K360)*2)</f>
        <v>2072.48</v>
      </c>
      <c r="L361" s="358">
        <f>IF(((L359="")*AND(L360="")),"",(L359-L360)*2)</f>
        <v>2072.48</v>
      </c>
      <c r="M361" s="358">
        <f t="shared" ref="M361:S361" si="147">IF(((M359="")*AND(M360="")),"",(M359-M360)*2)</f>
        <v>2067.2399999999998</v>
      </c>
      <c r="N361" s="358">
        <f t="shared" si="147"/>
        <v>2050.6000000000004</v>
      </c>
      <c r="O361" s="358">
        <f t="shared" si="147"/>
        <v>2031.92</v>
      </c>
      <c r="P361" s="358">
        <f t="shared" si="147"/>
        <v>2021.3400000000001</v>
      </c>
      <c r="Q361" s="358">
        <f t="shared" si="147"/>
        <v>2027.74</v>
      </c>
      <c r="R361" s="358">
        <f t="shared" si="147"/>
        <v>2035.2199999999998</v>
      </c>
      <c r="S361" s="358">
        <f t="shared" si="147"/>
        <v>2032.8400000000001</v>
      </c>
      <c r="T361" s="358"/>
      <c r="U361" s="358"/>
      <c r="V361" s="358"/>
      <c r="W361" s="387"/>
      <c r="X361" s="358"/>
      <c r="Y361" s="358"/>
      <c r="Z361" s="360"/>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80">
        <f>STDEV(C364:S364)</f>
        <v>20.04175633664061</v>
      </c>
      <c r="X362" s="248">
        <f>IF((S363=""),"",((T362-U362)/(T362+U362))*100)</f>
        <v>1.4784058071070059</v>
      </c>
      <c r="Y362" s="250" t="str">
        <f>IF(S363="","",IF(X362&lt;15,IF(V362&gt;1680,IF(V362&lt;2200,"Pass","Fail"),"Fail"),"Fail"))</f>
        <v>Pass</v>
      </c>
      <c r="Z362" s="394">
        <v>1159</v>
      </c>
      <c r="AA362" s="398" t="s">
        <v>191</v>
      </c>
      <c r="AC362" s="316">
        <v>1600</v>
      </c>
      <c r="AD362" s="316">
        <v>2600</v>
      </c>
      <c r="AE362" s="355">
        <v>1690</v>
      </c>
      <c r="AF362" s="355">
        <v>2210</v>
      </c>
      <c r="AG362" s="356">
        <v>15</v>
      </c>
      <c r="AH362" s="356">
        <v>15</v>
      </c>
    </row>
    <row r="363" spans="1:34">
      <c r="A363" s="392"/>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8"/>
      <c r="U363" s="358"/>
      <c r="V363" s="358"/>
      <c r="W363" s="380"/>
      <c r="X363" s="358"/>
      <c r="Y363" s="358"/>
      <c r="Z363" s="360"/>
    </row>
    <row r="364" spans="1:34" ht="32.25" thickBot="1">
      <c r="A364" s="393"/>
      <c r="B364" s="256" t="s">
        <v>221</v>
      </c>
      <c r="C364" s="358">
        <f t="shared" ref="C364:H364" si="148">IF(((C362="")*AND(C363="")),"",(C362-C363)*2)</f>
        <v>1997.8799999999999</v>
      </c>
      <c r="D364" s="358">
        <f t="shared" si="148"/>
        <v>2002.82</v>
      </c>
      <c r="E364" s="358">
        <f t="shared" si="148"/>
        <v>2005.22</v>
      </c>
      <c r="F364" s="358">
        <f t="shared" si="148"/>
        <v>2006.88</v>
      </c>
      <c r="G364" s="358">
        <f t="shared" si="148"/>
        <v>2013.6599999999999</v>
      </c>
      <c r="H364" s="358">
        <f t="shared" si="148"/>
        <v>2032.04</v>
      </c>
      <c r="I364" s="358">
        <f>IF(((I362="")*AND(I363="")),"",(I362-I363)*2)</f>
        <v>2045.1399999999999</v>
      </c>
      <c r="J364" s="358">
        <f>IF(((J362="")*AND(J363="")),"",(J362-J363)*2)</f>
        <v>2054.54</v>
      </c>
      <c r="K364" s="358">
        <f>IF(((K362="")*AND(K363="")),"",(K362-K363)*2)</f>
        <v>2056.9</v>
      </c>
      <c r="L364" s="358">
        <f>IF(((L362="")*AND(L363="")),"",(L362-L363)*2)</f>
        <v>2057.84</v>
      </c>
      <c r="M364" s="358">
        <f t="shared" ref="M364:S364" si="149">IF(((M362="")*AND(M363="")),"",(M362-M363)*2)</f>
        <v>2051.88</v>
      </c>
      <c r="N364" s="358">
        <f t="shared" si="149"/>
        <v>2041.0800000000002</v>
      </c>
      <c r="O364" s="358">
        <f t="shared" si="149"/>
        <v>2025.12</v>
      </c>
      <c r="P364" s="358">
        <f t="shared" si="149"/>
        <v>2017.1999999999998</v>
      </c>
      <c r="Q364" s="358">
        <f t="shared" si="149"/>
        <v>2021.22</v>
      </c>
      <c r="R364" s="358">
        <f t="shared" si="149"/>
        <v>2025.0000000000002</v>
      </c>
      <c r="S364" s="358">
        <f t="shared" si="149"/>
        <v>2020.68</v>
      </c>
      <c r="T364" s="358"/>
      <c r="U364" s="358"/>
      <c r="V364" s="358"/>
      <c r="W364" s="387"/>
      <c r="X364" s="358"/>
      <c r="Y364" s="358"/>
      <c r="Z364" s="360"/>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80">
        <f>STDEV(C367:S367)</f>
        <v>22.226468521608343</v>
      </c>
      <c r="X365" s="248">
        <f>IF((S366=""),"",((T365-U365)/(T365+U365))*100)</f>
        <v>1.7230401910067754</v>
      </c>
      <c r="Y365" s="250" t="str">
        <f>IF(S366="","",IF(X365&lt;15,IF(V365&gt;1680,IF(V365&lt;2200,"Pass","Fail"),"Fail"),"Fail"))</f>
        <v>Pass</v>
      </c>
      <c r="Z365" s="394">
        <v>1335</v>
      </c>
      <c r="AA365" s="398" t="s">
        <v>192</v>
      </c>
      <c r="AC365" s="316">
        <v>1600</v>
      </c>
      <c r="AD365" s="316">
        <v>2600</v>
      </c>
      <c r="AE365" s="355">
        <v>1690</v>
      </c>
      <c r="AF365" s="355">
        <v>2210</v>
      </c>
      <c r="AG365" s="356">
        <v>15</v>
      </c>
      <c r="AH365" s="356">
        <v>15</v>
      </c>
    </row>
    <row r="366" spans="1:34">
      <c r="A366" s="392"/>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8"/>
      <c r="U366" s="358"/>
      <c r="V366" s="358"/>
      <c r="W366" s="380"/>
      <c r="X366" s="358"/>
      <c r="Y366" s="358"/>
      <c r="Z366" s="360"/>
    </row>
    <row r="367" spans="1:34" ht="32.25" thickBot="1">
      <c r="A367" s="393"/>
      <c r="B367" s="256" t="s">
        <v>221</v>
      </c>
      <c r="C367" s="358">
        <f t="shared" ref="C367:H367" si="150">IF(((C365="")*AND(C366="")),"",(C365-C366)*2)</f>
        <v>1975.7599999999998</v>
      </c>
      <c r="D367" s="358">
        <f t="shared" si="150"/>
        <v>1984.7</v>
      </c>
      <c r="E367" s="358">
        <f t="shared" si="150"/>
        <v>1989.8400000000001</v>
      </c>
      <c r="F367" s="358">
        <f t="shared" si="150"/>
        <v>1988.8999999999999</v>
      </c>
      <c r="G367" s="358">
        <f t="shared" si="150"/>
        <v>1997.8400000000001</v>
      </c>
      <c r="H367" s="358">
        <f t="shared" si="150"/>
        <v>2013.3</v>
      </c>
      <c r="I367" s="358">
        <f>IF(((I365="")*AND(I366="")),"",(I365-I366)*2)</f>
        <v>2033.46</v>
      </c>
      <c r="J367" s="358">
        <f>IF(((J365="")*AND(J366="")),"",(J365-J366)*2)</f>
        <v>2045.0400000000002</v>
      </c>
      <c r="K367" s="358">
        <f>IF(((K365="")*AND(K366="")),"",(K365-K366)*2)</f>
        <v>2040.82</v>
      </c>
      <c r="L367" s="358">
        <f>IF(((L365="")*AND(L366="")),"",(L365-L366)*2)</f>
        <v>2041.28</v>
      </c>
      <c r="M367" s="358">
        <f t="shared" ref="M367:S367" si="151">IF(((M365="")*AND(M366="")),"",(M365-M366)*2)</f>
        <v>2037.98</v>
      </c>
      <c r="N367" s="358">
        <f t="shared" si="151"/>
        <v>2027.76</v>
      </c>
      <c r="O367" s="358">
        <f t="shared" si="151"/>
        <v>2006.4199999999998</v>
      </c>
      <c r="P367" s="358">
        <f t="shared" si="151"/>
        <v>1998.5800000000002</v>
      </c>
      <c r="Q367" s="358">
        <f t="shared" si="151"/>
        <v>2004.66</v>
      </c>
      <c r="R367" s="358">
        <f t="shared" si="151"/>
        <v>2006.0000000000002</v>
      </c>
      <c r="S367" s="358">
        <f t="shared" si="151"/>
        <v>1999.22</v>
      </c>
      <c r="T367" s="358"/>
      <c r="U367" s="358"/>
      <c r="V367" s="358"/>
      <c r="W367" s="387"/>
      <c r="X367" s="358"/>
      <c r="Y367" s="358"/>
      <c r="Z367" s="360"/>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80">
        <f>STDEV(C370:S370)</f>
        <v>24.691140051826366</v>
      </c>
      <c r="X368" s="248">
        <f>IF((S369=""),"",((T368-U368)/(T368+U368))*100)</f>
        <v>1.9240913191586071</v>
      </c>
      <c r="Y368" s="250" t="str">
        <f>IF(S369="","",IF(X368&lt;15,IF(V368&gt;1680,IF(V368&lt;2200,"Pass","Fail"),"Fail"),"Fail"))</f>
        <v>Pass</v>
      </c>
      <c r="Z368" s="394">
        <v>121</v>
      </c>
      <c r="AC368" s="316">
        <v>1600</v>
      </c>
      <c r="AD368" s="316">
        <v>2600</v>
      </c>
      <c r="AE368" s="355">
        <v>1690</v>
      </c>
      <c r="AF368" s="355">
        <v>2210</v>
      </c>
      <c r="AG368" s="356">
        <v>15</v>
      </c>
      <c r="AH368" s="356">
        <v>15</v>
      </c>
    </row>
    <row r="369" spans="1:34">
      <c r="A369" s="392"/>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8"/>
      <c r="U369" s="358"/>
      <c r="V369" s="358"/>
      <c r="W369" s="380"/>
      <c r="X369" s="358"/>
      <c r="Y369" s="358"/>
      <c r="Z369" s="360"/>
    </row>
    <row r="370" spans="1:34" ht="32.25" thickBot="1">
      <c r="A370" s="393"/>
      <c r="B370" s="256" t="s">
        <v>221</v>
      </c>
      <c r="C370" s="358">
        <f t="shared" ref="C370:H370" si="152">IF(((C368="")*AND(C369="")),"",(C368-C369)*2)</f>
        <v>1989.4599999999996</v>
      </c>
      <c r="D370" s="358">
        <f t="shared" si="152"/>
        <v>1997.6</v>
      </c>
      <c r="E370" s="358">
        <f t="shared" si="152"/>
        <v>2002.3799999999997</v>
      </c>
      <c r="F370" s="358">
        <f t="shared" si="152"/>
        <v>2004.1399999999999</v>
      </c>
      <c r="G370" s="358">
        <f t="shared" si="152"/>
        <v>2015.7200000000003</v>
      </c>
      <c r="H370" s="358">
        <f t="shared" si="152"/>
        <v>2032.44</v>
      </c>
      <c r="I370" s="358">
        <f>IF(((I368="")*AND(I369="")),"",(I368-I369)*2)</f>
        <v>2051.12</v>
      </c>
      <c r="J370" s="358">
        <f>IF(((J368="")*AND(J369="")),"",(J368-J369)*2)</f>
        <v>2065.9599999999996</v>
      </c>
      <c r="K370" s="358">
        <f>IF(((K368="")*AND(K369="")),"",(K368-K369)*2)</f>
        <v>2067.5200000000004</v>
      </c>
      <c r="L370" s="358">
        <f>IF(((L368="")*AND(L369="")),"",(L368-L369)*2)</f>
        <v>2060.62</v>
      </c>
      <c r="M370" s="358">
        <f t="shared" ref="M370:S370" si="153">IF(((M368="")*AND(M369="")),"",(M368-M369)*2)</f>
        <v>2057.62</v>
      </c>
      <c r="N370" s="358">
        <f t="shared" si="153"/>
        <v>2042.7000000000003</v>
      </c>
      <c r="O370" s="358">
        <f t="shared" si="153"/>
        <v>2024.7399999999998</v>
      </c>
      <c r="P370" s="358">
        <f t="shared" si="153"/>
        <v>2015.1600000000003</v>
      </c>
      <c r="Q370" s="358">
        <f t="shared" si="153"/>
        <v>2019.6599999999999</v>
      </c>
      <c r="R370" s="358">
        <f t="shared" si="153"/>
        <v>2024.8600000000001</v>
      </c>
      <c r="S370" s="358">
        <f t="shared" si="153"/>
        <v>2023.4599999999996</v>
      </c>
      <c r="T370" s="358"/>
      <c r="U370" s="358"/>
      <c r="V370" s="358"/>
      <c r="W370" s="387"/>
      <c r="X370" s="358"/>
      <c r="Y370" s="358"/>
      <c r="Z370" s="360"/>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80">
        <f>STDEV(C373:S373)</f>
        <v>22.410993822608365</v>
      </c>
      <c r="X371" s="248">
        <f>IF((S372=""),"",((T371-U371)/(T371+U371))*100)</f>
        <v>1.9109349314561326</v>
      </c>
      <c r="Y371" s="250" t="str">
        <f>IF(S372="","",IF(X371&lt;15,IF(V371&gt;1680,IF(V371&lt;2200,"Pass","Fail"),"Fail"),"Fail"))</f>
        <v>Pass</v>
      </c>
      <c r="Z371" s="394" t="s">
        <v>205</v>
      </c>
      <c r="AA371" s="402" t="s">
        <v>206</v>
      </c>
      <c r="AC371" s="316">
        <v>1600</v>
      </c>
      <c r="AD371" s="316">
        <v>2600</v>
      </c>
      <c r="AE371" s="355">
        <v>1690</v>
      </c>
      <c r="AF371" s="355">
        <v>2210</v>
      </c>
      <c r="AG371" s="356">
        <v>15</v>
      </c>
      <c r="AH371" s="356">
        <v>15</v>
      </c>
    </row>
    <row r="372" spans="1:34">
      <c r="A372" s="392"/>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8"/>
      <c r="U372" s="358"/>
      <c r="V372" s="358"/>
      <c r="W372" s="380"/>
      <c r="X372" s="358"/>
      <c r="Y372" s="358"/>
      <c r="Z372" s="360"/>
    </row>
    <row r="373" spans="1:34" ht="32.25" thickBot="1">
      <c r="A373" s="393"/>
      <c r="B373" s="256" t="s">
        <v>221</v>
      </c>
      <c r="C373" s="358">
        <f t="shared" ref="C373:H373" si="154">IF(((C371="")*AND(C372="")),"",(C371-C372)*2)</f>
        <v>1987.0000000000005</v>
      </c>
      <c r="D373" s="358">
        <f t="shared" si="154"/>
        <v>1998.6599999999999</v>
      </c>
      <c r="E373" s="358">
        <f t="shared" si="154"/>
        <v>2002.92</v>
      </c>
      <c r="F373" s="358">
        <f t="shared" si="154"/>
        <v>2006.98</v>
      </c>
      <c r="G373" s="358">
        <f t="shared" si="154"/>
        <v>2016.7399999999998</v>
      </c>
      <c r="H373" s="358">
        <f t="shared" si="154"/>
        <v>2032.12</v>
      </c>
      <c r="I373" s="358">
        <f>IF(((I371="")*AND(I372="")),"",(I371-I372)*2)</f>
        <v>2050.3599999999997</v>
      </c>
      <c r="J373" s="358">
        <f>IF(((J371="")*AND(J372="")),"",(J371-J372)*2)</f>
        <v>2058.88</v>
      </c>
      <c r="K373" s="358">
        <f>IF(((K371="")*AND(K372="")),"",(K371-K372)*2)</f>
        <v>2064.4200000000005</v>
      </c>
      <c r="L373" s="358">
        <f>IF(((L371="")*AND(L372="")),"",(L371-L372)*2)</f>
        <v>2053.7000000000003</v>
      </c>
      <c r="M373" s="358">
        <f t="shared" ref="M373:S373" si="155">IF(((M371="")*AND(M372="")),"",(M371-M372)*2)</f>
        <v>2050.46</v>
      </c>
      <c r="N373" s="358">
        <f t="shared" si="155"/>
        <v>2042</v>
      </c>
      <c r="O373" s="358">
        <f t="shared" si="155"/>
        <v>2025.8000000000002</v>
      </c>
      <c r="P373" s="358">
        <f t="shared" si="155"/>
        <v>2018.4</v>
      </c>
      <c r="Q373" s="358">
        <f t="shared" si="155"/>
        <v>2023.72</v>
      </c>
      <c r="R373" s="358">
        <f t="shared" si="155"/>
        <v>2026.8399999999997</v>
      </c>
      <c r="S373" s="358">
        <f t="shared" si="155"/>
        <v>2023.08</v>
      </c>
      <c r="T373" s="358"/>
      <c r="U373" s="358"/>
      <c r="V373" s="358"/>
      <c r="W373" s="387"/>
      <c r="X373" s="358"/>
      <c r="Y373" s="358"/>
      <c r="Z373" s="360"/>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80">
        <f>STDEV(C376:S376)</f>
        <v>21.66851388804028</v>
      </c>
      <c r="X374" s="248">
        <f>IF((S375=""),"",((T374-U374)/(T374+U374))*100)</f>
        <v>1.5861902343538286</v>
      </c>
      <c r="Y374" s="250" t="str">
        <f>IF(S375="","",IF(X374&lt;15,IF(V374&gt;1680,IF(V374&lt;2200,"Pass","Fail"),"Fail"),"Fail"))</f>
        <v>Pass</v>
      </c>
      <c r="Z374" s="394">
        <v>64</v>
      </c>
      <c r="AA374" s="398" t="s">
        <v>208</v>
      </c>
      <c r="AC374" s="316">
        <v>1600</v>
      </c>
      <c r="AD374" s="316">
        <v>2600</v>
      </c>
      <c r="AE374" s="355">
        <v>1690</v>
      </c>
      <c r="AF374" s="355">
        <v>2210</v>
      </c>
      <c r="AG374" s="356">
        <v>15</v>
      </c>
      <c r="AH374" s="356">
        <v>15</v>
      </c>
    </row>
    <row r="375" spans="1:34">
      <c r="A375" s="392"/>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8"/>
      <c r="U375" s="358"/>
      <c r="V375" s="358"/>
      <c r="W375" s="380"/>
      <c r="X375" s="358"/>
      <c r="Y375" s="358"/>
      <c r="Z375" s="360"/>
    </row>
    <row r="376" spans="1:34" ht="32.25" thickBot="1">
      <c r="A376" s="393"/>
      <c r="B376" s="256" t="s">
        <v>221</v>
      </c>
      <c r="C376" s="358">
        <f t="shared" ref="C376:H376" si="156">IF(((C374="")*AND(C375="")),"",(C374-C375)*2)</f>
        <v>1995.9599999999996</v>
      </c>
      <c r="D376" s="358">
        <f t="shared" si="156"/>
        <v>1999.9799999999998</v>
      </c>
      <c r="E376" s="358">
        <f t="shared" si="156"/>
        <v>2002.1</v>
      </c>
      <c r="F376" s="358">
        <f t="shared" si="156"/>
        <v>2003.34</v>
      </c>
      <c r="G376" s="358">
        <f t="shared" si="156"/>
        <v>2014.5600000000002</v>
      </c>
      <c r="H376" s="358">
        <f t="shared" si="156"/>
        <v>2030.9999999999998</v>
      </c>
      <c r="I376" s="358">
        <f>IF(((I374="")*AND(I375="")),"",(I374-I375)*2)</f>
        <v>2044.0000000000002</v>
      </c>
      <c r="J376" s="358">
        <f>IF(((J374="")*AND(J375="")),"",(J374-J375)*2)</f>
        <v>2055.58</v>
      </c>
      <c r="K376" s="358">
        <f>IF(((K374="")*AND(K375="")),"",(K374-K375)*2)</f>
        <v>2059.5199999999995</v>
      </c>
      <c r="L376" s="358">
        <f>IF(((L374="")*AND(L375="")),"",(L374-L375)*2)</f>
        <v>2060.3000000000002</v>
      </c>
      <c r="M376" s="358">
        <f t="shared" ref="M376:S376" si="157">IF(((M374="")*AND(M375="")),"",(M374-M375)*2)</f>
        <v>2054.8999999999996</v>
      </c>
      <c r="N376" s="358">
        <f t="shared" si="157"/>
        <v>2042.1999999999998</v>
      </c>
      <c r="O376" s="358">
        <f t="shared" si="157"/>
        <v>2024.96</v>
      </c>
      <c r="P376" s="358">
        <f t="shared" si="157"/>
        <v>2017.0799999999997</v>
      </c>
      <c r="Q376" s="358">
        <f t="shared" si="157"/>
        <v>2020.38</v>
      </c>
      <c r="R376" s="358">
        <f t="shared" si="157"/>
        <v>2022.7399999999998</v>
      </c>
      <c r="S376" s="358">
        <f t="shared" si="157"/>
        <v>2021.58</v>
      </c>
      <c r="T376" s="358"/>
      <c r="U376" s="358"/>
      <c r="V376" s="358"/>
      <c r="W376" s="387"/>
      <c r="X376" s="358"/>
      <c r="Y376" s="358"/>
      <c r="Z376" s="360"/>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80">
        <f>STDEV(C379:S379)</f>
        <v>22.636454006713098</v>
      </c>
      <c r="X377" s="248">
        <f>IF((S378=""),"",((T377-U377)/(T377+U377))*100)</f>
        <v>1.5829963507249079</v>
      </c>
      <c r="Y377" s="250" t="str">
        <f>IF(S378="","",IF(X377&lt;15,IF(V377&gt;1680,IF(V377&lt;2200,"Pass","Fail"),"Fail"),"Fail"))</f>
        <v>Pass</v>
      </c>
      <c r="Z377" s="394">
        <v>1340</v>
      </c>
      <c r="AC377" s="316">
        <v>1600</v>
      </c>
      <c r="AD377" s="316">
        <v>2600</v>
      </c>
      <c r="AE377" s="355">
        <v>1690</v>
      </c>
      <c r="AF377" s="355">
        <v>2210</v>
      </c>
      <c r="AG377" s="356">
        <v>15</v>
      </c>
      <c r="AH377" s="356">
        <v>15</v>
      </c>
    </row>
    <row r="378" spans="1:34">
      <c r="A378" s="392"/>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8"/>
      <c r="U378" s="358"/>
      <c r="V378" s="358"/>
      <c r="W378" s="380"/>
      <c r="X378" s="358"/>
      <c r="Y378" s="358"/>
      <c r="Z378" s="360"/>
    </row>
    <row r="379" spans="1:34" ht="32.25" thickBot="1">
      <c r="A379" s="393"/>
      <c r="B379" s="256" t="s">
        <v>221</v>
      </c>
      <c r="C379" s="358">
        <f t="shared" ref="C379:H379" si="158">IF(((C377="")*AND(C378="")),"",(C377-C378)*2)</f>
        <v>1995.7000000000003</v>
      </c>
      <c r="D379" s="358">
        <f t="shared" si="158"/>
        <v>1997.3799999999999</v>
      </c>
      <c r="E379" s="358">
        <f t="shared" si="158"/>
        <v>2000.6</v>
      </c>
      <c r="F379" s="358">
        <f t="shared" si="158"/>
        <v>2005.6200000000001</v>
      </c>
      <c r="G379" s="358">
        <f t="shared" si="158"/>
        <v>2016.9199999999998</v>
      </c>
      <c r="H379" s="358">
        <f t="shared" si="158"/>
        <v>2031.68</v>
      </c>
      <c r="I379" s="358">
        <f>IF(((I377="")*AND(I378="")),"",(I377-I378)*2)</f>
        <v>2047.6799999999998</v>
      </c>
      <c r="J379" s="358">
        <f>IF(((J377="")*AND(J378="")),"",(J377-J378)*2)</f>
        <v>2058.3199999999997</v>
      </c>
      <c r="K379" s="358">
        <f>IF(((K377="")*AND(K378="")),"",(K377-K378)*2)</f>
        <v>2059.02</v>
      </c>
      <c r="L379" s="358">
        <f>IF(((L377="")*AND(L378="")),"",(L377-L378)*2)</f>
        <v>2059.8999999999996</v>
      </c>
      <c r="M379" s="358">
        <f t="shared" ref="M379:S379" si="159">IF(((M377="")*AND(M378="")),"",(M377-M378)*2)</f>
        <v>2059.3599999999997</v>
      </c>
      <c r="N379" s="358">
        <f t="shared" si="159"/>
        <v>2041.2999999999997</v>
      </c>
      <c r="O379" s="358">
        <f t="shared" si="159"/>
        <v>2027.52</v>
      </c>
      <c r="P379" s="358">
        <f t="shared" si="159"/>
        <v>2016.4</v>
      </c>
      <c r="Q379" s="358">
        <f t="shared" si="159"/>
        <v>2021.3400000000001</v>
      </c>
      <c r="R379" s="358">
        <f t="shared" si="159"/>
        <v>2021.7599999999998</v>
      </c>
      <c r="S379" s="358">
        <f t="shared" si="159"/>
        <v>2015.16</v>
      </c>
      <c r="T379" s="358"/>
      <c r="U379" s="358"/>
      <c r="V379" s="358"/>
      <c r="W379" s="387"/>
      <c r="X379" s="358"/>
      <c r="Y379" s="358"/>
      <c r="Z379" s="360"/>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80">
        <f>STDEV(C382:S382)</f>
        <v>22.022497654438048</v>
      </c>
      <c r="X380" s="248">
        <f>IF((S381=""),"",((T380-U380)/(T380+U380))*100)</f>
        <v>1.5725641518453286</v>
      </c>
      <c r="Y380" s="250" t="str">
        <f>IF(S381="","",IF(X380&lt;15,IF(V380&gt;1680,IF(V380&lt;2200,"Pass","Fail"),"Fail"),"Fail"))</f>
        <v>Pass</v>
      </c>
      <c r="Z380" s="394">
        <v>1340</v>
      </c>
      <c r="AA380" s="402" t="s">
        <v>209</v>
      </c>
      <c r="AC380" s="316">
        <v>1600</v>
      </c>
      <c r="AD380" s="316">
        <v>2600</v>
      </c>
      <c r="AE380" s="355">
        <v>1690</v>
      </c>
      <c r="AF380" s="355">
        <v>2210</v>
      </c>
      <c r="AG380" s="356">
        <v>15</v>
      </c>
      <c r="AH380" s="356">
        <v>15</v>
      </c>
    </row>
    <row r="381" spans="1:34">
      <c r="A381" s="392"/>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8"/>
      <c r="U381" s="358"/>
      <c r="V381" s="358"/>
      <c r="W381" s="380"/>
      <c r="X381" s="358"/>
      <c r="Y381" s="358"/>
      <c r="Z381" s="360"/>
    </row>
    <row r="382" spans="1:34" ht="32.25" thickBot="1">
      <c r="A382" s="393"/>
      <c r="B382" s="256" t="s">
        <v>221</v>
      </c>
      <c r="C382" s="358">
        <f t="shared" ref="C382:H382" si="160">IF(((C380="")*AND(C381="")),"",(C380-C381)*2)</f>
        <v>1997.2600000000002</v>
      </c>
      <c r="D382" s="358">
        <f t="shared" si="160"/>
        <v>2003.1599999999999</v>
      </c>
      <c r="E382" s="358">
        <f t="shared" si="160"/>
        <v>2004.4600000000003</v>
      </c>
      <c r="F382" s="358">
        <f t="shared" si="160"/>
        <v>2006.46</v>
      </c>
      <c r="G382" s="358">
        <f t="shared" si="160"/>
        <v>2016.1</v>
      </c>
      <c r="H382" s="358">
        <f t="shared" si="160"/>
        <v>2030.26</v>
      </c>
      <c r="I382" s="358">
        <f>IF(((I380="")*AND(I381="")),"",(I380-I381)*2)</f>
        <v>2050.2200000000003</v>
      </c>
      <c r="J382" s="358">
        <f>IF(((J380="")*AND(J381="")),"",(J380-J381)*2)</f>
        <v>2061.08</v>
      </c>
      <c r="K382" s="358">
        <f>IF(((K380="")*AND(K381="")),"",(K380-K381)*2)</f>
        <v>2057.2399999999998</v>
      </c>
      <c r="L382" s="358">
        <f>IF(((L380="")*AND(L381="")),"",(L380-L381)*2)</f>
        <v>2057.42</v>
      </c>
      <c r="M382" s="358">
        <f t="shared" ref="M382:S382" si="161">IF(((M380="")*AND(M381="")),"",(M380-M381)*2)</f>
        <v>2058.08</v>
      </c>
      <c r="N382" s="358">
        <f t="shared" si="161"/>
        <v>2047.1399999999999</v>
      </c>
      <c r="O382" s="358">
        <f t="shared" si="161"/>
        <v>2023.42</v>
      </c>
      <c r="P382" s="358">
        <f t="shared" si="161"/>
        <v>2016.04</v>
      </c>
      <c r="Q382" s="358">
        <f t="shared" si="161"/>
        <v>2024.1</v>
      </c>
      <c r="R382" s="358">
        <f t="shared" si="161"/>
        <v>2026.08</v>
      </c>
      <c r="S382" s="358">
        <f t="shared" si="161"/>
        <v>2011.2200000000003</v>
      </c>
      <c r="T382" s="358"/>
      <c r="U382" s="358"/>
      <c r="V382" s="358"/>
      <c r="W382" s="387"/>
      <c r="X382" s="358"/>
      <c r="Y382" s="358"/>
      <c r="Z382" s="360"/>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80">
        <f>STDEV(C385:S385)</f>
        <v>21.165238079000808</v>
      </c>
      <c r="X383" s="248">
        <f>IF((S384=""),"",((T383-U383)/(T383+U383))*100)</f>
        <v>1.551634536860607</v>
      </c>
      <c r="Y383" s="250" t="str">
        <f>IF(S384="","",IF(X383&lt;15,IF(V383&gt;1680,IF(V383&lt;2200,"Pass","Fail"),"Fail"),"Fail"))</f>
        <v>Pass</v>
      </c>
      <c r="Z383" s="394">
        <v>1428</v>
      </c>
      <c r="AA383" s="398" t="s">
        <v>210</v>
      </c>
      <c r="AC383" s="316">
        <v>1600</v>
      </c>
      <c r="AD383" s="316">
        <v>2600</v>
      </c>
      <c r="AE383" s="355">
        <v>1690</v>
      </c>
      <c r="AF383" s="355">
        <v>2210</v>
      </c>
      <c r="AG383" s="356">
        <v>15</v>
      </c>
      <c r="AH383" s="356">
        <v>15</v>
      </c>
    </row>
    <row r="384" spans="1:34">
      <c r="A384" s="392"/>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8"/>
      <c r="U384" s="358"/>
      <c r="V384" s="358"/>
      <c r="W384" s="380"/>
      <c r="X384" s="358"/>
      <c r="Y384" s="358"/>
      <c r="Z384" s="360"/>
    </row>
    <row r="385" spans="1:34" ht="32.25" thickBot="1">
      <c r="A385" s="393"/>
      <c r="B385" s="256" t="s">
        <v>221</v>
      </c>
      <c r="C385" s="358">
        <f t="shared" ref="C385:H385" si="162">IF(((C383="")*AND(C384="")),"",(C383-C384)*2)</f>
        <v>1989.1</v>
      </c>
      <c r="D385" s="358">
        <f t="shared" si="162"/>
        <v>1999.5000000000002</v>
      </c>
      <c r="E385" s="358">
        <f t="shared" si="162"/>
        <v>2000.3999999999999</v>
      </c>
      <c r="F385" s="358">
        <f t="shared" si="162"/>
        <v>1993.0400000000002</v>
      </c>
      <c r="G385" s="358">
        <f t="shared" si="162"/>
        <v>2001.0800000000002</v>
      </c>
      <c r="H385" s="358">
        <f t="shared" si="162"/>
        <v>2020.48</v>
      </c>
      <c r="I385" s="358">
        <f>IF(((I383="")*AND(I384="")),"",(I383-I384)*2)</f>
        <v>2043.76</v>
      </c>
      <c r="J385" s="358">
        <f>IF(((J383="")*AND(J384="")),"",(J383-J384)*2)</f>
        <v>2051.8000000000002</v>
      </c>
      <c r="K385" s="358">
        <f>IF(((K383="")*AND(K384="")),"",(K383-K384)*2)</f>
        <v>2038.24</v>
      </c>
      <c r="L385" s="358">
        <f>IF(((L383="")*AND(L384="")),"",(L383-L384)*2)</f>
        <v>2043.3000000000002</v>
      </c>
      <c r="M385" s="358">
        <f t="shared" ref="M385:S385" si="163">IF(((M383="")*AND(M384="")),"",(M383-M384)*2)</f>
        <v>2049.92</v>
      </c>
      <c r="N385" s="358">
        <f t="shared" si="163"/>
        <v>2038.7</v>
      </c>
      <c r="O385" s="358">
        <f t="shared" si="163"/>
        <v>2014.8</v>
      </c>
      <c r="P385" s="358">
        <f t="shared" si="163"/>
        <v>2006.06</v>
      </c>
      <c r="Q385" s="358">
        <f t="shared" si="163"/>
        <v>2015.98</v>
      </c>
      <c r="R385" s="358">
        <f t="shared" si="163"/>
        <v>2015.3600000000001</v>
      </c>
      <c r="S385" s="358">
        <f t="shared" si="163"/>
        <v>2000.3200000000002</v>
      </c>
      <c r="T385" s="358"/>
      <c r="U385" s="358"/>
      <c r="V385" s="358"/>
      <c r="W385" s="387"/>
      <c r="X385" s="358"/>
      <c r="Y385" s="358"/>
      <c r="Z385" s="360"/>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80">
        <f>STDEV(C388:S388)</f>
        <v>22.294522342285095</v>
      </c>
      <c r="X386" s="248">
        <f>IF((S387=""),"",((T386-U386)/(T386+U386))*100)</f>
        <v>1.7035022435173717</v>
      </c>
      <c r="Y386" s="250" t="str">
        <f>IF(S387="","",IF(X386&lt;15,IF(V386&gt;1680,IF(V386&lt;2200,"Pass","Fail"),"Fail"),"Fail"))</f>
        <v>Pass</v>
      </c>
      <c r="Z386" s="394">
        <v>1428</v>
      </c>
      <c r="AA386" s="402" t="s">
        <v>211</v>
      </c>
      <c r="AC386" s="316">
        <v>1600</v>
      </c>
      <c r="AD386" s="316">
        <v>2600</v>
      </c>
      <c r="AE386" s="355">
        <v>1690</v>
      </c>
      <c r="AF386" s="355">
        <v>2210</v>
      </c>
      <c r="AG386" s="356">
        <v>15</v>
      </c>
      <c r="AH386" s="356">
        <v>15</v>
      </c>
    </row>
    <row r="387" spans="1:34">
      <c r="A387" s="392"/>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8"/>
      <c r="U387" s="358"/>
      <c r="V387" s="358"/>
      <c r="W387" s="380"/>
      <c r="X387" s="358"/>
      <c r="Y387" s="358"/>
      <c r="Z387" s="360"/>
    </row>
    <row r="388" spans="1:34" ht="32.25" thickBot="1">
      <c r="A388" s="393"/>
      <c r="B388" s="256" t="s">
        <v>221</v>
      </c>
      <c r="C388" s="358">
        <f t="shared" ref="C388:H388" si="164">IF(((C386="")*AND(C387="")),"",(C386-C387)*2)</f>
        <v>2002.28</v>
      </c>
      <c r="D388" s="358">
        <f t="shared" si="164"/>
        <v>2012.66</v>
      </c>
      <c r="E388" s="358">
        <f t="shared" si="164"/>
        <v>2015.48</v>
      </c>
      <c r="F388" s="358">
        <f t="shared" si="164"/>
        <v>2015.3400000000001</v>
      </c>
      <c r="G388" s="358">
        <f t="shared" si="164"/>
        <v>2018.2</v>
      </c>
      <c r="H388" s="358">
        <f t="shared" si="164"/>
        <v>2038.4</v>
      </c>
      <c r="I388" s="358">
        <f>IF(((I386="")*AND(I387="")),"",(I386-I387)*2)</f>
        <v>2060.44</v>
      </c>
      <c r="J388" s="358">
        <f>IF(((J386="")*AND(J387="")),"",(J386-J387)*2)</f>
        <v>2071.6800000000003</v>
      </c>
      <c r="K388" s="358">
        <f>IF(((K386="")*AND(K387="")),"",(K386-K387)*2)</f>
        <v>2066.9</v>
      </c>
      <c r="L388" s="358">
        <f>IF(((L386="")*AND(L387="")),"",(L386-L387)*2)</f>
        <v>2062.88</v>
      </c>
      <c r="M388" s="358">
        <f t="shared" ref="M388:S388" si="165">IF(((M386="")*AND(M387="")),"",(M386-M387)*2)</f>
        <v>2067.52</v>
      </c>
      <c r="N388" s="358">
        <f t="shared" si="165"/>
        <v>2056.3200000000002</v>
      </c>
      <c r="O388" s="358">
        <f t="shared" si="165"/>
        <v>2037.1399999999999</v>
      </c>
      <c r="P388" s="358">
        <f t="shared" si="165"/>
        <v>2025.6999999999998</v>
      </c>
      <c r="Q388" s="358">
        <f t="shared" si="165"/>
        <v>2035.0400000000002</v>
      </c>
      <c r="R388" s="358">
        <f t="shared" si="165"/>
        <v>2034.74</v>
      </c>
      <c r="S388" s="358">
        <f t="shared" si="165"/>
        <v>2025.7000000000003</v>
      </c>
      <c r="T388" s="358"/>
      <c r="U388" s="358"/>
      <c r="V388" s="358"/>
      <c r="W388" s="387"/>
      <c r="X388" s="358"/>
      <c r="Y388" s="358"/>
      <c r="Z388" s="360"/>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80">
        <f>STDEV(C391:S391)</f>
        <v>20.481930989521206</v>
      </c>
      <c r="X389" s="248">
        <f>IF((S390=""),"",((T389-U389)/(T389+U389))*100)</f>
        <v>1.4272634243550539</v>
      </c>
      <c r="Y389" s="250" t="str">
        <f>IF(S390="","",IF(X389&lt;15,IF(V389&gt;1680,IF(V389&lt;2200,"Pass","Fail"),"Fail"),"Fail"))</f>
        <v>Pass</v>
      </c>
      <c r="Z389" s="394">
        <v>1428</v>
      </c>
      <c r="AA389" s="402" t="s">
        <v>212</v>
      </c>
      <c r="AC389" s="316">
        <v>1600</v>
      </c>
      <c r="AD389" s="316">
        <v>2600</v>
      </c>
      <c r="AE389" s="355">
        <v>1690</v>
      </c>
      <c r="AF389" s="355">
        <v>2210</v>
      </c>
      <c r="AG389" s="356">
        <v>15</v>
      </c>
      <c r="AH389" s="356">
        <v>15</v>
      </c>
    </row>
    <row r="390" spans="1:34">
      <c r="A390" s="392"/>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8"/>
      <c r="U390" s="358"/>
      <c r="V390" s="358"/>
      <c r="W390" s="380"/>
      <c r="X390" s="358"/>
      <c r="Y390" s="358"/>
      <c r="Z390" s="360"/>
    </row>
    <row r="391" spans="1:34" ht="32.25" thickBot="1">
      <c r="A391" s="393"/>
      <c r="B391" s="256" t="s">
        <v>221</v>
      </c>
      <c r="C391" s="358">
        <f t="shared" ref="C391:H391" si="166">IF(((C389="")*AND(C390="")),"",(C389-C390)*2)</f>
        <v>2013.2199999999998</v>
      </c>
      <c r="D391" s="358">
        <f t="shared" si="166"/>
        <v>2017.92</v>
      </c>
      <c r="E391" s="358">
        <f t="shared" si="166"/>
        <v>2014.5800000000002</v>
      </c>
      <c r="F391" s="358">
        <f t="shared" si="166"/>
        <v>2015.34</v>
      </c>
      <c r="G391" s="358">
        <f t="shared" si="166"/>
        <v>2021.74</v>
      </c>
      <c r="H391" s="358">
        <f t="shared" si="166"/>
        <v>2039.4199999999998</v>
      </c>
      <c r="I391" s="358">
        <f>IF(((I389="")*AND(I390="")),"",(I389-I390)*2)</f>
        <v>2056.58</v>
      </c>
      <c r="J391" s="358">
        <f>IF(((J389="")*AND(J390="")),"",(J389-J390)*2)</f>
        <v>2065.04</v>
      </c>
      <c r="K391" s="358">
        <f>IF(((K389="")*AND(K390="")),"",(K389-K390)*2)</f>
        <v>2071.5200000000004</v>
      </c>
      <c r="L391" s="358">
        <f>IF(((L389="")*AND(L390="")),"",(L389-L390)*2)</f>
        <v>2064.2799999999997</v>
      </c>
      <c r="M391" s="358">
        <f t="shared" ref="M391:S391" si="167">IF(((M389="")*AND(M390="")),"",(M389-M390)*2)</f>
        <v>2066.2799999999997</v>
      </c>
      <c r="N391" s="358">
        <f t="shared" si="167"/>
        <v>2053.58</v>
      </c>
      <c r="O391" s="358">
        <f t="shared" si="167"/>
        <v>2034.8200000000002</v>
      </c>
      <c r="P391" s="358">
        <f t="shared" si="167"/>
        <v>2025.2800000000002</v>
      </c>
      <c r="Q391" s="358">
        <f t="shared" si="167"/>
        <v>2029.54</v>
      </c>
      <c r="R391" s="358">
        <f t="shared" si="167"/>
        <v>2033.8200000000002</v>
      </c>
      <c r="S391" s="358">
        <f t="shared" si="167"/>
        <v>2024.8600000000001</v>
      </c>
      <c r="T391" s="358"/>
      <c r="U391" s="358"/>
      <c r="V391" s="358"/>
      <c r="W391" s="387"/>
      <c r="X391" s="358"/>
      <c r="Y391" s="358"/>
      <c r="Z391" s="360"/>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80">
        <f>STDEV(C394:R394)</f>
        <v>33.763839804351143</v>
      </c>
      <c r="X392" s="248">
        <f>IF((R393=""),"",((T392-U392)/(T392+U392))*100)</f>
        <v>3.4230621812070678</v>
      </c>
      <c r="Y392" s="250" t="str">
        <f>IF(R393="","",IF(X392&lt;15,IF(V392&gt;1680,IF(V392&lt;2200,"Pass","Fail"),"Fail"),"Fail"))</f>
        <v>Pass</v>
      </c>
      <c r="Z392" s="394">
        <v>1335</v>
      </c>
      <c r="AA392" s="398" t="s">
        <v>213</v>
      </c>
      <c r="AC392" s="316">
        <v>1600</v>
      </c>
      <c r="AD392" s="316">
        <v>2600</v>
      </c>
      <c r="AE392" s="355">
        <v>1690</v>
      </c>
      <c r="AF392" s="355">
        <v>2210</v>
      </c>
      <c r="AG392" s="356">
        <v>15</v>
      </c>
      <c r="AH392" s="356">
        <v>15</v>
      </c>
    </row>
    <row r="393" spans="1:34">
      <c r="A393" s="392"/>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8"/>
      <c r="U393" s="358"/>
      <c r="V393" s="380"/>
      <c r="W393" s="358"/>
      <c r="X393" s="358"/>
      <c r="Y393" s="360"/>
      <c r="AA393" s="344"/>
      <c r="AB393" s="316"/>
      <c r="AF393" s="124"/>
      <c r="AH393" s="125"/>
    </row>
    <row r="394" spans="1:34" ht="32.25" thickBot="1">
      <c r="A394" s="393"/>
      <c r="B394" s="256" t="s">
        <v>221</v>
      </c>
      <c r="C394" s="358">
        <f t="shared" ref="C394:H394" si="168">IF(((C392="")*AND(C393="")),"",(C392-C393)*2)</f>
        <v>2020.08</v>
      </c>
      <c r="D394" s="358">
        <f t="shared" si="168"/>
        <v>2034.6600000000003</v>
      </c>
      <c r="E394" s="358">
        <f t="shared" si="168"/>
        <v>2023.22</v>
      </c>
      <c r="F394" s="358">
        <f t="shared" si="168"/>
        <v>2019.1200000000001</v>
      </c>
      <c r="G394" s="358">
        <f t="shared" si="168"/>
        <v>2021.6799999999998</v>
      </c>
      <c r="H394" s="358">
        <f t="shared" si="168"/>
        <v>2026.8600000000001</v>
      </c>
      <c r="I394" s="358">
        <f>IF(((I392="")*AND(I393="")),"",(I392-I393)*2)</f>
        <v>2026.9600000000003</v>
      </c>
      <c r="J394" s="358">
        <f>IF(((J392="")*AND(J393="")),"",(J392-J393)*2)</f>
        <v>2018.82</v>
      </c>
      <c r="K394" s="358">
        <f>IF(((K392="")*AND(K393="")),"",(K392-K393)*2)</f>
        <v>2008.3200000000002</v>
      </c>
      <c r="L394" s="358">
        <f>IF(((L392="")*AND(L393="")),"",(L392-L393)*2)</f>
        <v>2104.6800000000003</v>
      </c>
      <c r="M394" s="358">
        <f t="shared" ref="M394:S394" si="169">IF(((M392="")*AND(M393="")),"",(M392-M393)*2)</f>
        <v>2084.16</v>
      </c>
      <c r="N394" s="358">
        <f t="shared" si="169"/>
        <v>2053.52</v>
      </c>
      <c r="O394" s="358">
        <f t="shared" si="169"/>
        <v>2023.6000000000001</v>
      </c>
      <c r="P394" s="358">
        <f t="shared" si="169"/>
        <v>1997.8000000000002</v>
      </c>
      <c r="Q394" s="358">
        <f t="shared" si="169"/>
        <v>1984.2599999999998</v>
      </c>
      <c r="R394" s="358">
        <f t="shared" si="169"/>
        <v>1965.3600000000001</v>
      </c>
      <c r="S394" s="358">
        <f t="shared" si="169"/>
        <v>2019.88</v>
      </c>
      <c r="T394" s="358"/>
      <c r="U394" s="358"/>
      <c r="V394" s="358"/>
      <c r="W394" s="387"/>
      <c r="X394" s="358"/>
      <c r="Y394" s="358"/>
      <c r="Z394" s="360"/>
      <c r="AB394" s="316"/>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80">
        <f>STDEV(C397:R397)</f>
        <v>27.120255621971531</v>
      </c>
      <c r="X395" s="248">
        <f>IF((R396=""),"",((T395-U395)/(T395+U395))*100)</f>
        <v>1.9877965021948294</v>
      </c>
      <c r="Y395" s="250" t="str">
        <f>IF(R396="","",IF(X395&lt;15,IF(V395&gt;1680,IF(V395&lt;2200,"Pass","Fail"),"Fail"),"Fail"))</f>
        <v>Pass</v>
      </c>
      <c r="Z395" s="394">
        <v>74</v>
      </c>
      <c r="AC395" s="316">
        <v>1600</v>
      </c>
      <c r="AD395" s="316">
        <v>2600</v>
      </c>
      <c r="AE395" s="355">
        <v>1690</v>
      </c>
      <c r="AF395" s="355">
        <v>2210</v>
      </c>
      <c r="AG395" s="356">
        <v>15</v>
      </c>
      <c r="AH395" s="356">
        <v>15</v>
      </c>
    </row>
    <row r="396" spans="1:34">
      <c r="A396" s="392"/>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8"/>
      <c r="U396" s="358"/>
      <c r="V396" s="380"/>
      <c r="W396" s="358"/>
      <c r="X396" s="358"/>
      <c r="Y396" s="360"/>
      <c r="AA396" s="344"/>
    </row>
    <row r="397" spans="1:34" ht="32.25" thickBot="1">
      <c r="A397" s="393"/>
      <c r="B397" s="256" t="s">
        <v>221</v>
      </c>
      <c r="C397" s="358">
        <f t="shared" ref="C397:G397" si="170">IF(((C395="")*AND(C396="")),"",(C395-C396)*2)</f>
        <v>1969.3200000000002</v>
      </c>
      <c r="D397" s="358">
        <f t="shared" si="170"/>
        <v>1984.1599999999999</v>
      </c>
      <c r="E397" s="358">
        <f t="shared" si="170"/>
        <v>1985.06</v>
      </c>
      <c r="F397" s="358">
        <f t="shared" si="170"/>
        <v>1982.58</v>
      </c>
      <c r="G397" s="358">
        <f t="shared" si="170"/>
        <v>1987.94</v>
      </c>
      <c r="H397" s="358">
        <f>IF(((H395="")*AND(H396="")),"",(H395-H396)*2)</f>
        <v>2014.1200000000001</v>
      </c>
      <c r="I397" s="358">
        <f>IF(((I395="")*AND(I396="")),"",(I395-I396)*2)</f>
        <v>2037.6000000000001</v>
      </c>
      <c r="J397" s="358">
        <f>IF(((J395="")*AND(J396="")),"",(J395-J396)*2)</f>
        <v>2049.1999999999998</v>
      </c>
      <c r="K397" s="358">
        <f>IF(((K395="")*AND(K396="")),"",(K395-K396)*2)</f>
        <v>2048.8000000000002</v>
      </c>
      <c r="L397" s="358">
        <f t="shared" ref="L397:S397" si="171">IF(((L395="")*AND(L396="")),"",(L395-L396)*2)</f>
        <v>2043.6999999999998</v>
      </c>
      <c r="M397" s="358">
        <f t="shared" si="171"/>
        <v>2046.4399999999998</v>
      </c>
      <c r="N397" s="358">
        <f t="shared" si="171"/>
        <v>2031.02</v>
      </c>
      <c r="O397" s="358">
        <f t="shared" si="171"/>
        <v>2006.2999999999997</v>
      </c>
      <c r="P397" s="358">
        <f t="shared" si="171"/>
        <v>1995.6000000000001</v>
      </c>
      <c r="Q397" s="358">
        <f t="shared" si="171"/>
        <v>2007.9599999999998</v>
      </c>
      <c r="R397" s="358">
        <f t="shared" si="171"/>
        <v>2010.66</v>
      </c>
      <c r="S397" s="358">
        <f t="shared" si="171"/>
        <v>2002.6</v>
      </c>
      <c r="T397" s="358"/>
      <c r="U397" s="358"/>
      <c r="V397" s="387"/>
      <c r="W397" s="358"/>
      <c r="X397" s="358"/>
      <c r="Y397" s="360"/>
      <c r="AA397" s="344"/>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80">
        <f>STDEV(C400:R400)</f>
        <v>22.554577214711678</v>
      </c>
      <c r="X398" s="248">
        <f>IF((R399=""),"",((T398-U398)/(T398+U398))*100)</f>
        <v>1.6040870988542306</v>
      </c>
      <c r="Y398" s="250" t="str">
        <f>IF(R399="","",IF(X398&lt;15,IF(V398&gt;1680,IF(V398&lt;2200,"Pass","Fail"),"Fail"),"Fail"))</f>
        <v>Pass</v>
      </c>
      <c r="Z398" s="398">
        <v>121</v>
      </c>
      <c r="AA398" s="344" t="s">
        <v>214</v>
      </c>
      <c r="AC398" s="316">
        <v>1600</v>
      </c>
      <c r="AD398" s="316">
        <v>2600</v>
      </c>
      <c r="AE398" s="355">
        <v>1690</v>
      </c>
      <c r="AF398" s="355">
        <v>2210</v>
      </c>
      <c r="AG398" s="356">
        <v>15</v>
      </c>
      <c r="AH398" s="356">
        <v>15</v>
      </c>
    </row>
    <row r="399" spans="1:34">
      <c r="A399" s="392"/>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8"/>
      <c r="U399" s="358"/>
      <c r="V399" s="380"/>
      <c r="W399" s="358"/>
      <c r="X399" s="358"/>
      <c r="Y399" s="360"/>
      <c r="AA399" s="344"/>
    </row>
    <row r="400" spans="1:34" ht="32.25" thickBot="1">
      <c r="A400" s="393"/>
      <c r="B400" s="256" t="s">
        <v>221</v>
      </c>
      <c r="C400" s="358">
        <f t="shared" ref="C400:G400" si="172">IF(((C398="")*AND(C399="")),"",(C398-C399)*2)</f>
        <v>1983.7600000000002</v>
      </c>
      <c r="D400" s="358">
        <f t="shared" si="172"/>
        <v>1993.58</v>
      </c>
      <c r="E400" s="358">
        <f t="shared" si="172"/>
        <v>1990.5400000000002</v>
      </c>
      <c r="F400" s="358">
        <f t="shared" si="172"/>
        <v>1992.18</v>
      </c>
      <c r="G400" s="358">
        <f t="shared" si="172"/>
        <v>2001.92</v>
      </c>
      <c r="H400" s="358">
        <f>IF(((H398="")*AND(H399="")),"",(H398-H399)*2)</f>
        <v>2016.38</v>
      </c>
      <c r="I400" s="358">
        <f>IF(((I398="")*AND(I399="")),"",(I398-I399)*2)</f>
        <v>2035.88</v>
      </c>
      <c r="J400" s="358">
        <f>IF(((J398="")*AND(J399="")),"",(J398-J399)*2)</f>
        <v>2044.6200000000001</v>
      </c>
      <c r="K400" s="358">
        <f>IF(((K398="")*AND(K399="")),"",(K398-K399)*2)</f>
        <v>2044.5</v>
      </c>
      <c r="L400" s="358">
        <f t="shared" ref="L400:S400" si="173">IF(((L398="")*AND(L399="")),"",(L398-L399)*2)</f>
        <v>2048.12</v>
      </c>
      <c r="M400" s="358">
        <f t="shared" si="173"/>
        <v>2048.4400000000005</v>
      </c>
      <c r="N400" s="358">
        <f t="shared" si="173"/>
        <v>2033.4800000000002</v>
      </c>
      <c r="O400" s="358">
        <f t="shared" si="173"/>
        <v>2015.1200000000001</v>
      </c>
      <c r="P400" s="358">
        <f t="shared" si="173"/>
        <v>2001.8</v>
      </c>
      <c r="Q400" s="358">
        <f t="shared" si="173"/>
        <v>2009.5800000000002</v>
      </c>
      <c r="R400" s="358">
        <f t="shared" si="173"/>
        <v>2010.7000000000003</v>
      </c>
      <c r="S400" s="358">
        <f t="shared" si="173"/>
        <v>2003</v>
      </c>
      <c r="T400" s="358"/>
      <c r="U400" s="358"/>
      <c r="V400" s="387"/>
      <c r="W400" s="358"/>
      <c r="X400" s="358"/>
      <c r="Y400" s="360"/>
      <c r="AA400" s="344"/>
    </row>
    <row r="401" spans="1:34">
      <c r="A401" s="261">
        <v>43727</v>
      </c>
      <c r="B401" s="248" t="s">
        <v>77</v>
      </c>
      <c r="C401" s="405">
        <v>2009.82</v>
      </c>
      <c r="D401" s="405">
        <v>1999.51</v>
      </c>
      <c r="E401" s="405">
        <v>1994.31</v>
      </c>
      <c r="F401" s="405">
        <v>1990.86</v>
      </c>
      <c r="G401" s="405">
        <v>1989.36</v>
      </c>
      <c r="H401" s="405">
        <v>1990.61</v>
      </c>
      <c r="I401" s="405">
        <v>1991.61</v>
      </c>
      <c r="J401" s="405">
        <v>1994.69</v>
      </c>
      <c r="K401" s="405">
        <v>2002.77</v>
      </c>
      <c r="L401" s="405">
        <v>1999.69</v>
      </c>
      <c r="M401" s="405">
        <v>1994.58</v>
      </c>
      <c r="N401" s="405">
        <v>1992.54</v>
      </c>
      <c r="O401" s="405">
        <v>1990.25</v>
      </c>
      <c r="P401" s="405">
        <v>1991.7</v>
      </c>
      <c r="Q401" s="405">
        <v>1993.89</v>
      </c>
      <c r="R401" s="405">
        <v>1996.34</v>
      </c>
      <c r="S401" s="405">
        <v>2005.51</v>
      </c>
      <c r="T401" s="248">
        <f>IF((R402=""),"",MAX(C403:R403))</f>
        <v>2048.1999999999998</v>
      </c>
      <c r="U401" s="248">
        <f>IF(R402="","",MIN(C403:R403))</f>
        <v>1969.5</v>
      </c>
      <c r="V401" s="248">
        <f>IF((R403=""),"",AVERAGE(C403:S403))</f>
        <v>2010.351764705882</v>
      </c>
      <c r="W401" s="380">
        <f>STDEV(C403:R403)</f>
        <v>25.09783493318789</v>
      </c>
      <c r="X401" s="248">
        <f>IF((R402=""),"",((T401-U401)/(T401+U401))*100)</f>
        <v>1.9588321676581084</v>
      </c>
      <c r="Y401" s="250" t="str">
        <f>IF(R402="","",IF(X401&lt;15,IF(V401&gt;1680,IF(V401&lt;2200,"Pass","Fail"),"Fail"),"Fail"))</f>
        <v>Pass</v>
      </c>
      <c r="Z401" s="398">
        <v>1159</v>
      </c>
      <c r="AA401" s="404" t="s">
        <v>216</v>
      </c>
      <c r="AC401" s="316">
        <v>1600</v>
      </c>
      <c r="AD401" s="316">
        <v>2600</v>
      </c>
      <c r="AE401" s="355">
        <v>1690</v>
      </c>
      <c r="AF401" s="355">
        <v>2210</v>
      </c>
      <c r="AG401" s="356">
        <v>15</v>
      </c>
      <c r="AH401" s="356">
        <v>15</v>
      </c>
    </row>
    <row r="402" spans="1:34">
      <c r="A402" s="392"/>
      <c r="B402" s="248" t="s">
        <v>78</v>
      </c>
      <c r="C402" s="406">
        <v>1025.07</v>
      </c>
      <c r="D402" s="406">
        <v>1009.9</v>
      </c>
      <c r="E402" s="406">
        <v>1003.49</v>
      </c>
      <c r="F402" s="406">
        <v>998.07</v>
      </c>
      <c r="G402" s="406">
        <v>990.75</v>
      </c>
      <c r="H402" s="406">
        <v>981.32</v>
      </c>
      <c r="I402" s="406">
        <v>972.73</v>
      </c>
      <c r="J402" s="406">
        <v>970.81</v>
      </c>
      <c r="K402" s="406">
        <v>978.67</v>
      </c>
      <c r="L402" s="406">
        <v>982.97</v>
      </c>
      <c r="M402" s="406">
        <v>976.59</v>
      </c>
      <c r="N402" s="406">
        <v>979.95</v>
      </c>
      <c r="O402" s="406">
        <v>986.22</v>
      </c>
      <c r="P402" s="406">
        <v>991.62</v>
      </c>
      <c r="Q402" s="406">
        <v>990.92</v>
      </c>
      <c r="R402" s="406">
        <v>993.58</v>
      </c>
      <c r="S402" s="406">
        <v>1007.39</v>
      </c>
      <c r="T402" s="358"/>
      <c r="U402" s="358"/>
      <c r="V402" s="380"/>
      <c r="W402" s="358"/>
      <c r="X402" s="358"/>
      <c r="Y402" s="360"/>
      <c r="AA402" s="344"/>
    </row>
    <row r="403" spans="1:34" ht="32.25" thickBot="1">
      <c r="A403" s="393"/>
      <c r="B403" s="256" t="s">
        <v>221</v>
      </c>
      <c r="C403" s="358">
        <f t="shared" ref="C403:G403" si="174">IF(((C401="")*AND(C402="")),"",(C401-C402)*2)</f>
        <v>1969.5</v>
      </c>
      <c r="D403" s="358">
        <f t="shared" si="174"/>
        <v>1979.22</v>
      </c>
      <c r="E403" s="358">
        <f t="shared" si="174"/>
        <v>1981.6399999999999</v>
      </c>
      <c r="F403" s="358">
        <f t="shared" si="174"/>
        <v>1985.5799999999997</v>
      </c>
      <c r="G403" s="358">
        <f t="shared" si="174"/>
        <v>1997.2199999999998</v>
      </c>
      <c r="H403" s="358">
        <f>IF(((H401="")*AND(H402="")),"",(H401-H402)*2)</f>
        <v>2018.5799999999997</v>
      </c>
      <c r="I403" s="358">
        <f>IF(((I401="")*AND(I402="")),"",(I401-I402)*2)</f>
        <v>2037.7599999999998</v>
      </c>
      <c r="J403" s="358">
        <f>IF(((J401="")*AND(J402="")),"",(J401-J402)*2)</f>
        <v>2047.7600000000002</v>
      </c>
      <c r="K403" s="358">
        <f>IF(((K401="")*AND(K402="")),"",(K401-K402)*2)</f>
        <v>2048.1999999999998</v>
      </c>
      <c r="L403" s="358">
        <f t="shared" ref="L403:S403" si="175">IF(((L401="")*AND(L402="")),"",(L401-L402)*2)</f>
        <v>2033.44</v>
      </c>
      <c r="M403" s="358">
        <f t="shared" si="175"/>
        <v>2035.9799999999998</v>
      </c>
      <c r="N403" s="358">
        <f t="shared" si="175"/>
        <v>2025.1799999999998</v>
      </c>
      <c r="O403" s="358">
        <f t="shared" si="175"/>
        <v>2008.06</v>
      </c>
      <c r="P403" s="358">
        <f t="shared" si="175"/>
        <v>2000.16</v>
      </c>
      <c r="Q403" s="358">
        <f t="shared" si="175"/>
        <v>2005.9400000000003</v>
      </c>
      <c r="R403" s="358">
        <f t="shared" si="175"/>
        <v>2005.5199999999998</v>
      </c>
      <c r="S403" s="358">
        <f t="shared" si="175"/>
        <v>1996.24</v>
      </c>
      <c r="T403" s="358"/>
      <c r="U403" s="358"/>
      <c r="V403" s="387"/>
      <c r="W403" s="358"/>
      <c r="X403" s="358"/>
      <c r="Y403" s="360"/>
      <c r="AA403" s="344"/>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80">
        <f>STDEV(C406:R406)</f>
        <v>34.40807889628767</v>
      </c>
      <c r="X404" s="248">
        <f>IF((R405=""),"",((T404-U404)/(T404+U404))*100)</f>
        <v>2.9159960106251752</v>
      </c>
      <c r="Y404" s="250" t="str">
        <f>IF(R405="","",IF(X404&lt;15,IF(V404&gt;1680,IF(V404&lt;2200,"Pass","Fail"),"Fail"),"Fail"))</f>
        <v>Pass</v>
      </c>
      <c r="Z404" s="398">
        <v>1335</v>
      </c>
      <c r="AA404" s="404"/>
      <c r="AC404" s="316">
        <v>1600</v>
      </c>
      <c r="AD404" s="316">
        <v>2600</v>
      </c>
      <c r="AE404" s="355">
        <v>1690</v>
      </c>
      <c r="AF404" s="355">
        <v>2210</v>
      </c>
      <c r="AG404" s="356">
        <v>15</v>
      </c>
      <c r="AH404" s="356">
        <v>15</v>
      </c>
    </row>
    <row r="405" spans="1:34">
      <c r="A405" s="392"/>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8"/>
      <c r="U405" s="358"/>
      <c r="V405" s="380"/>
      <c r="W405" s="358"/>
      <c r="X405" s="358"/>
      <c r="Y405" s="360"/>
      <c r="AA405" s="344"/>
    </row>
    <row r="406" spans="1:34" ht="32.25" thickBot="1">
      <c r="A406" s="393"/>
      <c r="B406" s="256" t="s">
        <v>221</v>
      </c>
      <c r="C406" s="358">
        <f t="shared" ref="C406:G406" si="176">IF(((C404="")*AND(C405="")),"",(C404-C405)*2)</f>
        <v>1966.3199999999997</v>
      </c>
      <c r="D406" s="358">
        <f t="shared" si="176"/>
        <v>1979.3</v>
      </c>
      <c r="E406" s="358">
        <f t="shared" si="176"/>
        <v>1985.5</v>
      </c>
      <c r="F406" s="358">
        <f t="shared" si="176"/>
        <v>1989.7799999999997</v>
      </c>
      <c r="G406" s="358">
        <f t="shared" si="176"/>
        <v>2003.8000000000002</v>
      </c>
      <c r="H406" s="358">
        <f>IF(((H404="")*AND(H405="")),"",(H404-H405)*2)</f>
        <v>2028.4199999999998</v>
      </c>
      <c r="I406" s="358">
        <f>IF(((I404="")*AND(I405="")),"",(I404-I405)*2)</f>
        <v>2063.2199999999998</v>
      </c>
      <c r="J406" s="358">
        <f>IF(((J404="")*AND(J405="")),"",(J404-J405)*2)</f>
        <v>2081.8199999999997</v>
      </c>
      <c r="K406" s="358">
        <f>IF(((K404="")*AND(K405="")),"",(K404-K405)*2)</f>
        <v>2084.44</v>
      </c>
      <c r="L406" s="358">
        <f t="shared" ref="L406:S406" si="177">IF(((L404="")*AND(L405="")),"",(L404-L405)*2)</f>
        <v>2035.0400000000002</v>
      </c>
      <c r="M406" s="358">
        <f t="shared" si="177"/>
        <v>2040.9800000000002</v>
      </c>
      <c r="N406" s="358">
        <f t="shared" si="177"/>
        <v>2031.3200000000002</v>
      </c>
      <c r="O406" s="358">
        <f t="shared" si="177"/>
        <v>2014.2199999999998</v>
      </c>
      <c r="P406" s="358">
        <f t="shared" si="177"/>
        <v>2012.6</v>
      </c>
      <c r="Q406" s="358">
        <f t="shared" si="177"/>
        <v>2026.4599999999998</v>
      </c>
      <c r="R406" s="358">
        <f t="shared" si="177"/>
        <v>2035.18</v>
      </c>
      <c r="S406" s="358">
        <f t="shared" si="177"/>
        <v>2033.06</v>
      </c>
      <c r="T406" s="358"/>
      <c r="U406" s="358"/>
      <c r="V406" s="387"/>
      <c r="W406" s="358"/>
      <c r="X406" s="358"/>
      <c r="Y406" s="360"/>
      <c r="AA406" s="344"/>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80">
        <f>STDEV(C409:S409)</f>
        <v>14.425574104279335</v>
      </c>
      <c r="X407" s="248">
        <f>IF((S408=""),"",((T407-U407)/(T407+U407))*100)</f>
        <v>1.135997097008304</v>
      </c>
      <c r="Y407" s="250" t="str">
        <f>IF(S408="","",IF(X407&lt;15,IF(V407&gt;1680,IF(V407&lt;2200,"Pass","Fail"),"Fail"),"Fail"))</f>
        <v>Pass</v>
      </c>
      <c r="Z407" s="394" t="s">
        <v>138</v>
      </c>
      <c r="AA407" s="398" t="s">
        <v>217</v>
      </c>
      <c r="AB407" s="407" t="s">
        <v>218</v>
      </c>
      <c r="AC407" s="316">
        <v>1600</v>
      </c>
      <c r="AD407" s="316">
        <v>2600</v>
      </c>
      <c r="AE407" s="355">
        <v>1690</v>
      </c>
      <c r="AF407" s="355">
        <v>2210</v>
      </c>
      <c r="AG407" s="356">
        <v>15</v>
      </c>
      <c r="AH407" s="356">
        <v>15</v>
      </c>
    </row>
    <row r="408" spans="1:34">
      <c r="A408" s="392"/>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8"/>
      <c r="U408" s="358"/>
      <c r="V408" s="358"/>
      <c r="W408" s="380"/>
      <c r="X408" s="358"/>
      <c r="Y408" s="358"/>
      <c r="Z408" s="360"/>
    </row>
    <row r="409" spans="1:34" ht="32.25" thickBot="1">
      <c r="A409" s="393"/>
      <c r="B409" s="256" t="s">
        <v>221</v>
      </c>
      <c r="C409" s="358">
        <f t="shared" ref="C409:H409" si="178">IF(((C407="")*AND(C408="")),"",(C407-C408)*2)</f>
        <v>2005.06</v>
      </c>
      <c r="D409" s="358">
        <f t="shared" si="178"/>
        <v>1994.8200000000002</v>
      </c>
      <c r="E409" s="358">
        <f t="shared" si="178"/>
        <v>1983.54</v>
      </c>
      <c r="F409" s="358">
        <f t="shared" si="178"/>
        <v>1970.98</v>
      </c>
      <c r="G409" s="358">
        <f t="shared" si="178"/>
        <v>1967.6</v>
      </c>
      <c r="H409" s="358">
        <f t="shared" si="178"/>
        <v>1973.9399999999996</v>
      </c>
      <c r="I409" s="358">
        <f>IF(((I407="")*AND(I408="")),"",(I407-I408)*2)</f>
        <v>1984.3400000000001</v>
      </c>
      <c r="J409" s="358">
        <f>IF(((J407="")*AND(J408="")),"",(J407-J408)*2)</f>
        <v>1985.98</v>
      </c>
      <c r="K409" s="358">
        <f>IF(((K407="")*AND(K408="")),"",(K407-K408)*2)</f>
        <v>1979.6599999999999</v>
      </c>
      <c r="L409" s="358">
        <f>IF(((L407="")*AND(L408="")),"",(L407-L408)*2)</f>
        <v>1961.62</v>
      </c>
      <c r="M409" s="358">
        <f t="shared" ref="M409:S409" si="179">IF(((M407="")*AND(M408="")),"",(M407-M408)*2)</f>
        <v>1973</v>
      </c>
      <c r="N409" s="358">
        <f t="shared" si="179"/>
        <v>1969.1399999999999</v>
      </c>
      <c r="O409" s="358">
        <f t="shared" si="179"/>
        <v>1967.08</v>
      </c>
      <c r="P409" s="358">
        <f t="shared" si="179"/>
        <v>1980.1999999999998</v>
      </c>
      <c r="Q409" s="358">
        <f t="shared" si="179"/>
        <v>1994.6800000000003</v>
      </c>
      <c r="R409" s="358">
        <f t="shared" si="179"/>
        <v>2005.6200000000001</v>
      </c>
      <c r="S409" s="358">
        <f t="shared" si="179"/>
        <v>2006.6999999999998</v>
      </c>
      <c r="T409" s="358"/>
      <c r="U409" s="358"/>
      <c r="V409" s="358"/>
      <c r="W409" s="387"/>
      <c r="X409" s="358"/>
      <c r="Y409" s="358"/>
      <c r="Z409" s="360"/>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80">
        <f>STDEV(C412:S412)</f>
        <v>12.509214721151283</v>
      </c>
      <c r="X410" s="248">
        <f>IF((S411=""),"",((T410-U410)/(T410+U410))*100)</f>
        <v>1.0378962307979007</v>
      </c>
      <c r="Y410" s="250" t="str">
        <f>IF(S411="","",IF(X410&lt;15,IF(V410&gt;1680,IF(V410&lt;2200,"Pass","Fail"),"Fail"),"Fail"))</f>
        <v>Pass</v>
      </c>
      <c r="Z410" s="394">
        <v>121</v>
      </c>
      <c r="AA410" s="398" t="s">
        <v>219</v>
      </c>
      <c r="AC410" s="316">
        <v>1600</v>
      </c>
      <c r="AD410" s="316">
        <v>2600</v>
      </c>
      <c r="AE410" s="355">
        <v>1690</v>
      </c>
      <c r="AF410" s="355">
        <v>2210</v>
      </c>
      <c r="AG410" s="356">
        <v>15</v>
      </c>
      <c r="AH410" s="356">
        <v>15</v>
      </c>
    </row>
    <row r="411" spans="1:34">
      <c r="A411" s="392"/>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8"/>
      <c r="U411" s="358"/>
      <c r="V411" s="358"/>
      <c r="W411" s="380"/>
      <c r="X411" s="358"/>
      <c r="Y411" s="358"/>
      <c r="Z411" s="360"/>
    </row>
    <row r="412" spans="1:34" ht="32.25" thickBot="1">
      <c r="A412" s="393"/>
      <c r="B412" s="256" t="s">
        <v>221</v>
      </c>
      <c r="C412" s="358">
        <f t="shared" ref="C412:H412" si="180">IF(((C410="")*AND(C411="")),"",(C410-C411)*2)</f>
        <v>1977.54</v>
      </c>
      <c r="D412" s="358">
        <f t="shared" si="180"/>
        <v>1972.74</v>
      </c>
      <c r="E412" s="358">
        <f t="shared" si="180"/>
        <v>1963.1399999999999</v>
      </c>
      <c r="F412" s="358">
        <f t="shared" si="180"/>
        <v>1947.98</v>
      </c>
      <c r="G412" s="358">
        <f t="shared" si="180"/>
        <v>1948.94</v>
      </c>
      <c r="H412" s="358">
        <f t="shared" si="180"/>
        <v>1953.0400000000002</v>
      </c>
      <c r="I412" s="358">
        <f>IF(((I410="")*AND(I411="")),"",(I410-I411)*2)</f>
        <v>1964.38</v>
      </c>
      <c r="J412" s="358">
        <f>IF(((J410="")*AND(J411="")),"",(J410-J411)*2)</f>
        <v>1964.5400000000002</v>
      </c>
      <c r="K412" s="358">
        <f>IF(((K410="")*AND(K411="")),"",(K410-K411)*2)</f>
        <v>1955.8400000000001</v>
      </c>
      <c r="L412" s="358">
        <f>IF(((L410="")*AND(L411="")),"",(L410-L411)*2)</f>
        <v>1938.44</v>
      </c>
      <c r="M412" s="358">
        <f t="shared" ref="M412:S412" si="181">IF(((M410="")*AND(M411="")),"",(M410-M411)*2)</f>
        <v>1945.96</v>
      </c>
      <c r="N412" s="358">
        <f t="shared" si="181"/>
        <v>1948.8799999999999</v>
      </c>
      <c r="O412" s="358">
        <f t="shared" si="181"/>
        <v>1947.1200000000001</v>
      </c>
      <c r="P412" s="358">
        <f t="shared" si="181"/>
        <v>1960.4799999999998</v>
      </c>
      <c r="Q412" s="358">
        <f t="shared" si="181"/>
        <v>1969.6399999999999</v>
      </c>
      <c r="R412" s="358">
        <f t="shared" si="181"/>
        <v>1979.1000000000001</v>
      </c>
      <c r="S412" s="358">
        <f t="shared" si="181"/>
        <v>1975.64</v>
      </c>
      <c r="T412" s="358"/>
      <c r="U412" s="358"/>
      <c r="V412" s="358"/>
      <c r="W412" s="387"/>
      <c r="X412" s="358"/>
      <c r="Y412" s="358"/>
      <c r="Z412" s="360"/>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80">
        <f>STDEV(C415:S415)</f>
        <v>15.628677920040234</v>
      </c>
      <c r="X413" s="248">
        <f>IF((S414=""),"",((T413-U413)/(T413+U413))*100)</f>
        <v>1.3938295863424184</v>
      </c>
      <c r="Y413" s="250" t="str">
        <f>IF(S414="","",IF(X413&lt;15,IF(V413&gt;1680,IF(V413&lt;2200,"Pass","Fail"),"Fail"),"Fail"))</f>
        <v>Pass</v>
      </c>
      <c r="Z413" s="394">
        <v>1428</v>
      </c>
      <c r="AA413" s="401" t="s">
        <v>220</v>
      </c>
      <c r="AC413" s="316">
        <v>1600</v>
      </c>
      <c r="AD413" s="316">
        <v>2600</v>
      </c>
      <c r="AE413" s="355">
        <v>1690</v>
      </c>
      <c r="AF413" s="355">
        <v>2210</v>
      </c>
      <c r="AG413" s="356">
        <v>15</v>
      </c>
      <c r="AH413" s="356">
        <v>15</v>
      </c>
    </row>
    <row r="414" spans="1:34">
      <c r="A414" s="392"/>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8"/>
      <c r="U414" s="358"/>
      <c r="V414" s="358"/>
      <c r="W414" s="380"/>
      <c r="X414" s="358"/>
      <c r="Y414" s="358"/>
      <c r="Z414" s="360"/>
    </row>
    <row r="415" spans="1:34" ht="32.25" thickBot="1">
      <c r="A415" s="393"/>
      <c r="B415" s="256" t="s">
        <v>221</v>
      </c>
      <c r="C415" s="358">
        <f t="shared" ref="C415:H415" si="182">IF(((C413="")*AND(C414="")),"",(C413-C414)*2)</f>
        <v>1972.06</v>
      </c>
      <c r="D415" s="358">
        <f t="shared" si="182"/>
        <v>1974.2399999999998</v>
      </c>
      <c r="E415" s="358">
        <f t="shared" si="182"/>
        <v>1964.44</v>
      </c>
      <c r="F415" s="358">
        <f t="shared" si="182"/>
        <v>1946.4</v>
      </c>
      <c r="G415" s="358">
        <f t="shared" si="182"/>
        <v>1939.7000000000003</v>
      </c>
      <c r="H415" s="358">
        <f t="shared" si="182"/>
        <v>1946.8199999999997</v>
      </c>
      <c r="I415" s="358">
        <f>IF(((I413="")*AND(I414="")),"",(I413-I414)*2)</f>
        <v>1958.2000000000003</v>
      </c>
      <c r="J415" s="358">
        <f>IF(((J413="")*AND(J414="")),"",(J413-J414)*2)</f>
        <v>1959.08</v>
      </c>
      <c r="K415" s="358">
        <f>IF(((K413="")*AND(K414="")),"",(K413-K414)*2)</f>
        <v>1944.1</v>
      </c>
      <c r="L415" s="358">
        <f>IF(((L413="")*AND(L414="")),"",(L413-L414)*2)</f>
        <v>1932.04</v>
      </c>
      <c r="M415" s="358">
        <f t="shared" ref="M415:S415" si="183">IF(((M413="")*AND(M414="")),"",(M413-M414)*2)</f>
        <v>1948.7600000000002</v>
      </c>
      <c r="N415" s="358">
        <f t="shared" si="183"/>
        <v>1952.04</v>
      </c>
      <c r="O415" s="358">
        <f t="shared" si="183"/>
        <v>1942.98</v>
      </c>
      <c r="P415" s="358">
        <f t="shared" si="183"/>
        <v>1956.6800000000003</v>
      </c>
      <c r="Q415" s="358">
        <f t="shared" si="183"/>
        <v>1974.6800000000003</v>
      </c>
      <c r="R415" s="358">
        <f t="shared" si="183"/>
        <v>1986.6600000000003</v>
      </c>
      <c r="S415" s="358">
        <f t="shared" si="183"/>
        <v>1980.3000000000002</v>
      </c>
      <c r="T415" s="358"/>
      <c r="U415" s="358"/>
      <c r="V415" s="358"/>
      <c r="W415" s="387"/>
      <c r="X415" s="358"/>
      <c r="Y415" s="358"/>
      <c r="Z415" s="360"/>
    </row>
    <row r="416" spans="1:34">
      <c r="A416" s="261"/>
      <c r="B416" s="248" t="s">
        <v>77</v>
      </c>
      <c r="T416" s="248" t="str">
        <f>IF((S417=""),"",MAX(C418:S418))</f>
        <v/>
      </c>
      <c r="U416" s="248" t="str">
        <f>IF(S417="","",MIN(C418:S418))</f>
        <v/>
      </c>
      <c r="V416" s="248" t="str">
        <f>IF((S418=""),"",AVERAGE(C418:S418))</f>
        <v/>
      </c>
      <c r="W416" s="380" t="e">
        <f>STDEV(C418:S418)</f>
        <v>#DIV/0!</v>
      </c>
      <c r="X416" s="248" t="str">
        <f>IF((S417=""),"",((T416-U416)/(T416+U416))*100)</f>
        <v/>
      </c>
      <c r="Y416" s="250" t="str">
        <f>IF(S417="","",IF(X416&lt;15,IF(V416&gt;1680,IF(V416&lt;2200,"Pass","Fail"),"Fail"),"Fail"))</f>
        <v/>
      </c>
      <c r="Z416" s="394"/>
      <c r="AC416" s="316">
        <v>1600</v>
      </c>
      <c r="AD416" s="316">
        <v>2600</v>
      </c>
      <c r="AE416" s="355">
        <v>1690</v>
      </c>
      <c r="AF416" s="355">
        <v>2210</v>
      </c>
      <c r="AG416" s="356">
        <v>15</v>
      </c>
      <c r="AH416" s="356">
        <v>15</v>
      </c>
    </row>
    <row r="417" spans="1:34">
      <c r="A417" s="392"/>
      <c r="B417" s="248" t="s">
        <v>78</v>
      </c>
      <c r="T417" s="358"/>
      <c r="U417" s="358"/>
      <c r="V417" s="358"/>
      <c r="W417" s="380"/>
      <c r="X417" s="358"/>
      <c r="Y417" s="358"/>
      <c r="Z417" s="360"/>
    </row>
    <row r="418" spans="1:34" ht="32.25" thickBot="1">
      <c r="A418" s="393"/>
      <c r="B418" s="256" t="s">
        <v>221</v>
      </c>
      <c r="C418" s="358" t="str">
        <f t="shared" ref="C418:H418" si="184">IF(((C416="")*AND(C417="")),"",(C416-C417)*2)</f>
        <v/>
      </c>
      <c r="D418" s="358" t="str">
        <f t="shared" si="184"/>
        <v/>
      </c>
      <c r="E418" s="358" t="str">
        <f t="shared" si="184"/>
        <v/>
      </c>
      <c r="F418" s="358" t="str">
        <f t="shared" si="184"/>
        <v/>
      </c>
      <c r="G418" s="358" t="str">
        <f t="shared" si="184"/>
        <v/>
      </c>
      <c r="H418" s="358" t="str">
        <f t="shared" si="184"/>
        <v/>
      </c>
      <c r="I418" s="358" t="str">
        <f>IF(((I416="")*AND(I417="")),"",(I416-I417)*2)</f>
        <v/>
      </c>
      <c r="J418" s="358" t="str">
        <f>IF(((J416="")*AND(J417="")),"",(J416-J417)*2)</f>
        <v/>
      </c>
      <c r="K418" s="358" t="str">
        <f>IF(((K416="")*AND(K417="")),"",(K416-K417)*2)</f>
        <v/>
      </c>
      <c r="L418" s="358" t="str">
        <f>IF(((L416="")*AND(L417="")),"",(L416-L417)*2)</f>
        <v/>
      </c>
      <c r="M418" s="358" t="str">
        <f t="shared" ref="M418:S418" si="185">IF(((M416="")*AND(M417="")),"",(M416-M417)*2)</f>
        <v/>
      </c>
      <c r="N418" s="358" t="str">
        <f t="shared" si="185"/>
        <v/>
      </c>
      <c r="O418" s="358" t="str">
        <f t="shared" si="185"/>
        <v/>
      </c>
      <c r="P418" s="358" t="str">
        <f t="shared" si="185"/>
        <v/>
      </c>
      <c r="Q418" s="358" t="str">
        <f t="shared" si="185"/>
        <v/>
      </c>
      <c r="R418" s="358" t="str">
        <f t="shared" si="185"/>
        <v/>
      </c>
      <c r="S418" s="358" t="str">
        <f t="shared" si="185"/>
        <v/>
      </c>
      <c r="T418" s="358"/>
      <c r="U418" s="358"/>
      <c r="V418" s="358"/>
      <c r="W418" s="387"/>
      <c r="X418" s="358"/>
      <c r="Y418" s="358"/>
      <c r="Z418" s="360"/>
    </row>
    <row r="419" spans="1:34">
      <c r="A419" s="261"/>
      <c r="B419" s="248" t="s">
        <v>77</v>
      </c>
      <c r="T419" s="248" t="str">
        <f>IF((S420=""),"",MAX(C421:S421))</f>
        <v/>
      </c>
      <c r="U419" s="248" t="str">
        <f>IF(S420="","",MIN(C421:S421))</f>
        <v/>
      </c>
      <c r="V419" s="248" t="str">
        <f>IF((S421=""),"",AVERAGE(C421:S421))</f>
        <v/>
      </c>
      <c r="W419" s="380" t="e">
        <f>STDEV(C421:S421)</f>
        <v>#DIV/0!</v>
      </c>
      <c r="X419" s="248" t="str">
        <f>IF((S420=""),"",((T419-U419)/(T419+U419))*100)</f>
        <v/>
      </c>
      <c r="Y419" s="250" t="str">
        <f>IF(S420="","",IF(X419&lt;15,IF(V419&gt;1680,IF(V419&lt;2200,"Pass","Fail"),"Fail"),"Fail"))</f>
        <v/>
      </c>
      <c r="Z419" s="394"/>
      <c r="AC419" s="316">
        <v>1600</v>
      </c>
      <c r="AD419" s="316">
        <v>2600</v>
      </c>
      <c r="AE419" s="355">
        <v>1690</v>
      </c>
      <c r="AF419" s="355">
        <v>2210</v>
      </c>
      <c r="AG419" s="356">
        <v>15</v>
      </c>
      <c r="AH419" s="356">
        <v>15</v>
      </c>
    </row>
    <row r="420" spans="1:34">
      <c r="A420" s="392"/>
      <c r="B420" s="248" t="s">
        <v>78</v>
      </c>
      <c r="T420" s="358"/>
      <c r="U420" s="358"/>
      <c r="V420" s="358"/>
      <c r="W420" s="380"/>
      <c r="X420" s="358"/>
      <c r="Y420" s="358"/>
      <c r="Z420" s="360"/>
    </row>
    <row r="421" spans="1:34" ht="32.25" thickBot="1">
      <c r="A421" s="393"/>
      <c r="B421" s="256" t="s">
        <v>221</v>
      </c>
      <c r="C421" s="358" t="str">
        <f t="shared" ref="C421:H421" si="186">IF(((C419="")*AND(C420="")),"",(C419-C420)*2)</f>
        <v/>
      </c>
      <c r="D421" s="358" t="str">
        <f t="shared" si="186"/>
        <v/>
      </c>
      <c r="E421" s="358" t="str">
        <f t="shared" si="186"/>
        <v/>
      </c>
      <c r="F421" s="358" t="str">
        <f t="shared" si="186"/>
        <v/>
      </c>
      <c r="G421" s="358" t="str">
        <f t="shared" si="186"/>
        <v/>
      </c>
      <c r="H421" s="358" t="str">
        <f t="shared" si="186"/>
        <v/>
      </c>
      <c r="I421" s="358" t="str">
        <f>IF(((I419="")*AND(I420="")),"",(I419-I420)*2)</f>
        <v/>
      </c>
      <c r="J421" s="358" t="str">
        <f>IF(((J419="")*AND(J420="")),"",(J419-J420)*2)</f>
        <v/>
      </c>
      <c r="K421" s="358" t="str">
        <f>IF(((K419="")*AND(K420="")),"",(K419-K420)*2)</f>
        <v/>
      </c>
      <c r="L421" s="358" t="str">
        <f>IF(((L419="")*AND(L420="")),"",(L419-L420)*2)</f>
        <v/>
      </c>
      <c r="M421" s="358" t="str">
        <f t="shared" ref="M421:S421" si="187">IF(((M419="")*AND(M420="")),"",(M419-M420)*2)</f>
        <v/>
      </c>
      <c r="N421" s="358" t="str">
        <f t="shared" si="187"/>
        <v/>
      </c>
      <c r="O421" s="358" t="str">
        <f t="shared" si="187"/>
        <v/>
      </c>
      <c r="P421" s="358" t="str">
        <f t="shared" si="187"/>
        <v/>
      </c>
      <c r="Q421" s="358" t="str">
        <f t="shared" si="187"/>
        <v/>
      </c>
      <c r="R421" s="358" t="str">
        <f t="shared" si="187"/>
        <v/>
      </c>
      <c r="S421" s="358" t="str">
        <f t="shared" si="187"/>
        <v/>
      </c>
      <c r="T421" s="358"/>
      <c r="U421" s="358"/>
      <c r="V421" s="358"/>
      <c r="W421" s="387"/>
      <c r="X421" s="358"/>
      <c r="Y421" s="358"/>
      <c r="Z421" s="360"/>
    </row>
    <row r="422" spans="1:34">
      <c r="A422" s="261"/>
      <c r="B422" s="248" t="s">
        <v>77</v>
      </c>
      <c r="T422" s="248" t="str">
        <f>IF((S423=""),"",MAX(C424:S424))</f>
        <v/>
      </c>
      <c r="U422" s="248" t="str">
        <f>IF(S423="","",MIN(C424:S424))</f>
        <v/>
      </c>
      <c r="V422" s="248" t="str">
        <f>IF((S424=""),"",AVERAGE(C424:S424))</f>
        <v/>
      </c>
      <c r="W422" s="380" t="e">
        <f>STDEV(C424:S424)</f>
        <v>#DIV/0!</v>
      </c>
      <c r="X422" s="248" t="str">
        <f>IF((S423=""),"",((T422-U422)/(T422+U422))*100)</f>
        <v/>
      </c>
      <c r="Y422" s="250" t="str">
        <f>IF(S423="","",IF(X422&lt;15,IF(V422&gt;1680,IF(V422&lt;2200,"Pass","Fail"),"Fail"),"Fail"))</f>
        <v/>
      </c>
      <c r="Z422" s="394"/>
      <c r="AC422" s="316">
        <v>1600</v>
      </c>
      <c r="AD422" s="316">
        <v>2600</v>
      </c>
      <c r="AE422" s="355">
        <v>1690</v>
      </c>
      <c r="AF422" s="355">
        <v>2210</v>
      </c>
      <c r="AG422" s="356">
        <v>15</v>
      </c>
      <c r="AH422" s="356">
        <v>15</v>
      </c>
    </row>
    <row r="423" spans="1:34">
      <c r="A423" s="392"/>
      <c r="B423" s="248" t="s">
        <v>78</v>
      </c>
      <c r="T423" s="358"/>
      <c r="U423" s="358"/>
      <c r="V423" s="358"/>
      <c r="W423" s="380"/>
      <c r="X423" s="358"/>
      <c r="Y423" s="358"/>
      <c r="Z423" s="360"/>
    </row>
    <row r="424" spans="1:34" ht="32.25" thickBot="1">
      <c r="A424" s="393"/>
      <c r="B424" s="256" t="s">
        <v>221</v>
      </c>
      <c r="C424" s="358" t="str">
        <f t="shared" ref="C424:H424" si="188">IF(((C422="")*AND(C423="")),"",(C422-C423)*2)</f>
        <v/>
      </c>
      <c r="D424" s="358" t="str">
        <f t="shared" si="188"/>
        <v/>
      </c>
      <c r="E424" s="358" t="str">
        <f t="shared" si="188"/>
        <v/>
      </c>
      <c r="F424" s="358" t="str">
        <f t="shared" si="188"/>
        <v/>
      </c>
      <c r="G424" s="358" t="str">
        <f t="shared" si="188"/>
        <v/>
      </c>
      <c r="H424" s="358" t="str">
        <f t="shared" si="188"/>
        <v/>
      </c>
      <c r="I424" s="358" t="str">
        <f>IF(((I422="")*AND(I423="")),"",(I422-I423)*2)</f>
        <v/>
      </c>
      <c r="J424" s="358" t="str">
        <f>IF(((J422="")*AND(J423="")),"",(J422-J423)*2)</f>
        <v/>
      </c>
      <c r="K424" s="358" t="str">
        <f>IF(((K422="")*AND(K423="")),"",(K422-K423)*2)</f>
        <v/>
      </c>
      <c r="L424" s="358" t="str">
        <f>IF(((L422="")*AND(L423="")),"",(L422-L423)*2)</f>
        <v/>
      </c>
      <c r="M424" s="358" t="str">
        <f t="shared" ref="M424:S424" si="189">IF(((M422="")*AND(M423="")),"",(M422-M423)*2)</f>
        <v/>
      </c>
      <c r="N424" s="358" t="str">
        <f t="shared" si="189"/>
        <v/>
      </c>
      <c r="O424" s="358" t="str">
        <f t="shared" si="189"/>
        <v/>
      </c>
      <c r="P424" s="358" t="str">
        <f t="shared" si="189"/>
        <v/>
      </c>
      <c r="Q424" s="358" t="str">
        <f t="shared" si="189"/>
        <v/>
      </c>
      <c r="R424" s="358" t="str">
        <f t="shared" si="189"/>
        <v/>
      </c>
      <c r="S424" s="358" t="str">
        <f t="shared" si="189"/>
        <v/>
      </c>
      <c r="T424" s="358"/>
      <c r="U424" s="358"/>
      <c r="V424" s="358"/>
      <c r="W424" s="387"/>
      <c r="X424" s="358"/>
      <c r="Y424" s="358"/>
      <c r="Z424" s="360"/>
    </row>
    <row r="425" spans="1:34">
      <c r="A425" s="261"/>
      <c r="B425" s="248" t="s">
        <v>77</v>
      </c>
      <c r="T425" s="248" t="str">
        <f>IF((S426=""),"",MAX(C427:S427))</f>
        <v/>
      </c>
      <c r="U425" s="248" t="str">
        <f>IF(S426="","",MIN(C427:S427))</f>
        <v/>
      </c>
      <c r="V425" s="248" t="str">
        <f>IF((S427=""),"",AVERAGE(C427:S427))</f>
        <v/>
      </c>
      <c r="W425" s="380" t="e">
        <f>STDEV(C427:S427)</f>
        <v>#DIV/0!</v>
      </c>
      <c r="X425" s="248" t="str">
        <f>IF((S426=""),"",((T425-U425)/(T425+U425))*100)</f>
        <v/>
      </c>
      <c r="Y425" s="250" t="str">
        <f>IF(S426="","",IF(X425&lt;15,IF(V425&gt;1680,IF(V425&lt;2200,"Pass","Fail"),"Fail"),"Fail"))</f>
        <v/>
      </c>
      <c r="Z425" s="394"/>
      <c r="AC425" s="316">
        <v>1600</v>
      </c>
      <c r="AD425" s="316">
        <v>2600</v>
      </c>
      <c r="AE425" s="355">
        <v>1690</v>
      </c>
      <c r="AF425" s="355">
        <v>2210</v>
      </c>
      <c r="AG425" s="356">
        <v>15</v>
      </c>
      <c r="AH425" s="356">
        <v>15</v>
      </c>
    </row>
    <row r="426" spans="1:34">
      <c r="A426" s="392"/>
      <c r="B426" s="248" t="s">
        <v>78</v>
      </c>
      <c r="T426" s="358"/>
      <c r="U426" s="358"/>
      <c r="V426" s="358"/>
      <c r="W426" s="380"/>
      <c r="X426" s="358"/>
      <c r="Y426" s="358"/>
      <c r="Z426" s="360"/>
    </row>
    <row r="427" spans="1:34" ht="32.25" thickBot="1">
      <c r="A427" s="393"/>
      <c r="B427" s="256" t="s">
        <v>221</v>
      </c>
      <c r="C427" s="358" t="str">
        <f t="shared" ref="C427:H427" si="190">IF(((C425="")*AND(C426="")),"",(C425-C426)*2)</f>
        <v/>
      </c>
      <c r="D427" s="358" t="str">
        <f t="shared" si="190"/>
        <v/>
      </c>
      <c r="E427" s="358" t="str">
        <f t="shared" si="190"/>
        <v/>
      </c>
      <c r="F427" s="358" t="str">
        <f t="shared" si="190"/>
        <v/>
      </c>
      <c r="G427" s="358" t="str">
        <f t="shared" si="190"/>
        <v/>
      </c>
      <c r="H427" s="358" t="str">
        <f t="shared" si="190"/>
        <v/>
      </c>
      <c r="I427" s="358" t="str">
        <f>IF(((I425="")*AND(I426="")),"",(I425-I426)*2)</f>
        <v/>
      </c>
      <c r="J427" s="358" t="str">
        <f>IF(((J425="")*AND(J426="")),"",(J425-J426)*2)</f>
        <v/>
      </c>
      <c r="K427" s="358" t="str">
        <f>IF(((K425="")*AND(K426="")),"",(K425-K426)*2)</f>
        <v/>
      </c>
      <c r="L427" s="358" t="str">
        <f>IF(((L425="")*AND(L426="")),"",(L425-L426)*2)</f>
        <v/>
      </c>
      <c r="M427" s="358" t="str">
        <f t="shared" ref="M427:S427" si="191">IF(((M425="")*AND(M426="")),"",(M425-M426)*2)</f>
        <v/>
      </c>
      <c r="N427" s="358" t="str">
        <f t="shared" si="191"/>
        <v/>
      </c>
      <c r="O427" s="358" t="str">
        <f t="shared" si="191"/>
        <v/>
      </c>
      <c r="P427" s="358" t="str">
        <f t="shared" si="191"/>
        <v/>
      </c>
      <c r="Q427" s="358" t="str">
        <f t="shared" si="191"/>
        <v/>
      </c>
      <c r="R427" s="358" t="str">
        <f t="shared" si="191"/>
        <v/>
      </c>
      <c r="S427" s="358" t="str">
        <f t="shared" si="191"/>
        <v/>
      </c>
      <c r="T427" s="358"/>
      <c r="U427" s="358"/>
      <c r="V427" s="358"/>
      <c r="W427" s="387"/>
      <c r="X427" s="358"/>
      <c r="Y427" s="358"/>
      <c r="Z427" s="360"/>
    </row>
    <row r="428" spans="1:34">
      <c r="A428" s="261"/>
      <c r="B428" s="248" t="s">
        <v>77</v>
      </c>
      <c r="T428" s="248" t="str">
        <f>IF((S429=""),"",MAX(C430:S430))</f>
        <v/>
      </c>
      <c r="U428" s="248" t="str">
        <f>IF(S429="","",MIN(C430:S430))</f>
        <v/>
      </c>
      <c r="V428" s="248" t="str">
        <f>IF((S430=""),"",AVERAGE(C430:S430))</f>
        <v/>
      </c>
      <c r="W428" s="380" t="e">
        <f>STDEV(C430:S430)</f>
        <v>#DIV/0!</v>
      </c>
      <c r="X428" s="248" t="str">
        <f>IF((S429=""),"",((T428-U428)/(T428+U428))*100)</f>
        <v/>
      </c>
      <c r="Y428" s="250" t="str">
        <f>IF(S429="","",IF(X428&lt;15,IF(V428&gt;1680,IF(V428&lt;2200,"Pass","Fail"),"Fail"),"Fail"))</f>
        <v/>
      </c>
      <c r="Z428" s="394"/>
      <c r="AC428" s="316">
        <v>1600</v>
      </c>
      <c r="AD428" s="316">
        <v>2600</v>
      </c>
      <c r="AE428" s="355">
        <v>1690</v>
      </c>
      <c r="AF428" s="355">
        <v>2210</v>
      </c>
      <c r="AG428" s="356">
        <v>15</v>
      </c>
      <c r="AH428" s="356">
        <v>15</v>
      </c>
    </row>
    <row r="429" spans="1:34">
      <c r="A429" s="392"/>
      <c r="B429" s="248" t="s">
        <v>78</v>
      </c>
      <c r="T429" s="358"/>
      <c r="U429" s="358"/>
      <c r="V429" s="358"/>
      <c r="W429" s="380"/>
      <c r="X429" s="358"/>
      <c r="Y429" s="358"/>
      <c r="Z429" s="360"/>
    </row>
    <row r="430" spans="1:34" ht="32.25" thickBot="1">
      <c r="A430" s="393"/>
      <c r="B430" s="256" t="s">
        <v>221</v>
      </c>
      <c r="C430" s="358" t="str">
        <f t="shared" ref="C430:H430" si="192">IF(((C428="")*AND(C429="")),"",(C428-C429)*2)</f>
        <v/>
      </c>
      <c r="D430" s="358" t="str">
        <f t="shared" si="192"/>
        <v/>
      </c>
      <c r="E430" s="358" t="str">
        <f t="shared" si="192"/>
        <v/>
      </c>
      <c r="F430" s="358" t="str">
        <f t="shared" si="192"/>
        <v/>
      </c>
      <c r="G430" s="358" t="str">
        <f t="shared" si="192"/>
        <v/>
      </c>
      <c r="H430" s="358" t="str">
        <f t="shared" si="192"/>
        <v/>
      </c>
      <c r="I430" s="358" t="str">
        <f>IF(((I428="")*AND(I429="")),"",(I428-I429)*2)</f>
        <v/>
      </c>
      <c r="J430" s="358" t="str">
        <f>IF(((J428="")*AND(J429="")),"",(J428-J429)*2)</f>
        <v/>
      </c>
      <c r="K430" s="358" t="str">
        <f>IF(((K428="")*AND(K429="")),"",(K428-K429)*2)</f>
        <v/>
      </c>
      <c r="L430" s="358" t="str">
        <f>IF(((L428="")*AND(L429="")),"",(L428-L429)*2)</f>
        <v/>
      </c>
      <c r="M430" s="358" t="str">
        <f t="shared" ref="M430:S430" si="193">IF(((M428="")*AND(M429="")),"",(M428-M429)*2)</f>
        <v/>
      </c>
      <c r="N430" s="358" t="str">
        <f t="shared" si="193"/>
        <v/>
      </c>
      <c r="O430" s="358" t="str">
        <f t="shared" si="193"/>
        <v/>
      </c>
      <c r="P430" s="358" t="str">
        <f t="shared" si="193"/>
        <v/>
      </c>
      <c r="Q430" s="358" t="str">
        <f t="shared" si="193"/>
        <v/>
      </c>
      <c r="R430" s="358" t="str">
        <f t="shared" si="193"/>
        <v/>
      </c>
      <c r="S430" s="358" t="str">
        <f t="shared" si="193"/>
        <v/>
      </c>
      <c r="T430" s="358"/>
      <c r="U430" s="358"/>
      <c r="V430" s="358"/>
      <c r="W430" s="387"/>
      <c r="X430" s="358"/>
      <c r="Y430" s="358"/>
      <c r="Z430" s="360"/>
    </row>
    <row r="431" spans="1:34">
      <c r="A431" s="261"/>
      <c r="B431" s="248" t="s">
        <v>77</v>
      </c>
      <c r="T431" s="248" t="str">
        <f>IF((S432=""),"",MAX(C433:S433))</f>
        <v/>
      </c>
      <c r="U431" s="248" t="str">
        <f>IF(S432="","",MIN(C433:S433))</f>
        <v/>
      </c>
      <c r="V431" s="248" t="str">
        <f>IF((S433=""),"",AVERAGE(C433:S433))</f>
        <v/>
      </c>
      <c r="W431" s="380" t="e">
        <f>STDEV(C433:S433)</f>
        <v>#DIV/0!</v>
      </c>
      <c r="X431" s="248" t="str">
        <f>IF((S432=""),"",((T431-U431)/(T431+U431))*100)</f>
        <v/>
      </c>
      <c r="Y431" s="250" t="str">
        <f>IF(S432="","",IF(X431&lt;15,IF(V431&gt;1680,IF(V431&lt;2200,"Pass","Fail"),"Fail"),"Fail"))</f>
        <v/>
      </c>
      <c r="Z431" s="394"/>
      <c r="AC431" s="316">
        <v>1600</v>
      </c>
      <c r="AD431" s="316">
        <v>2600</v>
      </c>
      <c r="AE431" s="355">
        <v>1690</v>
      </c>
      <c r="AF431" s="355">
        <v>2210</v>
      </c>
      <c r="AG431" s="356">
        <v>15</v>
      </c>
      <c r="AH431" s="356">
        <v>15</v>
      </c>
    </row>
    <row r="432" spans="1:34">
      <c r="A432" s="392"/>
      <c r="B432" s="248" t="s">
        <v>78</v>
      </c>
      <c r="T432" s="358"/>
      <c r="U432" s="358"/>
      <c r="V432" s="358"/>
      <c r="W432" s="380"/>
      <c r="X432" s="358"/>
      <c r="Y432" s="358"/>
      <c r="Z432" s="360"/>
    </row>
    <row r="433" spans="1:34" ht="32.25" thickBot="1">
      <c r="A433" s="393"/>
      <c r="B433" s="256" t="s">
        <v>221</v>
      </c>
      <c r="C433" s="358" t="str">
        <f t="shared" ref="C433:H433" si="194">IF(((C431="")*AND(C432="")),"",(C431-C432)*2)</f>
        <v/>
      </c>
      <c r="D433" s="358" t="str">
        <f t="shared" si="194"/>
        <v/>
      </c>
      <c r="E433" s="358" t="str">
        <f t="shared" si="194"/>
        <v/>
      </c>
      <c r="F433" s="358" t="str">
        <f t="shared" si="194"/>
        <v/>
      </c>
      <c r="G433" s="358" t="str">
        <f t="shared" si="194"/>
        <v/>
      </c>
      <c r="H433" s="358" t="str">
        <f t="shared" si="194"/>
        <v/>
      </c>
      <c r="I433" s="358" t="str">
        <f>IF(((I431="")*AND(I432="")),"",(I431-I432)*2)</f>
        <v/>
      </c>
      <c r="J433" s="358" t="str">
        <f>IF(((J431="")*AND(J432="")),"",(J431-J432)*2)</f>
        <v/>
      </c>
      <c r="K433" s="358" t="str">
        <f>IF(((K431="")*AND(K432="")),"",(K431-K432)*2)</f>
        <v/>
      </c>
      <c r="L433" s="358" t="str">
        <f>IF(((L431="")*AND(L432="")),"",(L431-L432)*2)</f>
        <v/>
      </c>
      <c r="M433" s="358" t="str">
        <f t="shared" ref="M433:S433" si="195">IF(((M431="")*AND(M432="")),"",(M431-M432)*2)</f>
        <v/>
      </c>
      <c r="N433" s="358" t="str">
        <f t="shared" si="195"/>
        <v/>
      </c>
      <c r="O433" s="358" t="str">
        <f t="shared" si="195"/>
        <v/>
      </c>
      <c r="P433" s="358" t="str">
        <f t="shared" si="195"/>
        <v/>
      </c>
      <c r="Q433" s="358" t="str">
        <f t="shared" si="195"/>
        <v/>
      </c>
      <c r="R433" s="358" t="str">
        <f t="shared" si="195"/>
        <v/>
      </c>
      <c r="S433" s="358" t="str">
        <f t="shared" si="195"/>
        <v/>
      </c>
      <c r="T433" s="358"/>
      <c r="U433" s="358"/>
      <c r="V433" s="358"/>
      <c r="W433" s="387"/>
      <c r="X433" s="358"/>
      <c r="Y433" s="358"/>
      <c r="Z433" s="360"/>
    </row>
    <row r="434" spans="1:34">
      <c r="A434" s="261"/>
      <c r="B434" s="248" t="s">
        <v>77</v>
      </c>
      <c r="T434" s="248" t="str">
        <f>IF((S435=""),"",MAX(C436:S436))</f>
        <v/>
      </c>
      <c r="U434" s="248" t="str">
        <f>IF(S435="","",MIN(C436:S436))</f>
        <v/>
      </c>
      <c r="V434" s="248" t="str">
        <f>IF((S436=""),"",AVERAGE(C436:S436))</f>
        <v/>
      </c>
      <c r="W434" s="380" t="e">
        <f>STDEV(C436:S436)</f>
        <v>#DIV/0!</v>
      </c>
      <c r="X434" s="248" t="str">
        <f>IF((S435=""),"",((T434-U434)/(T434+U434))*100)</f>
        <v/>
      </c>
      <c r="Y434" s="250" t="str">
        <f>IF(S435="","",IF(X434&lt;15,IF(V434&gt;1680,IF(V434&lt;2200,"Pass","Fail"),"Fail"),"Fail"))</f>
        <v/>
      </c>
      <c r="Z434" s="394"/>
      <c r="AC434" s="316">
        <v>1600</v>
      </c>
      <c r="AD434" s="316">
        <v>2600</v>
      </c>
      <c r="AE434" s="355">
        <v>1690</v>
      </c>
      <c r="AF434" s="355">
        <v>2210</v>
      </c>
      <c r="AG434" s="356">
        <v>15</v>
      </c>
      <c r="AH434" s="356">
        <v>15</v>
      </c>
    </row>
    <row r="435" spans="1:34">
      <c r="A435" s="392"/>
      <c r="B435" s="248" t="s">
        <v>78</v>
      </c>
      <c r="T435" s="358"/>
      <c r="U435" s="358"/>
      <c r="V435" s="358"/>
      <c r="W435" s="380"/>
      <c r="X435" s="358"/>
      <c r="Y435" s="358"/>
      <c r="Z435" s="360"/>
    </row>
    <row r="436" spans="1:34" ht="32.25" thickBot="1">
      <c r="A436" s="393"/>
      <c r="B436" s="256" t="s">
        <v>221</v>
      </c>
      <c r="C436" s="358" t="str">
        <f t="shared" ref="C436:H436" si="196">IF(((C434="")*AND(C435="")),"",(C434-C435)*2)</f>
        <v/>
      </c>
      <c r="D436" s="358" t="str">
        <f t="shared" si="196"/>
        <v/>
      </c>
      <c r="E436" s="358" t="str">
        <f t="shared" si="196"/>
        <v/>
      </c>
      <c r="F436" s="358" t="str">
        <f t="shared" si="196"/>
        <v/>
      </c>
      <c r="G436" s="358" t="str">
        <f t="shared" si="196"/>
        <v/>
      </c>
      <c r="H436" s="358" t="str">
        <f t="shared" si="196"/>
        <v/>
      </c>
      <c r="I436" s="358" t="str">
        <f>IF(((I434="")*AND(I435="")),"",(I434-I435)*2)</f>
        <v/>
      </c>
      <c r="J436" s="358" t="str">
        <f>IF(((J434="")*AND(J435="")),"",(J434-J435)*2)</f>
        <v/>
      </c>
      <c r="K436" s="358" t="str">
        <f>IF(((K434="")*AND(K435="")),"",(K434-K435)*2)</f>
        <v/>
      </c>
      <c r="L436" s="358" t="str">
        <f>IF(((L434="")*AND(L435="")),"",(L434-L435)*2)</f>
        <v/>
      </c>
      <c r="M436" s="358" t="str">
        <f t="shared" ref="M436:S436" si="197">IF(((M434="")*AND(M435="")),"",(M434-M435)*2)</f>
        <v/>
      </c>
      <c r="N436" s="358" t="str">
        <f t="shared" si="197"/>
        <v/>
      </c>
      <c r="O436" s="358" t="str">
        <f t="shared" si="197"/>
        <v/>
      </c>
      <c r="P436" s="358" t="str">
        <f t="shared" si="197"/>
        <v/>
      </c>
      <c r="Q436" s="358" t="str">
        <f t="shared" si="197"/>
        <v/>
      </c>
      <c r="R436" s="358" t="str">
        <f t="shared" si="197"/>
        <v/>
      </c>
      <c r="S436" s="358" t="str">
        <f t="shared" si="197"/>
        <v/>
      </c>
      <c r="T436" s="358"/>
      <c r="U436" s="358"/>
      <c r="V436" s="358"/>
      <c r="W436" s="387"/>
      <c r="X436" s="358"/>
      <c r="Y436" s="358"/>
      <c r="Z436" s="360"/>
    </row>
    <row r="437" spans="1:34">
      <c r="A437" s="261"/>
      <c r="B437" s="248" t="s">
        <v>77</v>
      </c>
      <c r="T437" s="248" t="str">
        <f>IF((S438=""),"",MAX(C439:S439))</f>
        <v/>
      </c>
      <c r="U437" s="248" t="str">
        <f>IF(S438="","",MIN(C439:S439))</f>
        <v/>
      </c>
      <c r="V437" s="248" t="str">
        <f>IF((S439=""),"",AVERAGE(C439:S439))</f>
        <v/>
      </c>
      <c r="W437" s="380" t="e">
        <f>STDEV(C439:S439)</f>
        <v>#DIV/0!</v>
      </c>
      <c r="X437" s="248" t="str">
        <f>IF((S438=""),"",((T437-U437)/(T437+U437))*100)</f>
        <v/>
      </c>
      <c r="Y437" s="250" t="str">
        <f>IF(S438="","",IF(X437&lt;15,IF(V437&gt;1680,IF(V437&lt;2200,"Pass","Fail"),"Fail"),"Fail"))</f>
        <v/>
      </c>
      <c r="Z437" s="394"/>
      <c r="AC437" s="316">
        <v>1600</v>
      </c>
      <c r="AD437" s="316">
        <v>2600</v>
      </c>
      <c r="AE437" s="355">
        <v>1690</v>
      </c>
      <c r="AF437" s="355">
        <v>2210</v>
      </c>
      <c r="AG437" s="356">
        <v>15</v>
      </c>
      <c r="AH437" s="356">
        <v>15</v>
      </c>
    </row>
    <row r="438" spans="1:34">
      <c r="A438" s="392"/>
      <c r="B438" s="248" t="s">
        <v>78</v>
      </c>
      <c r="T438" s="358"/>
      <c r="U438" s="358"/>
      <c r="V438" s="358"/>
      <c r="W438" s="380"/>
      <c r="X438" s="358"/>
      <c r="Y438" s="358"/>
      <c r="Z438" s="360"/>
    </row>
    <row r="439" spans="1:34" ht="32.25" thickBot="1">
      <c r="A439" s="393"/>
      <c r="B439" s="256" t="s">
        <v>221</v>
      </c>
      <c r="C439" s="358" t="str">
        <f t="shared" ref="C439:H439" si="198">IF(((C437="")*AND(C438="")),"",(C437-C438)*2)</f>
        <v/>
      </c>
      <c r="D439" s="358" t="str">
        <f t="shared" si="198"/>
        <v/>
      </c>
      <c r="E439" s="358" t="str">
        <f t="shared" si="198"/>
        <v/>
      </c>
      <c r="F439" s="358" t="str">
        <f t="shared" si="198"/>
        <v/>
      </c>
      <c r="G439" s="358" t="str">
        <f t="shared" si="198"/>
        <v/>
      </c>
      <c r="H439" s="358" t="str">
        <f t="shared" si="198"/>
        <v/>
      </c>
      <c r="I439" s="358" t="str">
        <f>IF(((I437="")*AND(I438="")),"",(I437-I438)*2)</f>
        <v/>
      </c>
      <c r="J439" s="358" t="str">
        <f>IF(((J437="")*AND(J438="")),"",(J437-J438)*2)</f>
        <v/>
      </c>
      <c r="K439" s="358" t="str">
        <f>IF(((K437="")*AND(K438="")),"",(K437-K438)*2)</f>
        <v/>
      </c>
      <c r="L439" s="358" t="str">
        <f>IF(((L437="")*AND(L438="")),"",(L437-L438)*2)</f>
        <v/>
      </c>
      <c r="M439" s="358" t="str">
        <f t="shared" ref="M439:S439" si="199">IF(((M437="")*AND(M438="")),"",(M437-M438)*2)</f>
        <v/>
      </c>
      <c r="N439" s="358" t="str">
        <f t="shared" si="199"/>
        <v/>
      </c>
      <c r="O439" s="358" t="str">
        <f t="shared" si="199"/>
        <v/>
      </c>
      <c r="P439" s="358" t="str">
        <f t="shared" si="199"/>
        <v/>
      </c>
      <c r="Q439" s="358" t="str">
        <f t="shared" si="199"/>
        <v/>
      </c>
      <c r="R439" s="358" t="str">
        <f t="shared" si="199"/>
        <v/>
      </c>
      <c r="S439" s="358" t="str">
        <f t="shared" si="199"/>
        <v/>
      </c>
      <c r="T439" s="358"/>
      <c r="U439" s="358"/>
      <c r="V439" s="358"/>
      <c r="W439" s="387"/>
      <c r="X439" s="358"/>
      <c r="Y439" s="358"/>
      <c r="Z439" s="360"/>
    </row>
    <row r="440" spans="1:34">
      <c r="A440" s="261"/>
      <c r="B440" s="248" t="s">
        <v>77</v>
      </c>
      <c r="T440" s="248" t="str">
        <f>IF((S441=""),"",MAX(C442:S442))</f>
        <v/>
      </c>
      <c r="U440" s="248" t="str">
        <f>IF(S441="","",MIN(C442:S442))</f>
        <v/>
      </c>
      <c r="V440" s="248" t="str">
        <f>IF((S442=""),"",AVERAGE(C442:S442))</f>
        <v/>
      </c>
      <c r="W440" s="380" t="e">
        <f>STDEV(C442:S442)</f>
        <v>#DIV/0!</v>
      </c>
      <c r="X440" s="248" t="str">
        <f>IF((S441=""),"",((T440-U440)/(T440+U440))*100)</f>
        <v/>
      </c>
      <c r="Y440" s="250" t="str">
        <f>IF(S441="","",IF(X440&lt;15,IF(V440&gt;1680,IF(V440&lt;2200,"Pass","Fail"),"Fail"),"Fail"))</f>
        <v/>
      </c>
      <c r="Z440" s="394"/>
      <c r="AC440" s="316">
        <v>1600</v>
      </c>
      <c r="AD440" s="316">
        <v>2600</v>
      </c>
      <c r="AE440" s="355">
        <v>1690</v>
      </c>
      <c r="AF440" s="355">
        <v>2210</v>
      </c>
      <c r="AG440" s="356">
        <v>15</v>
      </c>
      <c r="AH440" s="356">
        <v>15</v>
      </c>
    </row>
    <row r="441" spans="1:34">
      <c r="A441" s="392"/>
      <c r="B441" s="248" t="s">
        <v>78</v>
      </c>
      <c r="T441" s="358"/>
      <c r="U441" s="358"/>
      <c r="V441" s="358"/>
      <c r="W441" s="380"/>
      <c r="X441" s="358"/>
      <c r="Y441" s="358"/>
      <c r="Z441" s="360"/>
    </row>
    <row r="442" spans="1:34" ht="32.25" thickBot="1">
      <c r="A442" s="393"/>
      <c r="B442" s="256" t="s">
        <v>221</v>
      </c>
      <c r="C442" s="358" t="str">
        <f t="shared" ref="C442:H442" si="200">IF(((C440="")*AND(C441="")),"",(C440-C441)*2)</f>
        <v/>
      </c>
      <c r="D442" s="358" t="str">
        <f t="shared" si="200"/>
        <v/>
      </c>
      <c r="E442" s="358" t="str">
        <f t="shared" si="200"/>
        <v/>
      </c>
      <c r="F442" s="358" t="str">
        <f t="shared" si="200"/>
        <v/>
      </c>
      <c r="G442" s="358" t="str">
        <f t="shared" si="200"/>
        <v/>
      </c>
      <c r="H442" s="358" t="str">
        <f t="shared" si="200"/>
        <v/>
      </c>
      <c r="I442" s="358" t="str">
        <f>IF(((I440="")*AND(I441="")),"",(I440-I441)*2)</f>
        <v/>
      </c>
      <c r="J442" s="358" t="str">
        <f>IF(((J440="")*AND(J441="")),"",(J440-J441)*2)</f>
        <v/>
      </c>
      <c r="K442" s="358" t="str">
        <f>IF(((K440="")*AND(K441="")),"",(K440-K441)*2)</f>
        <v/>
      </c>
      <c r="L442" s="358" t="str">
        <f>IF(((L440="")*AND(L441="")),"",(L440-L441)*2)</f>
        <v/>
      </c>
      <c r="M442" s="358" t="str">
        <f t="shared" ref="M442:S442" si="201">IF(((M440="")*AND(M441="")),"",(M440-M441)*2)</f>
        <v/>
      </c>
      <c r="N442" s="358" t="str">
        <f t="shared" si="201"/>
        <v/>
      </c>
      <c r="O442" s="358" t="str">
        <f t="shared" si="201"/>
        <v/>
      </c>
      <c r="P442" s="358" t="str">
        <f t="shared" si="201"/>
        <v/>
      </c>
      <c r="Q442" s="358" t="str">
        <f t="shared" si="201"/>
        <v/>
      </c>
      <c r="R442" s="358" t="str">
        <f t="shared" si="201"/>
        <v/>
      </c>
      <c r="S442" s="358" t="str">
        <f t="shared" si="201"/>
        <v/>
      </c>
      <c r="T442" s="358"/>
      <c r="U442" s="358"/>
      <c r="V442" s="358"/>
      <c r="W442" s="387"/>
      <c r="X442" s="358"/>
      <c r="Y442" s="358"/>
      <c r="Z442" s="360"/>
    </row>
    <row r="443" spans="1:34">
      <c r="A443" s="261"/>
      <c r="B443" s="248" t="s">
        <v>77</v>
      </c>
      <c r="T443" s="248" t="str">
        <f>IF((S444=""),"",MAX(C445:S445))</f>
        <v/>
      </c>
      <c r="U443" s="248" t="str">
        <f>IF(S444="","",MIN(C445:S445))</f>
        <v/>
      </c>
      <c r="V443" s="248" t="str">
        <f>IF((S445=""),"",AVERAGE(C445:S445))</f>
        <v/>
      </c>
      <c r="W443" s="380" t="e">
        <f>STDEV(C445:S445)</f>
        <v>#DIV/0!</v>
      </c>
      <c r="X443" s="248" t="str">
        <f>IF((S444=""),"",((T443-U443)/(T443+U443))*100)</f>
        <v/>
      </c>
      <c r="Y443" s="250" t="str">
        <f>IF(S444="","",IF(X443&lt;15,IF(V443&gt;1680,IF(V443&lt;2200,"Pass","Fail"),"Fail"),"Fail"))</f>
        <v/>
      </c>
      <c r="Z443" s="394"/>
      <c r="AC443" s="316">
        <v>1600</v>
      </c>
      <c r="AD443" s="316">
        <v>2600</v>
      </c>
      <c r="AE443" s="355">
        <v>1690</v>
      </c>
      <c r="AF443" s="355">
        <v>2210</v>
      </c>
      <c r="AG443" s="356">
        <v>15</v>
      </c>
      <c r="AH443" s="356">
        <v>15</v>
      </c>
    </row>
    <row r="444" spans="1:34">
      <c r="A444" s="392"/>
      <c r="B444" s="248" t="s">
        <v>78</v>
      </c>
      <c r="T444" s="358"/>
      <c r="U444" s="358"/>
      <c r="V444" s="358"/>
      <c r="W444" s="380"/>
      <c r="X444" s="358"/>
      <c r="Y444" s="358"/>
      <c r="Z444" s="360"/>
    </row>
    <row r="445" spans="1:34" ht="32.25" thickBot="1">
      <c r="A445" s="393"/>
      <c r="B445" s="256" t="s">
        <v>221</v>
      </c>
      <c r="C445" s="358" t="str">
        <f t="shared" ref="C445:H445" si="202">IF(((C443="")*AND(C444="")),"",(C443-C444)*2)</f>
        <v/>
      </c>
      <c r="D445" s="358" t="str">
        <f t="shared" si="202"/>
        <v/>
      </c>
      <c r="E445" s="358" t="str">
        <f t="shared" si="202"/>
        <v/>
      </c>
      <c r="F445" s="358" t="str">
        <f t="shared" si="202"/>
        <v/>
      </c>
      <c r="G445" s="358" t="str">
        <f t="shared" si="202"/>
        <v/>
      </c>
      <c r="H445" s="358" t="str">
        <f t="shared" si="202"/>
        <v/>
      </c>
      <c r="I445" s="358" t="str">
        <f>IF(((I443="")*AND(I444="")),"",(I443-I444)*2)</f>
        <v/>
      </c>
      <c r="J445" s="358" t="str">
        <f>IF(((J443="")*AND(J444="")),"",(J443-J444)*2)</f>
        <v/>
      </c>
      <c r="K445" s="358" t="str">
        <f>IF(((K443="")*AND(K444="")),"",(K443-K444)*2)</f>
        <v/>
      </c>
      <c r="L445" s="358" t="str">
        <f>IF(((L443="")*AND(L444="")),"",(L443-L444)*2)</f>
        <v/>
      </c>
      <c r="M445" s="358" t="str">
        <f t="shared" ref="M445:S445" si="203">IF(((M443="")*AND(M444="")),"",(M443-M444)*2)</f>
        <v/>
      </c>
      <c r="N445" s="358" t="str">
        <f t="shared" si="203"/>
        <v/>
      </c>
      <c r="O445" s="358" t="str">
        <f t="shared" si="203"/>
        <v/>
      </c>
      <c r="P445" s="358" t="str">
        <f t="shared" si="203"/>
        <v/>
      </c>
      <c r="Q445" s="358" t="str">
        <f t="shared" si="203"/>
        <v/>
      </c>
      <c r="R445" s="358" t="str">
        <f t="shared" si="203"/>
        <v/>
      </c>
      <c r="S445" s="358" t="str">
        <f t="shared" si="203"/>
        <v/>
      </c>
      <c r="T445" s="358"/>
      <c r="U445" s="358"/>
      <c r="V445" s="358"/>
      <c r="W445" s="387"/>
      <c r="X445" s="358"/>
      <c r="Y445" s="358"/>
      <c r="Z445" s="360"/>
    </row>
    <row r="446" spans="1:34">
      <c r="A446" s="261"/>
      <c r="B446" s="248" t="s">
        <v>77</v>
      </c>
      <c r="T446" s="248" t="str">
        <f>IF((S447=""),"",MAX(C448:S448))</f>
        <v/>
      </c>
      <c r="U446" s="248" t="str">
        <f>IF(S447="","",MIN(C448:S448))</f>
        <v/>
      </c>
      <c r="V446" s="248" t="str">
        <f>IF((S448=""),"",AVERAGE(C448:S448))</f>
        <v/>
      </c>
      <c r="W446" s="380" t="e">
        <f>STDEV(C448:S448)</f>
        <v>#DIV/0!</v>
      </c>
      <c r="X446" s="248" t="str">
        <f>IF((S447=""),"",((T446-U446)/(T446+U446))*100)</f>
        <v/>
      </c>
      <c r="Y446" s="250" t="str">
        <f>IF(S447="","",IF(X446&lt;15,IF(V446&gt;1680,IF(V446&lt;2200,"Pass","Fail"),"Fail"),"Fail"))</f>
        <v/>
      </c>
      <c r="Z446" s="394"/>
      <c r="AC446" s="316">
        <v>1600</v>
      </c>
      <c r="AD446" s="316">
        <v>2600</v>
      </c>
      <c r="AE446" s="355">
        <v>1690</v>
      </c>
      <c r="AF446" s="355">
        <v>2210</v>
      </c>
      <c r="AG446" s="356">
        <v>15</v>
      </c>
      <c r="AH446" s="356">
        <v>15</v>
      </c>
    </row>
    <row r="447" spans="1:34">
      <c r="A447" s="392"/>
      <c r="B447" s="248" t="s">
        <v>78</v>
      </c>
      <c r="T447" s="358"/>
      <c r="U447" s="358"/>
      <c r="V447" s="358"/>
      <c r="W447" s="380"/>
      <c r="X447" s="358"/>
      <c r="Y447" s="358"/>
      <c r="Z447" s="360"/>
    </row>
    <row r="448" spans="1:34" ht="32.25" thickBot="1">
      <c r="A448" s="393"/>
      <c r="B448" s="256" t="s">
        <v>221</v>
      </c>
      <c r="C448" s="358" t="str">
        <f t="shared" ref="C448:H448" si="204">IF(((C446="")*AND(C447="")),"",(C446-C447)*2)</f>
        <v/>
      </c>
      <c r="D448" s="358" t="str">
        <f t="shared" si="204"/>
        <v/>
      </c>
      <c r="E448" s="358" t="str">
        <f t="shared" si="204"/>
        <v/>
      </c>
      <c r="F448" s="358" t="str">
        <f t="shared" si="204"/>
        <v/>
      </c>
      <c r="G448" s="358" t="str">
        <f t="shared" si="204"/>
        <v/>
      </c>
      <c r="H448" s="358" t="str">
        <f t="shared" si="204"/>
        <v/>
      </c>
      <c r="I448" s="358" t="str">
        <f>IF(((I446="")*AND(I447="")),"",(I446-I447)*2)</f>
        <v/>
      </c>
      <c r="J448" s="358" t="str">
        <f>IF(((J446="")*AND(J447="")),"",(J446-J447)*2)</f>
        <v/>
      </c>
      <c r="K448" s="358" t="str">
        <f>IF(((K446="")*AND(K447="")),"",(K446-K447)*2)</f>
        <v/>
      </c>
      <c r="L448" s="358" t="str">
        <f>IF(((L446="")*AND(L447="")),"",(L446-L447)*2)</f>
        <v/>
      </c>
      <c r="M448" s="358" t="str">
        <f t="shared" ref="M448:S448" si="205">IF(((M446="")*AND(M447="")),"",(M446-M447)*2)</f>
        <v/>
      </c>
      <c r="N448" s="358" t="str">
        <f t="shared" si="205"/>
        <v/>
      </c>
      <c r="O448" s="358" t="str">
        <f t="shared" si="205"/>
        <v/>
      </c>
      <c r="P448" s="358" t="str">
        <f t="shared" si="205"/>
        <v/>
      </c>
      <c r="Q448" s="358" t="str">
        <f t="shared" si="205"/>
        <v/>
      </c>
      <c r="R448" s="358" t="str">
        <f t="shared" si="205"/>
        <v/>
      </c>
      <c r="S448" s="358" t="str">
        <f t="shared" si="205"/>
        <v/>
      </c>
      <c r="T448" s="358"/>
      <c r="U448" s="358"/>
      <c r="V448" s="358"/>
      <c r="W448" s="387"/>
      <c r="X448" s="358"/>
      <c r="Y448" s="358"/>
      <c r="Z448" s="360"/>
    </row>
    <row r="449" spans="1:34">
      <c r="A449" s="261"/>
      <c r="B449" s="248" t="s">
        <v>77</v>
      </c>
      <c r="T449" s="248" t="str">
        <f>IF((S450=""),"",MAX(C451:S451))</f>
        <v/>
      </c>
      <c r="U449" s="248" t="str">
        <f>IF(S450="","",MIN(C451:S451))</f>
        <v/>
      </c>
      <c r="V449" s="248" t="str">
        <f>IF((S451=""),"",AVERAGE(C451:S451))</f>
        <v/>
      </c>
      <c r="W449" s="380" t="e">
        <f>STDEV(C451:S451)</f>
        <v>#DIV/0!</v>
      </c>
      <c r="X449" s="248" t="str">
        <f>IF((S450=""),"",((T449-U449)/(T449+U449))*100)</f>
        <v/>
      </c>
      <c r="Y449" s="250" t="str">
        <f>IF(S450="","",IF(X449&lt;15,IF(V449&gt;1680,IF(V449&lt;2200,"Pass","Fail"),"Fail"),"Fail"))</f>
        <v/>
      </c>
      <c r="Z449" s="394"/>
      <c r="AC449" s="316">
        <v>1600</v>
      </c>
      <c r="AD449" s="316">
        <v>2600</v>
      </c>
      <c r="AE449" s="355">
        <v>1690</v>
      </c>
      <c r="AF449" s="355">
        <v>2210</v>
      </c>
      <c r="AG449" s="356">
        <v>15</v>
      </c>
      <c r="AH449" s="356">
        <v>15</v>
      </c>
    </row>
    <row r="450" spans="1:34">
      <c r="A450" s="392"/>
      <c r="B450" s="248" t="s">
        <v>78</v>
      </c>
      <c r="T450" s="358"/>
      <c r="U450" s="358"/>
      <c r="V450" s="358"/>
      <c r="W450" s="380"/>
      <c r="X450" s="358"/>
      <c r="Y450" s="358"/>
      <c r="Z450" s="360"/>
    </row>
    <row r="451" spans="1:34" ht="32.25" thickBot="1">
      <c r="A451" s="393"/>
      <c r="B451" s="256" t="s">
        <v>221</v>
      </c>
      <c r="C451" s="358" t="str">
        <f t="shared" ref="C451:H451" si="206">IF(((C449="")*AND(C450="")),"",(C449-C450)*2)</f>
        <v/>
      </c>
      <c r="D451" s="358" t="str">
        <f t="shared" si="206"/>
        <v/>
      </c>
      <c r="E451" s="358" t="str">
        <f t="shared" si="206"/>
        <v/>
      </c>
      <c r="F451" s="358" t="str">
        <f t="shared" si="206"/>
        <v/>
      </c>
      <c r="G451" s="358" t="str">
        <f t="shared" si="206"/>
        <v/>
      </c>
      <c r="H451" s="358" t="str">
        <f t="shared" si="206"/>
        <v/>
      </c>
      <c r="I451" s="358" t="str">
        <f>IF(((I449="")*AND(I450="")),"",(I449-I450)*2)</f>
        <v/>
      </c>
      <c r="J451" s="358" t="str">
        <f>IF(((J449="")*AND(J450="")),"",(J449-J450)*2)</f>
        <v/>
      </c>
      <c r="K451" s="358" t="str">
        <f>IF(((K449="")*AND(K450="")),"",(K449-K450)*2)</f>
        <v/>
      </c>
      <c r="L451" s="358" t="str">
        <f>IF(((L449="")*AND(L450="")),"",(L449-L450)*2)</f>
        <v/>
      </c>
      <c r="M451" s="358" t="str">
        <f t="shared" ref="M451:S451" si="207">IF(((M449="")*AND(M450="")),"",(M449-M450)*2)</f>
        <v/>
      </c>
      <c r="N451" s="358" t="str">
        <f t="shared" si="207"/>
        <v/>
      </c>
      <c r="O451" s="358" t="str">
        <f t="shared" si="207"/>
        <v/>
      </c>
      <c r="P451" s="358" t="str">
        <f t="shared" si="207"/>
        <v/>
      </c>
      <c r="Q451" s="358" t="str">
        <f t="shared" si="207"/>
        <v/>
      </c>
      <c r="R451" s="358" t="str">
        <f t="shared" si="207"/>
        <v/>
      </c>
      <c r="S451" s="358" t="str">
        <f t="shared" si="207"/>
        <v/>
      </c>
      <c r="T451" s="358"/>
      <c r="U451" s="358"/>
      <c r="V451" s="358"/>
      <c r="W451" s="387"/>
      <c r="X451" s="358"/>
      <c r="Y451" s="358"/>
      <c r="Z451" s="360"/>
    </row>
    <row r="452" spans="1:34">
      <c r="A452" s="261"/>
      <c r="B452" s="248" t="s">
        <v>77</v>
      </c>
      <c r="T452" s="248" t="str">
        <f>IF((S453=""),"",MAX(C454:S454))</f>
        <v/>
      </c>
      <c r="U452" s="248" t="str">
        <f>IF(S453="","",MIN(C454:S454))</f>
        <v/>
      </c>
      <c r="V452" s="248" t="str">
        <f>IF((S454=""),"",AVERAGE(C454:S454))</f>
        <v/>
      </c>
      <c r="W452" s="380" t="e">
        <f>STDEV(C454:S454)</f>
        <v>#DIV/0!</v>
      </c>
      <c r="X452" s="248" t="str">
        <f>IF((S453=""),"",((T452-U452)/(T452+U452))*100)</f>
        <v/>
      </c>
      <c r="Y452" s="250" t="str">
        <f>IF(S453="","",IF(X452&lt;15,IF(V452&gt;1680,IF(V452&lt;2200,"Pass","Fail"),"Fail"),"Fail"))</f>
        <v/>
      </c>
      <c r="Z452" s="394"/>
      <c r="AC452" s="316">
        <v>1600</v>
      </c>
      <c r="AD452" s="316">
        <v>2600</v>
      </c>
      <c r="AE452" s="355">
        <v>1690</v>
      </c>
      <c r="AF452" s="355">
        <v>2210</v>
      </c>
      <c r="AG452" s="356">
        <v>15</v>
      </c>
      <c r="AH452" s="356">
        <v>15</v>
      </c>
    </row>
    <row r="453" spans="1:34">
      <c r="A453" s="392"/>
      <c r="B453" s="248" t="s">
        <v>78</v>
      </c>
      <c r="T453" s="358"/>
      <c r="U453" s="358"/>
      <c r="V453" s="358"/>
      <c r="W453" s="380"/>
      <c r="X453" s="358"/>
      <c r="Y453" s="358"/>
      <c r="Z453" s="360"/>
    </row>
    <row r="454" spans="1:34" ht="32.25" thickBot="1">
      <c r="A454" s="393"/>
      <c r="B454" s="256" t="s">
        <v>221</v>
      </c>
      <c r="C454" s="358" t="str">
        <f t="shared" ref="C454:H454" si="208">IF(((C452="")*AND(C453="")),"",(C452-C453)*2)</f>
        <v/>
      </c>
      <c r="D454" s="358" t="str">
        <f t="shared" si="208"/>
        <v/>
      </c>
      <c r="E454" s="358" t="str">
        <f t="shared" si="208"/>
        <v/>
      </c>
      <c r="F454" s="358" t="str">
        <f t="shared" si="208"/>
        <v/>
      </c>
      <c r="G454" s="358" t="str">
        <f t="shared" si="208"/>
        <v/>
      </c>
      <c r="H454" s="358" t="str">
        <f t="shared" si="208"/>
        <v/>
      </c>
      <c r="I454" s="358" t="str">
        <f>IF(((I452="")*AND(I453="")),"",(I452-I453)*2)</f>
        <v/>
      </c>
      <c r="J454" s="358" t="str">
        <f>IF(((J452="")*AND(J453="")),"",(J452-J453)*2)</f>
        <v/>
      </c>
      <c r="K454" s="358" t="str">
        <f>IF(((K452="")*AND(K453="")),"",(K452-K453)*2)</f>
        <v/>
      </c>
      <c r="L454" s="358" t="str">
        <f>IF(((L452="")*AND(L453="")),"",(L452-L453)*2)</f>
        <v/>
      </c>
      <c r="M454" s="358" t="str">
        <f t="shared" ref="M454:S454" si="209">IF(((M452="")*AND(M453="")),"",(M452-M453)*2)</f>
        <v/>
      </c>
      <c r="N454" s="358" t="str">
        <f t="shared" si="209"/>
        <v/>
      </c>
      <c r="O454" s="358" t="str">
        <f t="shared" si="209"/>
        <v/>
      </c>
      <c r="P454" s="358" t="str">
        <f t="shared" si="209"/>
        <v/>
      </c>
      <c r="Q454" s="358" t="str">
        <f t="shared" si="209"/>
        <v/>
      </c>
      <c r="R454" s="358" t="str">
        <f t="shared" si="209"/>
        <v/>
      </c>
      <c r="S454" s="358" t="str">
        <f t="shared" si="209"/>
        <v/>
      </c>
      <c r="T454" s="358"/>
      <c r="U454" s="358"/>
      <c r="V454" s="358"/>
      <c r="W454" s="387"/>
      <c r="X454" s="358"/>
      <c r="Y454" s="358"/>
      <c r="Z454" s="360"/>
    </row>
    <row r="455" spans="1:34">
      <c r="A455" s="261"/>
      <c r="B455" s="248" t="s">
        <v>77</v>
      </c>
      <c r="T455" s="248" t="str">
        <f>IF((S456=""),"",MAX(C457:S457))</f>
        <v/>
      </c>
      <c r="U455" s="248" t="str">
        <f>IF(S456="","",MIN(C457:S457))</f>
        <v/>
      </c>
      <c r="V455" s="248" t="str">
        <f>IF((S457=""),"",AVERAGE(C457:S457))</f>
        <v/>
      </c>
      <c r="W455" s="380" t="e">
        <f>STDEV(C457:S457)</f>
        <v>#DIV/0!</v>
      </c>
      <c r="X455" s="248" t="str">
        <f>IF((S456=""),"",((T455-U455)/(T455+U455))*100)</f>
        <v/>
      </c>
      <c r="Y455" s="250" t="str">
        <f>IF(S456="","",IF(X455&lt;15,IF(V455&gt;1680,IF(V455&lt;2200,"Pass","Fail"),"Fail"),"Fail"))</f>
        <v/>
      </c>
      <c r="Z455" s="394"/>
      <c r="AC455" s="316">
        <v>1600</v>
      </c>
      <c r="AD455" s="316">
        <v>2600</v>
      </c>
      <c r="AE455" s="355">
        <v>1690</v>
      </c>
      <c r="AF455" s="355">
        <v>2210</v>
      </c>
      <c r="AG455" s="356">
        <v>15</v>
      </c>
      <c r="AH455" s="356">
        <v>15</v>
      </c>
    </row>
    <row r="456" spans="1:34">
      <c r="A456" s="392"/>
      <c r="B456" s="248" t="s">
        <v>78</v>
      </c>
      <c r="T456" s="358"/>
      <c r="U456" s="358"/>
      <c r="V456" s="358"/>
      <c r="W456" s="380"/>
      <c r="X456" s="358"/>
      <c r="Y456" s="358"/>
      <c r="Z456" s="360"/>
    </row>
    <row r="457" spans="1:34" ht="32.25" thickBot="1">
      <c r="A457" s="393"/>
      <c r="B457" s="256" t="s">
        <v>221</v>
      </c>
      <c r="C457" s="358" t="str">
        <f t="shared" ref="C457:H457" si="210">IF(((C455="")*AND(C456="")),"",(C455-C456)*2)</f>
        <v/>
      </c>
      <c r="D457" s="358" t="str">
        <f t="shared" si="210"/>
        <v/>
      </c>
      <c r="E457" s="358" t="str">
        <f t="shared" si="210"/>
        <v/>
      </c>
      <c r="F457" s="358" t="str">
        <f t="shared" si="210"/>
        <v/>
      </c>
      <c r="G457" s="358" t="str">
        <f t="shared" si="210"/>
        <v/>
      </c>
      <c r="H457" s="358" t="str">
        <f t="shared" si="210"/>
        <v/>
      </c>
      <c r="I457" s="358" t="str">
        <f>IF(((I455="")*AND(I456="")),"",(I455-I456)*2)</f>
        <v/>
      </c>
      <c r="J457" s="358" t="str">
        <f>IF(((J455="")*AND(J456="")),"",(J455-J456)*2)</f>
        <v/>
      </c>
      <c r="K457" s="358" t="str">
        <f>IF(((K455="")*AND(K456="")),"",(K455-K456)*2)</f>
        <v/>
      </c>
      <c r="L457" s="358" t="str">
        <f>IF(((L455="")*AND(L456="")),"",(L455-L456)*2)</f>
        <v/>
      </c>
      <c r="M457" s="358" t="str">
        <f t="shared" ref="M457:S457" si="211">IF(((M455="")*AND(M456="")),"",(M455-M456)*2)</f>
        <v/>
      </c>
      <c r="N457" s="358" t="str">
        <f t="shared" si="211"/>
        <v/>
      </c>
      <c r="O457" s="358" t="str">
        <f t="shared" si="211"/>
        <v/>
      </c>
      <c r="P457" s="358" t="str">
        <f t="shared" si="211"/>
        <v/>
      </c>
      <c r="Q457" s="358" t="str">
        <f t="shared" si="211"/>
        <v/>
      </c>
      <c r="R457" s="358" t="str">
        <f t="shared" si="211"/>
        <v/>
      </c>
      <c r="S457" s="358" t="str">
        <f t="shared" si="211"/>
        <v/>
      </c>
      <c r="T457" s="358"/>
      <c r="U457" s="358"/>
      <c r="V457" s="358"/>
      <c r="W457" s="387"/>
      <c r="X457" s="358"/>
      <c r="Y457" s="358"/>
      <c r="Z457" s="360"/>
    </row>
    <row r="458" spans="1:34">
      <c r="A458" s="261"/>
      <c r="B458" s="248" t="s">
        <v>77</v>
      </c>
      <c r="T458" s="248" t="str">
        <f>IF((S459=""),"",MAX(C460:S460))</f>
        <v/>
      </c>
      <c r="U458" s="248" t="str">
        <f>IF(S459="","",MIN(C460:S460))</f>
        <v/>
      </c>
      <c r="V458" s="248" t="str">
        <f>IF((S460=""),"",AVERAGE(C460:S460))</f>
        <v/>
      </c>
      <c r="W458" s="380" t="e">
        <f>STDEV(C460:S460)</f>
        <v>#DIV/0!</v>
      </c>
      <c r="X458" s="248" t="str">
        <f>IF((S459=""),"",((T458-U458)/(T458+U458))*100)</f>
        <v/>
      </c>
      <c r="Y458" s="250" t="str">
        <f>IF(S459="","",IF(X458&lt;15,IF(V458&gt;1680,IF(V458&lt;2200,"Pass","Fail"),"Fail"),"Fail"))</f>
        <v/>
      </c>
      <c r="Z458" s="394"/>
      <c r="AC458" s="316">
        <v>1600</v>
      </c>
      <c r="AD458" s="316">
        <v>2600</v>
      </c>
      <c r="AE458" s="355">
        <v>1690</v>
      </c>
      <c r="AF458" s="355">
        <v>2210</v>
      </c>
      <c r="AG458" s="356">
        <v>15</v>
      </c>
      <c r="AH458" s="356">
        <v>15</v>
      </c>
    </row>
    <row r="459" spans="1:34">
      <c r="A459" s="392"/>
      <c r="B459" s="248" t="s">
        <v>78</v>
      </c>
      <c r="T459" s="358"/>
      <c r="U459" s="358"/>
      <c r="V459" s="358"/>
      <c r="W459" s="380"/>
      <c r="X459" s="358"/>
      <c r="Y459" s="358"/>
      <c r="Z459" s="360"/>
    </row>
    <row r="460" spans="1:34" ht="32.25" thickBot="1">
      <c r="A460" s="393"/>
      <c r="B460" s="256" t="s">
        <v>221</v>
      </c>
      <c r="C460" s="358" t="str">
        <f t="shared" ref="C460:H460" si="212">IF(((C458="")*AND(C459="")),"",(C458-C459)*2)</f>
        <v/>
      </c>
      <c r="D460" s="358" t="str">
        <f t="shared" si="212"/>
        <v/>
      </c>
      <c r="E460" s="358" t="str">
        <f t="shared" si="212"/>
        <v/>
      </c>
      <c r="F460" s="358" t="str">
        <f t="shared" si="212"/>
        <v/>
      </c>
      <c r="G460" s="358" t="str">
        <f t="shared" si="212"/>
        <v/>
      </c>
      <c r="H460" s="358" t="str">
        <f t="shared" si="212"/>
        <v/>
      </c>
      <c r="I460" s="358" t="str">
        <f>IF(((I458="")*AND(I459="")),"",(I458-I459)*2)</f>
        <v/>
      </c>
      <c r="J460" s="358" t="str">
        <f>IF(((J458="")*AND(J459="")),"",(J458-J459)*2)</f>
        <v/>
      </c>
      <c r="K460" s="358" t="str">
        <f>IF(((K458="")*AND(K459="")),"",(K458-K459)*2)</f>
        <v/>
      </c>
      <c r="L460" s="358" t="str">
        <f>IF(((L458="")*AND(L459="")),"",(L458-L459)*2)</f>
        <v/>
      </c>
      <c r="M460" s="358" t="str">
        <f t="shared" ref="M460:S460" si="213">IF(((M458="")*AND(M459="")),"",(M458-M459)*2)</f>
        <v/>
      </c>
      <c r="N460" s="358" t="str">
        <f t="shared" si="213"/>
        <v/>
      </c>
      <c r="O460" s="358" t="str">
        <f t="shared" si="213"/>
        <v/>
      </c>
      <c r="P460" s="358" t="str">
        <f t="shared" si="213"/>
        <v/>
      </c>
      <c r="Q460" s="358" t="str">
        <f t="shared" si="213"/>
        <v/>
      </c>
      <c r="R460" s="358" t="str">
        <f t="shared" si="213"/>
        <v/>
      </c>
      <c r="S460" s="358" t="str">
        <f t="shared" si="213"/>
        <v/>
      </c>
      <c r="T460" s="358"/>
      <c r="U460" s="358"/>
      <c r="V460" s="358"/>
      <c r="W460" s="387"/>
      <c r="X460" s="358"/>
      <c r="Y460" s="358"/>
      <c r="Z460" s="360"/>
    </row>
    <row r="461" spans="1:34">
      <c r="A461" s="261"/>
      <c r="B461" s="248" t="s">
        <v>77</v>
      </c>
      <c r="T461" s="248" t="str">
        <f>IF((S462=""),"",MAX(C463:S463))</f>
        <v/>
      </c>
      <c r="U461" s="248" t="str">
        <f>IF(S462="","",MIN(C463:S463))</f>
        <v/>
      </c>
      <c r="V461" s="248" t="str">
        <f>IF((S463=""),"",AVERAGE(C463:S463))</f>
        <v/>
      </c>
      <c r="W461" s="380" t="e">
        <f>STDEV(C463:S463)</f>
        <v>#DIV/0!</v>
      </c>
      <c r="X461" s="248" t="str">
        <f>IF((S462=""),"",((T461-U461)/(T461+U461))*100)</f>
        <v/>
      </c>
      <c r="Y461" s="250" t="str">
        <f>IF(S462="","",IF(X461&lt;15,IF(V461&gt;1680,IF(V461&lt;2200,"Pass","Fail"),"Fail"),"Fail"))</f>
        <v/>
      </c>
      <c r="Z461" s="394"/>
      <c r="AC461" s="316">
        <v>1600</v>
      </c>
      <c r="AD461" s="316">
        <v>2600</v>
      </c>
      <c r="AE461" s="355">
        <v>1690</v>
      </c>
      <c r="AF461" s="355">
        <v>2210</v>
      </c>
      <c r="AG461" s="356">
        <v>15</v>
      </c>
      <c r="AH461" s="356">
        <v>15</v>
      </c>
    </row>
    <row r="462" spans="1:34">
      <c r="A462" s="392"/>
      <c r="B462" s="248" t="s">
        <v>78</v>
      </c>
      <c r="T462" s="358"/>
      <c r="U462" s="358"/>
      <c r="V462" s="358"/>
      <c r="W462" s="380"/>
      <c r="X462" s="358"/>
      <c r="Y462" s="358"/>
      <c r="Z462" s="360"/>
    </row>
    <row r="463" spans="1:34" ht="32.25" thickBot="1">
      <c r="A463" s="393"/>
      <c r="B463" s="256" t="s">
        <v>221</v>
      </c>
      <c r="C463" s="358" t="str">
        <f t="shared" ref="C463:H463" si="214">IF(((C461="")*AND(C462="")),"",(C461-C462)*2)</f>
        <v/>
      </c>
      <c r="D463" s="358" t="str">
        <f t="shared" si="214"/>
        <v/>
      </c>
      <c r="E463" s="358" t="str">
        <f t="shared" si="214"/>
        <v/>
      </c>
      <c r="F463" s="358" t="str">
        <f t="shared" si="214"/>
        <v/>
      </c>
      <c r="G463" s="358" t="str">
        <f t="shared" si="214"/>
        <v/>
      </c>
      <c r="H463" s="358" t="str">
        <f t="shared" si="214"/>
        <v/>
      </c>
      <c r="I463" s="358" t="str">
        <f>IF(((I461="")*AND(I462="")),"",(I461-I462)*2)</f>
        <v/>
      </c>
      <c r="J463" s="358" t="str">
        <f>IF(((J461="")*AND(J462="")),"",(J461-J462)*2)</f>
        <v/>
      </c>
      <c r="K463" s="358" t="str">
        <f>IF(((K461="")*AND(K462="")),"",(K461-K462)*2)</f>
        <v/>
      </c>
      <c r="L463" s="358" t="str">
        <f>IF(((L461="")*AND(L462="")),"",(L461-L462)*2)</f>
        <v/>
      </c>
      <c r="M463" s="358" t="str">
        <f t="shared" ref="M463:S463" si="215">IF(((M461="")*AND(M462="")),"",(M461-M462)*2)</f>
        <v/>
      </c>
      <c r="N463" s="358" t="str">
        <f t="shared" si="215"/>
        <v/>
      </c>
      <c r="O463" s="358" t="str">
        <f t="shared" si="215"/>
        <v/>
      </c>
      <c r="P463" s="358" t="str">
        <f t="shared" si="215"/>
        <v/>
      </c>
      <c r="Q463" s="358" t="str">
        <f t="shared" si="215"/>
        <v/>
      </c>
      <c r="R463" s="358" t="str">
        <f t="shared" si="215"/>
        <v/>
      </c>
      <c r="S463" s="358" t="str">
        <f t="shared" si="215"/>
        <v/>
      </c>
      <c r="T463" s="358"/>
      <c r="U463" s="358"/>
      <c r="V463" s="358"/>
      <c r="W463" s="387"/>
      <c r="X463" s="358"/>
      <c r="Y463" s="358"/>
      <c r="Z463" s="360"/>
    </row>
    <row r="464" spans="1:34">
      <c r="A464" s="261"/>
      <c r="B464" s="248" t="s">
        <v>77</v>
      </c>
      <c r="T464" s="248" t="str">
        <f>IF((S465=""),"",MAX(C466:S466))</f>
        <v/>
      </c>
      <c r="U464" s="248" t="str">
        <f>IF(S465="","",MIN(C466:S466))</f>
        <v/>
      </c>
      <c r="V464" s="248" t="str">
        <f>IF((S466=""),"",AVERAGE(C466:S466))</f>
        <v/>
      </c>
      <c r="W464" s="380" t="e">
        <f>STDEV(C466:S466)</f>
        <v>#DIV/0!</v>
      </c>
      <c r="X464" s="248" t="str">
        <f>IF((S465=""),"",((T464-U464)/(T464+U464))*100)</f>
        <v/>
      </c>
      <c r="Y464" s="250" t="str">
        <f>IF(S465="","",IF(X464&lt;15,IF(V464&gt;1680,IF(V464&lt;2200,"Pass","Fail"),"Fail"),"Fail"))</f>
        <v/>
      </c>
      <c r="Z464" s="394"/>
      <c r="AC464" s="316">
        <v>1600</v>
      </c>
      <c r="AD464" s="316">
        <v>2600</v>
      </c>
      <c r="AE464" s="355">
        <v>1690</v>
      </c>
      <c r="AF464" s="355">
        <v>2210</v>
      </c>
      <c r="AG464" s="356">
        <v>15</v>
      </c>
      <c r="AH464" s="356">
        <v>15</v>
      </c>
    </row>
    <row r="465" spans="1:34">
      <c r="A465" s="392"/>
      <c r="B465" s="248" t="s">
        <v>78</v>
      </c>
      <c r="T465" s="358"/>
      <c r="U465" s="358"/>
      <c r="V465" s="358"/>
      <c r="W465" s="380"/>
      <c r="X465" s="358"/>
      <c r="Y465" s="358"/>
      <c r="Z465" s="360"/>
    </row>
    <row r="466" spans="1:34" ht="32.25" thickBot="1">
      <c r="A466" s="393"/>
      <c r="B466" s="256" t="s">
        <v>221</v>
      </c>
      <c r="C466" s="358" t="str">
        <f t="shared" ref="C466:H466" si="216">IF(((C464="")*AND(C465="")),"",(C464-C465)*2)</f>
        <v/>
      </c>
      <c r="D466" s="358" t="str">
        <f t="shared" si="216"/>
        <v/>
      </c>
      <c r="E466" s="358" t="str">
        <f t="shared" si="216"/>
        <v/>
      </c>
      <c r="F466" s="358" t="str">
        <f t="shared" si="216"/>
        <v/>
      </c>
      <c r="G466" s="358" t="str">
        <f t="shared" si="216"/>
        <v/>
      </c>
      <c r="H466" s="358" t="str">
        <f t="shared" si="216"/>
        <v/>
      </c>
      <c r="I466" s="358" t="str">
        <f>IF(((I464="")*AND(I465="")),"",(I464-I465)*2)</f>
        <v/>
      </c>
      <c r="J466" s="358" t="str">
        <f>IF(((J464="")*AND(J465="")),"",(J464-J465)*2)</f>
        <v/>
      </c>
      <c r="K466" s="358" t="str">
        <f>IF(((K464="")*AND(K465="")),"",(K464-K465)*2)</f>
        <v/>
      </c>
      <c r="L466" s="358" t="str">
        <f>IF(((L464="")*AND(L465="")),"",(L464-L465)*2)</f>
        <v/>
      </c>
      <c r="M466" s="358" t="str">
        <f t="shared" ref="M466:S466" si="217">IF(((M464="")*AND(M465="")),"",(M464-M465)*2)</f>
        <v/>
      </c>
      <c r="N466" s="358" t="str">
        <f t="shared" si="217"/>
        <v/>
      </c>
      <c r="O466" s="358" t="str">
        <f t="shared" si="217"/>
        <v/>
      </c>
      <c r="P466" s="358" t="str">
        <f t="shared" si="217"/>
        <v/>
      </c>
      <c r="Q466" s="358" t="str">
        <f t="shared" si="217"/>
        <v/>
      </c>
      <c r="R466" s="358" t="str">
        <f t="shared" si="217"/>
        <v/>
      </c>
      <c r="S466" s="358" t="str">
        <f t="shared" si="217"/>
        <v/>
      </c>
      <c r="T466" s="358"/>
      <c r="U466" s="358"/>
      <c r="V466" s="358"/>
      <c r="W466" s="387"/>
      <c r="X466" s="358"/>
      <c r="Y466" s="358"/>
      <c r="Z466" s="360"/>
    </row>
    <row r="467" spans="1:34">
      <c r="A467" s="261"/>
      <c r="B467" s="248" t="s">
        <v>77</v>
      </c>
      <c r="T467" s="248" t="str">
        <f>IF((S468=""),"",MAX(C469:S469))</f>
        <v/>
      </c>
      <c r="U467" s="248" t="str">
        <f>IF(S468="","",MIN(C469:S469))</f>
        <v/>
      </c>
      <c r="V467" s="248" t="str">
        <f>IF((S469=""),"",AVERAGE(C469:S469))</f>
        <v/>
      </c>
      <c r="W467" s="380" t="e">
        <f>STDEV(C469:S469)</f>
        <v>#DIV/0!</v>
      </c>
      <c r="X467" s="248" t="str">
        <f>IF((S468=""),"",((T467-U467)/(T467+U467))*100)</f>
        <v/>
      </c>
      <c r="Y467" s="250" t="str">
        <f>IF(S468="","",IF(X467&lt;15,IF(V467&gt;1680,IF(V467&lt;2200,"Pass","Fail"),"Fail"),"Fail"))</f>
        <v/>
      </c>
      <c r="Z467" s="394"/>
      <c r="AC467" s="316">
        <v>1600</v>
      </c>
      <c r="AD467" s="316">
        <v>2600</v>
      </c>
      <c r="AE467" s="355">
        <v>1690</v>
      </c>
      <c r="AF467" s="355">
        <v>2210</v>
      </c>
      <c r="AG467" s="356">
        <v>15</v>
      </c>
      <c r="AH467" s="356">
        <v>15</v>
      </c>
    </row>
    <row r="468" spans="1:34">
      <c r="A468" s="392"/>
      <c r="B468" s="248" t="s">
        <v>78</v>
      </c>
      <c r="T468" s="358"/>
      <c r="U468" s="358"/>
      <c r="V468" s="358"/>
      <c r="W468" s="380"/>
      <c r="X468" s="358"/>
      <c r="Y468" s="358"/>
      <c r="Z468" s="360"/>
    </row>
    <row r="469" spans="1:34" ht="32.25" thickBot="1">
      <c r="A469" s="393"/>
      <c r="B469" s="256" t="s">
        <v>221</v>
      </c>
      <c r="C469" s="358" t="str">
        <f t="shared" ref="C469:H469" si="218">IF(((C467="")*AND(C468="")),"",(C467-C468)*2)</f>
        <v/>
      </c>
      <c r="D469" s="358" t="str">
        <f t="shared" si="218"/>
        <v/>
      </c>
      <c r="E469" s="358" t="str">
        <f t="shared" si="218"/>
        <v/>
      </c>
      <c r="F469" s="358" t="str">
        <f t="shared" si="218"/>
        <v/>
      </c>
      <c r="G469" s="358" t="str">
        <f t="shared" si="218"/>
        <v/>
      </c>
      <c r="H469" s="358" t="str">
        <f t="shared" si="218"/>
        <v/>
      </c>
      <c r="I469" s="358" t="str">
        <f>IF(((I467="")*AND(I468="")),"",(I467-I468)*2)</f>
        <v/>
      </c>
      <c r="J469" s="358" t="str">
        <f>IF(((J467="")*AND(J468="")),"",(J467-J468)*2)</f>
        <v/>
      </c>
      <c r="K469" s="358" t="str">
        <f>IF(((K467="")*AND(K468="")),"",(K467-K468)*2)</f>
        <v/>
      </c>
      <c r="L469" s="358" t="str">
        <f>IF(((L467="")*AND(L468="")),"",(L467-L468)*2)</f>
        <v/>
      </c>
      <c r="M469" s="358" t="str">
        <f t="shared" ref="M469:S469" si="219">IF(((M467="")*AND(M468="")),"",(M467-M468)*2)</f>
        <v/>
      </c>
      <c r="N469" s="358" t="str">
        <f t="shared" si="219"/>
        <v/>
      </c>
      <c r="O469" s="358" t="str">
        <f t="shared" si="219"/>
        <v/>
      </c>
      <c r="P469" s="358" t="str">
        <f t="shared" si="219"/>
        <v/>
      </c>
      <c r="Q469" s="358" t="str">
        <f t="shared" si="219"/>
        <v/>
      </c>
      <c r="R469" s="358" t="str">
        <f t="shared" si="219"/>
        <v/>
      </c>
      <c r="S469" s="358" t="str">
        <f t="shared" si="219"/>
        <v/>
      </c>
      <c r="T469" s="358"/>
      <c r="U469" s="358"/>
      <c r="V469" s="358"/>
      <c r="W469" s="387"/>
      <c r="X469" s="358"/>
      <c r="Y469" s="358"/>
      <c r="Z469" s="360"/>
    </row>
    <row r="470" spans="1:34">
      <c r="A470" s="261"/>
      <c r="B470" s="248" t="s">
        <v>77</v>
      </c>
      <c r="T470" s="248" t="str">
        <f>IF((S471=""),"",MAX(C472:S472))</f>
        <v/>
      </c>
      <c r="U470" s="248" t="str">
        <f>IF(S471="","",MIN(C472:S472))</f>
        <v/>
      </c>
      <c r="V470" s="248" t="str">
        <f>IF((S472=""),"",AVERAGE(C472:S472))</f>
        <v/>
      </c>
      <c r="W470" s="380" t="e">
        <f>STDEV(C472:S472)</f>
        <v>#DIV/0!</v>
      </c>
      <c r="X470" s="248" t="str">
        <f>IF((S471=""),"",((T470-U470)/(T470+U470))*100)</f>
        <v/>
      </c>
      <c r="Y470" s="250" t="str">
        <f>IF(S471="","",IF(X470&lt;15,IF(V470&gt;1680,IF(V470&lt;2200,"Pass","Fail"),"Fail"),"Fail"))</f>
        <v/>
      </c>
      <c r="Z470" s="394"/>
      <c r="AC470" s="316">
        <v>1600</v>
      </c>
      <c r="AD470" s="316">
        <v>2600</v>
      </c>
      <c r="AE470" s="355">
        <v>1690</v>
      </c>
      <c r="AF470" s="355">
        <v>2210</v>
      </c>
      <c r="AG470" s="356">
        <v>15</v>
      </c>
      <c r="AH470" s="356">
        <v>15</v>
      </c>
    </row>
    <row r="471" spans="1:34">
      <c r="A471" s="392"/>
      <c r="B471" s="248" t="s">
        <v>78</v>
      </c>
      <c r="T471" s="358"/>
      <c r="U471" s="358"/>
      <c r="V471" s="358"/>
      <c r="W471" s="380"/>
      <c r="X471" s="358"/>
      <c r="Y471" s="358"/>
      <c r="Z471" s="360"/>
    </row>
    <row r="472" spans="1:34" ht="32.25" thickBot="1">
      <c r="A472" s="393"/>
      <c r="B472" s="256" t="s">
        <v>221</v>
      </c>
      <c r="C472" s="358" t="str">
        <f t="shared" ref="C472:H472" si="220">IF(((C470="")*AND(C471="")),"",(C470-C471)*2)</f>
        <v/>
      </c>
      <c r="D472" s="358" t="str">
        <f t="shared" si="220"/>
        <v/>
      </c>
      <c r="E472" s="358" t="str">
        <f t="shared" si="220"/>
        <v/>
      </c>
      <c r="F472" s="358" t="str">
        <f t="shared" si="220"/>
        <v/>
      </c>
      <c r="G472" s="358" t="str">
        <f t="shared" si="220"/>
        <v/>
      </c>
      <c r="H472" s="358" t="str">
        <f t="shared" si="220"/>
        <v/>
      </c>
      <c r="I472" s="358" t="str">
        <f>IF(((I470="")*AND(I471="")),"",(I470-I471)*2)</f>
        <v/>
      </c>
      <c r="J472" s="358" t="str">
        <f>IF(((J470="")*AND(J471="")),"",(J470-J471)*2)</f>
        <v/>
      </c>
      <c r="K472" s="358" t="str">
        <f>IF(((K470="")*AND(K471="")),"",(K470-K471)*2)</f>
        <v/>
      </c>
      <c r="L472" s="358" t="str">
        <f>IF(((L470="")*AND(L471="")),"",(L470-L471)*2)</f>
        <v/>
      </c>
      <c r="M472" s="358" t="str">
        <f t="shared" ref="M472:S472" si="221">IF(((M470="")*AND(M471="")),"",(M470-M471)*2)</f>
        <v/>
      </c>
      <c r="N472" s="358" t="str">
        <f t="shared" si="221"/>
        <v/>
      </c>
      <c r="O472" s="358" t="str">
        <f t="shared" si="221"/>
        <v/>
      </c>
      <c r="P472" s="358" t="str">
        <f t="shared" si="221"/>
        <v/>
      </c>
      <c r="Q472" s="358" t="str">
        <f t="shared" si="221"/>
        <v/>
      </c>
      <c r="R472" s="358" t="str">
        <f t="shared" si="221"/>
        <v/>
      </c>
      <c r="S472" s="358" t="str">
        <f t="shared" si="221"/>
        <v/>
      </c>
      <c r="T472" s="358"/>
      <c r="U472" s="358"/>
      <c r="V472" s="358"/>
      <c r="W472" s="387"/>
      <c r="X472" s="358"/>
      <c r="Y472" s="358"/>
      <c r="Z472" s="360"/>
    </row>
    <row r="473" spans="1:34">
      <c r="A473" s="261"/>
      <c r="B473" s="248" t="s">
        <v>77</v>
      </c>
      <c r="T473" s="248" t="str">
        <f>IF((S474=""),"",MAX(C475:S475))</f>
        <v/>
      </c>
      <c r="U473" s="248" t="str">
        <f>IF(S474="","",MIN(C475:S475))</f>
        <v/>
      </c>
      <c r="V473" s="248" t="str">
        <f>IF((S475=""),"",AVERAGE(C475:S475))</f>
        <v/>
      </c>
      <c r="W473" s="380" t="e">
        <f>STDEV(C475:S475)</f>
        <v>#DIV/0!</v>
      </c>
      <c r="X473" s="248" t="str">
        <f>IF((S474=""),"",((T473-U473)/(T473+U473))*100)</f>
        <v/>
      </c>
      <c r="Y473" s="250" t="str">
        <f>IF(S474="","",IF(X473&lt;15,IF(V473&gt;1680,IF(V473&lt;2200,"Pass","Fail"),"Fail"),"Fail"))</f>
        <v/>
      </c>
      <c r="Z473" s="394"/>
      <c r="AC473" s="316">
        <v>1600</v>
      </c>
      <c r="AD473" s="316">
        <v>2600</v>
      </c>
      <c r="AE473" s="355">
        <v>1690</v>
      </c>
      <c r="AF473" s="355">
        <v>2210</v>
      </c>
      <c r="AG473" s="356">
        <v>15</v>
      </c>
      <c r="AH473" s="356">
        <v>15</v>
      </c>
    </row>
    <row r="474" spans="1:34">
      <c r="A474" s="392"/>
      <c r="B474" s="248" t="s">
        <v>78</v>
      </c>
      <c r="T474" s="358"/>
      <c r="U474" s="358"/>
      <c r="V474" s="358"/>
      <c r="W474" s="380"/>
      <c r="X474" s="358"/>
      <c r="Y474" s="358"/>
      <c r="Z474" s="360"/>
    </row>
    <row r="475" spans="1:34" ht="32.25" thickBot="1">
      <c r="A475" s="393"/>
      <c r="B475" s="256" t="s">
        <v>221</v>
      </c>
      <c r="C475" s="358" t="str">
        <f t="shared" ref="C475:H475" si="222">IF(((C473="")*AND(C474="")),"",(C473-C474)*2)</f>
        <v/>
      </c>
      <c r="D475" s="358" t="str">
        <f t="shared" si="222"/>
        <v/>
      </c>
      <c r="E475" s="358" t="str">
        <f t="shared" si="222"/>
        <v/>
      </c>
      <c r="F475" s="358" t="str">
        <f t="shared" si="222"/>
        <v/>
      </c>
      <c r="G475" s="358" t="str">
        <f t="shared" si="222"/>
        <v/>
      </c>
      <c r="H475" s="358" t="str">
        <f t="shared" si="222"/>
        <v/>
      </c>
      <c r="I475" s="358" t="str">
        <f>IF(((I473="")*AND(I474="")),"",(I473-I474)*2)</f>
        <v/>
      </c>
      <c r="J475" s="358" t="str">
        <f>IF(((J473="")*AND(J474="")),"",(J473-J474)*2)</f>
        <v/>
      </c>
      <c r="K475" s="358" t="str">
        <f>IF(((K473="")*AND(K474="")),"",(K473-K474)*2)</f>
        <v/>
      </c>
      <c r="L475" s="358" t="str">
        <f>IF(((L473="")*AND(L474="")),"",(L473-L474)*2)</f>
        <v/>
      </c>
      <c r="M475" s="358" t="str">
        <f t="shared" ref="M475:S475" si="223">IF(((M473="")*AND(M474="")),"",(M473-M474)*2)</f>
        <v/>
      </c>
      <c r="N475" s="358" t="str">
        <f t="shared" si="223"/>
        <v/>
      </c>
      <c r="O475" s="358" t="str">
        <f t="shared" si="223"/>
        <v/>
      </c>
      <c r="P475" s="358" t="str">
        <f t="shared" si="223"/>
        <v/>
      </c>
      <c r="Q475" s="358" t="str">
        <f t="shared" si="223"/>
        <v/>
      </c>
      <c r="R475" s="358" t="str">
        <f t="shared" si="223"/>
        <v/>
      </c>
      <c r="S475" s="358" t="str">
        <f t="shared" si="223"/>
        <v/>
      </c>
      <c r="T475" s="358"/>
      <c r="U475" s="358"/>
      <c r="V475" s="358"/>
      <c r="W475" s="387"/>
      <c r="X475" s="358"/>
      <c r="Y475" s="358"/>
      <c r="Z475" s="360"/>
    </row>
    <row r="476" spans="1:34">
      <c r="A476" s="261"/>
      <c r="B476" s="248" t="s">
        <v>77</v>
      </c>
      <c r="T476" s="248" t="str">
        <f>IF((S477=""),"",MAX(C478:S478))</f>
        <v/>
      </c>
      <c r="U476" s="248" t="str">
        <f>IF(S477="","",MIN(C478:S478))</f>
        <v/>
      </c>
      <c r="V476" s="248" t="str">
        <f>IF((S478=""),"",AVERAGE(C478:S478))</f>
        <v/>
      </c>
      <c r="W476" s="380" t="e">
        <f>STDEV(C478:S478)</f>
        <v>#DIV/0!</v>
      </c>
      <c r="X476" s="248" t="str">
        <f>IF((S477=""),"",((T476-U476)/(T476+U476))*100)</f>
        <v/>
      </c>
      <c r="Y476" s="250" t="str">
        <f>IF(S477="","",IF(X476&lt;15,IF(V476&gt;1680,IF(V476&lt;2200,"Pass","Fail"),"Fail"),"Fail"))</f>
        <v/>
      </c>
      <c r="Z476" s="394"/>
      <c r="AC476" s="316">
        <v>1600</v>
      </c>
      <c r="AD476" s="316">
        <v>2600</v>
      </c>
      <c r="AE476" s="355">
        <v>1690</v>
      </c>
      <c r="AF476" s="355">
        <v>2210</v>
      </c>
      <c r="AG476" s="356">
        <v>15</v>
      </c>
      <c r="AH476" s="356">
        <v>15</v>
      </c>
    </row>
    <row r="477" spans="1:34">
      <c r="A477" s="392"/>
      <c r="B477" s="248" t="s">
        <v>78</v>
      </c>
      <c r="T477" s="358"/>
      <c r="U477" s="358"/>
      <c r="V477" s="358"/>
      <c r="W477" s="380"/>
      <c r="X477" s="358"/>
      <c r="Y477" s="358"/>
      <c r="Z477" s="360"/>
    </row>
    <row r="478" spans="1:34" ht="32.25" thickBot="1">
      <c r="A478" s="393"/>
      <c r="B478" s="256" t="s">
        <v>221</v>
      </c>
      <c r="C478" s="358" t="str">
        <f t="shared" ref="C478:H478" si="224">IF(((C476="")*AND(C477="")),"",(C476-C477)*2)</f>
        <v/>
      </c>
      <c r="D478" s="358" t="str">
        <f t="shared" si="224"/>
        <v/>
      </c>
      <c r="E478" s="358" t="str">
        <f t="shared" si="224"/>
        <v/>
      </c>
      <c r="F478" s="358" t="str">
        <f t="shared" si="224"/>
        <v/>
      </c>
      <c r="G478" s="358" t="str">
        <f t="shared" si="224"/>
        <v/>
      </c>
      <c r="H478" s="358" t="str">
        <f t="shared" si="224"/>
        <v/>
      </c>
      <c r="I478" s="358" t="str">
        <f>IF(((I476="")*AND(I477="")),"",(I476-I477)*2)</f>
        <v/>
      </c>
      <c r="J478" s="358" t="str">
        <f>IF(((J476="")*AND(J477="")),"",(J476-J477)*2)</f>
        <v/>
      </c>
      <c r="K478" s="358" t="str">
        <f>IF(((K476="")*AND(K477="")),"",(K476-K477)*2)</f>
        <v/>
      </c>
      <c r="L478" s="358" t="str">
        <f>IF(((L476="")*AND(L477="")),"",(L476-L477)*2)</f>
        <v/>
      </c>
      <c r="M478" s="358" t="str">
        <f t="shared" ref="M478:S478" si="225">IF(((M476="")*AND(M477="")),"",(M476-M477)*2)</f>
        <v/>
      </c>
      <c r="N478" s="358" t="str">
        <f t="shared" si="225"/>
        <v/>
      </c>
      <c r="O478" s="358" t="str">
        <f t="shared" si="225"/>
        <v/>
      </c>
      <c r="P478" s="358" t="str">
        <f t="shared" si="225"/>
        <v/>
      </c>
      <c r="Q478" s="358" t="str">
        <f t="shared" si="225"/>
        <v/>
      </c>
      <c r="R478" s="358" t="str">
        <f t="shared" si="225"/>
        <v/>
      </c>
      <c r="S478" s="358" t="str">
        <f t="shared" si="225"/>
        <v/>
      </c>
      <c r="T478" s="358"/>
      <c r="U478" s="358"/>
      <c r="V478" s="358"/>
      <c r="W478" s="387"/>
      <c r="X478" s="358"/>
      <c r="Y478" s="358"/>
      <c r="Z478" s="360"/>
    </row>
    <row r="479" spans="1:34">
      <c r="A479" s="261"/>
      <c r="B479" s="248" t="s">
        <v>77</v>
      </c>
      <c r="T479" s="248" t="str">
        <f>IF((S480=""),"",MAX(C481:S481))</f>
        <v/>
      </c>
      <c r="U479" s="248" t="str">
        <f>IF(S480="","",MIN(C481:S481))</f>
        <v/>
      </c>
      <c r="V479" s="248" t="str">
        <f>IF((S481=""),"",AVERAGE(C481:S481))</f>
        <v/>
      </c>
      <c r="W479" s="380" t="e">
        <f>STDEV(C481:S481)</f>
        <v>#DIV/0!</v>
      </c>
      <c r="X479" s="248" t="str">
        <f>IF((S480=""),"",((T479-U479)/(T479+U479))*100)</f>
        <v/>
      </c>
      <c r="Y479" s="250" t="str">
        <f>IF(S480="","",IF(X479&lt;15,IF(V479&gt;1680,IF(V479&lt;2200,"Pass","Fail"),"Fail"),"Fail"))</f>
        <v/>
      </c>
      <c r="Z479" s="394"/>
      <c r="AC479" s="316">
        <v>1600</v>
      </c>
      <c r="AD479" s="316">
        <v>2600</v>
      </c>
      <c r="AE479" s="355">
        <v>1690</v>
      </c>
      <c r="AF479" s="355">
        <v>2210</v>
      </c>
      <c r="AG479" s="356">
        <v>15</v>
      </c>
      <c r="AH479" s="356">
        <v>15</v>
      </c>
    </row>
    <row r="480" spans="1:34">
      <c r="A480" s="392"/>
      <c r="B480" s="248" t="s">
        <v>78</v>
      </c>
      <c r="T480" s="358"/>
      <c r="U480" s="358"/>
      <c r="V480" s="358"/>
      <c r="W480" s="380"/>
      <c r="X480" s="358"/>
      <c r="Y480" s="358"/>
      <c r="Z480" s="360"/>
    </row>
    <row r="481" spans="1:34" ht="32.25" thickBot="1">
      <c r="A481" s="393"/>
      <c r="B481" s="256" t="s">
        <v>221</v>
      </c>
      <c r="C481" s="358" t="str">
        <f t="shared" ref="C481:H481" si="226">IF(((C479="")*AND(C480="")),"",(C479-C480)*2)</f>
        <v/>
      </c>
      <c r="D481" s="358" t="str">
        <f t="shared" si="226"/>
        <v/>
      </c>
      <c r="E481" s="358" t="str">
        <f t="shared" si="226"/>
        <v/>
      </c>
      <c r="F481" s="358" t="str">
        <f t="shared" si="226"/>
        <v/>
      </c>
      <c r="G481" s="358" t="str">
        <f t="shared" si="226"/>
        <v/>
      </c>
      <c r="H481" s="358" t="str">
        <f t="shared" si="226"/>
        <v/>
      </c>
      <c r="I481" s="358" t="str">
        <f>IF(((I479="")*AND(I480="")),"",(I479-I480)*2)</f>
        <v/>
      </c>
      <c r="J481" s="358" t="str">
        <f>IF(((J479="")*AND(J480="")),"",(J479-J480)*2)</f>
        <v/>
      </c>
      <c r="K481" s="358" t="str">
        <f>IF(((K479="")*AND(K480="")),"",(K479-K480)*2)</f>
        <v/>
      </c>
      <c r="L481" s="358" t="str">
        <f>IF(((L479="")*AND(L480="")),"",(L479-L480)*2)</f>
        <v/>
      </c>
      <c r="M481" s="358" t="str">
        <f t="shared" ref="M481:S481" si="227">IF(((M479="")*AND(M480="")),"",(M479-M480)*2)</f>
        <v/>
      </c>
      <c r="N481" s="358" t="str">
        <f t="shared" si="227"/>
        <v/>
      </c>
      <c r="O481" s="358" t="str">
        <f t="shared" si="227"/>
        <v/>
      </c>
      <c r="P481" s="358" t="str">
        <f t="shared" si="227"/>
        <v/>
      </c>
      <c r="Q481" s="358" t="str">
        <f t="shared" si="227"/>
        <v/>
      </c>
      <c r="R481" s="358" t="str">
        <f t="shared" si="227"/>
        <v/>
      </c>
      <c r="S481" s="358" t="str">
        <f t="shared" si="227"/>
        <v/>
      </c>
      <c r="T481" s="358"/>
      <c r="U481" s="358"/>
      <c r="V481" s="358"/>
      <c r="W481" s="387"/>
      <c r="X481" s="358"/>
      <c r="Y481" s="358"/>
      <c r="Z481" s="360"/>
    </row>
    <row r="482" spans="1:34">
      <c r="A482" s="261"/>
      <c r="B482" s="248" t="s">
        <v>77</v>
      </c>
      <c r="T482" s="248" t="str">
        <f>IF((S483=""),"",MAX(C484:S484))</f>
        <v/>
      </c>
      <c r="U482" s="248" t="str">
        <f>IF(S483="","",MIN(C484:S484))</f>
        <v/>
      </c>
      <c r="V482" s="248" t="str">
        <f>IF((S484=""),"",AVERAGE(C484:S484))</f>
        <v/>
      </c>
      <c r="W482" s="380" t="e">
        <f>STDEV(C484:S484)</f>
        <v>#DIV/0!</v>
      </c>
      <c r="X482" s="248" t="str">
        <f>IF((S483=""),"",((T482-U482)/(T482+U482))*100)</f>
        <v/>
      </c>
      <c r="Y482" s="250" t="str">
        <f>IF(S483="","",IF(X482&lt;15,IF(V482&gt;1680,IF(V482&lt;2200,"Pass","Fail"),"Fail"),"Fail"))</f>
        <v/>
      </c>
      <c r="Z482" s="394"/>
      <c r="AC482" s="316">
        <v>1600</v>
      </c>
      <c r="AD482" s="316">
        <v>2600</v>
      </c>
      <c r="AE482" s="355">
        <v>1690</v>
      </c>
      <c r="AF482" s="355">
        <v>2210</v>
      </c>
      <c r="AG482" s="356">
        <v>15</v>
      </c>
      <c r="AH482" s="356">
        <v>15</v>
      </c>
    </row>
    <row r="483" spans="1:34">
      <c r="A483" s="392"/>
      <c r="B483" s="248" t="s">
        <v>78</v>
      </c>
      <c r="T483" s="358"/>
      <c r="U483" s="358"/>
      <c r="V483" s="358"/>
      <c r="W483" s="380"/>
      <c r="X483" s="358"/>
      <c r="Y483" s="358"/>
      <c r="Z483" s="360"/>
    </row>
    <row r="484" spans="1:34" ht="32.25" thickBot="1">
      <c r="A484" s="393"/>
      <c r="B484" s="256" t="s">
        <v>221</v>
      </c>
      <c r="C484" s="358" t="str">
        <f t="shared" ref="C484:H484" si="228">IF(((C482="")*AND(C483="")),"",(C482-C483)*2)</f>
        <v/>
      </c>
      <c r="D484" s="358" t="str">
        <f t="shared" si="228"/>
        <v/>
      </c>
      <c r="E484" s="358" t="str">
        <f t="shared" si="228"/>
        <v/>
      </c>
      <c r="F484" s="358" t="str">
        <f t="shared" si="228"/>
        <v/>
      </c>
      <c r="G484" s="358" t="str">
        <f t="shared" si="228"/>
        <v/>
      </c>
      <c r="H484" s="358" t="str">
        <f t="shared" si="228"/>
        <v/>
      </c>
      <c r="I484" s="358" t="str">
        <f>IF(((I482="")*AND(I483="")),"",(I482-I483)*2)</f>
        <v/>
      </c>
      <c r="J484" s="358" t="str">
        <f>IF(((J482="")*AND(J483="")),"",(J482-J483)*2)</f>
        <v/>
      </c>
      <c r="K484" s="358" t="str">
        <f>IF(((K482="")*AND(K483="")),"",(K482-K483)*2)</f>
        <v/>
      </c>
      <c r="L484" s="358" t="str">
        <f>IF(((L482="")*AND(L483="")),"",(L482-L483)*2)</f>
        <v/>
      </c>
      <c r="M484" s="358" t="str">
        <f t="shared" ref="M484:S484" si="229">IF(((M482="")*AND(M483="")),"",(M482-M483)*2)</f>
        <v/>
      </c>
      <c r="N484" s="358" t="str">
        <f t="shared" si="229"/>
        <v/>
      </c>
      <c r="O484" s="358" t="str">
        <f t="shared" si="229"/>
        <v/>
      </c>
      <c r="P484" s="358" t="str">
        <f t="shared" si="229"/>
        <v/>
      </c>
      <c r="Q484" s="358" t="str">
        <f t="shared" si="229"/>
        <v/>
      </c>
      <c r="R484" s="358" t="str">
        <f t="shared" si="229"/>
        <v/>
      </c>
      <c r="S484" s="358" t="str">
        <f t="shared" si="229"/>
        <v/>
      </c>
      <c r="T484" s="358"/>
      <c r="U484" s="358"/>
      <c r="V484" s="358"/>
      <c r="W484" s="387"/>
      <c r="X484" s="358"/>
      <c r="Y484" s="358"/>
      <c r="Z484" s="360"/>
    </row>
    <row r="485" spans="1:34">
      <c r="A485" s="261"/>
      <c r="B485" s="248" t="s">
        <v>77</v>
      </c>
      <c r="T485" s="248" t="str">
        <f>IF((S486=""),"",MAX(C487:S487))</f>
        <v/>
      </c>
      <c r="U485" s="248" t="str">
        <f>IF(S486="","",MIN(C487:S487))</f>
        <v/>
      </c>
      <c r="V485" s="248" t="str">
        <f>IF((S487=""),"",AVERAGE(C487:S487))</f>
        <v/>
      </c>
      <c r="W485" s="380" t="e">
        <f>STDEV(C487:S487)</f>
        <v>#DIV/0!</v>
      </c>
      <c r="X485" s="248" t="str">
        <f>IF((S486=""),"",((T485-U485)/(T485+U485))*100)</f>
        <v/>
      </c>
      <c r="Y485" s="250" t="str">
        <f>IF(S486="","",IF(X485&lt;15,IF(V485&gt;1680,IF(V485&lt;2200,"Pass","Fail"),"Fail"),"Fail"))</f>
        <v/>
      </c>
      <c r="Z485" s="394"/>
      <c r="AC485" s="316">
        <v>1600</v>
      </c>
      <c r="AD485" s="316">
        <v>2600</v>
      </c>
      <c r="AE485" s="355">
        <v>1690</v>
      </c>
      <c r="AF485" s="355">
        <v>2210</v>
      </c>
      <c r="AG485" s="356">
        <v>15</v>
      </c>
      <c r="AH485" s="356">
        <v>15</v>
      </c>
    </row>
    <row r="486" spans="1:34">
      <c r="A486" s="392"/>
      <c r="B486" s="248" t="s">
        <v>78</v>
      </c>
      <c r="T486" s="358"/>
      <c r="U486" s="358"/>
      <c r="V486" s="358"/>
      <c r="W486" s="380"/>
      <c r="X486" s="358"/>
      <c r="Y486" s="358"/>
      <c r="Z486" s="360"/>
    </row>
    <row r="487" spans="1:34" ht="32.25" thickBot="1">
      <c r="A487" s="393"/>
      <c r="B487" s="256" t="s">
        <v>221</v>
      </c>
      <c r="C487" s="358" t="str">
        <f t="shared" ref="C487:H487" si="230">IF(((C485="")*AND(C486="")),"",(C485-C486)*2)</f>
        <v/>
      </c>
      <c r="D487" s="358" t="str">
        <f t="shared" si="230"/>
        <v/>
      </c>
      <c r="E487" s="358" t="str">
        <f t="shared" si="230"/>
        <v/>
      </c>
      <c r="F487" s="358" t="str">
        <f t="shared" si="230"/>
        <v/>
      </c>
      <c r="G487" s="358" t="str">
        <f t="shared" si="230"/>
        <v/>
      </c>
      <c r="H487" s="358" t="str">
        <f t="shared" si="230"/>
        <v/>
      </c>
      <c r="I487" s="358" t="str">
        <f>IF(((I485="")*AND(I486="")),"",(I485-I486)*2)</f>
        <v/>
      </c>
      <c r="J487" s="358" t="str">
        <f>IF(((J485="")*AND(J486="")),"",(J485-J486)*2)</f>
        <v/>
      </c>
      <c r="K487" s="358" t="str">
        <f>IF(((K485="")*AND(K486="")),"",(K485-K486)*2)</f>
        <v/>
      </c>
      <c r="L487" s="358" t="str">
        <f>IF(((L485="")*AND(L486="")),"",(L485-L486)*2)</f>
        <v/>
      </c>
      <c r="M487" s="358" t="str">
        <f t="shared" ref="M487:S487" si="231">IF(((M485="")*AND(M486="")),"",(M485-M486)*2)</f>
        <v/>
      </c>
      <c r="N487" s="358" t="str">
        <f t="shared" si="231"/>
        <v/>
      </c>
      <c r="O487" s="358" t="str">
        <f t="shared" si="231"/>
        <v/>
      </c>
      <c r="P487" s="358" t="str">
        <f t="shared" si="231"/>
        <v/>
      </c>
      <c r="Q487" s="358" t="str">
        <f t="shared" si="231"/>
        <v/>
      </c>
      <c r="R487" s="358" t="str">
        <f t="shared" si="231"/>
        <v/>
      </c>
      <c r="S487" s="358" t="str">
        <f t="shared" si="231"/>
        <v/>
      </c>
      <c r="T487" s="358"/>
      <c r="U487" s="358"/>
      <c r="V487" s="358"/>
      <c r="W487" s="387"/>
      <c r="X487" s="358"/>
      <c r="Y487" s="358"/>
      <c r="Z487" s="360"/>
    </row>
    <row r="488" spans="1:34">
      <c r="A488" s="261"/>
      <c r="B488" s="248" t="s">
        <v>77</v>
      </c>
      <c r="T488" s="248" t="str">
        <f>IF((S489=""),"",MAX(C490:S490))</f>
        <v/>
      </c>
      <c r="U488" s="248" t="str">
        <f>IF(S489="","",MIN(C490:S490))</f>
        <v/>
      </c>
      <c r="V488" s="248" t="str">
        <f>IF((S490=""),"",AVERAGE(C490:S490))</f>
        <v/>
      </c>
      <c r="W488" s="380" t="e">
        <f>STDEV(C490:S490)</f>
        <v>#DIV/0!</v>
      </c>
      <c r="X488" s="248" t="str">
        <f>IF((S489=""),"",((T488-U488)/(T488+U488))*100)</f>
        <v/>
      </c>
      <c r="Y488" s="250" t="str">
        <f>IF(S489="","",IF(X488&lt;15,IF(V488&gt;1680,IF(V488&lt;2200,"Pass","Fail"),"Fail"),"Fail"))</f>
        <v/>
      </c>
      <c r="Z488" s="394"/>
      <c r="AC488" s="316">
        <v>1600</v>
      </c>
      <c r="AD488" s="316">
        <v>2600</v>
      </c>
      <c r="AE488" s="355">
        <v>1690</v>
      </c>
      <c r="AF488" s="355">
        <v>2210</v>
      </c>
      <c r="AG488" s="356">
        <v>15</v>
      </c>
      <c r="AH488" s="356">
        <v>15</v>
      </c>
    </row>
    <row r="489" spans="1:34">
      <c r="A489" s="392"/>
      <c r="B489" s="248" t="s">
        <v>78</v>
      </c>
      <c r="T489" s="358"/>
      <c r="U489" s="358"/>
      <c r="V489" s="358"/>
      <c r="W489" s="380"/>
      <c r="X489" s="358"/>
      <c r="Y489" s="358"/>
      <c r="Z489" s="360"/>
    </row>
    <row r="490" spans="1:34" ht="32.25" thickBot="1">
      <c r="A490" s="393"/>
      <c r="B490" s="256" t="s">
        <v>221</v>
      </c>
      <c r="C490" s="358" t="str">
        <f t="shared" ref="C490:H490" si="232">IF(((C488="")*AND(C489="")),"",(C488-C489)*2)</f>
        <v/>
      </c>
      <c r="D490" s="358" t="str">
        <f t="shared" si="232"/>
        <v/>
      </c>
      <c r="E490" s="358" t="str">
        <f t="shared" si="232"/>
        <v/>
      </c>
      <c r="F490" s="358" t="str">
        <f t="shared" si="232"/>
        <v/>
      </c>
      <c r="G490" s="358" t="str">
        <f t="shared" si="232"/>
        <v/>
      </c>
      <c r="H490" s="358" t="str">
        <f t="shared" si="232"/>
        <v/>
      </c>
      <c r="I490" s="358" t="str">
        <f>IF(((I488="")*AND(I489="")),"",(I488-I489)*2)</f>
        <v/>
      </c>
      <c r="J490" s="358" t="str">
        <f>IF(((J488="")*AND(J489="")),"",(J488-J489)*2)</f>
        <v/>
      </c>
      <c r="K490" s="358" t="str">
        <f>IF(((K488="")*AND(K489="")),"",(K488-K489)*2)</f>
        <v/>
      </c>
      <c r="L490" s="358" t="str">
        <f>IF(((L488="")*AND(L489="")),"",(L488-L489)*2)</f>
        <v/>
      </c>
      <c r="M490" s="358" t="str">
        <f t="shared" ref="M490:S490" si="233">IF(((M488="")*AND(M489="")),"",(M488-M489)*2)</f>
        <v/>
      </c>
      <c r="N490" s="358" t="str">
        <f t="shared" si="233"/>
        <v/>
      </c>
      <c r="O490" s="358" t="str">
        <f t="shared" si="233"/>
        <v/>
      </c>
      <c r="P490" s="358" t="str">
        <f t="shared" si="233"/>
        <v/>
      </c>
      <c r="Q490" s="358" t="str">
        <f t="shared" si="233"/>
        <v/>
      </c>
      <c r="R490" s="358" t="str">
        <f t="shared" si="233"/>
        <v/>
      </c>
      <c r="S490" s="358" t="str">
        <f t="shared" si="233"/>
        <v/>
      </c>
      <c r="T490" s="358"/>
      <c r="U490" s="358"/>
      <c r="V490" s="358"/>
      <c r="W490" s="387"/>
      <c r="X490" s="358"/>
      <c r="Y490" s="358"/>
      <c r="Z490" s="360"/>
    </row>
    <row r="491" spans="1:34">
      <c r="A491" s="261"/>
      <c r="B491" s="248" t="s">
        <v>77</v>
      </c>
      <c r="T491" s="248" t="str">
        <f>IF((S492=""),"",MAX(C493:S493))</f>
        <v/>
      </c>
      <c r="U491" s="248" t="str">
        <f>IF(S492="","",MIN(C493:S493))</f>
        <v/>
      </c>
      <c r="V491" s="248" t="str">
        <f>IF((S493=""),"",AVERAGE(C493:S493))</f>
        <v/>
      </c>
      <c r="W491" s="380" t="e">
        <f>STDEV(C493:S493)</f>
        <v>#DIV/0!</v>
      </c>
      <c r="X491" s="248" t="str">
        <f>IF((S492=""),"",((T491-U491)/(T491+U491))*100)</f>
        <v/>
      </c>
      <c r="Y491" s="250" t="str">
        <f>IF(S492="","",IF(X491&lt;15,IF(V491&gt;1680,IF(V491&lt;2200,"Pass","Fail"),"Fail"),"Fail"))</f>
        <v/>
      </c>
      <c r="Z491" s="394"/>
      <c r="AC491" s="316">
        <v>1600</v>
      </c>
      <c r="AD491" s="316">
        <v>2600</v>
      </c>
      <c r="AE491" s="355">
        <v>1690</v>
      </c>
      <c r="AF491" s="355">
        <v>2210</v>
      </c>
      <c r="AG491" s="356">
        <v>15</v>
      </c>
      <c r="AH491" s="356">
        <v>15</v>
      </c>
    </row>
    <row r="492" spans="1:34">
      <c r="A492" s="392"/>
      <c r="B492" s="248" t="s">
        <v>78</v>
      </c>
      <c r="T492" s="358"/>
      <c r="U492" s="358"/>
      <c r="V492" s="358"/>
      <c r="W492" s="380"/>
      <c r="X492" s="358"/>
      <c r="Y492" s="358"/>
      <c r="Z492" s="360"/>
    </row>
    <row r="493" spans="1:34" ht="32.25" thickBot="1">
      <c r="A493" s="393"/>
      <c r="B493" s="256" t="s">
        <v>221</v>
      </c>
      <c r="C493" s="358" t="str">
        <f t="shared" ref="C493:H493" si="234">IF(((C491="")*AND(C492="")),"",(C491-C492)*2)</f>
        <v/>
      </c>
      <c r="D493" s="358" t="str">
        <f t="shared" si="234"/>
        <v/>
      </c>
      <c r="E493" s="358" t="str">
        <f t="shared" si="234"/>
        <v/>
      </c>
      <c r="F493" s="358" t="str">
        <f t="shared" si="234"/>
        <v/>
      </c>
      <c r="G493" s="358" t="str">
        <f t="shared" si="234"/>
        <v/>
      </c>
      <c r="H493" s="358" t="str">
        <f t="shared" si="234"/>
        <v/>
      </c>
      <c r="I493" s="358" t="str">
        <f>IF(((I491="")*AND(I492="")),"",(I491-I492)*2)</f>
        <v/>
      </c>
      <c r="J493" s="358" t="str">
        <f>IF(((J491="")*AND(J492="")),"",(J491-J492)*2)</f>
        <v/>
      </c>
      <c r="K493" s="358" t="str">
        <f>IF(((K491="")*AND(K492="")),"",(K491-K492)*2)</f>
        <v/>
      </c>
      <c r="L493" s="358" t="str">
        <f>IF(((L491="")*AND(L492="")),"",(L491-L492)*2)</f>
        <v/>
      </c>
      <c r="M493" s="358" t="str">
        <f t="shared" ref="M493:S493" si="235">IF(((M491="")*AND(M492="")),"",(M491-M492)*2)</f>
        <v/>
      </c>
      <c r="N493" s="358" t="str">
        <f t="shared" si="235"/>
        <v/>
      </c>
      <c r="O493" s="358" t="str">
        <f t="shared" si="235"/>
        <v/>
      </c>
      <c r="P493" s="358" t="str">
        <f t="shared" si="235"/>
        <v/>
      </c>
      <c r="Q493" s="358" t="str">
        <f t="shared" si="235"/>
        <v/>
      </c>
      <c r="R493" s="358" t="str">
        <f t="shared" si="235"/>
        <v/>
      </c>
      <c r="S493" s="358" t="str">
        <f t="shared" si="235"/>
        <v/>
      </c>
      <c r="T493" s="358"/>
      <c r="U493" s="358"/>
      <c r="V493" s="358"/>
      <c r="W493" s="387"/>
      <c r="X493" s="358"/>
      <c r="Y493" s="358"/>
      <c r="Z493" s="360"/>
    </row>
    <row r="494" spans="1:34">
      <c r="A494" s="261"/>
      <c r="B494" s="248" t="s">
        <v>77</v>
      </c>
      <c r="T494" s="248" t="str">
        <f>IF((S495=""),"",MAX(C496:S496))</f>
        <v/>
      </c>
      <c r="U494" s="248" t="str">
        <f>IF(S495="","",MIN(C496:S496))</f>
        <v/>
      </c>
      <c r="V494" s="248" t="str">
        <f>IF((S496=""),"",AVERAGE(C496:S496))</f>
        <v/>
      </c>
      <c r="W494" s="380" t="e">
        <f>STDEV(C496:S496)</f>
        <v>#DIV/0!</v>
      </c>
      <c r="X494" s="248" t="str">
        <f>IF((S495=""),"",((T494-U494)/(T494+U494))*100)</f>
        <v/>
      </c>
      <c r="Y494" s="250" t="str">
        <f>IF(S495="","",IF(X494&lt;15,IF(V494&gt;1680,IF(V494&lt;2200,"Pass","Fail"),"Fail"),"Fail"))</f>
        <v/>
      </c>
      <c r="Z494" s="394"/>
      <c r="AC494" s="316">
        <v>1600</v>
      </c>
      <c r="AD494" s="316">
        <v>2600</v>
      </c>
      <c r="AE494" s="355">
        <v>1690</v>
      </c>
      <c r="AF494" s="355">
        <v>2210</v>
      </c>
      <c r="AG494" s="356">
        <v>15</v>
      </c>
      <c r="AH494" s="356">
        <v>15</v>
      </c>
    </row>
    <row r="495" spans="1:34">
      <c r="A495" s="392"/>
      <c r="B495" s="248" t="s">
        <v>78</v>
      </c>
      <c r="T495" s="358"/>
      <c r="U495" s="358"/>
      <c r="V495" s="358"/>
      <c r="W495" s="380"/>
      <c r="X495" s="358"/>
      <c r="Y495" s="358"/>
      <c r="Z495" s="360"/>
    </row>
    <row r="496" spans="1:34" ht="32.25" thickBot="1">
      <c r="A496" s="393"/>
      <c r="B496" s="256" t="s">
        <v>221</v>
      </c>
      <c r="C496" s="358" t="str">
        <f t="shared" ref="C496:H496" si="236">IF(((C494="")*AND(C495="")),"",(C494-C495)*2)</f>
        <v/>
      </c>
      <c r="D496" s="358" t="str">
        <f t="shared" si="236"/>
        <v/>
      </c>
      <c r="E496" s="358" t="str">
        <f t="shared" si="236"/>
        <v/>
      </c>
      <c r="F496" s="358" t="str">
        <f t="shared" si="236"/>
        <v/>
      </c>
      <c r="G496" s="358" t="str">
        <f t="shared" si="236"/>
        <v/>
      </c>
      <c r="H496" s="358" t="str">
        <f t="shared" si="236"/>
        <v/>
      </c>
      <c r="I496" s="358" t="str">
        <f>IF(((I494="")*AND(I495="")),"",(I494-I495)*2)</f>
        <v/>
      </c>
      <c r="J496" s="358" t="str">
        <f>IF(((J494="")*AND(J495="")),"",(J494-J495)*2)</f>
        <v/>
      </c>
      <c r="K496" s="358" t="str">
        <f>IF(((K494="")*AND(K495="")),"",(K494-K495)*2)</f>
        <v/>
      </c>
      <c r="L496" s="358" t="str">
        <f>IF(((L494="")*AND(L495="")),"",(L494-L495)*2)</f>
        <v/>
      </c>
      <c r="M496" s="358" t="str">
        <f t="shared" ref="M496:S496" si="237">IF(((M494="")*AND(M495="")),"",(M494-M495)*2)</f>
        <v/>
      </c>
      <c r="N496" s="358" t="str">
        <f t="shared" si="237"/>
        <v/>
      </c>
      <c r="O496" s="358" t="str">
        <f t="shared" si="237"/>
        <v/>
      </c>
      <c r="P496" s="358" t="str">
        <f t="shared" si="237"/>
        <v/>
      </c>
      <c r="Q496" s="358" t="str">
        <f t="shared" si="237"/>
        <v/>
      </c>
      <c r="R496" s="358" t="str">
        <f t="shared" si="237"/>
        <v/>
      </c>
      <c r="S496" s="358" t="str">
        <f t="shared" si="237"/>
        <v/>
      </c>
      <c r="T496" s="358"/>
      <c r="U496" s="358"/>
      <c r="V496" s="358"/>
      <c r="W496" s="387"/>
      <c r="X496" s="358"/>
      <c r="Y496" s="358"/>
      <c r="Z496" s="360"/>
    </row>
    <row r="497" spans="1:34">
      <c r="A497" s="261"/>
      <c r="B497" s="248" t="s">
        <v>77</v>
      </c>
      <c r="T497" s="248" t="str">
        <f>IF((S498=""),"",MAX(C499:S499))</f>
        <v/>
      </c>
      <c r="U497" s="248" t="str">
        <f>IF(S498="","",MIN(C499:S499))</f>
        <v/>
      </c>
      <c r="V497" s="248" t="str">
        <f>IF((S499=""),"",AVERAGE(C499:S499))</f>
        <v/>
      </c>
      <c r="W497" s="380" t="e">
        <f>STDEV(C499:S499)</f>
        <v>#DIV/0!</v>
      </c>
      <c r="X497" s="248" t="str">
        <f>IF((S498=""),"",((T497-U497)/(T497+U497))*100)</f>
        <v/>
      </c>
      <c r="Y497" s="250" t="str">
        <f>IF(S498="","",IF(X497&lt;15,IF(V497&gt;1680,IF(V497&lt;2200,"Pass","Fail"),"Fail"),"Fail"))</f>
        <v/>
      </c>
      <c r="Z497" s="394"/>
      <c r="AC497" s="316">
        <v>1600</v>
      </c>
      <c r="AD497" s="316">
        <v>2600</v>
      </c>
      <c r="AE497" s="355">
        <v>1690</v>
      </c>
      <c r="AF497" s="355">
        <v>2210</v>
      </c>
      <c r="AG497" s="356">
        <v>15</v>
      </c>
      <c r="AH497" s="356">
        <v>15</v>
      </c>
    </row>
    <row r="498" spans="1:34">
      <c r="A498" s="392"/>
      <c r="B498" s="248" t="s">
        <v>78</v>
      </c>
      <c r="T498" s="358"/>
      <c r="U498" s="358"/>
      <c r="V498" s="358"/>
      <c r="W498" s="380"/>
      <c r="X498" s="358"/>
      <c r="Y498" s="358"/>
      <c r="Z498" s="360"/>
    </row>
    <row r="499" spans="1:34" ht="32.25" thickBot="1">
      <c r="A499" s="393"/>
      <c r="B499" s="256" t="s">
        <v>221</v>
      </c>
      <c r="C499" s="358" t="str">
        <f t="shared" ref="C499:H499" si="238">IF(((C497="")*AND(C498="")),"",(C497-C498)*2)</f>
        <v/>
      </c>
      <c r="D499" s="358" t="str">
        <f t="shared" si="238"/>
        <v/>
      </c>
      <c r="E499" s="358" t="str">
        <f t="shared" si="238"/>
        <v/>
      </c>
      <c r="F499" s="358" t="str">
        <f t="shared" si="238"/>
        <v/>
      </c>
      <c r="G499" s="358" t="str">
        <f t="shared" si="238"/>
        <v/>
      </c>
      <c r="H499" s="358" t="str">
        <f t="shared" si="238"/>
        <v/>
      </c>
      <c r="I499" s="358" t="str">
        <f>IF(((I497="")*AND(I498="")),"",(I497-I498)*2)</f>
        <v/>
      </c>
      <c r="J499" s="358" t="str">
        <f>IF(((J497="")*AND(J498="")),"",(J497-J498)*2)</f>
        <v/>
      </c>
      <c r="K499" s="358" t="str">
        <f>IF(((K497="")*AND(K498="")),"",(K497-K498)*2)</f>
        <v/>
      </c>
      <c r="L499" s="358" t="str">
        <f>IF(((L497="")*AND(L498="")),"",(L497-L498)*2)</f>
        <v/>
      </c>
      <c r="M499" s="358" t="str">
        <f t="shared" ref="M499:S499" si="239">IF(((M497="")*AND(M498="")),"",(M497-M498)*2)</f>
        <v/>
      </c>
      <c r="N499" s="358" t="str">
        <f t="shared" si="239"/>
        <v/>
      </c>
      <c r="O499" s="358" t="str">
        <f t="shared" si="239"/>
        <v/>
      </c>
      <c r="P499" s="358" t="str">
        <f t="shared" si="239"/>
        <v/>
      </c>
      <c r="Q499" s="358" t="str">
        <f t="shared" si="239"/>
        <v/>
      </c>
      <c r="R499" s="358" t="str">
        <f t="shared" si="239"/>
        <v/>
      </c>
      <c r="S499" s="358" t="str">
        <f t="shared" si="239"/>
        <v/>
      </c>
      <c r="T499" s="358"/>
      <c r="U499" s="358"/>
      <c r="V499" s="358"/>
      <c r="W499" s="387"/>
      <c r="X499" s="358"/>
      <c r="Y499" s="358"/>
      <c r="Z499" s="360"/>
    </row>
    <row r="500" spans="1:34">
      <c r="A500" s="261"/>
      <c r="B500" s="248" t="s">
        <v>77</v>
      </c>
      <c r="T500" s="248" t="str">
        <f>IF((S501=""),"",MAX(C502:S502))</f>
        <v/>
      </c>
      <c r="U500" s="248" t="str">
        <f>IF(S501="","",MIN(C502:S502))</f>
        <v/>
      </c>
      <c r="V500" s="248" t="str">
        <f>IF((S502=""),"",AVERAGE(C502:S502))</f>
        <v/>
      </c>
      <c r="W500" s="380" t="e">
        <f>STDEV(C502:S502)</f>
        <v>#DIV/0!</v>
      </c>
      <c r="X500" s="248" t="str">
        <f>IF((S501=""),"",((T500-U500)/(T500+U500))*100)</f>
        <v/>
      </c>
      <c r="Y500" s="250" t="str">
        <f>IF(S501="","",IF(X500&lt;15,IF(V500&gt;1680,IF(V500&lt;2200,"Pass","Fail"),"Fail"),"Fail"))</f>
        <v/>
      </c>
      <c r="Z500" s="394"/>
      <c r="AC500" s="316">
        <v>1600</v>
      </c>
      <c r="AD500" s="316">
        <v>2600</v>
      </c>
      <c r="AE500" s="355">
        <v>1690</v>
      </c>
      <c r="AF500" s="355">
        <v>2210</v>
      </c>
      <c r="AG500" s="356">
        <v>15</v>
      </c>
      <c r="AH500" s="356">
        <v>15</v>
      </c>
    </row>
    <row r="501" spans="1:34">
      <c r="A501" s="392"/>
      <c r="B501" s="248" t="s">
        <v>78</v>
      </c>
      <c r="T501" s="358"/>
      <c r="U501" s="358"/>
      <c r="V501" s="358"/>
      <c r="W501" s="380"/>
      <c r="X501" s="358"/>
      <c r="Y501" s="358"/>
      <c r="Z501" s="360"/>
    </row>
    <row r="502" spans="1:34" ht="32.25" thickBot="1">
      <c r="A502" s="393"/>
      <c r="B502" s="256" t="s">
        <v>221</v>
      </c>
      <c r="C502" s="358" t="str">
        <f t="shared" ref="C502:H502" si="240">IF(((C500="")*AND(C501="")),"",(C500-C501)*2)</f>
        <v/>
      </c>
      <c r="D502" s="358" t="str">
        <f t="shared" si="240"/>
        <v/>
      </c>
      <c r="E502" s="358" t="str">
        <f t="shared" si="240"/>
        <v/>
      </c>
      <c r="F502" s="358" t="str">
        <f t="shared" si="240"/>
        <v/>
      </c>
      <c r="G502" s="358" t="str">
        <f t="shared" si="240"/>
        <v/>
      </c>
      <c r="H502" s="358" t="str">
        <f t="shared" si="240"/>
        <v/>
      </c>
      <c r="I502" s="358" t="str">
        <f>IF(((I500="")*AND(I501="")),"",(I500-I501)*2)</f>
        <v/>
      </c>
      <c r="J502" s="358" t="str">
        <f>IF(((J500="")*AND(J501="")),"",(J500-J501)*2)</f>
        <v/>
      </c>
      <c r="K502" s="358" t="str">
        <f>IF(((K500="")*AND(K501="")),"",(K500-K501)*2)</f>
        <v/>
      </c>
      <c r="L502" s="358" t="str">
        <f>IF(((L500="")*AND(L501="")),"",(L500-L501)*2)</f>
        <v/>
      </c>
      <c r="M502" s="358" t="str">
        <f t="shared" ref="M502:S502" si="241">IF(((M500="")*AND(M501="")),"",(M500-M501)*2)</f>
        <v/>
      </c>
      <c r="N502" s="358" t="str">
        <f t="shared" si="241"/>
        <v/>
      </c>
      <c r="O502" s="358" t="str">
        <f t="shared" si="241"/>
        <v/>
      </c>
      <c r="P502" s="358" t="str">
        <f t="shared" si="241"/>
        <v/>
      </c>
      <c r="Q502" s="358" t="str">
        <f t="shared" si="241"/>
        <v/>
      </c>
      <c r="R502" s="358" t="str">
        <f t="shared" si="241"/>
        <v/>
      </c>
      <c r="S502" s="358" t="str">
        <f t="shared" si="241"/>
        <v/>
      </c>
      <c r="T502" s="358"/>
      <c r="U502" s="358"/>
      <c r="V502" s="358"/>
      <c r="W502" s="387"/>
      <c r="X502" s="358"/>
      <c r="Y502" s="358"/>
      <c r="Z502" s="360"/>
    </row>
    <row r="503" spans="1:34">
      <c r="A503" s="261"/>
      <c r="B503" s="248" t="s">
        <v>77</v>
      </c>
      <c r="T503" s="248" t="str">
        <f>IF((S504=""),"",MAX(C505:S505))</f>
        <v/>
      </c>
      <c r="U503" s="248" t="str">
        <f>IF(S504="","",MIN(C505:S505))</f>
        <v/>
      </c>
      <c r="V503" s="248" t="str">
        <f>IF((S505=""),"",AVERAGE(C505:S505))</f>
        <v/>
      </c>
      <c r="W503" s="380" t="e">
        <f>STDEV(C505:S505)</f>
        <v>#DIV/0!</v>
      </c>
      <c r="X503" s="248" t="str">
        <f>IF((S504=""),"",((T503-U503)/(T503+U503))*100)</f>
        <v/>
      </c>
      <c r="Y503" s="250" t="str">
        <f>IF(S504="","",IF(X503&lt;15,IF(V503&gt;1680,IF(V503&lt;2200,"Pass","Fail"),"Fail"),"Fail"))</f>
        <v/>
      </c>
      <c r="Z503" s="394"/>
      <c r="AC503" s="316">
        <v>1600</v>
      </c>
      <c r="AD503" s="316">
        <v>2600</v>
      </c>
      <c r="AE503" s="355">
        <v>1690</v>
      </c>
      <c r="AF503" s="355">
        <v>2210</v>
      </c>
      <c r="AG503" s="356">
        <v>15</v>
      </c>
      <c r="AH503" s="356">
        <v>15</v>
      </c>
    </row>
    <row r="504" spans="1:34">
      <c r="A504" s="392"/>
      <c r="B504" s="248" t="s">
        <v>78</v>
      </c>
      <c r="T504" s="358"/>
      <c r="U504" s="358"/>
      <c r="V504" s="358"/>
      <c r="W504" s="380"/>
      <c r="X504" s="358"/>
      <c r="Y504" s="358"/>
      <c r="Z504" s="360"/>
    </row>
    <row r="505" spans="1:34" ht="32.25" thickBot="1">
      <c r="A505" s="393"/>
      <c r="B505" s="256" t="s">
        <v>221</v>
      </c>
      <c r="C505" s="358" t="str">
        <f t="shared" ref="C505:H505" si="242">IF(((C503="")*AND(C504="")),"",(C503-C504)*2)</f>
        <v/>
      </c>
      <c r="D505" s="358" t="str">
        <f t="shared" si="242"/>
        <v/>
      </c>
      <c r="E505" s="358" t="str">
        <f t="shared" si="242"/>
        <v/>
      </c>
      <c r="F505" s="358" t="str">
        <f t="shared" si="242"/>
        <v/>
      </c>
      <c r="G505" s="358" t="str">
        <f t="shared" si="242"/>
        <v/>
      </c>
      <c r="H505" s="358" t="str">
        <f t="shared" si="242"/>
        <v/>
      </c>
      <c r="I505" s="358" t="str">
        <f>IF(((I503="")*AND(I504="")),"",(I503-I504)*2)</f>
        <v/>
      </c>
      <c r="J505" s="358" t="str">
        <f>IF(((J503="")*AND(J504="")),"",(J503-J504)*2)</f>
        <v/>
      </c>
      <c r="K505" s="358" t="str">
        <f>IF(((K503="")*AND(K504="")),"",(K503-K504)*2)</f>
        <v/>
      </c>
      <c r="L505" s="358" t="str">
        <f>IF(((L503="")*AND(L504="")),"",(L503-L504)*2)</f>
        <v/>
      </c>
      <c r="M505" s="358" t="str">
        <f t="shared" ref="M505:S505" si="243">IF(((M503="")*AND(M504="")),"",(M503-M504)*2)</f>
        <v/>
      </c>
      <c r="N505" s="358" t="str">
        <f t="shared" si="243"/>
        <v/>
      </c>
      <c r="O505" s="358" t="str">
        <f t="shared" si="243"/>
        <v/>
      </c>
      <c r="P505" s="358" t="str">
        <f t="shared" si="243"/>
        <v/>
      </c>
      <c r="Q505" s="358" t="str">
        <f t="shared" si="243"/>
        <v/>
      </c>
      <c r="R505" s="358" t="str">
        <f t="shared" si="243"/>
        <v/>
      </c>
      <c r="S505" s="358" t="str">
        <f t="shared" si="243"/>
        <v/>
      </c>
      <c r="T505" s="358"/>
      <c r="U505" s="358"/>
      <c r="V505" s="358"/>
      <c r="W505" s="387"/>
      <c r="X505" s="358"/>
      <c r="Y505" s="358"/>
      <c r="Z505" s="360"/>
    </row>
    <row r="506" spans="1:34">
      <c r="A506" s="261"/>
      <c r="B506" s="248" t="s">
        <v>77</v>
      </c>
      <c r="T506" s="248" t="str">
        <f>IF((S507=""),"",MAX(C508:S508))</f>
        <v/>
      </c>
      <c r="U506" s="248" t="str">
        <f>IF(S507="","",MIN(C508:S508))</f>
        <v/>
      </c>
      <c r="V506" s="248" t="str">
        <f>IF((S508=""),"",AVERAGE(C508:S508))</f>
        <v/>
      </c>
      <c r="W506" s="380" t="e">
        <f>STDEV(C508:S508)</f>
        <v>#DIV/0!</v>
      </c>
      <c r="X506" s="248" t="str">
        <f>IF((S507=""),"",((T506-U506)/(T506+U506))*100)</f>
        <v/>
      </c>
      <c r="Y506" s="250" t="str">
        <f>IF(S507="","",IF(X506&lt;15,IF(V506&gt;1680,IF(V506&lt;2200,"Pass","Fail"),"Fail"),"Fail"))</f>
        <v/>
      </c>
      <c r="Z506" s="394"/>
      <c r="AC506" s="316">
        <v>1600</v>
      </c>
      <c r="AD506" s="316">
        <v>2600</v>
      </c>
      <c r="AE506" s="355">
        <v>1690</v>
      </c>
      <c r="AF506" s="355">
        <v>2210</v>
      </c>
      <c r="AG506" s="356">
        <v>15</v>
      </c>
      <c r="AH506" s="356">
        <v>15</v>
      </c>
    </row>
    <row r="507" spans="1:34">
      <c r="A507" s="392"/>
      <c r="B507" s="248" t="s">
        <v>78</v>
      </c>
      <c r="T507" s="358"/>
      <c r="U507" s="358"/>
      <c r="V507" s="358"/>
      <c r="W507" s="380"/>
      <c r="X507" s="358"/>
      <c r="Y507" s="358"/>
      <c r="Z507" s="360"/>
    </row>
    <row r="508" spans="1:34" ht="32.25" thickBot="1">
      <c r="A508" s="393"/>
      <c r="B508" s="256" t="s">
        <v>221</v>
      </c>
      <c r="C508" s="358" t="str">
        <f t="shared" ref="C508:H508" si="244">IF(((C506="")*AND(C507="")),"",(C506-C507)*2)</f>
        <v/>
      </c>
      <c r="D508" s="358" t="str">
        <f t="shared" si="244"/>
        <v/>
      </c>
      <c r="E508" s="358" t="str">
        <f t="shared" si="244"/>
        <v/>
      </c>
      <c r="F508" s="358" t="str">
        <f t="shared" si="244"/>
        <v/>
      </c>
      <c r="G508" s="358" t="str">
        <f t="shared" si="244"/>
        <v/>
      </c>
      <c r="H508" s="358" t="str">
        <f t="shared" si="244"/>
        <v/>
      </c>
      <c r="I508" s="358" t="str">
        <f>IF(((I506="")*AND(I507="")),"",(I506-I507)*2)</f>
        <v/>
      </c>
      <c r="J508" s="358" t="str">
        <f>IF(((J506="")*AND(J507="")),"",(J506-J507)*2)</f>
        <v/>
      </c>
      <c r="K508" s="358" t="str">
        <f>IF(((K506="")*AND(K507="")),"",(K506-K507)*2)</f>
        <v/>
      </c>
      <c r="L508" s="358" t="str">
        <f>IF(((L506="")*AND(L507="")),"",(L506-L507)*2)</f>
        <v/>
      </c>
      <c r="M508" s="358" t="str">
        <f t="shared" ref="M508:S508" si="245">IF(((M506="")*AND(M507="")),"",(M506-M507)*2)</f>
        <v/>
      </c>
      <c r="N508" s="358" t="str">
        <f t="shared" si="245"/>
        <v/>
      </c>
      <c r="O508" s="358" t="str">
        <f t="shared" si="245"/>
        <v/>
      </c>
      <c r="P508" s="358" t="str">
        <f t="shared" si="245"/>
        <v/>
      </c>
      <c r="Q508" s="358" t="str">
        <f t="shared" si="245"/>
        <v/>
      </c>
      <c r="R508" s="358" t="str">
        <f t="shared" si="245"/>
        <v/>
      </c>
      <c r="S508" s="358" t="str">
        <f t="shared" si="245"/>
        <v/>
      </c>
      <c r="T508" s="358"/>
      <c r="U508" s="358"/>
      <c r="V508" s="358"/>
      <c r="W508" s="387"/>
      <c r="X508" s="358"/>
      <c r="Y508" s="358"/>
      <c r="Z508" s="360"/>
    </row>
  </sheetData>
  <autoFilter ref="A10:AH508"/>
  <mergeCells count="1">
    <mergeCell ref="C9:S9"/>
  </mergeCells>
  <conditionalFormatting sqref="Y407 Y410 Y413 Y416 Y419 Y422 Y425 Y428 Y431 Y434 Y437 Y440 Y443 Y446 Y449 Y452 Y455 Y458 Y461 Y464 Y467 Y470 Y473 Y476 Y479 Y482 Y485 Y488 Y491 Y494 Y497 Y500 Y503 Y506 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cfRule type="cellIs" dxfId="1141" priority="651" stopIfTrue="1" operator="equal">
      <formula>"Fail"</formula>
    </cfRule>
    <cfRule type="cellIs" dxfId="1140" priority="65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EY314"/>
  <sheetViews>
    <sheetView tabSelected="1" workbookViewId="0">
      <selection activeCell="J8" sqref="J8"/>
    </sheetView>
  </sheetViews>
  <sheetFormatPr defaultRowHeight="15.75"/>
  <cols>
    <col min="1" max="1" width="18" bestFit="1" customWidth="1"/>
    <col min="10" max="10" width="13.125" customWidth="1"/>
    <col min="21" max="21" width="10.125" bestFit="1" customWidth="1"/>
  </cols>
  <sheetData>
    <row r="1" spans="1:155" ht="24" thickBot="1">
      <c r="J1" s="414" t="s">
        <v>240</v>
      </c>
      <c r="K1" s="434" t="s">
        <v>241</v>
      </c>
      <c r="L1" s="435"/>
    </row>
    <row r="2" spans="1:155" ht="16.5" thickBot="1">
      <c r="J2" s="413" t="s">
        <v>222</v>
      </c>
      <c r="K2" s="411" t="s">
        <v>71</v>
      </c>
      <c r="L2" s="410" t="s">
        <v>72</v>
      </c>
    </row>
    <row r="3" spans="1:155" ht="16.5" thickBot="1">
      <c r="J3" s="416">
        <v>43734</v>
      </c>
      <c r="K3" s="412">
        <v>2116.519794709503</v>
      </c>
      <c r="L3" s="409">
        <v>2130.5204104187023</v>
      </c>
      <c r="U3" s="33">
        <v>43101</v>
      </c>
      <c r="V3" s="33">
        <v>43104</v>
      </c>
      <c r="W3" s="33">
        <v>43112</v>
      </c>
      <c r="X3" s="33">
        <v>43116</v>
      </c>
      <c r="Y3" s="33">
        <v>43119</v>
      </c>
      <c r="Z3" s="33">
        <v>43122</v>
      </c>
      <c r="AA3" s="33">
        <v>43125</v>
      </c>
      <c r="AB3" s="33">
        <v>43129</v>
      </c>
      <c r="AC3" s="33">
        <v>43102</v>
      </c>
      <c r="AD3" s="33">
        <v>43137</v>
      </c>
      <c r="AE3" s="33">
        <v>43141</v>
      </c>
      <c r="AF3" s="33">
        <v>43146</v>
      </c>
      <c r="AG3" s="33">
        <v>43151</v>
      </c>
      <c r="AH3" s="33">
        <v>43156</v>
      </c>
      <c r="AI3" s="33">
        <v>43178</v>
      </c>
      <c r="AJ3" s="33">
        <v>43182</v>
      </c>
      <c r="AK3" s="33">
        <v>43199</v>
      </c>
      <c r="AL3" s="33">
        <v>43203</v>
      </c>
      <c r="AM3" s="33">
        <v>43206</v>
      </c>
      <c r="AN3" s="33">
        <v>43206</v>
      </c>
      <c r="AO3" s="33">
        <v>43214</v>
      </c>
      <c r="AP3" s="33">
        <v>43221</v>
      </c>
      <c r="AQ3" s="33">
        <v>43234</v>
      </c>
      <c r="AR3" s="33">
        <v>43238</v>
      </c>
      <c r="AS3" s="33">
        <v>43242</v>
      </c>
      <c r="AT3" s="33">
        <v>43243</v>
      </c>
      <c r="AU3" s="33">
        <v>43248</v>
      </c>
      <c r="AV3" s="33">
        <v>43251</v>
      </c>
      <c r="AW3" s="33">
        <v>43255</v>
      </c>
      <c r="AX3" s="33">
        <v>43258</v>
      </c>
      <c r="AY3" s="33">
        <v>43262</v>
      </c>
      <c r="AZ3" s="33">
        <v>43272</v>
      </c>
      <c r="BA3" s="33">
        <v>43283</v>
      </c>
      <c r="BB3" s="33">
        <v>43287</v>
      </c>
      <c r="BC3" s="33">
        <v>43294</v>
      </c>
      <c r="BD3" s="33">
        <v>43305</v>
      </c>
      <c r="BE3" s="33">
        <v>43308</v>
      </c>
      <c r="BF3" s="33">
        <v>43314</v>
      </c>
      <c r="BG3" s="33">
        <v>43318</v>
      </c>
      <c r="BH3" s="33">
        <v>43321</v>
      </c>
      <c r="BI3" s="33">
        <v>43325</v>
      </c>
      <c r="BJ3" s="33">
        <v>43336</v>
      </c>
      <c r="BK3" s="33">
        <v>43340</v>
      </c>
      <c r="BL3" s="33">
        <v>43344</v>
      </c>
      <c r="BM3" s="33">
        <v>43348</v>
      </c>
      <c r="BN3" s="33">
        <v>43352</v>
      </c>
      <c r="BO3" s="33">
        <v>43357</v>
      </c>
      <c r="BP3" s="33">
        <v>43362</v>
      </c>
      <c r="BQ3" s="33">
        <v>43367</v>
      </c>
      <c r="BR3" s="33">
        <v>43370</v>
      </c>
      <c r="BS3" s="33">
        <v>43370</v>
      </c>
      <c r="BT3" s="33">
        <v>43378</v>
      </c>
      <c r="BU3" s="33">
        <v>43378</v>
      </c>
      <c r="BV3" s="33">
        <v>43382</v>
      </c>
      <c r="BW3" s="33">
        <v>43385</v>
      </c>
      <c r="BX3" s="33">
        <v>43388</v>
      </c>
      <c r="BY3" s="33">
        <v>43391</v>
      </c>
      <c r="BZ3" s="33">
        <v>43395</v>
      </c>
      <c r="CA3" s="33">
        <v>43398</v>
      </c>
      <c r="CB3" s="33">
        <v>43401</v>
      </c>
      <c r="CC3" s="33">
        <v>43402</v>
      </c>
      <c r="CD3" s="33">
        <v>43404</v>
      </c>
      <c r="CE3" s="33">
        <v>43409</v>
      </c>
      <c r="CF3" s="33">
        <v>43413</v>
      </c>
      <c r="CG3" s="33">
        <v>43424</v>
      </c>
      <c r="CH3" s="33">
        <v>43430</v>
      </c>
      <c r="CI3" s="33">
        <v>43438</v>
      </c>
      <c r="CJ3" s="33">
        <v>43452</v>
      </c>
      <c r="CK3" s="33">
        <v>43452</v>
      </c>
      <c r="CL3" s="33">
        <v>43458</v>
      </c>
      <c r="CM3" s="33">
        <v>43462</v>
      </c>
      <c r="CN3" s="33">
        <v>43466</v>
      </c>
      <c r="CO3" s="33">
        <v>43476</v>
      </c>
      <c r="CP3" s="33">
        <v>43480</v>
      </c>
      <c r="CQ3" s="33">
        <v>43487</v>
      </c>
      <c r="CR3" s="33">
        <v>43493</v>
      </c>
      <c r="CS3" s="33">
        <v>43497</v>
      </c>
      <c r="CT3" s="33">
        <v>43502</v>
      </c>
      <c r="CU3" s="33">
        <v>43507</v>
      </c>
      <c r="CV3" s="33">
        <v>43510</v>
      </c>
      <c r="CW3" s="33">
        <v>43514</v>
      </c>
      <c r="CX3" s="33">
        <v>43522</v>
      </c>
      <c r="CY3" s="33">
        <v>43528</v>
      </c>
      <c r="CZ3" s="33">
        <v>43544</v>
      </c>
      <c r="DA3" s="33">
        <v>43546</v>
      </c>
      <c r="DB3" s="33">
        <v>43549</v>
      </c>
      <c r="DC3" s="33">
        <v>43552</v>
      </c>
      <c r="DD3" s="33">
        <v>43558</v>
      </c>
      <c r="DE3" s="33">
        <v>43564</v>
      </c>
      <c r="DF3" s="33">
        <v>43569</v>
      </c>
      <c r="DG3" s="33">
        <v>43577</v>
      </c>
      <c r="DH3" s="33">
        <v>43580</v>
      </c>
      <c r="DI3" s="33">
        <v>43585</v>
      </c>
      <c r="DJ3" s="33">
        <v>43588</v>
      </c>
      <c r="DK3" s="33">
        <v>43591</v>
      </c>
      <c r="DL3" s="33">
        <v>43598</v>
      </c>
      <c r="DM3" s="33">
        <v>43601</v>
      </c>
      <c r="DN3" s="33">
        <v>43603</v>
      </c>
      <c r="DO3" s="33">
        <v>43605</v>
      </c>
      <c r="DP3" s="33">
        <v>43608</v>
      </c>
      <c r="DQ3" s="33">
        <v>43612</v>
      </c>
      <c r="DR3" s="33">
        <v>43616</v>
      </c>
      <c r="DS3" s="33">
        <v>43619</v>
      </c>
      <c r="DT3" s="33">
        <v>43623</v>
      </c>
      <c r="DU3" s="33">
        <v>43627</v>
      </c>
      <c r="DV3" s="33">
        <v>43633</v>
      </c>
      <c r="DW3" s="33">
        <v>43637</v>
      </c>
      <c r="DX3" s="33">
        <v>43640</v>
      </c>
      <c r="DY3" s="33">
        <v>43656</v>
      </c>
      <c r="DZ3" s="33">
        <v>43661</v>
      </c>
      <c r="EA3" s="33">
        <v>43667</v>
      </c>
      <c r="EB3" s="33">
        <v>43671</v>
      </c>
      <c r="EC3" s="33">
        <v>43674</v>
      </c>
      <c r="ED3" s="33">
        <v>43678</v>
      </c>
      <c r="EE3" s="33">
        <v>43681</v>
      </c>
      <c r="EF3" s="33">
        <v>43685</v>
      </c>
      <c r="EG3" s="33">
        <v>43690</v>
      </c>
      <c r="EH3" s="33">
        <v>43694</v>
      </c>
      <c r="EI3" s="33">
        <v>43697</v>
      </c>
      <c r="EJ3" s="33">
        <v>43700</v>
      </c>
      <c r="EK3" s="33">
        <v>43704</v>
      </c>
      <c r="EL3" s="33">
        <v>43710</v>
      </c>
      <c r="EM3" s="33">
        <v>43712</v>
      </c>
      <c r="EN3" s="33">
        <v>43715</v>
      </c>
      <c r="EO3" s="33">
        <v>43719</v>
      </c>
      <c r="EP3" s="33">
        <v>43724</v>
      </c>
      <c r="EQ3" s="33">
        <v>43727</v>
      </c>
      <c r="ER3" s="33">
        <v>43732</v>
      </c>
      <c r="ES3" s="33">
        <v>43734</v>
      </c>
      <c r="ET3" s="33">
        <v>43738</v>
      </c>
      <c r="EU3" s="33">
        <v>43752</v>
      </c>
    </row>
    <row r="8" spans="1:155">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row>
    <row r="10" spans="1:155" ht="16.5" thickBot="1">
      <c r="D10" s="415"/>
    </row>
    <row r="11" spans="1:155" ht="24" thickBot="1">
      <c r="A11" s="33"/>
      <c r="J11" s="414" t="s">
        <v>240</v>
      </c>
      <c r="K11" s="434" t="s">
        <v>241</v>
      </c>
      <c r="L11" s="435"/>
    </row>
    <row r="12" spans="1:155" ht="16.5" thickBot="1">
      <c r="A12" s="33"/>
      <c r="J12" s="413" t="s">
        <v>222</v>
      </c>
      <c r="K12" s="411" t="s">
        <v>71</v>
      </c>
      <c r="L12" s="410" t="s">
        <v>72</v>
      </c>
    </row>
    <row r="13" spans="1:155" ht="16.5" thickBot="1">
      <c r="A13" s="33"/>
      <c r="J13" s="416"/>
      <c r="K13" s="412"/>
      <c r="L13" s="409"/>
    </row>
    <row r="14" spans="1:155">
      <c r="A14" s="33"/>
    </row>
    <row r="15" spans="1:155">
      <c r="A15" s="33"/>
    </row>
    <row r="16" spans="1:155">
      <c r="A16" s="33"/>
    </row>
    <row r="17" spans="1:22">
      <c r="A17" s="33"/>
    </row>
    <row r="18" spans="1:22">
      <c r="A18" s="33"/>
    </row>
    <row r="19" spans="1:22">
      <c r="A19" s="33"/>
    </row>
    <row r="20" spans="1:22">
      <c r="A20" s="33"/>
    </row>
    <row r="21" spans="1:22">
      <c r="A21" s="33"/>
      <c r="B21" s="408"/>
      <c r="R21" s="33"/>
      <c r="S21" s="408"/>
      <c r="U21" s="33"/>
      <c r="V21" s="408"/>
    </row>
    <row r="22" spans="1:22">
      <c r="A22" s="33"/>
      <c r="B22" s="408"/>
      <c r="R22" s="33"/>
      <c r="S22" s="408"/>
      <c r="U22" s="33"/>
      <c r="V22" s="408"/>
    </row>
    <row r="23" spans="1:22">
      <c r="A23" s="33"/>
      <c r="B23" s="408"/>
      <c r="R23" s="33"/>
      <c r="S23" s="408"/>
      <c r="U23" s="33"/>
      <c r="V23" s="408"/>
    </row>
    <row r="24" spans="1:22">
      <c r="A24" s="33"/>
      <c r="B24" s="408"/>
      <c r="R24" s="33"/>
      <c r="S24" s="408"/>
      <c r="U24" s="33"/>
      <c r="V24" s="408"/>
    </row>
    <row r="25" spans="1:22">
      <c r="A25" s="33"/>
      <c r="B25" s="408"/>
      <c r="R25" s="33"/>
      <c r="S25" s="408"/>
      <c r="U25" s="33"/>
      <c r="V25" s="408"/>
    </row>
    <row r="26" spans="1:22">
      <c r="A26" s="33"/>
      <c r="B26" s="408"/>
      <c r="R26" s="33"/>
      <c r="S26" s="408"/>
      <c r="U26" s="33"/>
      <c r="V26" s="408"/>
    </row>
    <row r="27" spans="1:22">
      <c r="A27" s="33"/>
      <c r="B27" s="408"/>
      <c r="R27" s="33"/>
      <c r="S27" s="408"/>
      <c r="U27" s="33"/>
      <c r="V27" s="408"/>
    </row>
    <row r="28" spans="1:22">
      <c r="A28" s="33"/>
      <c r="B28" s="408"/>
      <c r="R28" s="33"/>
      <c r="S28" s="408"/>
      <c r="U28" s="33"/>
      <c r="V28" s="408"/>
    </row>
    <row r="29" spans="1:22">
      <c r="A29" s="33"/>
      <c r="B29" s="408"/>
      <c r="R29" s="33"/>
      <c r="S29" s="408"/>
      <c r="U29" s="33"/>
      <c r="V29" s="408"/>
    </row>
    <row r="30" spans="1:22">
      <c r="A30" s="33"/>
      <c r="B30" s="408"/>
      <c r="R30" s="33"/>
      <c r="S30" s="408"/>
      <c r="U30" s="33"/>
      <c r="V30" s="408"/>
    </row>
    <row r="31" spans="1:22">
      <c r="A31" s="33"/>
      <c r="B31" s="408"/>
      <c r="R31" s="33"/>
      <c r="S31" s="408"/>
      <c r="U31" s="33"/>
      <c r="V31" s="408"/>
    </row>
    <row r="32" spans="1:22">
      <c r="A32" s="33"/>
      <c r="B32" s="408"/>
      <c r="R32" s="33"/>
      <c r="S32" s="408"/>
      <c r="U32" s="33"/>
      <c r="V32" s="408"/>
    </row>
    <row r="33" spans="1:22">
      <c r="A33" s="33"/>
      <c r="B33" s="408"/>
      <c r="R33" s="33"/>
      <c r="S33" s="408"/>
      <c r="U33" s="33"/>
      <c r="V33" s="408"/>
    </row>
    <row r="34" spans="1:22">
      <c r="A34" s="33"/>
      <c r="B34" s="408"/>
      <c r="R34" s="33"/>
      <c r="S34" s="408"/>
      <c r="U34" s="33"/>
      <c r="V34" s="408"/>
    </row>
    <row r="35" spans="1:22">
      <c r="A35" s="33"/>
      <c r="B35" s="408"/>
      <c r="R35" s="33"/>
      <c r="S35" s="408"/>
      <c r="U35" s="33"/>
      <c r="V35" s="408"/>
    </row>
    <row r="36" spans="1:22">
      <c r="A36" s="33"/>
      <c r="B36" s="408"/>
      <c r="R36" s="33"/>
      <c r="S36" s="408"/>
      <c r="U36" s="33"/>
      <c r="V36" s="408"/>
    </row>
    <row r="37" spans="1:22">
      <c r="A37" s="33"/>
      <c r="B37" s="408"/>
      <c r="R37" s="33"/>
      <c r="S37" s="408"/>
      <c r="U37" s="33"/>
      <c r="V37" s="408"/>
    </row>
    <row r="38" spans="1:22">
      <c r="A38" s="33"/>
      <c r="B38" s="408"/>
      <c r="R38" s="33"/>
      <c r="S38" s="408"/>
      <c r="U38" s="33"/>
      <c r="V38" s="408"/>
    </row>
    <row r="39" spans="1:22">
      <c r="A39" s="33"/>
      <c r="B39" s="408"/>
      <c r="R39" s="33"/>
      <c r="S39" s="408"/>
      <c r="U39" s="33"/>
      <c r="V39" s="408"/>
    </row>
    <row r="40" spans="1:22">
      <c r="A40" s="33"/>
      <c r="B40" s="408"/>
      <c r="R40" s="33"/>
      <c r="S40" s="408"/>
      <c r="U40" s="33"/>
      <c r="V40" s="408"/>
    </row>
    <row r="41" spans="1:22">
      <c r="A41" s="33"/>
      <c r="B41" s="408"/>
      <c r="R41" s="33"/>
      <c r="S41" s="408"/>
      <c r="U41" s="33"/>
      <c r="V41" s="408"/>
    </row>
    <row r="42" spans="1:22">
      <c r="A42" s="33"/>
      <c r="B42" s="408"/>
      <c r="R42" s="33"/>
      <c r="S42" s="408"/>
      <c r="U42" s="33"/>
      <c r="V42" s="408"/>
    </row>
    <row r="43" spans="1:22">
      <c r="A43" s="33"/>
      <c r="B43" s="408"/>
      <c r="R43" s="33"/>
      <c r="S43" s="408"/>
      <c r="U43" s="33"/>
      <c r="V43" s="408"/>
    </row>
    <row r="44" spans="1:22">
      <c r="A44" s="33"/>
      <c r="B44" s="408"/>
      <c r="R44" s="33"/>
      <c r="S44" s="408"/>
      <c r="U44" s="33"/>
      <c r="V44" s="408"/>
    </row>
    <row r="45" spans="1:22">
      <c r="A45" s="33"/>
      <c r="B45" s="408"/>
      <c r="R45" s="33"/>
      <c r="S45" s="408"/>
      <c r="U45" s="33"/>
      <c r="V45" s="408"/>
    </row>
    <row r="46" spans="1:22">
      <c r="A46" s="33"/>
      <c r="B46" s="408"/>
      <c r="R46" s="33"/>
      <c r="S46" s="408"/>
      <c r="U46" s="33"/>
      <c r="V46" s="408"/>
    </row>
    <row r="47" spans="1:22">
      <c r="A47" s="33"/>
      <c r="B47" s="408"/>
      <c r="R47" s="33"/>
      <c r="S47" s="408"/>
      <c r="U47" s="33"/>
      <c r="V47" s="408"/>
    </row>
    <row r="48" spans="1:22">
      <c r="A48" s="33"/>
      <c r="B48" s="408"/>
      <c r="R48" s="33"/>
      <c r="S48" s="408"/>
      <c r="U48" s="33"/>
      <c r="V48" s="408"/>
    </row>
    <row r="49" spans="1:22">
      <c r="A49" s="33"/>
      <c r="B49" s="408"/>
      <c r="R49" s="33"/>
      <c r="S49" s="408"/>
      <c r="U49" s="33"/>
      <c r="V49" s="408"/>
    </row>
    <row r="50" spans="1:22">
      <c r="A50" s="33"/>
      <c r="B50" s="408"/>
      <c r="R50" s="33"/>
      <c r="S50" s="408"/>
      <c r="U50" s="33"/>
      <c r="V50" s="408"/>
    </row>
    <row r="51" spans="1:22">
      <c r="A51" s="33"/>
      <c r="B51" s="408"/>
      <c r="R51" s="33"/>
      <c r="S51" s="408"/>
      <c r="U51" s="33"/>
      <c r="V51" s="408"/>
    </row>
    <row r="52" spans="1:22">
      <c r="A52" s="33"/>
      <c r="B52" s="408"/>
      <c r="R52" s="33"/>
      <c r="S52" s="408"/>
      <c r="U52" s="33"/>
      <c r="V52" s="408"/>
    </row>
    <row r="53" spans="1:22">
      <c r="A53" s="33"/>
      <c r="B53" s="408"/>
      <c r="R53" s="33"/>
      <c r="S53" s="408"/>
      <c r="U53" s="33"/>
      <c r="V53" s="408"/>
    </row>
    <row r="54" spans="1:22">
      <c r="A54" s="33"/>
      <c r="B54" s="408"/>
      <c r="R54" s="33"/>
      <c r="S54" s="408"/>
      <c r="U54" s="33"/>
      <c r="V54" s="408"/>
    </row>
    <row r="55" spans="1:22">
      <c r="A55" s="33"/>
      <c r="B55" s="408"/>
      <c r="R55" s="33"/>
      <c r="S55" s="408"/>
      <c r="U55" s="33"/>
      <c r="V55" s="408"/>
    </row>
    <row r="56" spans="1:22">
      <c r="A56" s="33"/>
      <c r="B56" s="408"/>
      <c r="R56" s="33"/>
      <c r="S56" s="408"/>
      <c r="U56" s="33"/>
      <c r="V56" s="408"/>
    </row>
    <row r="57" spans="1:22">
      <c r="A57" s="33"/>
      <c r="B57" s="408"/>
      <c r="R57" s="33"/>
      <c r="S57" s="408"/>
      <c r="U57" s="33"/>
      <c r="V57" s="408"/>
    </row>
    <row r="58" spans="1:22">
      <c r="A58" s="33"/>
      <c r="B58" s="408"/>
      <c r="R58" s="33"/>
      <c r="S58" s="408"/>
      <c r="U58" s="33"/>
      <c r="V58" s="408"/>
    </row>
    <row r="59" spans="1:22">
      <c r="A59" s="33"/>
      <c r="B59" s="408"/>
      <c r="R59" s="33"/>
      <c r="S59" s="408"/>
      <c r="U59" s="33"/>
      <c r="V59" s="408"/>
    </row>
    <row r="60" spans="1:22">
      <c r="A60" s="33"/>
      <c r="B60" s="408"/>
      <c r="R60" s="33"/>
      <c r="S60" s="408"/>
      <c r="U60" s="33"/>
      <c r="V60" s="408"/>
    </row>
    <row r="61" spans="1:22">
      <c r="A61" s="33"/>
      <c r="B61" s="408"/>
      <c r="R61" s="33"/>
      <c r="S61" s="408"/>
      <c r="U61" s="33"/>
      <c r="V61" s="408"/>
    </row>
    <row r="62" spans="1:22">
      <c r="A62" s="33"/>
      <c r="B62" s="408"/>
      <c r="R62" s="33"/>
      <c r="S62" s="408"/>
      <c r="U62" s="33"/>
      <c r="V62" s="408"/>
    </row>
    <row r="63" spans="1:22">
      <c r="A63" s="33"/>
      <c r="B63" s="408"/>
      <c r="R63" s="33"/>
      <c r="S63" s="408"/>
      <c r="U63" s="33"/>
      <c r="V63" s="408"/>
    </row>
    <row r="64" spans="1:22">
      <c r="A64" s="33"/>
      <c r="B64" s="408"/>
      <c r="R64" s="33"/>
      <c r="S64" s="408"/>
      <c r="U64" s="33"/>
      <c r="V64" s="408"/>
    </row>
    <row r="65" spans="1:22">
      <c r="A65" s="33"/>
      <c r="B65" s="408"/>
      <c r="R65" s="33"/>
      <c r="S65" s="408"/>
      <c r="U65" s="33"/>
      <c r="V65" s="408"/>
    </row>
    <row r="66" spans="1:22">
      <c r="A66" s="33"/>
      <c r="B66" s="408"/>
      <c r="R66" s="33"/>
      <c r="S66" s="408"/>
      <c r="U66" s="33"/>
      <c r="V66" s="408"/>
    </row>
    <row r="67" spans="1:22">
      <c r="A67" s="33"/>
      <c r="B67" s="408"/>
      <c r="R67" s="33"/>
      <c r="S67" s="408"/>
      <c r="U67" s="33"/>
      <c r="V67" s="408"/>
    </row>
    <row r="68" spans="1:22">
      <c r="A68" s="33"/>
      <c r="B68" s="408"/>
      <c r="R68" s="33"/>
      <c r="S68" s="408"/>
      <c r="U68" s="33"/>
      <c r="V68" s="408"/>
    </row>
    <row r="69" spans="1:22">
      <c r="A69" s="33"/>
      <c r="B69" s="408"/>
      <c r="R69" s="33"/>
      <c r="S69" s="408"/>
      <c r="U69" s="33"/>
      <c r="V69" s="408"/>
    </row>
    <row r="70" spans="1:22">
      <c r="A70" s="33"/>
      <c r="B70" s="408"/>
      <c r="R70" s="33"/>
      <c r="S70" s="408"/>
      <c r="U70" s="33"/>
      <c r="V70" s="408"/>
    </row>
    <row r="71" spans="1:22">
      <c r="A71" s="33"/>
      <c r="B71" s="408"/>
      <c r="R71" s="33"/>
      <c r="S71" s="408"/>
      <c r="U71" s="33"/>
      <c r="V71" s="408"/>
    </row>
    <row r="72" spans="1:22">
      <c r="A72" s="33"/>
      <c r="B72" s="408"/>
      <c r="R72" s="33"/>
      <c r="S72" s="408"/>
      <c r="U72" s="33"/>
      <c r="V72" s="408"/>
    </row>
    <row r="73" spans="1:22">
      <c r="A73" s="33"/>
      <c r="B73" s="408"/>
      <c r="R73" s="33"/>
      <c r="S73" s="408"/>
      <c r="U73" s="33"/>
      <c r="V73" s="408"/>
    </row>
    <row r="74" spans="1:22">
      <c r="A74" s="33"/>
      <c r="B74" s="408"/>
      <c r="R74" s="33"/>
      <c r="S74" s="408"/>
      <c r="U74" s="33"/>
      <c r="V74" s="408"/>
    </row>
    <row r="75" spans="1:22">
      <c r="A75" s="33"/>
      <c r="B75" s="408"/>
      <c r="R75" s="33"/>
      <c r="S75" s="408"/>
      <c r="U75" s="33"/>
      <c r="V75" s="408"/>
    </row>
    <row r="76" spans="1:22">
      <c r="A76" s="33"/>
      <c r="B76" s="408"/>
      <c r="R76" s="33"/>
      <c r="S76" s="408"/>
      <c r="U76" s="33"/>
      <c r="V76" s="408"/>
    </row>
    <row r="77" spans="1:22">
      <c r="A77" s="33"/>
      <c r="B77" s="408"/>
      <c r="R77" s="33"/>
      <c r="S77" s="408"/>
      <c r="U77" s="33"/>
      <c r="V77" s="408"/>
    </row>
    <row r="78" spans="1:22">
      <c r="A78" s="33"/>
      <c r="B78" s="408"/>
      <c r="R78" s="33"/>
      <c r="S78" s="408"/>
      <c r="U78" s="33"/>
      <c r="V78" s="408"/>
    </row>
    <row r="79" spans="1:22">
      <c r="A79" s="33"/>
      <c r="B79" s="408"/>
      <c r="R79" s="33"/>
      <c r="S79" s="408"/>
      <c r="U79" s="33"/>
      <c r="V79" s="408"/>
    </row>
    <row r="80" spans="1:22">
      <c r="A80" s="33"/>
      <c r="B80" s="408"/>
      <c r="R80" s="33"/>
      <c r="S80" s="408"/>
      <c r="U80" s="33"/>
      <c r="V80" s="408"/>
    </row>
    <row r="81" spans="1:22">
      <c r="A81" s="33"/>
      <c r="B81" s="408"/>
      <c r="R81" s="33"/>
      <c r="S81" s="408"/>
      <c r="U81" s="33"/>
      <c r="V81" s="408"/>
    </row>
    <row r="82" spans="1:22">
      <c r="A82" s="33"/>
      <c r="B82" s="408"/>
      <c r="R82" s="33"/>
      <c r="S82" s="408"/>
      <c r="U82" s="33"/>
      <c r="V82" s="408"/>
    </row>
    <row r="83" spans="1:22">
      <c r="A83" s="33"/>
      <c r="B83" s="408"/>
      <c r="R83" s="33"/>
      <c r="S83" s="408"/>
      <c r="U83" s="33"/>
      <c r="V83" s="408"/>
    </row>
    <row r="84" spans="1:22">
      <c r="A84" s="33"/>
      <c r="B84" s="408"/>
      <c r="R84" s="33"/>
      <c r="S84" s="408"/>
      <c r="U84" s="33"/>
      <c r="V84" s="408"/>
    </row>
    <row r="85" spans="1:22">
      <c r="A85" s="33"/>
      <c r="B85" s="408"/>
      <c r="R85" s="33"/>
      <c r="S85" s="408"/>
      <c r="U85" s="33"/>
      <c r="V85" s="408"/>
    </row>
    <row r="86" spans="1:22">
      <c r="A86" s="33"/>
      <c r="B86" s="408"/>
      <c r="R86" s="33"/>
      <c r="S86" s="408"/>
      <c r="U86" s="33"/>
      <c r="V86" s="408"/>
    </row>
    <row r="87" spans="1:22">
      <c r="A87" s="33"/>
      <c r="B87" s="408"/>
      <c r="R87" s="33"/>
      <c r="S87" s="408"/>
      <c r="U87" s="33"/>
      <c r="V87" s="408"/>
    </row>
    <row r="88" spans="1:22">
      <c r="A88" s="33"/>
      <c r="B88" s="408"/>
      <c r="R88" s="33"/>
      <c r="S88" s="408"/>
      <c r="U88" s="33"/>
      <c r="V88" s="408"/>
    </row>
    <row r="89" spans="1:22">
      <c r="A89" s="33"/>
      <c r="B89" s="408"/>
      <c r="R89" s="33"/>
      <c r="S89" s="408"/>
      <c r="U89" s="33"/>
      <c r="V89" s="408"/>
    </row>
    <row r="90" spans="1:22">
      <c r="A90" s="33"/>
      <c r="B90" s="408"/>
      <c r="R90" s="33"/>
      <c r="S90" s="408"/>
      <c r="U90" s="33"/>
      <c r="V90" s="408"/>
    </row>
    <row r="91" spans="1:22">
      <c r="A91" s="33"/>
      <c r="B91" s="408"/>
      <c r="R91" s="33"/>
      <c r="S91" s="408"/>
      <c r="U91" s="33"/>
      <c r="V91" s="408"/>
    </row>
    <row r="92" spans="1:22">
      <c r="A92" s="33"/>
      <c r="B92" s="408"/>
      <c r="R92" s="33"/>
      <c r="S92" s="408"/>
      <c r="U92" s="33"/>
      <c r="V92" s="408"/>
    </row>
    <row r="93" spans="1:22">
      <c r="A93" s="33"/>
      <c r="B93" s="408"/>
      <c r="R93" s="33"/>
      <c r="S93" s="408"/>
      <c r="U93" s="33"/>
      <c r="V93" s="408"/>
    </row>
    <row r="94" spans="1:22">
      <c r="A94" s="33"/>
      <c r="B94" s="408"/>
      <c r="R94" s="33"/>
      <c r="S94" s="408"/>
      <c r="U94" s="33"/>
      <c r="V94" s="408"/>
    </row>
    <row r="95" spans="1:22">
      <c r="A95" s="33"/>
      <c r="B95" s="408"/>
      <c r="R95" s="33"/>
      <c r="S95" s="408"/>
      <c r="U95" s="33"/>
      <c r="V95" s="408"/>
    </row>
    <row r="96" spans="1:22">
      <c r="A96" s="33"/>
      <c r="B96" s="408"/>
      <c r="R96" s="33"/>
      <c r="S96" s="408"/>
      <c r="U96" s="33"/>
      <c r="V96" s="408"/>
    </row>
    <row r="97" spans="1:22">
      <c r="A97" s="33"/>
      <c r="B97" s="408"/>
      <c r="R97" s="33"/>
      <c r="S97" s="408"/>
      <c r="U97" s="33"/>
      <c r="V97" s="408"/>
    </row>
    <row r="98" spans="1:22">
      <c r="A98" s="33"/>
      <c r="B98" s="408"/>
      <c r="R98" s="33"/>
      <c r="S98" s="408"/>
      <c r="U98" s="33"/>
      <c r="V98" s="408"/>
    </row>
    <row r="99" spans="1:22">
      <c r="A99" s="33"/>
      <c r="B99" s="408"/>
      <c r="R99" s="33"/>
      <c r="S99" s="408"/>
      <c r="U99" s="33"/>
      <c r="V99" s="408"/>
    </row>
    <row r="100" spans="1:22">
      <c r="A100" s="33"/>
      <c r="B100" s="408"/>
      <c r="R100" s="33"/>
      <c r="S100" s="408"/>
      <c r="U100" s="33"/>
      <c r="V100" s="408"/>
    </row>
    <row r="101" spans="1:22">
      <c r="A101" s="33"/>
      <c r="B101" s="408"/>
      <c r="R101" s="33"/>
      <c r="S101" s="408"/>
      <c r="U101" s="33"/>
      <c r="V101" s="408"/>
    </row>
    <row r="102" spans="1:22">
      <c r="A102" s="33"/>
      <c r="B102" s="408"/>
      <c r="R102" s="33"/>
      <c r="S102" s="408"/>
      <c r="U102" s="33"/>
      <c r="V102" s="408"/>
    </row>
    <row r="103" spans="1:22">
      <c r="A103" s="33"/>
      <c r="B103" s="408"/>
      <c r="R103" s="33"/>
      <c r="S103" s="408"/>
      <c r="U103" s="33"/>
      <c r="V103" s="408"/>
    </row>
    <row r="104" spans="1:22">
      <c r="A104" s="33"/>
      <c r="B104" s="408"/>
      <c r="R104" s="33"/>
      <c r="S104" s="408"/>
      <c r="U104" s="33"/>
      <c r="V104" s="408"/>
    </row>
    <row r="105" spans="1:22">
      <c r="A105" s="33"/>
      <c r="B105" s="408"/>
      <c r="R105" s="33"/>
      <c r="S105" s="408"/>
      <c r="U105" s="33"/>
      <c r="V105" s="408"/>
    </row>
    <row r="106" spans="1:22">
      <c r="A106" s="33"/>
      <c r="B106" s="408"/>
      <c r="R106" s="33"/>
      <c r="S106" s="408"/>
      <c r="U106" s="33"/>
      <c r="V106" s="408"/>
    </row>
    <row r="107" spans="1:22">
      <c r="A107" s="33"/>
      <c r="B107" s="408"/>
      <c r="R107" s="33"/>
      <c r="S107" s="408"/>
      <c r="U107" s="33"/>
      <c r="V107" s="408"/>
    </row>
    <row r="108" spans="1:22">
      <c r="A108" s="33"/>
      <c r="B108" s="408"/>
      <c r="R108" s="33"/>
      <c r="S108" s="408"/>
      <c r="U108" s="33"/>
      <c r="V108" s="408"/>
    </row>
    <row r="109" spans="1:22">
      <c r="A109" s="33"/>
      <c r="B109" s="408"/>
      <c r="R109" s="33"/>
      <c r="S109" s="408"/>
      <c r="U109" s="33"/>
      <c r="V109" s="408"/>
    </row>
    <row r="110" spans="1:22">
      <c r="A110" s="33"/>
      <c r="B110" s="408"/>
      <c r="R110" s="33"/>
      <c r="S110" s="408"/>
      <c r="U110" s="33"/>
      <c r="V110" s="408"/>
    </row>
    <row r="111" spans="1:22">
      <c r="A111" s="33"/>
      <c r="B111" s="408"/>
      <c r="R111" s="33"/>
      <c r="S111" s="408"/>
      <c r="U111" s="33"/>
      <c r="V111" s="408"/>
    </row>
    <row r="112" spans="1:22">
      <c r="A112" s="33"/>
      <c r="B112" s="408"/>
      <c r="R112" s="33"/>
      <c r="S112" s="408"/>
      <c r="U112" s="33"/>
      <c r="V112" s="408"/>
    </row>
    <row r="113" spans="1:22">
      <c r="A113" s="33"/>
      <c r="B113" s="408"/>
      <c r="R113" s="33"/>
      <c r="S113" s="408"/>
      <c r="U113" s="33"/>
      <c r="V113" s="408"/>
    </row>
    <row r="114" spans="1:22">
      <c r="A114" s="33"/>
      <c r="B114" s="408"/>
      <c r="R114" s="33"/>
      <c r="S114" s="408"/>
      <c r="U114" s="33"/>
      <c r="V114" s="408"/>
    </row>
    <row r="115" spans="1:22">
      <c r="A115" s="33"/>
      <c r="B115" s="408"/>
      <c r="R115" s="33"/>
      <c r="S115" s="408"/>
      <c r="U115" s="33"/>
      <c r="V115" s="408"/>
    </row>
    <row r="116" spans="1:22">
      <c r="A116" s="33"/>
      <c r="B116" s="408"/>
      <c r="R116" s="33"/>
      <c r="S116" s="408"/>
      <c r="U116" s="33"/>
      <c r="V116" s="408"/>
    </row>
    <row r="117" spans="1:22">
      <c r="A117" s="33"/>
      <c r="B117" s="408"/>
      <c r="R117" s="33"/>
      <c r="S117" s="408"/>
      <c r="U117" s="33"/>
      <c r="V117" s="408"/>
    </row>
    <row r="118" spans="1:22">
      <c r="A118" s="33"/>
      <c r="B118" s="408"/>
      <c r="R118" s="33"/>
      <c r="S118" s="408"/>
      <c r="U118" s="33"/>
      <c r="V118" s="408"/>
    </row>
    <row r="119" spans="1:22">
      <c r="A119" s="33"/>
      <c r="B119" s="408"/>
      <c r="R119" s="33"/>
      <c r="S119" s="408"/>
      <c r="U119" s="33"/>
      <c r="V119" s="408"/>
    </row>
    <row r="120" spans="1:22">
      <c r="A120" s="33"/>
      <c r="B120" s="408"/>
      <c r="R120" s="33"/>
      <c r="S120" s="408"/>
      <c r="U120" s="33"/>
      <c r="V120" s="408"/>
    </row>
    <row r="121" spans="1:22">
      <c r="A121" s="33"/>
      <c r="B121" s="408"/>
      <c r="R121" s="33"/>
      <c r="S121" s="408"/>
      <c r="U121" s="33"/>
      <c r="V121" s="408"/>
    </row>
    <row r="122" spans="1:22">
      <c r="A122" s="33"/>
      <c r="B122" s="408"/>
      <c r="R122" s="33"/>
      <c r="S122" s="408"/>
      <c r="U122" s="33"/>
      <c r="V122" s="408"/>
    </row>
    <row r="123" spans="1:22">
      <c r="A123" s="33"/>
      <c r="B123" s="408"/>
      <c r="R123" s="33"/>
      <c r="S123" s="408"/>
      <c r="U123" s="33"/>
      <c r="V123" s="408"/>
    </row>
    <row r="124" spans="1:22">
      <c r="A124" s="33"/>
      <c r="B124" s="408"/>
      <c r="R124" s="33"/>
      <c r="S124" s="408"/>
      <c r="U124" s="33"/>
      <c r="V124" s="408"/>
    </row>
    <row r="125" spans="1:22">
      <c r="A125" s="33"/>
      <c r="B125" s="408"/>
      <c r="R125" s="33"/>
      <c r="S125" s="408"/>
      <c r="U125" s="33"/>
      <c r="V125" s="408"/>
    </row>
    <row r="126" spans="1:22">
      <c r="A126" s="33"/>
      <c r="B126" s="408"/>
      <c r="R126" s="33"/>
      <c r="S126" s="408"/>
      <c r="U126" s="33"/>
      <c r="V126" s="408"/>
    </row>
    <row r="127" spans="1:22">
      <c r="A127" s="33"/>
      <c r="B127" s="408"/>
      <c r="R127" s="33"/>
      <c r="S127" s="408"/>
      <c r="U127" s="33"/>
      <c r="V127" s="408"/>
    </row>
    <row r="128" spans="1:22">
      <c r="A128" s="33"/>
      <c r="B128" s="408"/>
      <c r="R128" s="33"/>
      <c r="S128" s="408"/>
      <c r="U128" s="33"/>
      <c r="V128" s="408"/>
    </row>
    <row r="129" spans="1:22">
      <c r="A129" s="33"/>
      <c r="B129" s="408"/>
      <c r="R129" s="33"/>
      <c r="S129" s="408"/>
      <c r="U129" s="33"/>
      <c r="V129" s="408"/>
    </row>
    <row r="130" spans="1:22">
      <c r="A130" s="33"/>
      <c r="B130" s="408"/>
      <c r="R130" s="33"/>
      <c r="S130" s="408"/>
      <c r="U130" s="33"/>
      <c r="V130" s="408"/>
    </row>
    <row r="131" spans="1:22">
      <c r="A131" s="33"/>
      <c r="B131" s="408"/>
      <c r="R131" s="33"/>
      <c r="S131" s="408"/>
      <c r="U131" s="33"/>
      <c r="V131" s="408"/>
    </row>
    <row r="132" spans="1:22">
      <c r="A132" s="33"/>
      <c r="B132" s="408"/>
      <c r="R132" s="33"/>
      <c r="S132" s="408"/>
      <c r="U132" s="33"/>
      <c r="V132" s="408"/>
    </row>
    <row r="133" spans="1:22">
      <c r="A133" s="33"/>
      <c r="B133" s="408"/>
      <c r="R133" s="33"/>
      <c r="S133" s="408"/>
      <c r="U133" s="33"/>
      <c r="V133" s="408"/>
    </row>
    <row r="134" spans="1:22">
      <c r="A134" s="33"/>
      <c r="B134" s="408"/>
      <c r="R134" s="33"/>
      <c r="S134" s="408"/>
      <c r="U134" s="33"/>
      <c r="V134" s="408"/>
    </row>
    <row r="135" spans="1:22">
      <c r="A135" s="33"/>
      <c r="B135" s="408"/>
      <c r="R135" s="33"/>
      <c r="S135" s="408"/>
      <c r="U135" s="33"/>
      <c r="V135" s="408"/>
    </row>
    <row r="136" spans="1:22">
      <c r="A136" s="33"/>
      <c r="B136" s="408"/>
      <c r="R136" s="33"/>
      <c r="S136" s="408"/>
      <c r="U136" s="33"/>
      <c r="V136" s="408"/>
    </row>
    <row r="137" spans="1:22">
      <c r="A137" s="33"/>
      <c r="B137" s="408"/>
      <c r="R137" s="33"/>
      <c r="S137" s="408"/>
      <c r="U137" s="33"/>
      <c r="V137" s="408"/>
    </row>
    <row r="138" spans="1:22">
      <c r="A138" s="33"/>
      <c r="B138" s="408"/>
      <c r="R138" s="33"/>
      <c r="S138" s="408"/>
      <c r="U138" s="33"/>
      <c r="V138" s="408"/>
    </row>
    <row r="139" spans="1:22">
      <c r="A139" s="33"/>
      <c r="B139" s="408"/>
      <c r="R139" s="33"/>
      <c r="S139" s="408"/>
      <c r="U139" s="33"/>
      <c r="V139" s="408"/>
    </row>
    <row r="140" spans="1:22">
      <c r="A140" s="33"/>
      <c r="B140" s="408"/>
      <c r="R140" s="33"/>
      <c r="S140" s="408"/>
      <c r="U140" s="33"/>
      <c r="V140" s="408"/>
    </row>
    <row r="141" spans="1:22">
      <c r="A141" s="33"/>
      <c r="B141" s="408"/>
      <c r="R141" s="33"/>
      <c r="S141" s="408"/>
      <c r="U141" s="33"/>
      <c r="V141" s="408"/>
    </row>
    <row r="142" spans="1:22">
      <c r="A142" s="33"/>
      <c r="B142" s="408"/>
      <c r="R142" s="33"/>
      <c r="S142" s="408"/>
      <c r="U142" s="33"/>
      <c r="V142" s="408"/>
    </row>
    <row r="143" spans="1:22">
      <c r="A143" s="33"/>
      <c r="B143" s="408"/>
      <c r="R143" s="33"/>
      <c r="S143" s="408"/>
      <c r="U143" s="33"/>
      <c r="V143" s="408"/>
    </row>
    <row r="144" spans="1:22">
      <c r="A144" s="33"/>
      <c r="B144" s="408"/>
      <c r="R144" s="33"/>
      <c r="S144" s="408"/>
      <c r="U144" s="33"/>
      <c r="V144" s="408"/>
    </row>
    <row r="145" spans="1:22">
      <c r="A145" s="33"/>
      <c r="B145" s="408"/>
      <c r="R145" s="33"/>
      <c r="S145" s="408"/>
      <c r="U145" s="33"/>
      <c r="V145" s="408"/>
    </row>
    <row r="146" spans="1:22">
      <c r="A146" s="33"/>
      <c r="B146" s="408"/>
      <c r="R146" s="33"/>
      <c r="S146" s="408"/>
      <c r="U146" s="33"/>
      <c r="V146" s="408"/>
    </row>
    <row r="147" spans="1:22">
      <c r="A147" s="33"/>
      <c r="B147" s="408"/>
      <c r="R147" s="33"/>
      <c r="S147" s="408"/>
      <c r="U147" s="33"/>
      <c r="V147" s="408"/>
    </row>
    <row r="148" spans="1:22">
      <c r="A148" s="33"/>
      <c r="B148" s="408"/>
      <c r="R148" s="33"/>
      <c r="S148" s="408"/>
      <c r="U148" s="33"/>
      <c r="V148" s="408"/>
    </row>
    <row r="149" spans="1:22">
      <c r="A149" s="33"/>
      <c r="B149" s="408"/>
      <c r="R149" s="33"/>
      <c r="S149" s="408"/>
      <c r="U149" s="33"/>
      <c r="V149" s="408"/>
    </row>
    <row r="150" spans="1:22">
      <c r="A150" s="33"/>
      <c r="B150" s="408"/>
      <c r="R150" s="33"/>
      <c r="S150" s="408"/>
      <c r="U150" s="33"/>
      <c r="V150" s="408"/>
    </row>
    <row r="151" spans="1:22">
      <c r="A151" s="33"/>
      <c r="B151" s="408"/>
      <c r="R151" s="33"/>
      <c r="S151" s="408"/>
      <c r="U151" s="33"/>
      <c r="V151" s="408"/>
    </row>
    <row r="152" spans="1:22">
      <c r="A152" s="33"/>
      <c r="R152" s="33"/>
      <c r="S152" s="408"/>
      <c r="U152" s="33"/>
      <c r="V152" s="408"/>
    </row>
    <row r="153" spans="1:22">
      <c r="R153" s="33"/>
      <c r="S153" s="408"/>
      <c r="U153" s="33"/>
      <c r="V153" s="408"/>
    </row>
    <row r="154" spans="1:22">
      <c r="R154" s="33"/>
      <c r="S154" s="408"/>
      <c r="U154" s="33"/>
      <c r="V154" s="408"/>
    </row>
    <row r="155" spans="1:22">
      <c r="A155" s="33"/>
      <c r="R155" s="33"/>
      <c r="S155" s="408"/>
      <c r="U155" s="33"/>
      <c r="V155" s="408"/>
    </row>
    <row r="158" spans="1:22">
      <c r="A158" s="33"/>
    </row>
    <row r="161" spans="1:1">
      <c r="A161" s="33"/>
    </row>
    <row r="164" spans="1:1">
      <c r="A164" s="33"/>
    </row>
    <row r="167" spans="1:1">
      <c r="A167" s="33"/>
    </row>
    <row r="170" spans="1:1">
      <c r="A170" s="33"/>
    </row>
    <row r="173" spans="1:1">
      <c r="A173" s="33"/>
    </row>
    <row r="176" spans="1:1">
      <c r="A176" s="33"/>
    </row>
    <row r="179" spans="1:1">
      <c r="A179" s="33"/>
    </row>
    <row r="182" spans="1:1">
      <c r="A182" s="33"/>
    </row>
    <row r="185" spans="1:1">
      <c r="A185" s="33"/>
    </row>
    <row r="188" spans="1:1">
      <c r="A188" s="33"/>
    </row>
    <row r="191" spans="1:1">
      <c r="A191" s="33"/>
    </row>
    <row r="194" spans="1:1">
      <c r="A194" s="33"/>
    </row>
    <row r="197" spans="1:1">
      <c r="A197" s="33"/>
    </row>
    <row r="200" spans="1:1">
      <c r="A200" s="33"/>
    </row>
    <row r="203" spans="1:1">
      <c r="A203" s="33"/>
    </row>
    <row r="206" spans="1:1">
      <c r="A206" s="33"/>
    </row>
    <row r="209" spans="1:1">
      <c r="A209" s="33"/>
    </row>
    <row r="212" spans="1:1">
      <c r="A212" s="33"/>
    </row>
    <row r="215" spans="1:1">
      <c r="A215" s="33"/>
    </row>
    <row r="218" spans="1:1">
      <c r="A218" s="33"/>
    </row>
    <row r="221" spans="1:1">
      <c r="A221" s="33"/>
    </row>
    <row r="224" spans="1:1">
      <c r="A224" s="33"/>
    </row>
    <row r="227" spans="1:1">
      <c r="A227" s="33"/>
    </row>
    <row r="230" spans="1:1">
      <c r="A230" s="33"/>
    </row>
    <row r="233" spans="1:1">
      <c r="A233" s="33"/>
    </row>
    <row r="236" spans="1:1">
      <c r="A236" s="33"/>
    </row>
    <row r="239" spans="1:1">
      <c r="A239" s="33"/>
    </row>
    <row r="242" spans="1:1">
      <c r="A242" s="33"/>
    </row>
    <row r="245" spans="1:1">
      <c r="A245" s="33"/>
    </row>
    <row r="248" spans="1:1">
      <c r="A248" s="33"/>
    </row>
    <row r="251" spans="1:1">
      <c r="A251" s="33"/>
    </row>
    <row r="254" spans="1:1">
      <c r="A254" s="33"/>
    </row>
    <row r="257" spans="1:1">
      <c r="A257" s="33"/>
    </row>
    <row r="260" spans="1:1">
      <c r="A260" s="33"/>
    </row>
    <row r="263" spans="1:1">
      <c r="A263" s="33"/>
    </row>
    <row r="266" spans="1:1">
      <c r="A266" s="33"/>
    </row>
    <row r="269" spans="1:1">
      <c r="A269" s="33"/>
    </row>
    <row r="272" spans="1:1">
      <c r="A272" s="33"/>
    </row>
    <row r="275" spans="1:1">
      <c r="A275" s="33"/>
    </row>
    <row r="278" spans="1:1">
      <c r="A278" s="33"/>
    </row>
    <row r="281" spans="1:1">
      <c r="A281" s="33"/>
    </row>
    <row r="284" spans="1:1">
      <c r="A284" s="33"/>
    </row>
    <row r="287" spans="1:1">
      <c r="A287" s="33"/>
    </row>
    <row r="290" spans="1:1">
      <c r="A290" s="33"/>
    </row>
    <row r="293" spans="1:1">
      <c r="A293" s="33"/>
    </row>
    <row r="296" spans="1:1">
      <c r="A296" s="33"/>
    </row>
    <row r="299" spans="1:1">
      <c r="A299" s="33"/>
    </row>
    <row r="302" spans="1:1">
      <c r="A302" s="33"/>
    </row>
    <row r="305" spans="1:1">
      <c r="A305" s="33"/>
    </row>
    <row r="308" spans="1:1">
      <c r="A308" s="33"/>
    </row>
    <row r="311" spans="1:1">
      <c r="A311" s="33"/>
    </row>
    <row r="314" spans="1:1">
      <c r="A314" s="33"/>
    </row>
  </sheetData>
  <mergeCells count="2">
    <mergeCell ref="K1:L1"/>
    <mergeCell ref="K11:L11"/>
  </mergeCells>
  <dataValidations count="2">
    <dataValidation type="list" allowBlank="1" showInputMessage="1" showErrorMessage="1" promptTitle="Enter Date" prompt="Please select the date from fetched dates" sqref="J3">
      <formula1>$R$3:$EKP$3</formula1>
    </dataValidation>
    <dataValidation type="list" allowBlank="1" showInputMessage="1" showErrorMessage="1" promptTitle="Enter Date" prompt="Please select the date from fetched dates" sqref="J13">
      <formula1>$R$8:$EKS$8</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36" t="s">
        <v>40</v>
      </c>
      <c r="C1" s="437"/>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38" t="s">
        <v>121</v>
      </c>
      <c r="C2" s="439"/>
      <c r="D2" s="439"/>
      <c r="E2" s="439"/>
      <c r="F2" s="37"/>
      <c r="G2" s="37"/>
      <c r="H2" s="37"/>
      <c r="I2" s="439" t="s">
        <v>122</v>
      </c>
      <c r="J2" s="439"/>
      <c r="K2" s="439"/>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40" t="s">
        <v>125</v>
      </c>
      <c r="C8" s="441"/>
      <c r="D8" s="441"/>
      <c r="E8" s="441"/>
      <c r="F8" s="50"/>
      <c r="G8" s="50"/>
      <c r="H8" s="50"/>
      <c r="I8" s="442" t="s">
        <v>122</v>
      </c>
      <c r="J8" s="442"/>
      <c r="K8" s="442"/>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43" t="s">
        <v>127</v>
      </c>
      <c r="C14" s="444"/>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2019-10-31T04:51:05Z</dcterms:modified>
</cp:coreProperties>
</file>