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105" yWindow="-105" windowWidth="20730" windowHeight="11760" tabRatio="564" firstSheet="5" activeTab="7"/>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'REPL1A-CP'!$A$9:$J$238</definedName>
    <definedName name="_xlnm._FilterDatabase" localSheetId="6" hidden="1">'REPL1A-ERNit'!$A$11:$AE$662</definedName>
    <definedName name="_xlnm._FilterDatabase" localSheetId="7" hidden="1">'REPL1A-ERPoly'!$A$11:$AI$510</definedName>
  </definedNames>
  <calcPr calcId="125725"/>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15" i="3"/>
  <c r="D238" i="20"/>
  <c r="E238" s="1"/>
  <c r="D237"/>
  <c r="E237" s="1"/>
  <c r="D236"/>
  <c r="E236" s="1"/>
  <c r="D235"/>
  <c r="E235" s="1"/>
  <c r="D234"/>
  <c r="E234" s="1"/>
  <c r="D233"/>
  <c r="E233" s="1"/>
  <c r="D232"/>
  <c r="E232" s="1"/>
  <c r="E231"/>
  <c r="D231"/>
  <c r="D230"/>
  <c r="E230" s="1"/>
  <c r="E229"/>
  <c r="D229"/>
  <c r="D228"/>
  <c r="E228" s="1"/>
  <c r="D227"/>
  <c r="E227" s="1"/>
  <c r="D226"/>
  <c r="E226" s="1"/>
  <c r="D225"/>
  <c r="E225" s="1"/>
  <c r="D224"/>
  <c r="E224" s="1"/>
  <c r="E223"/>
  <c r="D223"/>
  <c r="D222"/>
  <c r="E222" s="1"/>
  <c r="E221"/>
  <c r="D221"/>
  <c r="D220"/>
  <c r="E220" s="1"/>
  <c r="D219"/>
  <c r="E219" s="1"/>
  <c r="D218"/>
  <c r="E218" s="1"/>
  <c r="D217"/>
  <c r="E217" s="1"/>
  <c r="D216"/>
  <c r="E216" s="1"/>
  <c r="E215"/>
  <c r="D215"/>
  <c r="D214"/>
  <c r="E214" s="1"/>
  <c r="E213"/>
  <c r="D213"/>
  <c r="D212"/>
  <c r="E212" s="1"/>
  <c r="D211"/>
  <c r="E211" s="1"/>
  <c r="D210"/>
  <c r="E210" s="1"/>
  <c r="D209"/>
  <c r="E209" s="1"/>
  <c r="D208"/>
  <c r="E208" s="1"/>
  <c r="E207"/>
  <c r="D207"/>
  <c r="D206"/>
  <c r="E206" s="1"/>
  <c r="E205"/>
  <c r="D205"/>
  <c r="D204"/>
  <c r="E204" s="1"/>
  <c r="D203"/>
  <c r="E203" s="1"/>
  <c r="D202"/>
  <c r="E202" s="1"/>
  <c r="D201"/>
  <c r="E201" s="1"/>
  <c r="D200"/>
  <c r="E200" s="1"/>
  <c r="E199"/>
  <c r="D199"/>
  <c r="D198"/>
  <c r="E198" s="1"/>
  <c r="E197"/>
  <c r="D197"/>
  <c r="D196"/>
  <c r="E196" s="1"/>
  <c r="D195"/>
  <c r="E195" s="1"/>
  <c r="D194"/>
  <c r="E194" s="1"/>
  <c r="E193"/>
  <c r="D193"/>
  <c r="D192"/>
  <c r="E192" s="1"/>
  <c r="D191"/>
  <c r="E191" s="1"/>
  <c r="D190"/>
  <c r="E190" s="1"/>
  <c r="E189"/>
  <c r="D189"/>
  <c r="D188"/>
  <c r="E188" s="1"/>
  <c r="D187"/>
  <c r="E187" s="1"/>
  <c r="D186"/>
  <c r="E186" s="1"/>
  <c r="E185"/>
  <c r="D185"/>
  <c r="D184"/>
  <c r="E184" s="1"/>
  <c r="D183"/>
  <c r="E183" s="1"/>
  <c r="D182"/>
  <c r="E182" s="1"/>
  <c r="E181"/>
  <c r="D181"/>
  <c r="D180"/>
  <c r="E180" s="1"/>
  <c r="D179"/>
  <c r="E179" s="1"/>
  <c r="D178"/>
  <c r="E178" s="1"/>
  <c r="E177"/>
  <c r="D177"/>
  <c r="D176"/>
  <c r="E176" s="1"/>
  <c r="D175"/>
  <c r="E175" s="1"/>
  <c r="D174"/>
  <c r="E174" s="1"/>
  <c r="E173"/>
  <c r="D173"/>
  <c r="D172"/>
  <c r="E172" s="1"/>
  <c r="D171"/>
  <c r="E171" s="1"/>
  <c r="D170"/>
  <c r="E170" s="1"/>
  <c r="E169"/>
  <c r="D169"/>
  <c r="D168"/>
  <c r="E168" s="1"/>
  <c r="D167"/>
  <c r="E167" s="1"/>
  <c r="D166"/>
  <c r="E166" s="1"/>
  <c r="E165"/>
  <c r="D165"/>
  <c r="D164"/>
  <c r="E164" s="1"/>
  <c r="D163"/>
  <c r="E163" s="1"/>
  <c r="D162"/>
  <c r="E162" s="1"/>
  <c r="E161"/>
  <c r="D161"/>
  <c r="D160"/>
  <c r="E160" s="1"/>
  <c r="D159"/>
  <c r="E159" s="1"/>
  <c r="D158"/>
  <c r="E158" s="1"/>
  <c r="E157"/>
  <c r="D157"/>
  <c r="D156"/>
  <c r="E156" s="1"/>
  <c r="D155"/>
  <c r="E155" s="1"/>
  <c r="D154"/>
  <c r="E154" s="1"/>
  <c r="E153"/>
  <c r="D153"/>
  <c r="D152"/>
  <c r="E152" s="1"/>
  <c r="D151"/>
  <c r="E151" s="1"/>
  <c r="D150"/>
  <c r="E150" s="1"/>
  <c r="E149"/>
  <c r="D149"/>
  <c r="D148"/>
  <c r="E148" s="1"/>
  <c r="D147"/>
  <c r="E147" s="1"/>
  <c r="D146"/>
  <c r="E146" s="1"/>
  <c r="E145"/>
  <c r="D145"/>
  <c r="D144"/>
  <c r="E144" s="1"/>
  <c r="D143"/>
  <c r="E143" s="1"/>
  <c r="D142"/>
  <c r="E142" s="1"/>
  <c r="E141"/>
  <c r="D141"/>
  <c r="D140"/>
  <c r="E140" s="1"/>
  <c r="D139"/>
  <c r="E139" s="1"/>
  <c r="D138"/>
  <c r="E138" s="1"/>
  <c r="E137"/>
  <c r="D137"/>
  <c r="D136"/>
  <c r="E136" s="1"/>
  <c r="D135"/>
  <c r="E135" s="1"/>
  <c r="D134"/>
  <c r="E134" s="1"/>
  <c r="E133"/>
  <c r="D133"/>
  <c r="D132"/>
  <c r="E132" s="1"/>
  <c r="D131"/>
  <c r="E131" s="1"/>
  <c r="D130"/>
  <c r="E130" s="1"/>
  <c r="E129"/>
  <c r="D129"/>
  <c r="D128"/>
  <c r="E128" s="1"/>
  <c r="D127"/>
  <c r="E127" s="1"/>
  <c r="D126"/>
  <c r="E126" s="1"/>
  <c r="E125"/>
  <c r="D125"/>
  <c r="D124"/>
  <c r="E124" s="1"/>
  <c r="D123"/>
  <c r="E123" s="1"/>
  <c r="D122"/>
  <c r="E122" s="1"/>
  <c r="E121"/>
  <c r="D121"/>
  <c r="D120"/>
  <c r="E120" s="1"/>
  <c r="D119"/>
  <c r="E119" s="1"/>
  <c r="D118"/>
  <c r="E118" s="1"/>
  <c r="E117"/>
  <c r="D117"/>
  <c r="D116"/>
  <c r="E116" s="1"/>
  <c r="D115"/>
  <c r="E115" s="1"/>
  <c r="D114"/>
  <c r="E114" s="1"/>
  <c r="E113"/>
  <c r="D113"/>
  <c r="D112"/>
  <c r="E112" s="1"/>
  <c r="D111"/>
  <c r="E111" s="1"/>
  <c r="D110"/>
  <c r="E110" s="1"/>
  <c r="E109"/>
  <c r="D109"/>
  <c r="D108"/>
  <c r="E108" s="1"/>
  <c r="D107"/>
  <c r="E107" s="1"/>
  <c r="D106"/>
  <c r="E106" s="1"/>
  <c r="E105"/>
  <c r="D105"/>
  <c r="D104"/>
  <c r="E104" s="1"/>
  <c r="D103"/>
  <c r="E103" s="1"/>
  <c r="D102"/>
  <c r="E102" s="1"/>
  <c r="E101"/>
  <c r="D101"/>
  <c r="D100"/>
  <c r="E100" s="1"/>
  <c r="D99"/>
  <c r="E99" s="1"/>
  <c r="D98"/>
  <c r="E98" s="1"/>
  <c r="E97"/>
  <c r="D97"/>
  <c r="D96"/>
  <c r="E96" s="1"/>
  <c r="D95"/>
  <c r="E95" s="1"/>
  <c r="D94"/>
  <c r="E94" s="1"/>
  <c r="E93"/>
  <c r="D93"/>
  <c r="D92"/>
  <c r="E92" s="1"/>
  <c r="D91"/>
  <c r="E91" s="1"/>
  <c r="D90"/>
  <c r="E90" s="1"/>
  <c r="E89"/>
  <c r="D89"/>
  <c r="D88"/>
  <c r="E88" s="1"/>
  <c r="D87"/>
  <c r="E87" s="1"/>
  <c r="D86"/>
  <c r="E86" s="1"/>
  <c r="E85"/>
  <c r="D85"/>
  <c r="D84"/>
  <c r="E84" s="1"/>
  <c r="D83"/>
  <c r="E83" s="1"/>
  <c r="D82"/>
  <c r="E82" s="1"/>
  <c r="E81"/>
  <c r="D81"/>
  <c r="D80"/>
  <c r="E80" s="1"/>
  <c r="D79"/>
  <c r="E79" s="1"/>
  <c r="D78"/>
  <c r="E78" s="1"/>
  <c r="E77"/>
  <c r="D77"/>
  <c r="D76"/>
  <c r="E76" s="1"/>
  <c r="D75"/>
  <c r="E75" s="1"/>
  <c r="D74"/>
  <c r="E74" s="1"/>
  <c r="E73"/>
  <c r="D73"/>
  <c r="D72"/>
  <c r="E72" s="1"/>
  <c r="D71"/>
  <c r="E71" s="1"/>
  <c r="D70"/>
  <c r="E70" s="1"/>
  <c r="E69"/>
  <c r="D69"/>
  <c r="D68"/>
  <c r="E68" s="1"/>
  <c r="D67"/>
  <c r="E67" s="1"/>
  <c r="D66"/>
  <c r="E66" s="1"/>
  <c r="E65"/>
  <c r="D65"/>
  <c r="D64"/>
  <c r="E64" s="1"/>
  <c r="D63"/>
  <c r="E63" s="1"/>
  <c r="D62"/>
  <c r="E62" s="1"/>
  <c r="E61"/>
  <c r="D61"/>
  <c r="D60"/>
  <c r="E60" s="1"/>
  <c r="D59"/>
  <c r="E59" s="1"/>
  <c r="D58"/>
  <c r="E58" s="1"/>
  <c r="E57"/>
  <c r="D57"/>
  <c r="D56"/>
  <c r="E56" s="1"/>
  <c r="D55"/>
  <c r="E55" s="1"/>
  <c r="D54"/>
  <c r="E54" s="1"/>
  <c r="E53"/>
  <c r="D53"/>
  <c r="D52"/>
  <c r="E52" s="1"/>
  <c r="D51"/>
  <c r="E51" s="1"/>
  <c r="D50"/>
  <c r="E50" s="1"/>
  <c r="E49"/>
  <c r="D49"/>
  <c r="D48"/>
  <c r="E48" s="1"/>
  <c r="D47"/>
  <c r="E47" s="1"/>
  <c r="D46"/>
  <c r="E46" s="1"/>
  <c r="E45"/>
  <c r="D45"/>
  <c r="D44"/>
  <c r="E44" s="1"/>
  <c r="D43"/>
  <c r="E43" s="1"/>
  <c r="D42"/>
  <c r="E42" s="1"/>
  <c r="E41"/>
  <c r="D41"/>
  <c r="D40"/>
  <c r="E40" s="1"/>
  <c r="D39"/>
  <c r="E39" s="1"/>
  <c r="D38"/>
  <c r="E38" s="1"/>
  <c r="E37"/>
  <c r="D37"/>
  <c r="D36"/>
  <c r="E36" s="1"/>
  <c r="D35"/>
  <c r="E35" s="1"/>
  <c r="D34"/>
  <c r="E34" s="1"/>
  <c r="E33"/>
  <c r="D33"/>
  <c r="D32"/>
  <c r="E32" s="1"/>
  <c r="D31"/>
  <c r="E31" s="1"/>
  <c r="D30"/>
  <c r="E30" s="1"/>
  <c r="E29"/>
  <c r="D29"/>
  <c r="D28"/>
  <c r="E28" s="1"/>
  <c r="D27"/>
  <c r="E27" s="1"/>
  <c r="D26"/>
  <c r="E26" s="1"/>
  <c r="E25"/>
  <c r="D25"/>
  <c r="D24"/>
  <c r="E24" s="1"/>
  <c r="D23"/>
  <c r="E23" s="1"/>
  <c r="D22"/>
  <c r="E22" s="1"/>
  <c r="E21"/>
  <c r="D21"/>
  <c r="D20"/>
  <c r="E20" s="1"/>
  <c r="D19"/>
  <c r="E19" s="1"/>
  <c r="D18"/>
  <c r="E18" s="1"/>
  <c r="E17"/>
  <c r="D17"/>
  <c r="D16"/>
  <c r="E16" s="1"/>
  <c r="D15"/>
  <c r="E15" s="1"/>
  <c r="D14"/>
  <c r="E14" s="1"/>
  <c r="E13"/>
  <c r="D13"/>
  <c r="D12"/>
  <c r="E12" s="1"/>
  <c r="D11"/>
  <c r="E11"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T452"/>
  <c r="S452"/>
  <c r="R452"/>
  <c r="Q452"/>
  <c r="P452"/>
  <c r="O452"/>
  <c r="N452"/>
  <c r="M452"/>
  <c r="L452"/>
  <c r="K452"/>
  <c r="J452"/>
  <c r="I452"/>
  <c r="H452"/>
  <c r="G452"/>
  <c r="F452"/>
  <c r="E452"/>
  <c r="D452"/>
  <c r="U450"/>
  <c r="T509"/>
  <c r="W507" s="1"/>
  <c r="S509"/>
  <c r="R509"/>
  <c r="Q509"/>
  <c r="P509"/>
  <c r="O509"/>
  <c r="N509"/>
  <c r="M509"/>
  <c r="L509"/>
  <c r="K509"/>
  <c r="J509"/>
  <c r="I509"/>
  <c r="H509"/>
  <c r="G509"/>
  <c r="F509"/>
  <c r="E509"/>
  <c r="D509"/>
  <c r="Z507"/>
  <c r="Y507"/>
  <c r="V507"/>
  <c r="U507"/>
  <c r="T506"/>
  <c r="W504" s="1"/>
  <c r="S506"/>
  <c r="R506"/>
  <c r="Q506"/>
  <c r="P506"/>
  <c r="O506"/>
  <c r="N506"/>
  <c r="M506"/>
  <c r="L506"/>
  <c r="K506"/>
  <c r="J506"/>
  <c r="I506"/>
  <c r="H506"/>
  <c r="G506"/>
  <c r="F506"/>
  <c r="E506"/>
  <c r="D506"/>
  <c r="Z504"/>
  <c r="Y504"/>
  <c r="V504"/>
  <c r="U504"/>
  <c r="T503"/>
  <c r="W501" s="1"/>
  <c r="S503"/>
  <c r="R503"/>
  <c r="Q503"/>
  <c r="P503"/>
  <c r="O503"/>
  <c r="N503"/>
  <c r="M503"/>
  <c r="L503"/>
  <c r="K503"/>
  <c r="J503"/>
  <c r="I503"/>
  <c r="H503"/>
  <c r="G503"/>
  <c r="F503"/>
  <c r="E503"/>
  <c r="D503"/>
  <c r="X501" s="1"/>
  <c r="Z501"/>
  <c r="Y501"/>
  <c r="V501"/>
  <c r="U501"/>
  <c r="T500"/>
  <c r="W498" s="1"/>
  <c r="S500"/>
  <c r="R500"/>
  <c r="Q500"/>
  <c r="P500"/>
  <c r="O500"/>
  <c r="N500"/>
  <c r="M500"/>
  <c r="L500"/>
  <c r="K500"/>
  <c r="J500"/>
  <c r="I500"/>
  <c r="H500"/>
  <c r="G500"/>
  <c r="F500"/>
  <c r="E500"/>
  <c r="D500"/>
  <c r="Z498"/>
  <c r="Y498"/>
  <c r="V498"/>
  <c r="U498"/>
  <c r="T497"/>
  <c r="W495" s="1"/>
  <c r="S497"/>
  <c r="R497"/>
  <c r="Q497"/>
  <c r="P497"/>
  <c r="O497"/>
  <c r="N497"/>
  <c r="M497"/>
  <c r="L497"/>
  <c r="K497"/>
  <c r="J497"/>
  <c r="I497"/>
  <c r="H497"/>
  <c r="G497"/>
  <c r="F497"/>
  <c r="E497"/>
  <c r="D497"/>
  <c r="Z495"/>
  <c r="Y495"/>
  <c r="V495"/>
  <c r="U495"/>
  <c r="T494"/>
  <c r="W492" s="1"/>
  <c r="S494"/>
  <c r="R494"/>
  <c r="Q494"/>
  <c r="P494"/>
  <c r="O494"/>
  <c r="N494"/>
  <c r="M494"/>
  <c r="L494"/>
  <c r="K494"/>
  <c r="J494"/>
  <c r="I494"/>
  <c r="H494"/>
  <c r="G494"/>
  <c r="F494"/>
  <c r="E494"/>
  <c r="D494"/>
  <c r="Z492"/>
  <c r="Y492"/>
  <c r="V492"/>
  <c r="U492"/>
  <c r="T491"/>
  <c r="S491"/>
  <c r="R491"/>
  <c r="Q491"/>
  <c r="P491"/>
  <c r="O491"/>
  <c r="N491"/>
  <c r="M491"/>
  <c r="L491"/>
  <c r="K491"/>
  <c r="J491"/>
  <c r="I491"/>
  <c r="H491"/>
  <c r="G491"/>
  <c r="F491"/>
  <c r="E491"/>
  <c r="D491"/>
  <c r="Z489"/>
  <c r="Y489"/>
  <c r="W489"/>
  <c r="V489"/>
  <c r="U489"/>
  <c r="T488"/>
  <c r="W486" s="1"/>
  <c r="S488"/>
  <c r="R488"/>
  <c r="Q488"/>
  <c r="P488"/>
  <c r="O488"/>
  <c r="N488"/>
  <c r="M488"/>
  <c r="L488"/>
  <c r="K488"/>
  <c r="J488"/>
  <c r="I488"/>
  <c r="H488"/>
  <c r="G488"/>
  <c r="F488"/>
  <c r="E488"/>
  <c r="D488"/>
  <c r="Z486"/>
  <c r="Y486"/>
  <c r="V486"/>
  <c r="U486"/>
  <c r="T485"/>
  <c r="W483" s="1"/>
  <c r="S485"/>
  <c r="R485"/>
  <c r="Q485"/>
  <c r="P485"/>
  <c r="O485"/>
  <c r="N485"/>
  <c r="M485"/>
  <c r="L485"/>
  <c r="K485"/>
  <c r="J485"/>
  <c r="I485"/>
  <c r="H485"/>
  <c r="G485"/>
  <c r="F485"/>
  <c r="E485"/>
  <c r="D485"/>
  <c r="Z483"/>
  <c r="Y483"/>
  <c r="V483"/>
  <c r="U483"/>
  <c r="T482"/>
  <c r="W480" s="1"/>
  <c r="S482"/>
  <c r="R482"/>
  <c r="Q482"/>
  <c r="P482"/>
  <c r="O482"/>
  <c r="N482"/>
  <c r="M482"/>
  <c r="L482"/>
  <c r="K482"/>
  <c r="J482"/>
  <c r="I482"/>
  <c r="H482"/>
  <c r="G482"/>
  <c r="F482"/>
  <c r="E482"/>
  <c r="D482"/>
  <c r="Z480"/>
  <c r="Y480"/>
  <c r="V480"/>
  <c r="U480"/>
  <c r="T479"/>
  <c r="S479"/>
  <c r="R479"/>
  <c r="Q479"/>
  <c r="P479"/>
  <c r="O479"/>
  <c r="N479"/>
  <c r="M479"/>
  <c r="L479"/>
  <c r="K479"/>
  <c r="J479"/>
  <c r="I479"/>
  <c r="H479"/>
  <c r="G479"/>
  <c r="X477" s="1"/>
  <c r="F479"/>
  <c r="E479"/>
  <c r="D479"/>
  <c r="Z477"/>
  <c r="Y477"/>
  <c r="W477"/>
  <c r="V477"/>
  <c r="U477"/>
  <c r="T476"/>
  <c r="W474" s="1"/>
  <c r="S476"/>
  <c r="R476"/>
  <c r="Q476"/>
  <c r="P476"/>
  <c r="O476"/>
  <c r="N476"/>
  <c r="M476"/>
  <c r="L476"/>
  <c r="K476"/>
  <c r="J476"/>
  <c r="I476"/>
  <c r="H476"/>
  <c r="G476"/>
  <c r="F476"/>
  <c r="E476"/>
  <c r="D476"/>
  <c r="Z474"/>
  <c r="Y474"/>
  <c r="V474"/>
  <c r="U474"/>
  <c r="T473"/>
  <c r="W471" s="1"/>
  <c r="S473"/>
  <c r="R473"/>
  <c r="Q473"/>
  <c r="P473"/>
  <c r="O473"/>
  <c r="N473"/>
  <c r="M473"/>
  <c r="L473"/>
  <c r="K473"/>
  <c r="J473"/>
  <c r="I473"/>
  <c r="H473"/>
  <c r="G473"/>
  <c r="F473"/>
  <c r="E473"/>
  <c r="D473"/>
  <c r="Z471"/>
  <c r="Y471"/>
  <c r="V471"/>
  <c r="U471"/>
  <c r="T470"/>
  <c r="W468" s="1"/>
  <c r="S470"/>
  <c r="R470"/>
  <c r="Q470"/>
  <c r="P470"/>
  <c r="O470"/>
  <c r="N470"/>
  <c r="M470"/>
  <c r="L470"/>
  <c r="K470"/>
  <c r="J470"/>
  <c r="I470"/>
  <c r="H470"/>
  <c r="G470"/>
  <c r="F470"/>
  <c r="E470"/>
  <c r="D470"/>
  <c r="Z468"/>
  <c r="Y468"/>
  <c r="V468"/>
  <c r="U468"/>
  <c r="T467"/>
  <c r="S467"/>
  <c r="R467"/>
  <c r="Q467"/>
  <c r="P467"/>
  <c r="O467"/>
  <c r="N467"/>
  <c r="M467"/>
  <c r="L467"/>
  <c r="K467"/>
  <c r="J467"/>
  <c r="I467"/>
  <c r="H467"/>
  <c r="G467"/>
  <c r="F467"/>
  <c r="E467"/>
  <c r="D467"/>
  <c r="Z465"/>
  <c r="Y465"/>
  <c r="W465"/>
  <c r="V465"/>
  <c r="U465"/>
  <c r="T464"/>
  <c r="S464"/>
  <c r="R464"/>
  <c r="Q464"/>
  <c r="P464"/>
  <c r="O464"/>
  <c r="N464"/>
  <c r="M464"/>
  <c r="L464"/>
  <c r="K464"/>
  <c r="J464"/>
  <c r="I464"/>
  <c r="H464"/>
  <c r="G464"/>
  <c r="F464"/>
  <c r="E464"/>
  <c r="D464"/>
  <c r="Z462"/>
  <c r="Y462"/>
  <c r="W462"/>
  <c r="V462"/>
  <c r="U462"/>
  <c r="T461"/>
  <c r="W459" s="1"/>
  <c r="S461"/>
  <c r="R461"/>
  <c r="Q461"/>
  <c r="P461"/>
  <c r="O461"/>
  <c r="N461"/>
  <c r="M461"/>
  <c r="L461"/>
  <c r="K461"/>
  <c r="J461"/>
  <c r="I461"/>
  <c r="H461"/>
  <c r="G461"/>
  <c r="F461"/>
  <c r="E461"/>
  <c r="D461"/>
  <c r="Z459"/>
  <c r="Y459"/>
  <c r="V459"/>
  <c r="U459"/>
  <c r="T458"/>
  <c r="W456" s="1"/>
  <c r="S458"/>
  <c r="R458"/>
  <c r="Q458"/>
  <c r="P458"/>
  <c r="O458"/>
  <c r="N458"/>
  <c r="M458"/>
  <c r="L458"/>
  <c r="K458"/>
  <c r="J458"/>
  <c r="I458"/>
  <c r="H458"/>
  <c r="G458"/>
  <c r="F458"/>
  <c r="X456" s="1"/>
  <c r="E458"/>
  <c r="D458"/>
  <c r="Z456"/>
  <c r="Y456"/>
  <c r="V456"/>
  <c r="U456"/>
  <c r="T449"/>
  <c r="S449"/>
  <c r="R449"/>
  <c r="Q449"/>
  <c r="P449"/>
  <c r="O449"/>
  <c r="N449"/>
  <c r="M449"/>
  <c r="L449"/>
  <c r="K449"/>
  <c r="J449"/>
  <c r="I449"/>
  <c r="H449"/>
  <c r="G449"/>
  <c r="F449"/>
  <c r="E449"/>
  <c r="D449"/>
  <c r="V447" s="1"/>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W438"/>
  <c r="T437"/>
  <c r="S437"/>
  <c r="R437"/>
  <c r="Q437"/>
  <c r="P437"/>
  <c r="O437"/>
  <c r="N437"/>
  <c r="M437"/>
  <c r="L437"/>
  <c r="K437"/>
  <c r="J437"/>
  <c r="I437"/>
  <c r="H437"/>
  <c r="G437"/>
  <c r="F437"/>
  <c r="E437"/>
  <c r="W435" s="1"/>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W366" s="1"/>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V327" s="1"/>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W318"/>
  <c r="T317"/>
  <c r="S317"/>
  <c r="R317"/>
  <c r="Q317"/>
  <c r="P317"/>
  <c r="O317"/>
  <c r="N317"/>
  <c r="M317"/>
  <c r="L317"/>
  <c r="K317"/>
  <c r="J317"/>
  <c r="I317"/>
  <c r="H317"/>
  <c r="G317"/>
  <c r="F317"/>
  <c r="E317"/>
  <c r="W315" s="1"/>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X192" s="1"/>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U168"/>
  <c r="T167"/>
  <c r="S167"/>
  <c r="R167"/>
  <c r="Q167"/>
  <c r="P167"/>
  <c r="O167"/>
  <c r="N167"/>
  <c r="M167"/>
  <c r="L167"/>
  <c r="K167"/>
  <c r="J167"/>
  <c r="I167"/>
  <c r="H167"/>
  <c r="G167"/>
  <c r="F167"/>
  <c r="E167"/>
  <c r="W165" s="1"/>
  <c r="D167"/>
  <c r="T164"/>
  <c r="S164"/>
  <c r="R164"/>
  <c r="Q164"/>
  <c r="P164"/>
  <c r="O164"/>
  <c r="N164"/>
  <c r="M164"/>
  <c r="L164"/>
  <c r="K164"/>
  <c r="J164"/>
  <c r="I164"/>
  <c r="H164"/>
  <c r="G164"/>
  <c r="F164"/>
  <c r="W162" s="1"/>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W153" s="1"/>
  <c r="D155"/>
  <c r="T152"/>
  <c r="S152"/>
  <c r="R152"/>
  <c r="Q152"/>
  <c r="P152"/>
  <c r="O152"/>
  <c r="N152"/>
  <c r="M152"/>
  <c r="L152"/>
  <c r="K152"/>
  <c r="J152"/>
  <c r="I152"/>
  <c r="H152"/>
  <c r="G152"/>
  <c r="F152"/>
  <c r="W150" s="1"/>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U144" s="1"/>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V135" s="1"/>
  <c r="T134"/>
  <c r="S134"/>
  <c r="R134"/>
  <c r="Q134"/>
  <c r="P134"/>
  <c r="O134"/>
  <c r="N134"/>
  <c r="M134"/>
  <c r="L134"/>
  <c r="K134"/>
  <c r="J134"/>
  <c r="I134"/>
  <c r="H134"/>
  <c r="G134"/>
  <c r="F134"/>
  <c r="E134"/>
  <c r="U132" s="1"/>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U108" s="1"/>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U96"/>
  <c r="T95"/>
  <c r="S95"/>
  <c r="R95"/>
  <c r="Q95"/>
  <c r="P95"/>
  <c r="O95"/>
  <c r="N95"/>
  <c r="M95"/>
  <c r="L95"/>
  <c r="K95"/>
  <c r="J95"/>
  <c r="I95"/>
  <c r="H95"/>
  <c r="G95"/>
  <c r="F95"/>
  <c r="E95"/>
  <c r="W93" s="1"/>
  <c r="D95"/>
  <c r="T92"/>
  <c r="S92"/>
  <c r="R92"/>
  <c r="Q92"/>
  <c r="P92"/>
  <c r="O92"/>
  <c r="N92"/>
  <c r="M92"/>
  <c r="L92"/>
  <c r="K92"/>
  <c r="J92"/>
  <c r="I92"/>
  <c r="H92"/>
  <c r="G92"/>
  <c r="F92"/>
  <c r="W90" s="1"/>
  <c r="E92"/>
  <c r="D92"/>
  <c r="T89"/>
  <c r="S89"/>
  <c r="R89"/>
  <c r="Q89"/>
  <c r="P89"/>
  <c r="O89"/>
  <c r="N89"/>
  <c r="M89"/>
  <c r="L89"/>
  <c r="K89"/>
  <c r="J89"/>
  <c r="I89"/>
  <c r="H89"/>
  <c r="G89"/>
  <c r="F89"/>
  <c r="E89"/>
  <c r="D89"/>
  <c r="T86"/>
  <c r="S86"/>
  <c r="R86"/>
  <c r="Q86"/>
  <c r="P86"/>
  <c r="O86"/>
  <c r="N86"/>
  <c r="M86"/>
  <c r="L86"/>
  <c r="K86"/>
  <c r="J86"/>
  <c r="I86"/>
  <c r="H86"/>
  <c r="G86"/>
  <c r="F86"/>
  <c r="E86"/>
  <c r="D86"/>
  <c r="U84" s="1"/>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V75" s="1"/>
  <c r="T74"/>
  <c r="S74"/>
  <c r="R74"/>
  <c r="Q74"/>
  <c r="P74"/>
  <c r="O74"/>
  <c r="N74"/>
  <c r="M74"/>
  <c r="L74"/>
  <c r="K74"/>
  <c r="J74"/>
  <c r="I74"/>
  <c r="H74"/>
  <c r="G74"/>
  <c r="F74"/>
  <c r="E74"/>
  <c r="U72" s="1"/>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U48" s="1"/>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X39" s="1"/>
  <c r="E41"/>
  <c r="D41"/>
  <c r="T38"/>
  <c r="S38"/>
  <c r="R38"/>
  <c r="Q38"/>
  <c r="P38"/>
  <c r="O38"/>
  <c r="N38"/>
  <c r="M38"/>
  <c r="L38"/>
  <c r="K38"/>
  <c r="J38"/>
  <c r="I38"/>
  <c r="H38"/>
  <c r="G38"/>
  <c r="F38"/>
  <c r="E38"/>
  <c r="D38"/>
  <c r="U36"/>
  <c r="T35"/>
  <c r="S35"/>
  <c r="R35"/>
  <c r="Q35"/>
  <c r="P35"/>
  <c r="O35"/>
  <c r="N35"/>
  <c r="M35"/>
  <c r="L35"/>
  <c r="K35"/>
  <c r="J35"/>
  <c r="I35"/>
  <c r="H35"/>
  <c r="G35"/>
  <c r="F35"/>
  <c r="E35"/>
  <c r="W33" s="1"/>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U24" s="1"/>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V15" s="1"/>
  <c r="T14"/>
  <c r="S14"/>
  <c r="R14"/>
  <c r="Q14"/>
  <c r="P14"/>
  <c r="O14"/>
  <c r="N14"/>
  <c r="M14"/>
  <c r="L14"/>
  <c r="K14"/>
  <c r="J14"/>
  <c r="I14"/>
  <c r="H14"/>
  <c r="G14"/>
  <c r="F14"/>
  <c r="E14"/>
  <c r="D14"/>
  <c r="P662" i="17"/>
  <c r="O662"/>
  <c r="N662"/>
  <c r="M662"/>
  <c r="L662"/>
  <c r="K662"/>
  <c r="J662"/>
  <c r="I662"/>
  <c r="H662"/>
  <c r="G662"/>
  <c r="F662"/>
  <c r="E662"/>
  <c r="D662"/>
  <c r="V660"/>
  <c r="U660"/>
  <c r="T660"/>
  <c r="S660"/>
  <c r="R660"/>
  <c r="Q660"/>
  <c r="P659"/>
  <c r="O659"/>
  <c r="N659"/>
  <c r="M659"/>
  <c r="L659"/>
  <c r="K659"/>
  <c r="J659"/>
  <c r="I659"/>
  <c r="H659"/>
  <c r="G659"/>
  <c r="F659"/>
  <c r="E659"/>
  <c r="D659"/>
  <c r="V657"/>
  <c r="U657"/>
  <c r="T657"/>
  <c r="S657"/>
  <c r="R657"/>
  <c r="Q657"/>
  <c r="P656"/>
  <c r="O656"/>
  <c r="N656"/>
  <c r="M656"/>
  <c r="L656"/>
  <c r="K656"/>
  <c r="J656"/>
  <c r="I656"/>
  <c r="H656"/>
  <c r="G656"/>
  <c r="F656"/>
  <c r="E656"/>
  <c r="D656"/>
  <c r="V654"/>
  <c r="U654"/>
  <c r="T654"/>
  <c r="S654"/>
  <c r="R654"/>
  <c r="Q654"/>
  <c r="P653"/>
  <c r="O653"/>
  <c r="N653"/>
  <c r="M653"/>
  <c r="L653"/>
  <c r="K653"/>
  <c r="J653"/>
  <c r="I653"/>
  <c r="H653"/>
  <c r="G653"/>
  <c r="F653"/>
  <c r="E653"/>
  <c r="D653"/>
  <c r="V651"/>
  <c r="U651"/>
  <c r="T651"/>
  <c r="S651"/>
  <c r="R651"/>
  <c r="Q651"/>
  <c r="P650"/>
  <c r="O650"/>
  <c r="N650"/>
  <c r="M650"/>
  <c r="L650"/>
  <c r="K650"/>
  <c r="J650"/>
  <c r="I650"/>
  <c r="H650"/>
  <c r="G650"/>
  <c r="F650"/>
  <c r="E650"/>
  <c r="D650"/>
  <c r="V648"/>
  <c r="U648"/>
  <c r="T648"/>
  <c r="S648"/>
  <c r="R648"/>
  <c r="Q648"/>
  <c r="P647"/>
  <c r="O647"/>
  <c r="N647"/>
  <c r="M647"/>
  <c r="L647"/>
  <c r="K647"/>
  <c r="J647"/>
  <c r="I647"/>
  <c r="H647"/>
  <c r="G647"/>
  <c r="F647"/>
  <c r="E647"/>
  <c r="D647"/>
  <c r="V645"/>
  <c r="U645"/>
  <c r="T645"/>
  <c r="S645"/>
  <c r="R645"/>
  <c r="Q645"/>
  <c r="P644"/>
  <c r="O644"/>
  <c r="N644"/>
  <c r="M644"/>
  <c r="L644"/>
  <c r="K644"/>
  <c r="J644"/>
  <c r="I644"/>
  <c r="H644"/>
  <c r="G644"/>
  <c r="F644"/>
  <c r="E644"/>
  <c r="D644"/>
  <c r="V642"/>
  <c r="U642"/>
  <c r="T642"/>
  <c r="S642"/>
  <c r="R642"/>
  <c r="Q642"/>
  <c r="P641"/>
  <c r="O641"/>
  <c r="N641"/>
  <c r="M641"/>
  <c r="L641"/>
  <c r="K641"/>
  <c r="J641"/>
  <c r="I641"/>
  <c r="H641"/>
  <c r="G641"/>
  <c r="F641"/>
  <c r="E641"/>
  <c r="D641"/>
  <c r="V639"/>
  <c r="U639"/>
  <c r="T639"/>
  <c r="S639"/>
  <c r="R639"/>
  <c r="Q639"/>
  <c r="P638"/>
  <c r="O638"/>
  <c r="N638"/>
  <c r="M638"/>
  <c r="L638"/>
  <c r="K638"/>
  <c r="J638"/>
  <c r="I638"/>
  <c r="H638"/>
  <c r="G638"/>
  <c r="F638"/>
  <c r="E638"/>
  <c r="D638"/>
  <c r="V636"/>
  <c r="U636"/>
  <c r="T636"/>
  <c r="S636"/>
  <c r="R636"/>
  <c r="Q636"/>
  <c r="P635"/>
  <c r="O635"/>
  <c r="N635"/>
  <c r="M635"/>
  <c r="L635"/>
  <c r="K635"/>
  <c r="J635"/>
  <c r="I635"/>
  <c r="H635"/>
  <c r="G635"/>
  <c r="F635"/>
  <c r="E635"/>
  <c r="D635"/>
  <c r="V633"/>
  <c r="U633"/>
  <c r="T633"/>
  <c r="S633"/>
  <c r="R633"/>
  <c r="Q633"/>
  <c r="P632"/>
  <c r="O632"/>
  <c r="N632"/>
  <c r="M632"/>
  <c r="L632"/>
  <c r="K632"/>
  <c r="J632"/>
  <c r="I632"/>
  <c r="H632"/>
  <c r="G632"/>
  <c r="F632"/>
  <c r="E632"/>
  <c r="D632"/>
  <c r="V630"/>
  <c r="U630"/>
  <c r="T630"/>
  <c r="S630"/>
  <c r="R630"/>
  <c r="Q630"/>
  <c r="P629"/>
  <c r="O629"/>
  <c r="N629"/>
  <c r="M629"/>
  <c r="L629"/>
  <c r="K629"/>
  <c r="J629"/>
  <c r="I629"/>
  <c r="H629"/>
  <c r="G629"/>
  <c r="F629"/>
  <c r="E629"/>
  <c r="D629"/>
  <c r="V627"/>
  <c r="U627"/>
  <c r="T627"/>
  <c r="S627"/>
  <c r="R627"/>
  <c r="Q627"/>
  <c r="P626"/>
  <c r="S624" s="1"/>
  <c r="O626"/>
  <c r="N626"/>
  <c r="M626"/>
  <c r="L626"/>
  <c r="K626"/>
  <c r="J626"/>
  <c r="I626"/>
  <c r="H626"/>
  <c r="G626"/>
  <c r="F626"/>
  <c r="E626"/>
  <c r="D626"/>
  <c r="V624"/>
  <c r="U624"/>
  <c r="T624"/>
  <c r="R624"/>
  <c r="Q624"/>
  <c r="P623"/>
  <c r="O623"/>
  <c r="N623"/>
  <c r="M623"/>
  <c r="L623"/>
  <c r="K623"/>
  <c r="J623"/>
  <c r="I623"/>
  <c r="H623"/>
  <c r="G623"/>
  <c r="F623"/>
  <c r="E623"/>
  <c r="D623"/>
  <c r="V621"/>
  <c r="U621"/>
  <c r="T621"/>
  <c r="S621"/>
  <c r="R621"/>
  <c r="Q621"/>
  <c r="P620"/>
  <c r="O620"/>
  <c r="N620"/>
  <c r="M620"/>
  <c r="L620"/>
  <c r="K620"/>
  <c r="J620"/>
  <c r="I620"/>
  <c r="H620"/>
  <c r="G620"/>
  <c r="F620"/>
  <c r="E620"/>
  <c r="D620"/>
  <c r="V618"/>
  <c r="U618"/>
  <c r="T618"/>
  <c r="S618"/>
  <c r="R618"/>
  <c r="Q618"/>
  <c r="P617"/>
  <c r="O617"/>
  <c r="N617"/>
  <c r="M617"/>
  <c r="L617"/>
  <c r="K617"/>
  <c r="J617"/>
  <c r="I617"/>
  <c r="H617"/>
  <c r="G617"/>
  <c r="F617"/>
  <c r="E617"/>
  <c r="D617"/>
  <c r="V615"/>
  <c r="U615"/>
  <c r="T615"/>
  <c r="S615"/>
  <c r="R615"/>
  <c r="Q615"/>
  <c r="P614"/>
  <c r="O614"/>
  <c r="N614"/>
  <c r="M614"/>
  <c r="L614"/>
  <c r="K614"/>
  <c r="J614"/>
  <c r="I614"/>
  <c r="H614"/>
  <c r="G614"/>
  <c r="F614"/>
  <c r="E614"/>
  <c r="D614"/>
  <c r="V612"/>
  <c r="U612"/>
  <c r="T612"/>
  <c r="S612"/>
  <c r="R612"/>
  <c r="Q612"/>
  <c r="P611"/>
  <c r="O611"/>
  <c r="N611"/>
  <c r="M611"/>
  <c r="L611"/>
  <c r="K611"/>
  <c r="J611"/>
  <c r="I611"/>
  <c r="H611"/>
  <c r="G611"/>
  <c r="F611"/>
  <c r="E611"/>
  <c r="D611"/>
  <c r="V609"/>
  <c r="U609"/>
  <c r="T609"/>
  <c r="S609"/>
  <c r="R609"/>
  <c r="Q609"/>
  <c r="P608"/>
  <c r="O608"/>
  <c r="N608"/>
  <c r="M608"/>
  <c r="L608"/>
  <c r="K608"/>
  <c r="J608"/>
  <c r="I608"/>
  <c r="H608"/>
  <c r="G608"/>
  <c r="F608"/>
  <c r="E608"/>
  <c r="D608"/>
  <c r="V606"/>
  <c r="U606"/>
  <c r="T606"/>
  <c r="S606"/>
  <c r="R606"/>
  <c r="Q606"/>
  <c r="P605"/>
  <c r="O605"/>
  <c r="N605"/>
  <c r="M605"/>
  <c r="L605"/>
  <c r="K605"/>
  <c r="J605"/>
  <c r="I605"/>
  <c r="H605"/>
  <c r="G605"/>
  <c r="F605"/>
  <c r="E605"/>
  <c r="D605"/>
  <c r="V603"/>
  <c r="U603"/>
  <c r="T603"/>
  <c r="S603"/>
  <c r="R603"/>
  <c r="Q603"/>
  <c r="P602"/>
  <c r="O602"/>
  <c r="N602"/>
  <c r="M602"/>
  <c r="L602"/>
  <c r="K602"/>
  <c r="J602"/>
  <c r="I602"/>
  <c r="H602"/>
  <c r="G602"/>
  <c r="F602"/>
  <c r="E602"/>
  <c r="D602"/>
  <c r="V600"/>
  <c r="U600"/>
  <c r="T600"/>
  <c r="S600"/>
  <c r="R600"/>
  <c r="Q600"/>
  <c r="P599"/>
  <c r="O599"/>
  <c r="N599"/>
  <c r="M599"/>
  <c r="L599"/>
  <c r="K599"/>
  <c r="J599"/>
  <c r="I599"/>
  <c r="H599"/>
  <c r="G599"/>
  <c r="F599"/>
  <c r="E599"/>
  <c r="D599"/>
  <c r="V597"/>
  <c r="U597"/>
  <c r="T597"/>
  <c r="S597"/>
  <c r="R597"/>
  <c r="Q597"/>
  <c r="P596"/>
  <c r="O596"/>
  <c r="N596"/>
  <c r="M596"/>
  <c r="L596"/>
  <c r="K596"/>
  <c r="J596"/>
  <c r="I596"/>
  <c r="H596"/>
  <c r="G596"/>
  <c r="F596"/>
  <c r="E596"/>
  <c r="D596"/>
  <c r="V594"/>
  <c r="U594"/>
  <c r="T594"/>
  <c r="S594"/>
  <c r="R594"/>
  <c r="Q594"/>
  <c r="P593"/>
  <c r="O593"/>
  <c r="N593"/>
  <c r="M593"/>
  <c r="L593"/>
  <c r="K593"/>
  <c r="J593"/>
  <c r="I593"/>
  <c r="H593"/>
  <c r="G593"/>
  <c r="F593"/>
  <c r="E593"/>
  <c r="D593"/>
  <c r="V591"/>
  <c r="U591"/>
  <c r="T591"/>
  <c r="S591"/>
  <c r="R591"/>
  <c r="Q591"/>
  <c r="P590"/>
  <c r="O590"/>
  <c r="N590"/>
  <c r="M590"/>
  <c r="L590"/>
  <c r="K590"/>
  <c r="J590"/>
  <c r="I590"/>
  <c r="H590"/>
  <c r="G590"/>
  <c r="F590"/>
  <c r="E590"/>
  <c r="D590"/>
  <c r="V588"/>
  <c r="U588"/>
  <c r="T588"/>
  <c r="S588"/>
  <c r="R588"/>
  <c r="Q588"/>
  <c r="P587"/>
  <c r="O587"/>
  <c r="N587"/>
  <c r="M587"/>
  <c r="L587"/>
  <c r="K587"/>
  <c r="J587"/>
  <c r="I587"/>
  <c r="H587"/>
  <c r="G587"/>
  <c r="F587"/>
  <c r="E587"/>
  <c r="D587"/>
  <c r="V585"/>
  <c r="U585"/>
  <c r="T585"/>
  <c r="S585"/>
  <c r="R585"/>
  <c r="Q585"/>
  <c r="P584"/>
  <c r="O584"/>
  <c r="N584"/>
  <c r="M584"/>
  <c r="L584"/>
  <c r="K584"/>
  <c r="J584"/>
  <c r="I584"/>
  <c r="H584"/>
  <c r="G584"/>
  <c r="F584"/>
  <c r="E584"/>
  <c r="D584"/>
  <c r="V582"/>
  <c r="U582"/>
  <c r="T582"/>
  <c r="S582"/>
  <c r="R582"/>
  <c r="Q582"/>
  <c r="P581"/>
  <c r="O581"/>
  <c r="N581"/>
  <c r="M581"/>
  <c r="L581"/>
  <c r="K581"/>
  <c r="J581"/>
  <c r="I581"/>
  <c r="H581"/>
  <c r="G581"/>
  <c r="F581"/>
  <c r="E581"/>
  <c r="D581"/>
  <c r="V579"/>
  <c r="U579"/>
  <c r="T579"/>
  <c r="S579"/>
  <c r="R579"/>
  <c r="Q579"/>
  <c r="P578"/>
  <c r="O578"/>
  <c r="N578"/>
  <c r="M578"/>
  <c r="L578"/>
  <c r="K578"/>
  <c r="J578"/>
  <c r="I578"/>
  <c r="H578"/>
  <c r="G578"/>
  <c r="F578"/>
  <c r="E578"/>
  <c r="D578"/>
  <c r="V576"/>
  <c r="U576"/>
  <c r="T576"/>
  <c r="S576"/>
  <c r="R576"/>
  <c r="Q576"/>
  <c r="P575"/>
  <c r="O575"/>
  <c r="N575"/>
  <c r="M575"/>
  <c r="L575"/>
  <c r="K575"/>
  <c r="J575"/>
  <c r="I575"/>
  <c r="H575"/>
  <c r="G575"/>
  <c r="F575"/>
  <c r="E575"/>
  <c r="D575"/>
  <c r="V573"/>
  <c r="U573"/>
  <c r="T573"/>
  <c r="S573"/>
  <c r="R573"/>
  <c r="Q573"/>
  <c r="P572"/>
  <c r="O572"/>
  <c r="N572"/>
  <c r="M572"/>
  <c r="L572"/>
  <c r="K572"/>
  <c r="J572"/>
  <c r="I572"/>
  <c r="H572"/>
  <c r="G572"/>
  <c r="F572"/>
  <c r="E572"/>
  <c r="D572"/>
  <c r="V570"/>
  <c r="U570"/>
  <c r="T570"/>
  <c r="S570"/>
  <c r="R570"/>
  <c r="Q570"/>
  <c r="P569"/>
  <c r="O569"/>
  <c r="N569"/>
  <c r="M569"/>
  <c r="L569"/>
  <c r="K569"/>
  <c r="J569"/>
  <c r="I569"/>
  <c r="H569"/>
  <c r="G569"/>
  <c r="F569"/>
  <c r="E569"/>
  <c r="D569"/>
  <c r="V567"/>
  <c r="U567"/>
  <c r="T567"/>
  <c r="S567"/>
  <c r="R567"/>
  <c r="Q567"/>
  <c r="P566"/>
  <c r="O566"/>
  <c r="N566"/>
  <c r="M566"/>
  <c r="L566"/>
  <c r="K566"/>
  <c r="J566"/>
  <c r="I566"/>
  <c r="H566"/>
  <c r="G566"/>
  <c r="F566"/>
  <c r="E566"/>
  <c r="D566"/>
  <c r="V564"/>
  <c r="U564"/>
  <c r="T564"/>
  <c r="S564"/>
  <c r="R564"/>
  <c r="Q564"/>
  <c r="P563"/>
  <c r="O563"/>
  <c r="N563"/>
  <c r="M563"/>
  <c r="L563"/>
  <c r="K563"/>
  <c r="J563"/>
  <c r="I563"/>
  <c r="H563"/>
  <c r="G563"/>
  <c r="F563"/>
  <c r="E563"/>
  <c r="D563"/>
  <c r="V561"/>
  <c r="U561"/>
  <c r="T561"/>
  <c r="S561"/>
  <c r="R561"/>
  <c r="Q561"/>
  <c r="P560"/>
  <c r="O560"/>
  <c r="N560"/>
  <c r="M560"/>
  <c r="L560"/>
  <c r="K560"/>
  <c r="J560"/>
  <c r="I560"/>
  <c r="H560"/>
  <c r="G560"/>
  <c r="F560"/>
  <c r="E560"/>
  <c r="D560"/>
  <c r="V558"/>
  <c r="U558"/>
  <c r="T558"/>
  <c r="S558"/>
  <c r="R558"/>
  <c r="Q558"/>
  <c r="P557"/>
  <c r="O557"/>
  <c r="N557"/>
  <c r="M557"/>
  <c r="L557"/>
  <c r="K557"/>
  <c r="J557"/>
  <c r="I557"/>
  <c r="H557"/>
  <c r="G557"/>
  <c r="F557"/>
  <c r="E557"/>
  <c r="D557"/>
  <c r="V555"/>
  <c r="U555"/>
  <c r="T555"/>
  <c r="S555"/>
  <c r="R555"/>
  <c r="Q555"/>
  <c r="P554"/>
  <c r="O554"/>
  <c r="N554"/>
  <c r="M554"/>
  <c r="L554"/>
  <c r="K554"/>
  <c r="J554"/>
  <c r="I554"/>
  <c r="H554"/>
  <c r="G554"/>
  <c r="F554"/>
  <c r="E554"/>
  <c r="D554"/>
  <c r="V552"/>
  <c r="U552"/>
  <c r="T552"/>
  <c r="S552"/>
  <c r="R552"/>
  <c r="Q552"/>
  <c r="P551"/>
  <c r="O551"/>
  <c r="N551"/>
  <c r="M551"/>
  <c r="L551"/>
  <c r="K551"/>
  <c r="J551"/>
  <c r="I551"/>
  <c r="H551"/>
  <c r="G551"/>
  <c r="F551"/>
  <c r="E551"/>
  <c r="D551"/>
  <c r="V549"/>
  <c r="U549"/>
  <c r="T549"/>
  <c r="S549"/>
  <c r="R549"/>
  <c r="Q549"/>
  <c r="P548"/>
  <c r="O548"/>
  <c r="N548"/>
  <c r="M548"/>
  <c r="L548"/>
  <c r="K548"/>
  <c r="J548"/>
  <c r="I548"/>
  <c r="H548"/>
  <c r="G548"/>
  <c r="F548"/>
  <c r="E548"/>
  <c r="D548"/>
  <c r="V546"/>
  <c r="U546"/>
  <c r="T546"/>
  <c r="S546"/>
  <c r="R546"/>
  <c r="Q546"/>
  <c r="P545"/>
  <c r="O545"/>
  <c r="N545"/>
  <c r="M545"/>
  <c r="L545"/>
  <c r="K545"/>
  <c r="J545"/>
  <c r="I545"/>
  <c r="H545"/>
  <c r="G545"/>
  <c r="F545"/>
  <c r="E545"/>
  <c r="D545"/>
  <c r="V543"/>
  <c r="U543"/>
  <c r="T543"/>
  <c r="S543"/>
  <c r="R543"/>
  <c r="Q543"/>
  <c r="P542"/>
  <c r="O542"/>
  <c r="N542"/>
  <c r="M542"/>
  <c r="L542"/>
  <c r="K542"/>
  <c r="J542"/>
  <c r="I542"/>
  <c r="H542"/>
  <c r="G542"/>
  <c r="F542"/>
  <c r="E542"/>
  <c r="D542"/>
  <c r="V540"/>
  <c r="U540"/>
  <c r="T540"/>
  <c r="S540"/>
  <c r="R540"/>
  <c r="Q540"/>
  <c r="P539"/>
  <c r="O539"/>
  <c r="N539"/>
  <c r="M539"/>
  <c r="L539"/>
  <c r="K539"/>
  <c r="J539"/>
  <c r="I539"/>
  <c r="H539"/>
  <c r="G539"/>
  <c r="F539"/>
  <c r="E539"/>
  <c r="D539"/>
  <c r="V537"/>
  <c r="U537"/>
  <c r="T537"/>
  <c r="S537"/>
  <c r="R537"/>
  <c r="Q537"/>
  <c r="P536"/>
  <c r="O536"/>
  <c r="N536"/>
  <c r="M536"/>
  <c r="L536"/>
  <c r="K536"/>
  <c r="J536"/>
  <c r="I536"/>
  <c r="H536"/>
  <c r="G536"/>
  <c r="F536"/>
  <c r="E536"/>
  <c r="D536"/>
  <c r="V534"/>
  <c r="U534"/>
  <c r="T534"/>
  <c r="S534"/>
  <c r="R534"/>
  <c r="Q534"/>
  <c r="P533"/>
  <c r="O533"/>
  <c r="N533"/>
  <c r="M533"/>
  <c r="L533"/>
  <c r="K533"/>
  <c r="J533"/>
  <c r="I533"/>
  <c r="H533"/>
  <c r="G533"/>
  <c r="F533"/>
  <c r="E533"/>
  <c r="D533"/>
  <c r="V531"/>
  <c r="U531"/>
  <c r="T531"/>
  <c r="S531"/>
  <c r="R531"/>
  <c r="Q531"/>
  <c r="P530"/>
  <c r="S528" s="1"/>
  <c r="O530"/>
  <c r="N530"/>
  <c r="M530"/>
  <c r="L530"/>
  <c r="K530"/>
  <c r="J530"/>
  <c r="I530"/>
  <c r="H530"/>
  <c r="G530"/>
  <c r="F530"/>
  <c r="E530"/>
  <c r="D530"/>
  <c r="V528"/>
  <c r="U528"/>
  <c r="T528"/>
  <c r="R528"/>
  <c r="Q528"/>
  <c r="P527"/>
  <c r="O527"/>
  <c r="N527"/>
  <c r="M527"/>
  <c r="L527"/>
  <c r="K527"/>
  <c r="J527"/>
  <c r="I527"/>
  <c r="H527"/>
  <c r="G527"/>
  <c r="F527"/>
  <c r="E527"/>
  <c r="D527"/>
  <c r="V525"/>
  <c r="U525"/>
  <c r="T525"/>
  <c r="S525"/>
  <c r="R525"/>
  <c r="Q525"/>
  <c r="P524"/>
  <c r="O524"/>
  <c r="N524"/>
  <c r="M524"/>
  <c r="L524"/>
  <c r="K524"/>
  <c r="J524"/>
  <c r="I524"/>
  <c r="H524"/>
  <c r="G524"/>
  <c r="F524"/>
  <c r="E524"/>
  <c r="D524"/>
  <c r="V522"/>
  <c r="U522"/>
  <c r="T522"/>
  <c r="S522"/>
  <c r="R522"/>
  <c r="Q522"/>
  <c r="P521"/>
  <c r="O521"/>
  <c r="N521"/>
  <c r="M521"/>
  <c r="L521"/>
  <c r="K521"/>
  <c r="J521"/>
  <c r="I521"/>
  <c r="H521"/>
  <c r="G521"/>
  <c r="F521"/>
  <c r="E521"/>
  <c r="D521"/>
  <c r="V519"/>
  <c r="U519"/>
  <c r="T519"/>
  <c r="S519"/>
  <c r="R519"/>
  <c r="Q519"/>
  <c r="P518"/>
  <c r="S516" s="1"/>
  <c r="O518"/>
  <c r="N518"/>
  <c r="M518"/>
  <c r="L518"/>
  <c r="K518"/>
  <c r="J518"/>
  <c r="I518"/>
  <c r="H518"/>
  <c r="G518"/>
  <c r="F518"/>
  <c r="E518"/>
  <c r="D518"/>
  <c r="V516"/>
  <c r="U516"/>
  <c r="T516"/>
  <c r="R516"/>
  <c r="Q516"/>
  <c r="P515"/>
  <c r="O515"/>
  <c r="N515"/>
  <c r="M515"/>
  <c r="L515"/>
  <c r="K515"/>
  <c r="J515"/>
  <c r="I515"/>
  <c r="H515"/>
  <c r="G515"/>
  <c r="F515"/>
  <c r="E515"/>
  <c r="D515"/>
  <c r="V513"/>
  <c r="U513"/>
  <c r="T513"/>
  <c r="S513"/>
  <c r="R513"/>
  <c r="Q513"/>
  <c r="P512"/>
  <c r="O512"/>
  <c r="N512"/>
  <c r="M512"/>
  <c r="L512"/>
  <c r="K512"/>
  <c r="J512"/>
  <c r="I512"/>
  <c r="H512"/>
  <c r="G512"/>
  <c r="F512"/>
  <c r="E512"/>
  <c r="D512"/>
  <c r="V510"/>
  <c r="U510"/>
  <c r="T510"/>
  <c r="S510"/>
  <c r="R510"/>
  <c r="Q510"/>
  <c r="P509"/>
  <c r="O509"/>
  <c r="N509"/>
  <c r="M509"/>
  <c r="L509"/>
  <c r="K509"/>
  <c r="J509"/>
  <c r="I509"/>
  <c r="H509"/>
  <c r="G509"/>
  <c r="F509"/>
  <c r="E509"/>
  <c r="D509"/>
  <c r="V507"/>
  <c r="U507"/>
  <c r="T507"/>
  <c r="S507"/>
  <c r="R507"/>
  <c r="Q507"/>
  <c r="P506"/>
  <c r="O506"/>
  <c r="N506"/>
  <c r="M506"/>
  <c r="L506"/>
  <c r="K506"/>
  <c r="J506"/>
  <c r="I506"/>
  <c r="H506"/>
  <c r="G506"/>
  <c r="F506"/>
  <c r="E506"/>
  <c r="D506"/>
  <c r="V504"/>
  <c r="U504"/>
  <c r="T504"/>
  <c r="S504"/>
  <c r="R504"/>
  <c r="Q504"/>
  <c r="P503"/>
  <c r="O503"/>
  <c r="N503"/>
  <c r="M503"/>
  <c r="L503"/>
  <c r="K503"/>
  <c r="J503"/>
  <c r="I503"/>
  <c r="H503"/>
  <c r="G503"/>
  <c r="F503"/>
  <c r="E503"/>
  <c r="D503"/>
  <c r="V501"/>
  <c r="U501"/>
  <c r="T501"/>
  <c r="S501"/>
  <c r="R501"/>
  <c r="Q501"/>
  <c r="P500"/>
  <c r="O500"/>
  <c r="N500"/>
  <c r="M500"/>
  <c r="L500"/>
  <c r="K500"/>
  <c r="J500"/>
  <c r="I500"/>
  <c r="H500"/>
  <c r="G500"/>
  <c r="F500"/>
  <c r="E500"/>
  <c r="D500"/>
  <c r="V498"/>
  <c r="U498"/>
  <c r="T498"/>
  <c r="S498"/>
  <c r="R498"/>
  <c r="Q498"/>
  <c r="P497"/>
  <c r="O497"/>
  <c r="N497"/>
  <c r="M497"/>
  <c r="L497"/>
  <c r="K497"/>
  <c r="J497"/>
  <c r="I497"/>
  <c r="H497"/>
  <c r="G497"/>
  <c r="F497"/>
  <c r="E497"/>
  <c r="D497"/>
  <c r="V495"/>
  <c r="U495"/>
  <c r="T495"/>
  <c r="S495"/>
  <c r="R495"/>
  <c r="Q495"/>
  <c r="P494"/>
  <c r="O494"/>
  <c r="N494"/>
  <c r="M494"/>
  <c r="L494"/>
  <c r="K494"/>
  <c r="J494"/>
  <c r="I494"/>
  <c r="H494"/>
  <c r="G494"/>
  <c r="F494"/>
  <c r="E494"/>
  <c r="D494"/>
  <c r="V492"/>
  <c r="U492"/>
  <c r="T492"/>
  <c r="S492"/>
  <c r="R492"/>
  <c r="Q492"/>
  <c r="P491"/>
  <c r="O491"/>
  <c r="N491"/>
  <c r="M491"/>
  <c r="L491"/>
  <c r="K491"/>
  <c r="J491"/>
  <c r="I491"/>
  <c r="H491"/>
  <c r="G491"/>
  <c r="F491"/>
  <c r="E491"/>
  <c r="D491"/>
  <c r="V489"/>
  <c r="U489"/>
  <c r="T489"/>
  <c r="S489"/>
  <c r="R489"/>
  <c r="Q489"/>
  <c r="P488"/>
  <c r="O488"/>
  <c r="N488"/>
  <c r="M488"/>
  <c r="L488"/>
  <c r="K488"/>
  <c r="J488"/>
  <c r="I488"/>
  <c r="H488"/>
  <c r="G488"/>
  <c r="F488"/>
  <c r="E488"/>
  <c r="D488"/>
  <c r="V486"/>
  <c r="U486"/>
  <c r="T486"/>
  <c r="S486"/>
  <c r="R486"/>
  <c r="Q486"/>
  <c r="P485"/>
  <c r="O485"/>
  <c r="N485"/>
  <c r="M485"/>
  <c r="L485"/>
  <c r="K485"/>
  <c r="J485"/>
  <c r="I485"/>
  <c r="H485"/>
  <c r="G485"/>
  <c r="F485"/>
  <c r="E485"/>
  <c r="D485"/>
  <c r="V483"/>
  <c r="U483"/>
  <c r="T483"/>
  <c r="S483"/>
  <c r="R483"/>
  <c r="Q483"/>
  <c r="P482"/>
  <c r="O482"/>
  <c r="N482"/>
  <c r="M482"/>
  <c r="L482"/>
  <c r="K482"/>
  <c r="J482"/>
  <c r="I482"/>
  <c r="H482"/>
  <c r="G482"/>
  <c r="F482"/>
  <c r="E482"/>
  <c r="D482"/>
  <c r="V480"/>
  <c r="U480"/>
  <c r="T480"/>
  <c r="S480"/>
  <c r="R480"/>
  <c r="Q480"/>
  <c r="P479"/>
  <c r="O479"/>
  <c r="N479"/>
  <c r="M479"/>
  <c r="L479"/>
  <c r="K479"/>
  <c r="J479"/>
  <c r="I479"/>
  <c r="H479"/>
  <c r="G479"/>
  <c r="F479"/>
  <c r="E479"/>
  <c r="D479"/>
  <c r="V477"/>
  <c r="U477"/>
  <c r="T477"/>
  <c r="S477"/>
  <c r="R477"/>
  <c r="Q477"/>
  <c r="P476"/>
  <c r="O476"/>
  <c r="N476"/>
  <c r="M476"/>
  <c r="L476"/>
  <c r="K476"/>
  <c r="J476"/>
  <c r="I476"/>
  <c r="H476"/>
  <c r="G476"/>
  <c r="F476"/>
  <c r="E476"/>
  <c r="D476"/>
  <c r="V474"/>
  <c r="U474"/>
  <c r="T474"/>
  <c r="S474"/>
  <c r="R474"/>
  <c r="Q474"/>
  <c r="P473"/>
  <c r="O473"/>
  <c r="N473"/>
  <c r="M473"/>
  <c r="L473"/>
  <c r="K473"/>
  <c r="J473"/>
  <c r="I473"/>
  <c r="H473"/>
  <c r="G473"/>
  <c r="F473"/>
  <c r="E473"/>
  <c r="D473"/>
  <c r="V471"/>
  <c r="U471"/>
  <c r="T471"/>
  <c r="S471"/>
  <c r="R471"/>
  <c r="Q471"/>
  <c r="P470"/>
  <c r="O470"/>
  <c r="N470"/>
  <c r="M470"/>
  <c r="L470"/>
  <c r="K470"/>
  <c r="J470"/>
  <c r="I470"/>
  <c r="H470"/>
  <c r="G470"/>
  <c r="F470"/>
  <c r="E470"/>
  <c r="D470"/>
  <c r="V468"/>
  <c r="U468"/>
  <c r="T468"/>
  <c r="S468"/>
  <c r="R468"/>
  <c r="Q468"/>
  <c r="P467"/>
  <c r="O467"/>
  <c r="N467"/>
  <c r="M467"/>
  <c r="L467"/>
  <c r="K467"/>
  <c r="J467"/>
  <c r="I467"/>
  <c r="H467"/>
  <c r="G467"/>
  <c r="F467"/>
  <c r="E467"/>
  <c r="D467"/>
  <c r="V465"/>
  <c r="U465"/>
  <c r="T465"/>
  <c r="S465"/>
  <c r="R465"/>
  <c r="Q465"/>
  <c r="P464"/>
  <c r="O464"/>
  <c r="N464"/>
  <c r="M464"/>
  <c r="L464"/>
  <c r="K464"/>
  <c r="J464"/>
  <c r="I464"/>
  <c r="H464"/>
  <c r="G464"/>
  <c r="F464"/>
  <c r="E464"/>
  <c r="D464"/>
  <c r="V462"/>
  <c r="U462"/>
  <c r="T462"/>
  <c r="S462"/>
  <c r="R462"/>
  <c r="Q462"/>
  <c r="P461"/>
  <c r="O461"/>
  <c r="N461"/>
  <c r="M461"/>
  <c r="L461"/>
  <c r="K461"/>
  <c r="J461"/>
  <c r="I461"/>
  <c r="H461"/>
  <c r="G461"/>
  <c r="F461"/>
  <c r="E461"/>
  <c r="D461"/>
  <c r="V459"/>
  <c r="U459"/>
  <c r="T459"/>
  <c r="S459"/>
  <c r="R459"/>
  <c r="Q459"/>
  <c r="P458"/>
  <c r="O458"/>
  <c r="N458"/>
  <c r="M458"/>
  <c r="L458"/>
  <c r="K458"/>
  <c r="J458"/>
  <c r="I458"/>
  <c r="H458"/>
  <c r="G458"/>
  <c r="F458"/>
  <c r="E458"/>
  <c r="D458"/>
  <c r="V456"/>
  <c r="U456"/>
  <c r="T456"/>
  <c r="S456"/>
  <c r="R456"/>
  <c r="Q456"/>
  <c r="P455"/>
  <c r="O455"/>
  <c r="N455"/>
  <c r="M455"/>
  <c r="L455"/>
  <c r="K455"/>
  <c r="J455"/>
  <c r="I455"/>
  <c r="H455"/>
  <c r="G455"/>
  <c r="F455"/>
  <c r="E455"/>
  <c r="D455"/>
  <c r="V453"/>
  <c r="U453"/>
  <c r="T453"/>
  <c r="S453"/>
  <c r="R453"/>
  <c r="Q453"/>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T282" s="1"/>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T198" s="1"/>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T30" s="1"/>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6" i="3"/>
  <c r="N6"/>
  <c r="N5"/>
  <c r="Q48" i="17" l="1"/>
  <c r="T138"/>
  <c r="S108"/>
  <c r="T144"/>
  <c r="T162"/>
  <c r="R72"/>
  <c r="Q93"/>
  <c r="T246"/>
  <c r="Q252"/>
  <c r="T270"/>
  <c r="Q276"/>
  <c r="T18"/>
  <c r="R24"/>
  <c r="S27"/>
  <c r="T66"/>
  <c r="T126"/>
  <c r="T174"/>
  <c r="S213"/>
  <c r="S225"/>
  <c r="S237"/>
  <c r="S261"/>
  <c r="Q297"/>
  <c r="Q405"/>
  <c r="R420"/>
  <c r="R444"/>
  <c r="R36"/>
  <c r="Q81"/>
  <c r="R132"/>
  <c r="Q153"/>
  <c r="T42"/>
  <c r="T54"/>
  <c r="S63"/>
  <c r="T102"/>
  <c r="T114"/>
  <c r="S123"/>
  <c r="S171"/>
  <c r="T186"/>
  <c r="S195"/>
  <c r="R288"/>
  <c r="T294"/>
  <c r="T321"/>
  <c r="Q339"/>
  <c r="T345"/>
  <c r="Q363"/>
  <c r="T369"/>
  <c r="Q387"/>
  <c r="T393"/>
  <c r="T120"/>
  <c r="S339"/>
  <c r="S363"/>
  <c r="S387"/>
  <c r="Q12"/>
  <c r="Q33"/>
  <c r="T36"/>
  <c r="S51"/>
  <c r="Q69"/>
  <c r="T72"/>
  <c r="T84"/>
  <c r="Q96"/>
  <c r="S111"/>
  <c r="Q129"/>
  <c r="T150"/>
  <c r="S159"/>
  <c r="Q189"/>
  <c r="Q204"/>
  <c r="T258"/>
  <c r="S267"/>
  <c r="Q321"/>
  <c r="S327"/>
  <c r="S330"/>
  <c r="S351"/>
  <c r="S354"/>
  <c r="S375"/>
  <c r="S378"/>
  <c r="S399"/>
  <c r="S402"/>
  <c r="T408"/>
  <c r="Q429"/>
  <c r="T432"/>
  <c r="U180" i="18"/>
  <c r="X453"/>
  <c r="V453"/>
  <c r="U453"/>
  <c r="Y453" s="1"/>
  <c r="S450" i="17"/>
  <c r="R450"/>
  <c r="T450"/>
  <c r="Q21"/>
  <c r="T24"/>
  <c r="Q45"/>
  <c r="T60"/>
  <c r="T78"/>
  <c r="T90"/>
  <c r="Q105"/>
  <c r="Q447"/>
  <c r="S447"/>
  <c r="Q450"/>
  <c r="S15"/>
  <c r="S39"/>
  <c r="Q57"/>
  <c r="S75"/>
  <c r="S87"/>
  <c r="S99"/>
  <c r="Q117"/>
  <c r="S135"/>
  <c r="R168"/>
  <c r="Q180"/>
  <c r="T210"/>
  <c r="S219"/>
  <c r="S231"/>
  <c r="S243"/>
  <c r="S285"/>
  <c r="Q288"/>
  <c r="U288" s="1"/>
  <c r="Q309"/>
  <c r="T312"/>
  <c r="U120" i="18"/>
  <c r="W342"/>
  <c r="W414"/>
  <c r="W426"/>
  <c r="W30"/>
  <c r="W57"/>
  <c r="W66"/>
  <c r="W69"/>
  <c r="V99"/>
  <c r="V111"/>
  <c r="W126"/>
  <c r="W129"/>
  <c r="V171"/>
  <c r="W186"/>
  <c r="W198"/>
  <c r="W210"/>
  <c r="W222"/>
  <c r="W234"/>
  <c r="W246"/>
  <c r="W258"/>
  <c r="W270"/>
  <c r="W282"/>
  <c r="W294"/>
  <c r="W306"/>
  <c r="W354"/>
  <c r="W363"/>
  <c r="V375"/>
  <c r="W390"/>
  <c r="V399"/>
  <c r="X474"/>
  <c r="X492"/>
  <c r="W450"/>
  <c r="W453"/>
  <c r="T132" i="17"/>
  <c r="S147"/>
  <c r="Q165"/>
  <c r="Q168"/>
  <c r="S183"/>
  <c r="S201"/>
  <c r="Q216"/>
  <c r="Q228"/>
  <c r="Q240"/>
  <c r="S255"/>
  <c r="S273"/>
  <c r="S291"/>
  <c r="S303"/>
  <c r="Q315"/>
  <c r="S315"/>
  <c r="R324"/>
  <c r="R348"/>
  <c r="R372"/>
  <c r="R396"/>
  <c r="S423"/>
  <c r="S426"/>
  <c r="W18" i="18"/>
  <c r="X21"/>
  <c r="U42"/>
  <c r="V51"/>
  <c r="W78"/>
  <c r="W81"/>
  <c r="V123"/>
  <c r="W138"/>
  <c r="W141"/>
  <c r="U156"/>
  <c r="Y156" s="1"/>
  <c r="Z156" s="1"/>
  <c r="V183"/>
  <c r="V195"/>
  <c r="V207"/>
  <c r="V219"/>
  <c r="V231"/>
  <c r="V243"/>
  <c r="V255"/>
  <c r="V267"/>
  <c r="V279"/>
  <c r="V291"/>
  <c r="V303"/>
  <c r="W378"/>
  <c r="W387"/>
  <c r="W402"/>
  <c r="W411"/>
  <c r="V423"/>
  <c r="X471"/>
  <c r="X489"/>
  <c r="X450"/>
  <c r="T447" i="17"/>
  <c r="Q141"/>
  <c r="Q156"/>
  <c r="Q177"/>
  <c r="Q192"/>
  <c r="S207"/>
  <c r="T222"/>
  <c r="T234"/>
  <c r="S249"/>
  <c r="Q264"/>
  <c r="S279"/>
  <c r="S306"/>
  <c r="Q333"/>
  <c r="T336"/>
  <c r="Q357"/>
  <c r="T360"/>
  <c r="Q381"/>
  <c r="T384"/>
  <c r="Q411"/>
  <c r="S411"/>
  <c r="T417"/>
  <c r="Q435"/>
  <c r="S435"/>
  <c r="T441"/>
  <c r="X12" i="18"/>
  <c r="V27"/>
  <c r="W45"/>
  <c r="U60"/>
  <c r="X63"/>
  <c r="V87"/>
  <c r="W102"/>
  <c r="W105"/>
  <c r="W114"/>
  <c r="W117"/>
  <c r="V147"/>
  <c r="V159"/>
  <c r="W174"/>
  <c r="W177"/>
  <c r="W330"/>
  <c r="W339"/>
  <c r="V351"/>
  <c r="R447" i="17"/>
  <c r="U447" s="1"/>
  <c r="V447" s="1"/>
  <c r="Y450" i="18"/>
  <c r="V450"/>
  <c r="R48" i="17"/>
  <c r="U48" s="1"/>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R342"/>
  <c r="T342"/>
  <c r="S348"/>
  <c r="R357"/>
  <c r="R366"/>
  <c r="T366"/>
  <c r="S372"/>
  <c r="R381"/>
  <c r="R390"/>
  <c r="T390"/>
  <c r="S396"/>
  <c r="R405"/>
  <c r="U405" s="1"/>
  <c r="R414"/>
  <c r="T414"/>
  <c r="S420"/>
  <c r="R429"/>
  <c r="U429" s="1"/>
  <c r="R438"/>
  <c r="T438"/>
  <c r="S444"/>
  <c r="W42" i="18"/>
  <c r="R12" i="17"/>
  <c r="R96"/>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U228"/>
  <c r="V228" s="1"/>
  <c r="R240"/>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S357"/>
  <c r="Q360"/>
  <c r="S369"/>
  <c r="Q372"/>
  <c r="U372" s="1"/>
  <c r="V372" s="1"/>
  <c r="S381"/>
  <c r="Q384"/>
  <c r="S393"/>
  <c r="Q396"/>
  <c r="U396" s="1"/>
  <c r="V396" s="1"/>
  <c r="S405"/>
  <c r="Q408"/>
  <c r="S417"/>
  <c r="Q420"/>
  <c r="S429"/>
  <c r="Q432"/>
  <c r="S441"/>
  <c r="Q444"/>
  <c r="U444" s="1"/>
  <c r="V444" s="1"/>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Y240" s="1"/>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Y372" s="1"/>
  <c r="Z372" s="1"/>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Y360" s="1"/>
  <c r="V396"/>
  <c r="U396"/>
  <c r="Y396" s="1"/>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Y108" s="1"/>
  <c r="Z108" s="1"/>
  <c r="X111"/>
  <c r="U114"/>
  <c r="V120"/>
  <c r="X123"/>
  <c r="U126"/>
  <c r="V132"/>
  <c r="X135"/>
  <c r="U138"/>
  <c r="V144"/>
  <c r="X147"/>
  <c r="U150"/>
  <c r="V156"/>
  <c r="X159"/>
  <c r="U162"/>
  <c r="V168"/>
  <c r="Y168" s="1"/>
  <c r="X171"/>
  <c r="U174"/>
  <c r="V180"/>
  <c r="X183"/>
  <c r="U186"/>
  <c r="V192"/>
  <c r="X195"/>
  <c r="U198"/>
  <c r="V204"/>
  <c r="X207"/>
  <c r="U210"/>
  <c r="V216"/>
  <c r="X219"/>
  <c r="U222"/>
  <c r="V228"/>
  <c r="X231"/>
  <c r="U234"/>
  <c r="V240"/>
  <c r="X243"/>
  <c r="U246"/>
  <c r="V252"/>
  <c r="X255"/>
  <c r="U258"/>
  <c r="V264"/>
  <c r="X267"/>
  <c r="U270"/>
  <c r="V276"/>
  <c r="X279"/>
  <c r="U282"/>
  <c r="V288"/>
  <c r="X291"/>
  <c r="U294"/>
  <c r="V300"/>
  <c r="X303"/>
  <c r="U306"/>
  <c r="V312"/>
  <c r="V321"/>
  <c r="X321"/>
  <c r="X324"/>
  <c r="W327"/>
  <c r="V336"/>
  <c r="V345"/>
  <c r="X345"/>
  <c r="X348"/>
  <c r="W351"/>
  <c r="V360"/>
  <c r="V369"/>
  <c r="X369"/>
  <c r="X372"/>
  <c r="W375"/>
  <c r="V384"/>
  <c r="V393"/>
  <c r="X393"/>
  <c r="X396"/>
  <c r="V408"/>
  <c r="V417"/>
  <c r="X417"/>
  <c r="X420"/>
  <c r="W423"/>
  <c r="V432"/>
  <c r="V441"/>
  <c r="X441"/>
  <c r="X444"/>
  <c r="W447"/>
  <c r="V12"/>
  <c r="Y12" s="1"/>
  <c r="Z12" s="1"/>
  <c r="X15"/>
  <c r="U18"/>
  <c r="W24"/>
  <c r="U27"/>
  <c r="Y27" s="1"/>
  <c r="Z27" s="1"/>
  <c r="W36"/>
  <c r="U39"/>
  <c r="W48"/>
  <c r="U51"/>
  <c r="Y51" s="1"/>
  <c r="Z51" s="1"/>
  <c r="W60"/>
  <c r="U63"/>
  <c r="Y63" s="1"/>
  <c r="W72"/>
  <c r="U75"/>
  <c r="Y75" s="1"/>
  <c r="W84"/>
  <c r="U87"/>
  <c r="W96"/>
  <c r="U99"/>
  <c r="Y99" s="1"/>
  <c r="W108"/>
  <c r="U111"/>
  <c r="Y111" s="1"/>
  <c r="W120"/>
  <c r="U123"/>
  <c r="Y123" s="1"/>
  <c r="W132"/>
  <c r="U135"/>
  <c r="Y135" s="1"/>
  <c r="W144"/>
  <c r="U147"/>
  <c r="Y147" s="1"/>
  <c r="W156"/>
  <c r="U159"/>
  <c r="Y159" s="1"/>
  <c r="W168"/>
  <c r="U171"/>
  <c r="Y171" s="1"/>
  <c r="W180"/>
  <c r="U183"/>
  <c r="W192"/>
  <c r="U195"/>
  <c r="Y195" s="1"/>
  <c r="Z195" s="1"/>
  <c r="W204"/>
  <c r="U207"/>
  <c r="Y207" s="1"/>
  <c r="W216"/>
  <c r="U219"/>
  <c r="Y219" s="1"/>
  <c r="Z219" s="1"/>
  <c r="W228"/>
  <c r="U231"/>
  <c r="W240"/>
  <c r="U243"/>
  <c r="Y243" s="1"/>
  <c r="Z243" s="1"/>
  <c r="W252"/>
  <c r="U255"/>
  <c r="Y255" s="1"/>
  <c r="W264"/>
  <c r="U267"/>
  <c r="Y267" s="1"/>
  <c r="Z267" s="1"/>
  <c r="W276"/>
  <c r="U279"/>
  <c r="W288"/>
  <c r="U291"/>
  <c r="Y291" s="1"/>
  <c r="Z291" s="1"/>
  <c r="W300"/>
  <c r="U303"/>
  <c r="Y303" s="1"/>
  <c r="W312"/>
  <c r="V315"/>
  <c r="W321"/>
  <c r="X327"/>
  <c r="U330"/>
  <c r="V339"/>
  <c r="W345"/>
  <c r="X351"/>
  <c r="U354"/>
  <c r="V363"/>
  <c r="W369"/>
  <c r="X375"/>
  <c r="U378"/>
  <c r="Y378" s="1"/>
  <c r="Z378" s="1"/>
  <c r="V387"/>
  <c r="W393"/>
  <c r="X399"/>
  <c r="U402"/>
  <c r="V411"/>
  <c r="W417"/>
  <c r="X423"/>
  <c r="U426"/>
  <c r="V435"/>
  <c r="W441"/>
  <c r="X465"/>
  <c r="X483"/>
  <c r="X486"/>
  <c r="X504"/>
  <c r="X447"/>
  <c r="X468"/>
  <c r="X495"/>
  <c r="X498"/>
  <c r="U315"/>
  <c r="W324"/>
  <c r="U327"/>
  <c r="Y327" s="1"/>
  <c r="W336"/>
  <c r="U339"/>
  <c r="W348"/>
  <c r="U351"/>
  <c r="Y351" s="1"/>
  <c r="Z351" s="1"/>
  <c r="W360"/>
  <c r="U363"/>
  <c r="W372"/>
  <c r="U375"/>
  <c r="Y375" s="1"/>
  <c r="Z375" s="1"/>
  <c r="W384"/>
  <c r="U387"/>
  <c r="W396"/>
  <c r="U399"/>
  <c r="Y399" s="1"/>
  <c r="W399"/>
  <c r="W408"/>
  <c r="U411"/>
  <c r="W420"/>
  <c r="U423"/>
  <c r="W432"/>
  <c r="U435"/>
  <c r="W444"/>
  <c r="U447"/>
  <c r="Y447" s="1"/>
  <c r="X459"/>
  <c r="X462"/>
  <c r="X480"/>
  <c r="X507"/>
  <c r="Y36"/>
  <c r="Z36" s="1"/>
  <c r="Y48"/>
  <c r="Y84"/>
  <c r="Z84" s="1"/>
  <c r="Y96"/>
  <c r="Y132"/>
  <c r="Z132" s="1"/>
  <c r="Y144"/>
  <c r="Y180"/>
  <c r="Z180" s="1"/>
  <c r="Y192"/>
  <c r="Y228"/>
  <c r="Z228" s="1"/>
  <c r="Y276"/>
  <c r="Z276" s="1"/>
  <c r="Y288"/>
  <c r="Y324"/>
  <c r="Y408"/>
  <c r="Y420"/>
  <c r="X18"/>
  <c r="U21"/>
  <c r="X30"/>
  <c r="U33"/>
  <c r="X42"/>
  <c r="U45"/>
  <c r="X54"/>
  <c r="U57"/>
  <c r="Y57" s="1"/>
  <c r="Z57" s="1"/>
  <c r="X66"/>
  <c r="U69"/>
  <c r="X78"/>
  <c r="U81"/>
  <c r="Y81" s="1"/>
  <c r="X90"/>
  <c r="U93"/>
  <c r="X102"/>
  <c r="U105"/>
  <c r="Y105" s="1"/>
  <c r="Z105" s="1"/>
  <c r="X114"/>
  <c r="U117"/>
  <c r="X126"/>
  <c r="U129"/>
  <c r="Y129" s="1"/>
  <c r="X138"/>
  <c r="U141"/>
  <c r="X150"/>
  <c r="U153"/>
  <c r="Y153" s="1"/>
  <c r="Z153" s="1"/>
  <c r="X162"/>
  <c r="U165"/>
  <c r="X174"/>
  <c r="U177"/>
  <c r="Y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X330"/>
  <c r="U333"/>
  <c r="Y333" s="1"/>
  <c r="X342"/>
  <c r="U345"/>
  <c r="Y345" s="1"/>
  <c r="Z345" s="1"/>
  <c r="X354"/>
  <c r="U357"/>
  <c r="Y357" s="1"/>
  <c r="X366"/>
  <c r="U369"/>
  <c r="Y369" s="1"/>
  <c r="Z369" s="1"/>
  <c r="X378"/>
  <c r="U381"/>
  <c r="X390"/>
  <c r="U393"/>
  <c r="X402"/>
  <c r="U405"/>
  <c r="Y405" s="1"/>
  <c r="X414"/>
  <c r="U417"/>
  <c r="X426"/>
  <c r="U429"/>
  <c r="X438"/>
  <c r="U441"/>
  <c r="V18"/>
  <c r="W21"/>
  <c r="V30"/>
  <c r="Y30" s="1"/>
  <c r="Z30" s="1"/>
  <c r="V42"/>
  <c r="V54"/>
  <c r="Y54" s="1"/>
  <c r="V66"/>
  <c r="V78"/>
  <c r="Y78" s="1"/>
  <c r="Z78" s="1"/>
  <c r="V90"/>
  <c r="V102"/>
  <c r="V114"/>
  <c r="V126"/>
  <c r="Y126" s="1"/>
  <c r="Z126" s="1"/>
  <c r="V138"/>
  <c r="V150"/>
  <c r="V162"/>
  <c r="V174"/>
  <c r="Y174" s="1"/>
  <c r="Z174" s="1"/>
  <c r="V186"/>
  <c r="V198"/>
  <c r="V210"/>
  <c r="V222"/>
  <c r="Y222" s="1"/>
  <c r="Z222" s="1"/>
  <c r="V234"/>
  <c r="V246"/>
  <c r="V258"/>
  <c r="V270"/>
  <c r="Y270" s="1"/>
  <c r="Z270" s="1"/>
  <c r="V282"/>
  <c r="V294"/>
  <c r="V306"/>
  <c r="V318"/>
  <c r="Y318" s="1"/>
  <c r="Z318" s="1"/>
  <c r="V330"/>
  <c r="V342"/>
  <c r="Y342" s="1"/>
  <c r="Z342" s="1"/>
  <c r="V354"/>
  <c r="V366"/>
  <c r="Y366" s="1"/>
  <c r="Z366" s="1"/>
  <c r="V378"/>
  <c r="V390"/>
  <c r="V402"/>
  <c r="V414"/>
  <c r="Y414" s="1"/>
  <c r="Z414" s="1"/>
  <c r="V426"/>
  <c r="V438"/>
  <c r="Y438" s="1"/>
  <c r="Z438" s="1"/>
  <c r="S12" i="17"/>
  <c r="T15"/>
  <c r="Q18"/>
  <c r="R21"/>
  <c r="S24"/>
  <c r="T27"/>
  <c r="Q30"/>
  <c r="R33"/>
  <c r="S36"/>
  <c r="T39"/>
  <c r="Q42"/>
  <c r="R45"/>
  <c r="S48"/>
  <c r="T51"/>
  <c r="Q54"/>
  <c r="R57"/>
  <c r="S60"/>
  <c r="T63"/>
  <c r="Q66"/>
  <c r="R69"/>
  <c r="S72"/>
  <c r="T75"/>
  <c r="Q78"/>
  <c r="R81"/>
  <c r="S84"/>
  <c r="T87"/>
  <c r="Q90"/>
  <c r="R93"/>
  <c r="S96"/>
  <c r="T99"/>
  <c r="Q102"/>
  <c r="R105"/>
  <c r="T111"/>
  <c r="Q114"/>
  <c r="R117"/>
  <c r="S120"/>
  <c r="T123"/>
  <c r="Q126"/>
  <c r="U126" s="1"/>
  <c r="R129"/>
  <c r="S132"/>
  <c r="T135"/>
  <c r="Q138"/>
  <c r="R141"/>
  <c r="S144"/>
  <c r="T147"/>
  <c r="Q150"/>
  <c r="R153"/>
  <c r="S156"/>
  <c r="T159"/>
  <c r="Q162"/>
  <c r="R165"/>
  <c r="U165" s="1"/>
  <c r="S168"/>
  <c r="T171"/>
  <c r="Q174"/>
  <c r="U174" s="1"/>
  <c r="R177"/>
  <c r="S180"/>
  <c r="T183"/>
  <c r="Q186"/>
  <c r="R189"/>
  <c r="S192"/>
  <c r="T195"/>
  <c r="Q198"/>
  <c r="R201"/>
  <c r="T207"/>
  <c r="Q210"/>
  <c r="S216"/>
  <c r="T219"/>
  <c r="Q222"/>
  <c r="R225"/>
  <c r="S228"/>
  <c r="T231"/>
  <c r="Q234"/>
  <c r="R237"/>
  <c r="T243"/>
  <c r="Q246"/>
  <c r="R249"/>
  <c r="T255"/>
  <c r="Q258"/>
  <c r="R261"/>
  <c r="T267"/>
  <c r="Q270"/>
  <c r="R273"/>
  <c r="T279"/>
  <c r="Q282"/>
  <c r="R285"/>
  <c r="T291"/>
  <c r="Q294"/>
  <c r="R297"/>
  <c r="T303"/>
  <c r="Q306"/>
  <c r="R309"/>
  <c r="S312"/>
  <c r="T315"/>
  <c r="Q318"/>
  <c r="S324"/>
  <c r="T327"/>
  <c r="Q330"/>
  <c r="U330" s="1"/>
  <c r="T339"/>
  <c r="Q342"/>
  <c r="T351"/>
  <c r="Q354"/>
  <c r="T363"/>
  <c r="Q366"/>
  <c r="T375"/>
  <c r="Q378"/>
  <c r="T387"/>
  <c r="Q390"/>
  <c r="T399"/>
  <c r="Q402"/>
  <c r="T411"/>
  <c r="Q414"/>
  <c r="T423"/>
  <c r="Q426"/>
  <c r="U426" s="1"/>
  <c r="T435"/>
  <c r="Q438"/>
  <c r="R15"/>
  <c r="T21"/>
  <c r="Q24"/>
  <c r="R27"/>
  <c r="S30"/>
  <c r="Q36"/>
  <c r="U36" s="1"/>
  <c r="V36" s="1"/>
  <c r="R39"/>
  <c r="U39" s="1"/>
  <c r="S42"/>
  <c r="T45"/>
  <c r="R51"/>
  <c r="S54"/>
  <c r="T57"/>
  <c r="Q60"/>
  <c r="R63"/>
  <c r="S66"/>
  <c r="Q72"/>
  <c r="U72" s="1"/>
  <c r="R75"/>
  <c r="T81"/>
  <c r="Q84"/>
  <c r="U84" s="1"/>
  <c r="R87"/>
  <c r="S90"/>
  <c r="T93"/>
  <c r="R99"/>
  <c r="S102"/>
  <c r="Q108"/>
  <c r="R111"/>
  <c r="U111" s="1"/>
  <c r="S114"/>
  <c r="Q120"/>
  <c r="R123"/>
  <c r="S126"/>
  <c r="T129"/>
  <c r="Q132"/>
  <c r="R135"/>
  <c r="U135" s="1"/>
  <c r="S138"/>
  <c r="Q144"/>
  <c r="R147"/>
  <c r="S150"/>
  <c r="T153"/>
  <c r="R159"/>
  <c r="S162"/>
  <c r="R171"/>
  <c r="S174"/>
  <c r="T177"/>
  <c r="R183"/>
  <c r="S186"/>
  <c r="T189"/>
  <c r="R195"/>
  <c r="R207"/>
  <c r="R219"/>
  <c r="U219" s="1"/>
  <c r="R231"/>
  <c r="R243"/>
  <c r="R255"/>
  <c r="R267"/>
  <c r="U267" s="1"/>
  <c r="R279"/>
  <c r="R291"/>
  <c r="R303"/>
  <c r="U303" s="1"/>
  <c r="R315"/>
  <c r="R327"/>
  <c r="U327" s="1"/>
  <c r="V327" s="1"/>
  <c r="R339"/>
  <c r="U339" s="1"/>
  <c r="R351"/>
  <c r="R363"/>
  <c r="R375"/>
  <c r="R387"/>
  <c r="U387" s="1"/>
  <c r="R399"/>
  <c r="R411"/>
  <c r="R423"/>
  <c r="U423" s="1"/>
  <c r="V423" s="1"/>
  <c r="R435"/>
  <c r="U297" l="1"/>
  <c r="U222"/>
  <c r="U180"/>
  <c r="U399"/>
  <c r="V399" s="1"/>
  <c r="U273"/>
  <c r="U162"/>
  <c r="U408"/>
  <c r="V408" s="1"/>
  <c r="U12"/>
  <c r="V12" s="1"/>
  <c r="U114"/>
  <c r="U108"/>
  <c r="V108" s="1"/>
  <c r="U231"/>
  <c r="V231" s="1"/>
  <c r="U51"/>
  <c r="V51" s="1"/>
  <c r="V426"/>
  <c r="U384"/>
  <c r="V384" s="1"/>
  <c r="U156"/>
  <c r="V156" s="1"/>
  <c r="U357"/>
  <c r="V357" s="1"/>
  <c r="U93"/>
  <c r="V93" s="1"/>
  <c r="U81"/>
  <c r="V81" s="1"/>
  <c r="U69"/>
  <c r="V69" s="1"/>
  <c r="U57"/>
  <c r="V57" s="1"/>
  <c r="U21"/>
  <c r="U321"/>
  <c r="V321" s="1"/>
  <c r="U276"/>
  <c r="V276" s="1"/>
  <c r="U279"/>
  <c r="V279" s="1"/>
  <c r="V111"/>
  <c r="U225"/>
  <c r="V225" s="1"/>
  <c r="U411"/>
  <c r="V411" s="1"/>
  <c r="U363"/>
  <c r="V363" s="1"/>
  <c r="V267"/>
  <c r="V219"/>
  <c r="U171"/>
  <c r="V171" s="1"/>
  <c r="V135"/>
  <c r="U75"/>
  <c r="V75" s="1"/>
  <c r="U60"/>
  <c r="V60" s="1"/>
  <c r="U15"/>
  <c r="V297"/>
  <c r="U282"/>
  <c r="V282" s="1"/>
  <c r="U249"/>
  <c r="V249" s="1"/>
  <c r="U234"/>
  <c r="V234" s="1"/>
  <c r="V222"/>
  <c r="V303"/>
  <c r="U207"/>
  <c r="V207" s="1"/>
  <c r="U183"/>
  <c r="V183" s="1"/>
  <c r="U147"/>
  <c r="V147" s="1"/>
  <c r="U132"/>
  <c r="V132" s="1"/>
  <c r="U87"/>
  <c r="V87" s="1"/>
  <c r="U438"/>
  <c r="V438" s="1"/>
  <c r="U414"/>
  <c r="V414" s="1"/>
  <c r="U390"/>
  <c r="V390" s="1"/>
  <c r="U366"/>
  <c r="V366" s="1"/>
  <c r="U342"/>
  <c r="V342" s="1"/>
  <c r="U201"/>
  <c r="U189"/>
  <c r="V189" s="1"/>
  <c r="U78"/>
  <c r="V78" s="1"/>
  <c r="U66"/>
  <c r="V66" s="1"/>
  <c r="U42"/>
  <c r="V42" s="1"/>
  <c r="U420"/>
  <c r="V420" s="1"/>
  <c r="U348"/>
  <c r="V348" s="1"/>
  <c r="U300"/>
  <c r="V300" s="1"/>
  <c r="V288"/>
  <c r="U240"/>
  <c r="U204"/>
  <c r="U315"/>
  <c r="V315" s="1"/>
  <c r="V15"/>
  <c r="U105"/>
  <c r="V105" s="1"/>
  <c r="U45"/>
  <c r="V45" s="1"/>
  <c r="U33"/>
  <c r="V33" s="1"/>
  <c r="V21"/>
  <c r="U450"/>
  <c r="V450" s="1"/>
  <c r="U309"/>
  <c r="U261"/>
  <c r="V261" s="1"/>
  <c r="V201"/>
  <c r="V165"/>
  <c r="U129"/>
  <c r="V129" s="1"/>
  <c r="U30"/>
  <c r="U264"/>
  <c r="V264" s="1"/>
  <c r="U168"/>
  <c r="V168" s="1"/>
  <c r="U96"/>
  <c r="V96" s="1"/>
  <c r="U120"/>
  <c r="V120" s="1"/>
  <c r="U294"/>
  <c r="V294" s="1"/>
  <c r="U246"/>
  <c r="V246" s="1"/>
  <c r="U177"/>
  <c r="V177" s="1"/>
  <c r="U153"/>
  <c r="V153" s="1"/>
  <c r="U90"/>
  <c r="V339"/>
  <c r="U144"/>
  <c r="U24"/>
  <c r="V24" s="1"/>
  <c r="U306"/>
  <c r="V306" s="1"/>
  <c r="U192"/>
  <c r="V192" s="1"/>
  <c r="V309"/>
  <c r="Z453" i="18"/>
  <c r="Z405"/>
  <c r="Y411"/>
  <c r="Z411" s="1"/>
  <c r="Y312"/>
  <c r="Z312" s="1"/>
  <c r="Y216"/>
  <c r="Z216" s="1"/>
  <c r="Z168"/>
  <c r="Z72"/>
  <c r="Z24"/>
  <c r="V429" i="17"/>
  <c r="U435"/>
  <c r="V435" s="1"/>
  <c r="V387"/>
  <c r="U291"/>
  <c r="V291" s="1"/>
  <c r="U243"/>
  <c r="V243" s="1"/>
  <c r="V39"/>
  <c r="U318"/>
  <c r="V318" s="1"/>
  <c r="V273"/>
  <c r="U198"/>
  <c r="V198" s="1"/>
  <c r="U186"/>
  <c r="V186" s="1"/>
  <c r="U138"/>
  <c r="V138" s="1"/>
  <c r="Y387" i="18"/>
  <c r="Z387" s="1"/>
  <c r="Y363"/>
  <c r="Z363" s="1"/>
  <c r="Y339"/>
  <c r="Z339" s="1"/>
  <c r="Y315"/>
  <c r="Z315" s="1"/>
  <c r="Y279"/>
  <c r="Y231"/>
  <c r="Y183"/>
  <c r="Z183" s="1"/>
  <c r="Z159"/>
  <c r="Z135"/>
  <c r="Z111"/>
  <c r="Y87"/>
  <c r="Z87" s="1"/>
  <c r="Z63"/>
  <c r="Y384"/>
  <c r="Z384" s="1"/>
  <c r="Z396"/>
  <c r="Y336"/>
  <c r="Z336" s="1"/>
  <c r="Y348"/>
  <c r="Z348" s="1"/>
  <c r="Y300"/>
  <c r="Z300" s="1"/>
  <c r="Y252"/>
  <c r="Z252" s="1"/>
  <c r="Y204"/>
  <c r="Z204" s="1"/>
  <c r="Z60"/>
  <c r="U255" i="17"/>
  <c r="V255" s="1"/>
  <c r="U381"/>
  <c r="V381" s="1"/>
  <c r="U333"/>
  <c r="V333" s="1"/>
  <c r="V180"/>
  <c r="U141"/>
  <c r="V141" s="1"/>
  <c r="U117"/>
  <c r="V117" s="1"/>
  <c r="Y435" i="18"/>
  <c r="Z435" s="1"/>
  <c r="Y432"/>
  <c r="Z432" s="1"/>
  <c r="Y264"/>
  <c r="Z264" s="1"/>
  <c r="Y120"/>
  <c r="Z120" s="1"/>
  <c r="Y444"/>
  <c r="Z444" s="1"/>
  <c r="U324" i="17"/>
  <c r="U123"/>
  <c r="V123" s="1"/>
  <c r="U351"/>
  <c r="V351" s="1"/>
  <c r="U375"/>
  <c r="V375" s="1"/>
  <c r="U402"/>
  <c r="V402" s="1"/>
  <c r="V330"/>
  <c r="U285"/>
  <c r="V285" s="1"/>
  <c r="U270"/>
  <c r="U237"/>
  <c r="V237" s="1"/>
  <c r="U210"/>
  <c r="V210" s="1"/>
  <c r="V48"/>
  <c r="Y426" i="18"/>
  <c r="Z426" s="1"/>
  <c r="Y330"/>
  <c r="Z330" s="1"/>
  <c r="Y282"/>
  <c r="Z282" s="1"/>
  <c r="Y234"/>
  <c r="Z234" s="1"/>
  <c r="Y186"/>
  <c r="Z186" s="1"/>
  <c r="Y138"/>
  <c r="Z138" s="1"/>
  <c r="Y90"/>
  <c r="Z90" s="1"/>
  <c r="Y42"/>
  <c r="Z42" s="1"/>
  <c r="Y441"/>
  <c r="Z441" s="1"/>
  <c r="Y417"/>
  <c r="Z417" s="1"/>
  <c r="Y393"/>
  <c r="Z393" s="1"/>
  <c r="Y321"/>
  <c r="Z321" s="1"/>
  <c r="Z177"/>
  <c r="Z129"/>
  <c r="Z81"/>
  <c r="Y33"/>
  <c r="Z33" s="1"/>
  <c r="Z420"/>
  <c r="Z324"/>
  <c r="Y423"/>
  <c r="Z423" s="1"/>
  <c r="U360" i="17"/>
  <c r="V360" s="1"/>
  <c r="U312"/>
  <c r="V312" s="1"/>
  <c r="V240"/>
  <c r="Z450" i="18"/>
  <c r="U393" i="17"/>
  <c r="V393" s="1"/>
  <c r="U27"/>
  <c r="V27" s="1"/>
  <c r="U102"/>
  <c r="V102" s="1"/>
  <c r="U54"/>
  <c r="V54" s="1"/>
  <c r="Z360" i="18"/>
  <c r="Z303"/>
  <c r="Z231"/>
  <c r="V252" i="17"/>
  <c r="U369"/>
  <c r="V369" s="1"/>
  <c r="U213"/>
  <c r="V213" s="1"/>
  <c r="V324"/>
  <c r="U18"/>
  <c r="V18" s="1"/>
  <c r="Z408" i="18"/>
  <c r="Z447"/>
  <c r="Z255"/>
  <c r="U195" i="17"/>
  <c r="V195" s="1"/>
  <c r="U159"/>
  <c r="V159" s="1"/>
  <c r="V144"/>
  <c r="U99"/>
  <c r="V99" s="1"/>
  <c r="U258"/>
  <c r="V258" s="1"/>
  <c r="V216"/>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399"/>
  <c r="Z327"/>
  <c r="Z15"/>
  <c r="U432" i="17"/>
  <c r="V432" s="1"/>
  <c r="U336"/>
  <c r="V336" s="1"/>
  <c r="U441"/>
  <c r="V441" s="1"/>
  <c r="U345"/>
  <c r="V345" s="1"/>
  <c r="Z279" i="18"/>
  <c r="Z207"/>
  <c r="Y39"/>
  <c r="Z39" s="1"/>
  <c r="U63" i="17"/>
  <c r="V63" s="1"/>
  <c r="U378"/>
  <c r="V378" s="1"/>
  <c r="U354"/>
  <c r="V354" s="1"/>
  <c r="V270"/>
  <c r="Y390" i="18"/>
  <c r="Z390" s="1"/>
  <c r="Y294"/>
  <c r="Z294" s="1"/>
  <c r="Y246"/>
  <c r="Z246" s="1"/>
  <c r="Y198"/>
  <c r="Z198" s="1"/>
  <c r="Y150"/>
  <c r="Z150" s="1"/>
  <c r="Y102"/>
  <c r="Z102" s="1"/>
  <c r="Z54"/>
  <c r="Y18"/>
  <c r="Z18" s="1"/>
  <c r="Z288"/>
  <c r="Z240"/>
  <c r="Z192"/>
  <c r="Z144"/>
  <c r="Z96"/>
  <c r="Z48"/>
  <c r="Z171"/>
  <c r="Z147"/>
  <c r="Z123"/>
  <c r="Z99"/>
  <c r="Z75"/>
  <c r="V405" i="17"/>
  <c r="U417"/>
  <c r="V417" s="1"/>
  <c r="V204"/>
  <c r="Z21" i="18"/>
  <c r="V114" i="17"/>
  <c r="V72"/>
  <c r="V90"/>
  <c r="V30"/>
  <c r="V84"/>
  <c r="V174"/>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s="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M41"/>
  <c r="L41"/>
  <c r="L42" s="1"/>
  <c r="K43" s="1"/>
  <c r="K41"/>
  <c r="K44" s="1"/>
  <c r="I41"/>
  <c r="I44" s="1"/>
  <c r="H41"/>
  <c r="H42" s="1"/>
  <c r="G43" s="1"/>
  <c r="G41"/>
  <c r="D41"/>
  <c r="C41"/>
  <c r="C42" s="1"/>
  <c r="B41"/>
  <c r="Q40"/>
  <c r="Q42" s="1"/>
  <c r="M40"/>
  <c r="M42" s="1"/>
  <c r="I40"/>
  <c r="I42" s="1"/>
  <c r="I43" s="1"/>
  <c r="D40"/>
  <c r="D42" s="1"/>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O44"/>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<sst xmlns="http://schemas.openxmlformats.org/spreadsheetml/2006/main" count="2294" uniqueCount="266">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</sst>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8">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39" fillId="0" borderId="0" xfId="0" applyFont="1" applyFill="1" applyBorder="1" applyAlignment="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0" t="s">
        <v>11</v>
      </c>
      <c r="B1" s="421"/>
      <c r="C1" s="421"/>
      <c r="D1" s="421"/>
      <c r="E1" s="421"/>
      <c r="F1" s="421"/>
      <c r="G1" s="42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3" t="s">
        <v>15</v>
      </c>
      <c r="G3" s="424"/>
      <c r="H3" s="12"/>
      <c r="I3" s="12"/>
      <c r="J3" s="12"/>
      <c r="K3" s="12"/>
      <c r="L3" s="12"/>
      <c r="M3" s="12"/>
      <c r="N3" s="12"/>
      <c r="O3" s="12"/>
      <c r="P3" s="12"/>
      <c r="Q3" s="12"/>
      <c r="R3" s="12"/>
      <c r="S3" s="12"/>
      <c r="T3" s="13"/>
    </row>
    <row r="4" spans="1:20">
      <c r="A4" s="10" t="s">
        <v>16</v>
      </c>
      <c r="B4" s="11"/>
      <c r="C4" s="6"/>
      <c r="D4" s="6"/>
      <c r="E4" s="6"/>
      <c r="F4" s="423" t="s">
        <v>17</v>
      </c>
      <c r="G4" s="42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6"/>
      <c r="B13" s="24" t="s">
        <v>32</v>
      </c>
      <c r="C13" s="25"/>
      <c r="D13" s="24" t="s">
        <v>33</v>
      </c>
      <c r="E13" s="26"/>
      <c r="F13" s="419"/>
      <c r="G13" s="27"/>
      <c r="H13" s="28"/>
      <c r="I13" s="29"/>
      <c r="J13" s="28"/>
      <c r="K13" s="28"/>
      <c r="L13" s="28"/>
      <c r="M13" s="28"/>
      <c r="N13" s="28"/>
      <c r="O13" s="28"/>
      <c r="P13" s="28"/>
      <c r="Q13" s="28"/>
      <c r="R13" s="28"/>
      <c r="S13" s="28"/>
      <c r="T13" s="13"/>
    </row>
    <row r="14" spans="1:20">
      <c r="A14" s="417"/>
      <c r="B14" s="24" t="s">
        <v>34</v>
      </c>
      <c r="C14" s="25"/>
      <c r="D14" s="24" t="s">
        <v>33</v>
      </c>
      <c r="E14" s="26"/>
      <c r="F14" s="419"/>
      <c r="G14" s="27"/>
      <c r="H14" s="28"/>
      <c r="I14" s="29"/>
      <c r="J14" s="28"/>
      <c r="K14" s="28"/>
      <c r="L14" s="28"/>
      <c r="M14" s="28"/>
      <c r="N14" s="28"/>
      <c r="O14" s="28"/>
      <c r="P14" s="28"/>
      <c r="Q14" s="28"/>
      <c r="R14" s="28"/>
      <c r="S14" s="28"/>
      <c r="T14" s="13"/>
    </row>
    <row r="15" spans="1:20">
      <c r="A15" s="417"/>
      <c r="B15" s="24" t="s">
        <v>35</v>
      </c>
      <c r="C15" s="25"/>
      <c r="D15" s="24" t="s">
        <v>33</v>
      </c>
      <c r="E15" s="26"/>
      <c r="F15" s="419"/>
      <c r="G15" s="27"/>
      <c r="H15" s="28"/>
      <c r="I15" s="29"/>
      <c r="J15" s="28"/>
      <c r="K15" s="28"/>
      <c r="L15" s="28"/>
      <c r="M15" s="28"/>
      <c r="N15" s="28"/>
      <c r="O15" s="28"/>
      <c r="P15" s="28"/>
      <c r="Q15" s="28"/>
      <c r="R15" s="28"/>
      <c r="S15" s="28"/>
      <c r="T15" s="13"/>
    </row>
    <row r="16" spans="1:20">
      <c r="A16" s="417"/>
      <c r="B16" s="24" t="s">
        <v>36</v>
      </c>
      <c r="C16" s="25"/>
      <c r="D16" s="24" t="s">
        <v>33</v>
      </c>
      <c r="E16" s="26"/>
      <c r="F16" s="419"/>
      <c r="G16" s="27"/>
      <c r="H16" s="28"/>
      <c r="I16" s="29"/>
      <c r="J16" s="28"/>
      <c r="K16" s="28"/>
      <c r="L16" s="28"/>
      <c r="M16" s="28"/>
      <c r="N16" s="28"/>
      <c r="O16" s="28"/>
      <c r="P16" s="28"/>
      <c r="Q16" s="28"/>
      <c r="R16" s="28"/>
      <c r="S16" s="28"/>
      <c r="T16" s="13"/>
    </row>
    <row r="17" spans="1:20">
      <c r="A17" s="418"/>
      <c r="B17" s="24" t="s">
        <v>37</v>
      </c>
      <c r="C17" s="25"/>
      <c r="D17" s="24" t="s">
        <v>33</v>
      </c>
      <c r="E17" s="26"/>
      <c r="F17" s="419"/>
      <c r="G17" s="27"/>
      <c r="H17" s="28"/>
      <c r="I17" s="29"/>
      <c r="J17" s="28"/>
      <c r="K17" s="28"/>
      <c r="L17" s="28"/>
      <c r="M17" s="28"/>
      <c r="N17" s="28"/>
      <c r="O17" s="28"/>
      <c r="P17" s="28"/>
      <c r="Q17" s="28"/>
      <c r="R17" s="28"/>
      <c r="S17" s="28"/>
      <c r="T17" s="13"/>
    </row>
    <row r="18" spans="1:20">
      <c r="A18" s="416"/>
      <c r="B18" s="24" t="s">
        <v>32</v>
      </c>
      <c r="C18" s="25"/>
      <c r="D18" s="24" t="s">
        <v>33</v>
      </c>
      <c r="E18" s="26"/>
      <c r="F18" s="419"/>
      <c r="G18" s="27"/>
    </row>
    <row r="19" spans="1:20">
      <c r="A19" s="417"/>
      <c r="B19" s="24" t="s">
        <v>34</v>
      </c>
      <c r="C19" s="25"/>
      <c r="D19" s="24" t="s">
        <v>33</v>
      </c>
      <c r="E19" s="26"/>
      <c r="F19" s="419"/>
      <c r="G19" s="27"/>
    </row>
    <row r="20" spans="1:20">
      <c r="A20" s="417"/>
      <c r="B20" s="24" t="s">
        <v>35</v>
      </c>
      <c r="C20" s="25"/>
      <c r="D20" s="24" t="s">
        <v>33</v>
      </c>
      <c r="E20" s="26"/>
      <c r="F20" s="419"/>
      <c r="G20" s="27"/>
    </row>
    <row r="21" spans="1:20">
      <c r="A21" s="417"/>
      <c r="B21" s="24" t="s">
        <v>36</v>
      </c>
      <c r="C21" s="25"/>
      <c r="D21" s="24" t="s">
        <v>33</v>
      </c>
      <c r="E21" s="26"/>
      <c r="F21" s="419"/>
      <c r="G21" s="27"/>
    </row>
    <row r="22" spans="1:20">
      <c r="A22" s="418"/>
      <c r="B22" s="24" t="s">
        <v>37</v>
      </c>
      <c r="C22" s="25"/>
      <c r="D22" s="24" t="s">
        <v>33</v>
      </c>
      <c r="E22" s="26"/>
      <c r="F22" s="419"/>
      <c r="G22" s="27"/>
    </row>
    <row r="23" spans="1:20">
      <c r="A23" s="416"/>
      <c r="B23" s="24" t="s">
        <v>32</v>
      </c>
      <c r="C23" s="25"/>
      <c r="D23" s="24" t="s">
        <v>33</v>
      </c>
      <c r="E23" s="26"/>
      <c r="F23" s="419"/>
      <c r="G23" s="27"/>
    </row>
    <row r="24" spans="1:20">
      <c r="A24" s="417"/>
      <c r="B24" s="24" t="s">
        <v>34</v>
      </c>
      <c r="C24" s="25"/>
      <c r="D24" s="24" t="s">
        <v>33</v>
      </c>
      <c r="E24" s="26"/>
      <c r="F24" s="419"/>
      <c r="G24" s="27"/>
    </row>
    <row r="25" spans="1:20">
      <c r="A25" s="417"/>
      <c r="B25" s="24" t="s">
        <v>35</v>
      </c>
      <c r="C25" s="25"/>
      <c r="D25" s="24" t="s">
        <v>33</v>
      </c>
      <c r="E25" s="26"/>
      <c r="F25" s="419"/>
      <c r="G25" s="27"/>
    </row>
    <row r="26" spans="1:20">
      <c r="A26" s="417"/>
      <c r="B26" s="24" t="s">
        <v>36</v>
      </c>
      <c r="C26" s="25"/>
      <c r="D26" s="24" t="s">
        <v>33</v>
      </c>
      <c r="E26" s="26"/>
      <c r="F26" s="419"/>
      <c r="G26" s="27"/>
    </row>
    <row r="27" spans="1:20">
      <c r="A27" s="418"/>
      <c r="B27" s="24" t="s">
        <v>37</v>
      </c>
      <c r="C27" s="25"/>
      <c r="D27" s="24" t="s">
        <v>33</v>
      </c>
      <c r="E27" s="26"/>
      <c r="F27" s="419"/>
      <c r="G27" s="27"/>
    </row>
    <row r="28" spans="1:20">
      <c r="A28" s="416"/>
      <c r="B28" s="24" t="s">
        <v>32</v>
      </c>
      <c r="C28" s="25"/>
      <c r="D28" s="24" t="s">
        <v>33</v>
      </c>
      <c r="E28" s="26"/>
      <c r="F28" s="419"/>
      <c r="G28" s="27"/>
    </row>
    <row r="29" spans="1:20">
      <c r="A29" s="417"/>
      <c r="B29" s="24" t="s">
        <v>34</v>
      </c>
      <c r="C29" s="25"/>
      <c r="D29" s="24" t="s">
        <v>33</v>
      </c>
      <c r="E29" s="26"/>
      <c r="F29" s="419"/>
      <c r="G29" s="27"/>
    </row>
    <row r="30" spans="1:20">
      <c r="A30" s="417"/>
      <c r="B30" s="24" t="s">
        <v>35</v>
      </c>
      <c r="C30" s="25"/>
      <c r="D30" s="24" t="s">
        <v>33</v>
      </c>
      <c r="E30" s="26"/>
      <c r="F30" s="419"/>
      <c r="G30" s="27"/>
    </row>
    <row r="31" spans="1:20">
      <c r="A31" s="417"/>
      <c r="B31" s="24" t="s">
        <v>36</v>
      </c>
      <c r="C31" s="25"/>
      <c r="D31" s="24" t="s">
        <v>33</v>
      </c>
      <c r="E31" s="26"/>
      <c r="F31" s="419"/>
      <c r="G31" s="27"/>
    </row>
    <row r="32" spans="1:20">
      <c r="A32" s="418"/>
      <c r="B32" s="24" t="s">
        <v>37</v>
      </c>
      <c r="C32" s="25"/>
      <c r="D32" s="24" t="s">
        <v>33</v>
      </c>
      <c r="E32" s="26"/>
      <c r="F32" s="419"/>
      <c r="G32" s="27"/>
    </row>
    <row r="33" spans="1:7">
      <c r="A33" s="416"/>
      <c r="B33" s="24" t="s">
        <v>32</v>
      </c>
      <c r="C33" s="25"/>
      <c r="D33" s="24" t="s">
        <v>33</v>
      </c>
      <c r="E33" s="26"/>
      <c r="F33" s="419"/>
      <c r="G33" s="27"/>
    </row>
    <row r="34" spans="1:7">
      <c r="A34" s="417"/>
      <c r="B34" s="24" t="s">
        <v>34</v>
      </c>
      <c r="C34" s="25"/>
      <c r="D34" s="24" t="s">
        <v>33</v>
      </c>
      <c r="E34" s="26"/>
      <c r="F34" s="419"/>
      <c r="G34" s="27"/>
    </row>
    <row r="35" spans="1:7">
      <c r="A35" s="417"/>
      <c r="B35" s="24" t="s">
        <v>35</v>
      </c>
      <c r="C35" s="25"/>
      <c r="D35" s="24" t="s">
        <v>33</v>
      </c>
      <c r="E35" s="26"/>
      <c r="F35" s="419"/>
      <c r="G35" s="27"/>
    </row>
    <row r="36" spans="1:7">
      <c r="A36" s="417"/>
      <c r="B36" s="24" t="s">
        <v>36</v>
      </c>
      <c r="C36" s="25"/>
      <c r="D36" s="24" t="s">
        <v>33</v>
      </c>
      <c r="E36" s="26"/>
      <c r="F36" s="419"/>
      <c r="G36" s="27"/>
    </row>
    <row r="37" spans="1:7">
      <c r="A37" s="418"/>
      <c r="B37" s="24" t="s">
        <v>37</v>
      </c>
      <c r="C37" s="25"/>
      <c r="D37" s="24" t="s">
        <v>33</v>
      </c>
      <c r="E37" s="26"/>
      <c r="F37" s="419"/>
      <c r="G37" s="27"/>
    </row>
    <row r="38" spans="1:7">
      <c r="A38" s="416"/>
      <c r="B38" s="24" t="s">
        <v>32</v>
      </c>
      <c r="C38" s="25"/>
      <c r="D38" s="24" t="s">
        <v>33</v>
      </c>
      <c r="E38" s="26"/>
      <c r="F38" s="419"/>
      <c r="G38" s="27"/>
    </row>
    <row r="39" spans="1:7">
      <c r="A39" s="417"/>
      <c r="B39" s="24" t="s">
        <v>34</v>
      </c>
      <c r="C39" s="25"/>
      <c r="D39" s="24" t="s">
        <v>33</v>
      </c>
      <c r="E39" s="26"/>
      <c r="F39" s="419"/>
      <c r="G39" s="27"/>
    </row>
    <row r="40" spans="1:7">
      <c r="A40" s="417"/>
      <c r="B40" s="24" t="s">
        <v>35</v>
      </c>
      <c r="C40" s="25"/>
      <c r="D40" s="24" t="s">
        <v>33</v>
      </c>
      <c r="E40" s="26"/>
      <c r="F40" s="419"/>
      <c r="G40" s="27"/>
    </row>
    <row r="41" spans="1:7">
      <c r="A41" s="417"/>
      <c r="B41" s="24" t="s">
        <v>36</v>
      </c>
      <c r="C41" s="25"/>
      <c r="D41" s="24" t="s">
        <v>33</v>
      </c>
      <c r="E41" s="26"/>
      <c r="F41" s="419"/>
      <c r="G41" s="27"/>
    </row>
    <row r="42" spans="1:7">
      <c r="A42" s="418"/>
      <c r="B42" s="24" t="s">
        <v>37</v>
      </c>
      <c r="C42" s="25"/>
      <c r="D42" s="24" t="s">
        <v>33</v>
      </c>
      <c r="E42" s="26"/>
      <c r="F42" s="419"/>
      <c r="G42" s="27"/>
    </row>
    <row r="43" spans="1:7">
      <c r="A43" s="416"/>
      <c r="B43" s="24" t="s">
        <v>32</v>
      </c>
      <c r="C43" s="25"/>
      <c r="D43" s="24" t="s">
        <v>33</v>
      </c>
      <c r="E43" s="26"/>
      <c r="F43" s="419"/>
      <c r="G43" s="27"/>
    </row>
    <row r="44" spans="1:7">
      <c r="A44" s="417"/>
      <c r="B44" s="24" t="s">
        <v>34</v>
      </c>
      <c r="C44" s="25"/>
      <c r="D44" s="24" t="s">
        <v>33</v>
      </c>
      <c r="E44" s="26"/>
      <c r="F44" s="419"/>
      <c r="G44" s="27"/>
    </row>
    <row r="45" spans="1:7">
      <c r="A45" s="417"/>
      <c r="B45" s="24" t="s">
        <v>35</v>
      </c>
      <c r="C45" s="25"/>
      <c r="D45" s="24" t="s">
        <v>33</v>
      </c>
      <c r="E45" s="26"/>
      <c r="F45" s="419"/>
      <c r="G45" s="27"/>
    </row>
    <row r="46" spans="1:7">
      <c r="A46" s="417"/>
      <c r="B46" s="24" t="s">
        <v>36</v>
      </c>
      <c r="C46" s="25"/>
      <c r="D46" s="24" t="s">
        <v>33</v>
      </c>
      <c r="E46" s="26"/>
      <c r="F46" s="419"/>
      <c r="G46" s="27"/>
    </row>
    <row r="47" spans="1:7">
      <c r="A47" s="418"/>
      <c r="B47" s="24" t="s">
        <v>37</v>
      </c>
      <c r="C47" s="25"/>
      <c r="D47" s="24" t="s">
        <v>33</v>
      </c>
      <c r="E47" s="26"/>
      <c r="F47" s="419"/>
      <c r="G47" s="27"/>
    </row>
    <row r="48" spans="1:7">
      <c r="A48" s="416"/>
      <c r="B48" s="24" t="s">
        <v>32</v>
      </c>
      <c r="C48" s="25"/>
      <c r="D48" s="24" t="s">
        <v>33</v>
      </c>
      <c r="E48" s="26"/>
      <c r="F48" s="419"/>
      <c r="G48" s="27"/>
    </row>
    <row r="49" spans="1:7">
      <c r="A49" s="417"/>
      <c r="B49" s="24" t="s">
        <v>34</v>
      </c>
      <c r="C49" s="25"/>
      <c r="D49" s="24" t="s">
        <v>33</v>
      </c>
      <c r="E49" s="26"/>
      <c r="F49" s="419"/>
      <c r="G49" s="27"/>
    </row>
    <row r="50" spans="1:7">
      <c r="A50" s="417"/>
      <c r="B50" s="24" t="s">
        <v>35</v>
      </c>
      <c r="C50" s="25"/>
      <c r="D50" s="24" t="s">
        <v>33</v>
      </c>
      <c r="E50" s="26"/>
      <c r="F50" s="419"/>
      <c r="G50" s="27"/>
    </row>
    <row r="51" spans="1:7">
      <c r="A51" s="417"/>
      <c r="B51" s="24" t="s">
        <v>36</v>
      </c>
      <c r="C51" s="25"/>
      <c r="D51" s="24" t="s">
        <v>33</v>
      </c>
      <c r="E51" s="26"/>
      <c r="F51" s="419"/>
      <c r="G51" s="27"/>
    </row>
    <row r="52" spans="1:7">
      <c r="A52" s="418"/>
      <c r="B52" s="24" t="s">
        <v>37</v>
      </c>
      <c r="C52" s="25"/>
      <c r="D52" s="24" t="s">
        <v>33</v>
      </c>
      <c r="E52" s="26"/>
      <c r="F52" s="419"/>
      <c r="G52" s="27"/>
    </row>
    <row r="53" spans="1:7">
      <c r="A53" s="416"/>
      <c r="B53" s="24" t="s">
        <v>32</v>
      </c>
      <c r="C53" s="25"/>
      <c r="D53" s="24" t="s">
        <v>33</v>
      </c>
      <c r="E53" s="26"/>
      <c r="F53" s="419"/>
      <c r="G53" s="27"/>
    </row>
    <row r="54" spans="1:7">
      <c r="A54" s="417"/>
      <c r="B54" s="24" t="s">
        <v>34</v>
      </c>
      <c r="C54" s="25"/>
      <c r="D54" s="24" t="s">
        <v>33</v>
      </c>
      <c r="E54" s="26"/>
      <c r="F54" s="419"/>
      <c r="G54" s="27"/>
    </row>
    <row r="55" spans="1:7">
      <c r="A55" s="417"/>
      <c r="B55" s="24" t="s">
        <v>35</v>
      </c>
      <c r="C55" s="25"/>
      <c r="D55" s="24" t="s">
        <v>33</v>
      </c>
      <c r="E55" s="26"/>
      <c r="F55" s="419"/>
      <c r="G55" s="27"/>
    </row>
    <row r="56" spans="1:7">
      <c r="A56" s="417"/>
      <c r="B56" s="24" t="s">
        <v>36</v>
      </c>
      <c r="C56" s="25"/>
      <c r="D56" s="24" t="s">
        <v>33</v>
      </c>
      <c r="E56" s="26"/>
      <c r="F56" s="419"/>
      <c r="G56" s="27"/>
    </row>
    <row r="57" spans="1:7">
      <c r="A57" s="418"/>
      <c r="B57" s="24" t="s">
        <v>37</v>
      </c>
      <c r="C57" s="25"/>
      <c r="D57" s="24" t="s">
        <v>33</v>
      </c>
      <c r="E57" s="26"/>
      <c r="F57" s="41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J238"/>
  <sheetViews>
    <sheetView zoomScale="85" zoomScaleNormal="85" workbookViewId="0">
      <pane ySplit="9" topLeftCell="A182" activePane="bottomLeft" state="frozen"/>
      <selection pane="bottomLeft" activeCell="E212" sqref="E212"/>
    </sheetView>
  </sheetViews>
  <sheetFormatPr defaultColWidth="11.25" defaultRowHeight="12.75"/>
  <cols>
    <col min="1" max="1" width="12.25" style="116" customWidth="1"/>
    <col min="2" max="5" width="11.25" style="73"/>
    <col min="6" max="6" width="11.25" style="93"/>
    <col min="7" max="7" width="11.25" style="73"/>
    <col min="8" max="9" width="11.25" style="94"/>
    <col min="10" max="10" width="56.5" style="73" bestFit="1" customWidth="1"/>
    <col min="11" max="16384" width="11.25" style="73"/>
  </cols>
  <sheetData>
    <row r="1" spans="1:10" s="68" customFormat="1">
      <c r="A1" s="425" t="s">
        <v>11</v>
      </c>
      <c r="B1" s="425"/>
      <c r="C1" s="425"/>
      <c r="D1" s="425"/>
      <c r="E1" s="425"/>
      <c r="F1" s="425"/>
      <c r="G1" s="425"/>
      <c r="H1" s="425"/>
      <c r="I1" s="414"/>
      <c r="J1" s="67"/>
    </row>
    <row r="2" spans="1:10">
      <c r="A2" s="69" t="s">
        <v>128</v>
      </c>
      <c r="B2" s="413"/>
      <c r="C2" s="413"/>
      <c r="D2" s="413"/>
      <c r="E2" s="70"/>
      <c r="F2" s="95"/>
      <c r="G2" s="71"/>
      <c r="H2" s="413" t="s">
        <v>129</v>
      </c>
      <c r="I2" s="414" t="s">
        <v>129</v>
      </c>
      <c r="J2" s="72"/>
    </row>
    <row r="3" spans="1:10">
      <c r="A3" s="69" t="s">
        <v>130</v>
      </c>
      <c r="B3" s="74"/>
      <c r="C3" s="74"/>
      <c r="D3" s="74"/>
      <c r="E3" s="75" t="s">
        <v>38</v>
      </c>
      <c r="F3" s="96"/>
      <c r="G3" s="75"/>
      <c r="H3" s="75"/>
      <c r="I3" s="75"/>
      <c r="J3" s="72"/>
    </row>
    <row r="4" spans="1:10">
      <c r="A4" s="69" t="s">
        <v>131</v>
      </c>
      <c r="B4" s="75"/>
      <c r="C4" s="75"/>
      <c r="D4" s="75"/>
      <c r="E4" s="75" t="s">
        <v>39</v>
      </c>
      <c r="F4" s="96"/>
      <c r="G4" s="75"/>
      <c r="H4" s="75"/>
      <c r="I4" s="75"/>
      <c r="J4" s="72"/>
    </row>
    <row r="5" spans="1:10">
      <c r="A5" s="69" t="s">
        <v>132</v>
      </c>
      <c r="B5" s="74"/>
      <c r="C5" s="74"/>
      <c r="D5" s="74"/>
      <c r="E5" s="74"/>
      <c r="F5" s="96"/>
      <c r="G5" s="74"/>
      <c r="H5" s="74"/>
      <c r="I5" s="74"/>
      <c r="J5" s="72"/>
    </row>
    <row r="6" spans="1:10">
      <c r="A6" s="69" t="s">
        <v>133</v>
      </c>
      <c r="B6" s="74"/>
      <c r="C6" s="74"/>
      <c r="D6" s="74"/>
      <c r="E6" s="74"/>
      <c r="F6" s="96"/>
      <c r="G6" s="74"/>
      <c r="H6" s="74"/>
      <c r="I6" s="74"/>
      <c r="J6" s="72"/>
    </row>
    <row r="7" spans="1:10">
      <c r="A7" s="76"/>
      <c r="B7" s="74"/>
      <c r="C7" s="74"/>
      <c r="D7" s="74"/>
      <c r="E7" s="74"/>
      <c r="F7" s="96"/>
      <c r="G7" s="74"/>
      <c r="H7" s="74"/>
      <c r="I7" s="74"/>
      <c r="J7" s="72"/>
    </row>
    <row r="8" spans="1:10" ht="13.5" thickBot="1">
      <c r="A8" s="113"/>
      <c r="B8" s="426" t="s">
        <v>40</v>
      </c>
      <c r="C8" s="427"/>
      <c r="D8" s="97"/>
      <c r="E8" s="97"/>
      <c r="F8" s="98"/>
      <c r="G8" s="97"/>
      <c r="H8" s="99"/>
      <c r="I8" s="99"/>
      <c r="J8" s="100"/>
    </row>
    <row r="9" spans="1:10" s="77" customFormat="1" ht="33" customHeight="1" thickBot="1">
      <c r="A9" s="106" t="s">
        <v>135</v>
      </c>
      <c r="B9" s="107" t="s">
        <v>44</v>
      </c>
      <c r="C9" s="107" t="s">
        <v>45</v>
      </c>
      <c r="D9" s="108" t="s">
        <v>63</v>
      </c>
      <c r="E9" s="108" t="s">
        <v>29</v>
      </c>
      <c r="F9" s="107" t="s">
        <v>41</v>
      </c>
      <c r="G9" s="108" t="s">
        <v>42</v>
      </c>
      <c r="H9" s="109" t="s">
        <v>72</v>
      </c>
      <c r="I9" s="109" t="s">
        <v>43</v>
      </c>
      <c r="J9" s="110" t="s">
        <v>31</v>
      </c>
    </row>
    <row r="10" spans="1:10">
      <c r="A10" s="114">
        <v>43101</v>
      </c>
      <c r="B10" s="101">
        <v>17</v>
      </c>
      <c r="C10" s="101">
        <v>46</v>
      </c>
      <c r="D10" s="101">
        <v>29</v>
      </c>
      <c r="E10" s="102" t="s">
        <v>46</v>
      </c>
      <c r="F10" s="103">
        <v>1428</v>
      </c>
      <c r="G10" s="104" t="s">
        <v>47</v>
      </c>
      <c r="H10" s="105">
        <v>60</v>
      </c>
      <c r="I10" s="105">
        <v>60</v>
      </c>
      <c r="J10" s="101"/>
    </row>
    <row r="11" spans="1:10">
      <c r="A11" s="115">
        <v>43104</v>
      </c>
      <c r="B11" s="82">
        <v>16</v>
      </c>
      <c r="C11" s="82">
        <v>27</v>
      </c>
      <c r="D11" s="82">
        <f t="shared" ref="D11:D41" si="0">IF(((C11="")*AND(B11="")),"",(C11-B11))</f>
        <v>11</v>
      </c>
      <c r="E11" s="79" t="str">
        <f t="shared" ref="E11:E41" si="1">IF(D11="","",IF(D11&lt;60,"Pass","Fail"))</f>
        <v>Pass</v>
      </c>
      <c r="F11" s="83">
        <v>1335</v>
      </c>
      <c r="G11" s="80" t="s">
        <v>47</v>
      </c>
      <c r="H11" s="81">
        <v>60</v>
      </c>
      <c r="I11" s="81">
        <v>60</v>
      </c>
      <c r="J11" s="78"/>
    </row>
    <row r="12" spans="1:10">
      <c r="A12" s="115">
        <v>43112</v>
      </c>
      <c r="B12" s="82">
        <v>18</v>
      </c>
      <c r="C12" s="82">
        <v>40</v>
      </c>
      <c r="D12" s="82">
        <f t="shared" si="0"/>
        <v>22</v>
      </c>
      <c r="E12" s="79" t="str">
        <f t="shared" si="1"/>
        <v>Pass</v>
      </c>
      <c r="F12" s="83" t="s">
        <v>48</v>
      </c>
      <c r="G12" s="80" t="s">
        <v>47</v>
      </c>
      <c r="H12" s="81">
        <v>60</v>
      </c>
      <c r="I12" s="81">
        <v>60</v>
      </c>
      <c r="J12" s="78"/>
    </row>
    <row r="13" spans="1:10">
      <c r="A13" s="115">
        <v>43116</v>
      </c>
      <c r="B13" s="82">
        <v>18</v>
      </c>
      <c r="C13" s="82">
        <v>77</v>
      </c>
      <c r="D13" s="82">
        <f t="shared" si="0"/>
        <v>59</v>
      </c>
      <c r="E13" s="79" t="str">
        <f t="shared" si="1"/>
        <v>Pass</v>
      </c>
      <c r="F13" s="83">
        <v>102</v>
      </c>
      <c r="G13" s="80" t="s">
        <v>47</v>
      </c>
      <c r="H13" s="81">
        <v>60</v>
      </c>
      <c r="I13" s="81">
        <v>60</v>
      </c>
      <c r="J13" s="78"/>
    </row>
    <row r="14" spans="1:10">
      <c r="A14" s="115">
        <v>43119</v>
      </c>
      <c r="B14" s="82">
        <v>14</v>
      </c>
      <c r="C14" s="82">
        <v>22</v>
      </c>
      <c r="D14" s="82">
        <f t="shared" si="0"/>
        <v>8</v>
      </c>
      <c r="E14" s="79" t="str">
        <f t="shared" si="1"/>
        <v>Pass</v>
      </c>
      <c r="F14" s="83">
        <v>1428</v>
      </c>
      <c r="G14" s="80"/>
      <c r="H14" s="81">
        <v>60</v>
      </c>
      <c r="I14" s="81">
        <v>60</v>
      </c>
      <c r="J14" s="78"/>
    </row>
    <row r="15" spans="1:10">
      <c r="A15" s="115">
        <v>43122</v>
      </c>
      <c r="B15" s="82">
        <v>18</v>
      </c>
      <c r="C15" s="82">
        <v>123</v>
      </c>
      <c r="D15" s="82">
        <f t="shared" si="0"/>
        <v>105</v>
      </c>
      <c r="E15" s="79" t="str">
        <f t="shared" si="1"/>
        <v>Fail</v>
      </c>
      <c r="F15" s="83">
        <v>1428</v>
      </c>
      <c r="G15" s="80"/>
      <c r="H15" s="81">
        <v>60</v>
      </c>
      <c r="I15" s="81">
        <v>60</v>
      </c>
      <c r="J15" s="78"/>
    </row>
    <row r="16" spans="1:10">
      <c r="A16" s="115">
        <v>43122</v>
      </c>
      <c r="B16" s="82">
        <v>19</v>
      </c>
      <c r="C16" s="82">
        <v>521</v>
      </c>
      <c r="D16" s="82">
        <f t="shared" si="0"/>
        <v>502</v>
      </c>
      <c r="E16" s="79" t="str">
        <f t="shared" si="1"/>
        <v>Fail</v>
      </c>
      <c r="F16" s="83">
        <v>121</v>
      </c>
      <c r="G16" s="80"/>
      <c r="H16" s="81">
        <v>60</v>
      </c>
      <c r="I16" s="81">
        <v>60</v>
      </c>
      <c r="J16" s="78"/>
    </row>
    <row r="17" spans="1:10">
      <c r="A17" s="115">
        <v>43122</v>
      </c>
      <c r="B17" s="82">
        <v>14</v>
      </c>
      <c r="C17" s="82">
        <v>762</v>
      </c>
      <c r="D17" s="82">
        <f t="shared" si="0"/>
        <v>748</v>
      </c>
      <c r="E17" s="79" t="str">
        <f t="shared" si="1"/>
        <v>Fail</v>
      </c>
      <c r="F17" s="83">
        <v>102</v>
      </c>
      <c r="G17" s="80"/>
      <c r="H17" s="81">
        <v>60</v>
      </c>
      <c r="I17" s="81">
        <v>60</v>
      </c>
      <c r="J17" s="78"/>
    </row>
    <row r="18" spans="1:10">
      <c r="A18" s="115">
        <v>43122</v>
      </c>
      <c r="B18" s="82">
        <v>27</v>
      </c>
      <c r="C18" s="82">
        <v>48</v>
      </c>
      <c r="D18" s="82">
        <f t="shared" si="0"/>
        <v>21</v>
      </c>
      <c r="E18" s="79" t="str">
        <f t="shared" si="1"/>
        <v>Pass</v>
      </c>
      <c r="F18" s="83">
        <v>102</v>
      </c>
      <c r="G18" s="80"/>
      <c r="H18" s="81">
        <v>60</v>
      </c>
      <c r="I18" s="81">
        <v>60</v>
      </c>
      <c r="J18" s="78"/>
    </row>
    <row r="19" spans="1:10">
      <c r="A19" s="115">
        <v>43125</v>
      </c>
      <c r="B19" s="82">
        <v>27</v>
      </c>
      <c r="C19" s="82">
        <v>279</v>
      </c>
      <c r="D19" s="82">
        <f t="shared" si="0"/>
        <v>252</v>
      </c>
      <c r="E19" s="79" t="str">
        <f t="shared" si="1"/>
        <v>Fail</v>
      </c>
      <c r="F19" s="83">
        <v>102</v>
      </c>
      <c r="G19" s="80"/>
      <c r="H19" s="81">
        <v>60</v>
      </c>
      <c r="I19" s="81">
        <v>60</v>
      </c>
      <c r="J19" s="78"/>
    </row>
    <row r="20" spans="1:10">
      <c r="A20" s="115">
        <v>43125</v>
      </c>
      <c r="B20" s="82">
        <v>6</v>
      </c>
      <c r="C20" s="82">
        <v>178</v>
      </c>
      <c r="D20" s="82">
        <f t="shared" si="0"/>
        <v>172</v>
      </c>
      <c r="E20" s="79" t="str">
        <f t="shared" si="1"/>
        <v>Fail</v>
      </c>
      <c r="F20" s="83">
        <v>102</v>
      </c>
      <c r="G20" s="80"/>
      <c r="H20" s="81">
        <v>60</v>
      </c>
      <c r="I20" s="81">
        <v>60</v>
      </c>
      <c r="J20" s="78"/>
    </row>
    <row r="21" spans="1:10">
      <c r="A21" s="115">
        <v>43125</v>
      </c>
      <c r="B21" s="82">
        <v>36</v>
      </c>
      <c r="C21" s="82">
        <v>49</v>
      </c>
      <c r="D21" s="82">
        <f t="shared" si="0"/>
        <v>13</v>
      </c>
      <c r="E21" s="79" t="str">
        <f t="shared" si="1"/>
        <v>Pass</v>
      </c>
      <c r="F21" s="83">
        <v>1335</v>
      </c>
      <c r="G21" s="80"/>
      <c r="H21" s="81">
        <v>60</v>
      </c>
      <c r="I21" s="81">
        <v>60</v>
      </c>
      <c r="J21" s="78"/>
    </row>
    <row r="22" spans="1:10">
      <c r="A22" s="115">
        <v>43129</v>
      </c>
      <c r="B22" s="82">
        <v>11</v>
      </c>
      <c r="C22" s="82">
        <v>29</v>
      </c>
      <c r="D22" s="82">
        <f t="shared" si="0"/>
        <v>18</v>
      </c>
      <c r="E22" s="79" t="str">
        <f t="shared" si="1"/>
        <v>Pass</v>
      </c>
      <c r="F22" s="84" t="s">
        <v>49</v>
      </c>
      <c r="G22" s="80"/>
      <c r="H22" s="81">
        <v>60</v>
      </c>
      <c r="I22" s="81">
        <v>60</v>
      </c>
      <c r="J22" s="78"/>
    </row>
    <row r="23" spans="1:10">
      <c r="A23" s="115">
        <v>43132</v>
      </c>
      <c r="B23" s="82">
        <v>1</v>
      </c>
      <c r="C23" s="82">
        <v>10</v>
      </c>
      <c r="D23" s="82">
        <f t="shared" si="0"/>
        <v>9</v>
      </c>
      <c r="E23" s="79" t="str">
        <f t="shared" si="1"/>
        <v>Pass</v>
      </c>
      <c r="F23" s="83">
        <v>1335</v>
      </c>
      <c r="G23" s="80"/>
      <c r="H23" s="81">
        <v>60</v>
      </c>
      <c r="I23" s="81">
        <v>60</v>
      </c>
      <c r="J23" s="78"/>
    </row>
    <row r="24" spans="1:10">
      <c r="A24" s="115">
        <v>43137</v>
      </c>
      <c r="B24" s="82">
        <v>20</v>
      </c>
      <c r="C24" s="82">
        <v>52</v>
      </c>
      <c r="D24" s="82">
        <f t="shared" si="0"/>
        <v>32</v>
      </c>
      <c r="E24" s="79" t="str">
        <f t="shared" si="1"/>
        <v>Pass</v>
      </c>
      <c r="F24" s="83">
        <v>1519</v>
      </c>
      <c r="G24" s="80"/>
      <c r="H24" s="81">
        <v>60</v>
      </c>
      <c r="I24" s="81">
        <v>60</v>
      </c>
      <c r="J24" s="78"/>
    </row>
    <row r="25" spans="1:10">
      <c r="A25" s="115">
        <v>43138</v>
      </c>
      <c r="B25" s="82">
        <v>42</v>
      </c>
      <c r="C25" s="82">
        <v>100</v>
      </c>
      <c r="D25" s="82">
        <f t="shared" si="0"/>
        <v>58</v>
      </c>
      <c r="E25" s="79" t="str">
        <f t="shared" si="1"/>
        <v>Pass</v>
      </c>
      <c r="F25" s="83">
        <v>1428</v>
      </c>
      <c r="G25" s="80"/>
      <c r="H25" s="81">
        <v>60</v>
      </c>
      <c r="I25" s="81">
        <v>60</v>
      </c>
      <c r="J25" s="78"/>
    </row>
    <row r="26" spans="1:10">
      <c r="A26" s="115">
        <v>43141</v>
      </c>
      <c r="B26" s="82">
        <v>91</v>
      </c>
      <c r="C26" s="82">
        <v>119</v>
      </c>
      <c r="D26" s="82">
        <f>IF(((C26="")*AND(B26="")),"",(C26-B26))</f>
        <v>28</v>
      </c>
      <c r="E26" s="79" t="str">
        <f>IF(D26="","",IF(D26&lt;60,"Pass","Fail"))</f>
        <v>Pass</v>
      </c>
      <c r="F26" s="83">
        <v>102</v>
      </c>
      <c r="G26" s="80"/>
      <c r="H26" s="81">
        <v>60</v>
      </c>
      <c r="I26" s="81">
        <v>60</v>
      </c>
      <c r="J26" s="78"/>
    </row>
    <row r="27" spans="1:10">
      <c r="A27" s="115">
        <v>43146</v>
      </c>
      <c r="B27" s="82">
        <v>25</v>
      </c>
      <c r="C27" s="82">
        <v>29</v>
      </c>
      <c r="D27" s="82">
        <f t="shared" si="0"/>
        <v>4</v>
      </c>
      <c r="E27" s="79" t="str">
        <f t="shared" si="1"/>
        <v>Pass</v>
      </c>
      <c r="F27" s="83">
        <v>1335</v>
      </c>
      <c r="G27" s="80"/>
      <c r="H27" s="81">
        <v>60</v>
      </c>
      <c r="I27" s="81">
        <v>60</v>
      </c>
      <c r="J27" s="78"/>
    </row>
    <row r="28" spans="1:10">
      <c r="A28" s="115">
        <v>43151</v>
      </c>
      <c r="B28" s="82">
        <v>44</v>
      </c>
      <c r="C28" s="82">
        <v>41</v>
      </c>
      <c r="D28" s="82">
        <f>IF(((C28="")*AND(B28="")),"",(C28-B28))</f>
        <v>-3</v>
      </c>
      <c r="E28" s="79" t="str">
        <f>IF(D28="","",IF(D28&lt;60,"Pass","Fail"))</f>
        <v>Pass</v>
      </c>
      <c r="F28" s="83">
        <v>102</v>
      </c>
      <c r="G28" s="80"/>
      <c r="H28" s="81">
        <v>60</v>
      </c>
      <c r="I28" s="81">
        <v>60</v>
      </c>
      <c r="J28" s="78"/>
    </row>
    <row r="29" spans="1:10">
      <c r="A29" s="115">
        <v>43156</v>
      </c>
      <c r="B29" s="82">
        <v>46</v>
      </c>
      <c r="C29" s="82">
        <v>1343</v>
      </c>
      <c r="D29" s="82">
        <f t="shared" si="0"/>
        <v>1297</v>
      </c>
      <c r="E29" s="79" t="str">
        <f t="shared" si="1"/>
        <v>Fail</v>
      </c>
      <c r="F29" s="83">
        <v>1534</v>
      </c>
      <c r="G29" s="80"/>
      <c r="H29" s="81">
        <v>60</v>
      </c>
      <c r="I29" s="81">
        <v>60</v>
      </c>
      <c r="J29" s="78"/>
    </row>
    <row r="30" spans="1:10">
      <c r="A30" s="115">
        <v>43157</v>
      </c>
      <c r="B30" s="82">
        <v>7</v>
      </c>
      <c r="C30" s="82">
        <v>20</v>
      </c>
      <c r="D30" s="82">
        <f t="shared" si="0"/>
        <v>13</v>
      </c>
      <c r="E30" s="79" t="str">
        <f t="shared" si="1"/>
        <v>Pass</v>
      </c>
      <c r="F30" s="83">
        <v>1159</v>
      </c>
      <c r="G30" s="80" t="s">
        <v>47</v>
      </c>
      <c r="H30" s="81">
        <v>60</v>
      </c>
      <c r="I30" s="81">
        <v>60</v>
      </c>
      <c r="J30" s="78"/>
    </row>
    <row r="31" spans="1:10">
      <c r="A31" s="115">
        <v>43177</v>
      </c>
      <c r="B31" s="82">
        <v>36</v>
      </c>
      <c r="C31" s="82">
        <v>237</v>
      </c>
      <c r="D31" s="82">
        <f t="shared" si="0"/>
        <v>201</v>
      </c>
      <c r="E31" s="79" t="str">
        <f t="shared" si="1"/>
        <v>Fail</v>
      </c>
      <c r="F31" s="83">
        <v>1159</v>
      </c>
      <c r="G31" s="80" t="s">
        <v>47</v>
      </c>
      <c r="H31" s="81">
        <v>60</v>
      </c>
      <c r="I31" s="81">
        <v>60</v>
      </c>
      <c r="J31" s="78"/>
    </row>
    <row r="32" spans="1:10">
      <c r="A32" s="115">
        <v>43177</v>
      </c>
      <c r="B32" s="82">
        <v>9</v>
      </c>
      <c r="C32" s="82">
        <v>17</v>
      </c>
      <c r="D32" s="82">
        <f t="shared" si="0"/>
        <v>8</v>
      </c>
      <c r="E32" s="79" t="str">
        <f t="shared" si="1"/>
        <v>Pass</v>
      </c>
      <c r="F32" s="83">
        <v>1159</v>
      </c>
      <c r="G32" s="80" t="s">
        <v>47</v>
      </c>
      <c r="H32" s="81">
        <v>60</v>
      </c>
      <c r="I32" s="81">
        <v>60</v>
      </c>
      <c r="J32" s="78"/>
    </row>
    <row r="33" spans="1:10">
      <c r="A33" s="115">
        <v>43182</v>
      </c>
      <c r="B33" s="82">
        <v>22</v>
      </c>
      <c r="C33" s="82">
        <v>35</v>
      </c>
      <c r="D33" s="82">
        <f t="shared" si="0"/>
        <v>13</v>
      </c>
      <c r="E33" s="79" t="str">
        <f t="shared" si="1"/>
        <v>Pass</v>
      </c>
      <c r="F33" s="83">
        <v>1159</v>
      </c>
      <c r="G33" s="80" t="s">
        <v>47</v>
      </c>
      <c r="H33" s="81">
        <v>60</v>
      </c>
      <c r="I33" s="81">
        <v>60</v>
      </c>
      <c r="J33" s="78"/>
    </row>
    <row r="34" spans="1:10">
      <c r="A34" s="115">
        <v>43199</v>
      </c>
      <c r="B34" s="82">
        <v>43</v>
      </c>
      <c r="C34" s="82">
        <v>47</v>
      </c>
      <c r="D34" s="82">
        <f t="shared" si="0"/>
        <v>4</v>
      </c>
      <c r="E34" s="79" t="str">
        <f t="shared" si="1"/>
        <v>Pass</v>
      </c>
      <c r="F34" s="83">
        <v>1159</v>
      </c>
      <c r="G34" s="80" t="s">
        <v>47</v>
      </c>
      <c r="H34" s="81">
        <v>60</v>
      </c>
      <c r="I34" s="81">
        <v>60</v>
      </c>
      <c r="J34" s="78"/>
    </row>
    <row r="35" spans="1:10">
      <c r="A35" s="115">
        <v>43203</v>
      </c>
      <c r="B35" s="82">
        <v>27</v>
      </c>
      <c r="C35" s="82">
        <v>1124</v>
      </c>
      <c r="D35" s="82">
        <f t="shared" si="0"/>
        <v>1097</v>
      </c>
      <c r="E35" s="79" t="str">
        <f t="shared" si="1"/>
        <v>Fail</v>
      </c>
      <c r="F35" s="83">
        <v>1159</v>
      </c>
      <c r="G35" s="80" t="s">
        <v>47</v>
      </c>
      <c r="H35" s="81">
        <v>60</v>
      </c>
      <c r="I35" s="81">
        <v>60</v>
      </c>
      <c r="J35" s="78"/>
    </row>
    <row r="36" spans="1:10">
      <c r="A36" s="115">
        <v>43206</v>
      </c>
      <c r="B36" s="82">
        <v>13</v>
      </c>
      <c r="C36" s="82">
        <v>14</v>
      </c>
      <c r="D36" s="82">
        <f t="shared" si="0"/>
        <v>1</v>
      </c>
      <c r="E36" s="79" t="str">
        <f t="shared" si="1"/>
        <v>Pass</v>
      </c>
      <c r="F36" s="83">
        <v>1335</v>
      </c>
      <c r="G36" s="80" t="s">
        <v>47</v>
      </c>
      <c r="H36" s="81">
        <v>60</v>
      </c>
      <c r="I36" s="81">
        <v>60</v>
      </c>
      <c r="J36" s="78"/>
    </row>
    <row r="37" spans="1:10">
      <c r="A37" s="115">
        <v>43214</v>
      </c>
      <c r="B37" s="82">
        <v>44</v>
      </c>
      <c r="C37" s="82">
        <v>376</v>
      </c>
      <c r="D37" s="82">
        <f t="shared" si="0"/>
        <v>332</v>
      </c>
      <c r="E37" s="79" t="str">
        <f t="shared" si="1"/>
        <v>Fail</v>
      </c>
      <c r="F37" s="83">
        <v>74</v>
      </c>
      <c r="G37" s="80" t="s">
        <v>47</v>
      </c>
      <c r="H37" s="81">
        <v>60</v>
      </c>
      <c r="I37" s="81">
        <v>60</v>
      </c>
      <c r="J37" s="78"/>
    </row>
    <row r="38" spans="1:10">
      <c r="A38" s="115">
        <v>43214</v>
      </c>
      <c r="B38" s="82">
        <v>4</v>
      </c>
      <c r="C38" s="82">
        <v>34</v>
      </c>
      <c r="D38" s="82">
        <f t="shared" si="0"/>
        <v>30</v>
      </c>
      <c r="E38" s="79" t="str">
        <f t="shared" si="1"/>
        <v>Pass</v>
      </c>
      <c r="F38" s="84" t="s">
        <v>50</v>
      </c>
      <c r="G38" s="80" t="s">
        <v>47</v>
      </c>
      <c r="H38" s="81">
        <v>60</v>
      </c>
      <c r="I38" s="81">
        <v>60</v>
      </c>
      <c r="J38" s="78"/>
    </row>
    <row r="39" spans="1:10">
      <c r="A39" s="115">
        <v>43221</v>
      </c>
      <c r="B39" s="82">
        <v>16</v>
      </c>
      <c r="C39" s="82">
        <v>44</v>
      </c>
      <c r="D39" s="82">
        <f t="shared" si="0"/>
        <v>28</v>
      </c>
      <c r="E39" s="79" t="str">
        <f t="shared" si="1"/>
        <v>Pass</v>
      </c>
      <c r="F39" s="83">
        <v>74</v>
      </c>
      <c r="G39" s="80" t="s">
        <v>47</v>
      </c>
      <c r="H39" s="81">
        <v>60</v>
      </c>
      <c r="I39" s="81">
        <v>60</v>
      </c>
      <c r="J39" s="78"/>
    </row>
    <row r="40" spans="1:10">
      <c r="A40" s="115">
        <v>43222</v>
      </c>
      <c r="B40" s="82">
        <v>21</v>
      </c>
      <c r="C40" s="82">
        <v>27</v>
      </c>
      <c r="D40" s="82">
        <f t="shared" si="0"/>
        <v>6</v>
      </c>
      <c r="E40" s="79" t="str">
        <f t="shared" si="1"/>
        <v>Pass</v>
      </c>
      <c r="F40" s="83">
        <v>1159</v>
      </c>
      <c r="G40" s="80" t="s">
        <v>47</v>
      </c>
      <c r="H40" s="81">
        <v>60</v>
      </c>
      <c r="I40" s="81">
        <v>60</v>
      </c>
      <c r="J40" s="78"/>
    </row>
    <row r="41" spans="1:10">
      <c r="A41" s="115">
        <v>43234</v>
      </c>
      <c r="B41" s="82">
        <v>31</v>
      </c>
      <c r="C41" s="82">
        <v>23</v>
      </c>
      <c r="D41" s="82">
        <f t="shared" si="0"/>
        <v>-8</v>
      </c>
      <c r="E41" s="79" t="str">
        <f t="shared" si="1"/>
        <v>Pass</v>
      </c>
      <c r="F41" s="83">
        <v>1159</v>
      </c>
      <c r="G41" s="80" t="s">
        <v>47</v>
      </c>
      <c r="H41" s="81">
        <v>60</v>
      </c>
      <c r="I41" s="81">
        <v>60</v>
      </c>
      <c r="J41" s="78"/>
    </row>
    <row r="42" spans="1:10">
      <c r="A42" s="115">
        <v>43238</v>
      </c>
      <c r="B42" s="82">
        <v>46</v>
      </c>
      <c r="C42" s="82">
        <v>31</v>
      </c>
      <c r="D42" s="82">
        <f>IF(((C42="")*AND(B42="")),"",(C42-B42))</f>
        <v>-15</v>
      </c>
      <c r="E42" s="79" t="str">
        <f>IF(D42="","",IF(D42&lt;60,"Pass","Fail"))</f>
        <v>Pass</v>
      </c>
      <c r="F42" s="83">
        <v>64</v>
      </c>
      <c r="G42" s="80" t="s">
        <v>47</v>
      </c>
      <c r="H42" s="81">
        <v>60</v>
      </c>
      <c r="I42" s="81">
        <v>60</v>
      </c>
      <c r="J42" s="78"/>
    </row>
    <row r="43" spans="1:10">
      <c r="A43" s="115">
        <v>43242</v>
      </c>
      <c r="B43" s="82">
        <v>33</v>
      </c>
      <c r="C43" s="82">
        <v>30</v>
      </c>
      <c r="D43" s="82">
        <f>IF(((C43="")*AND(B43="")),"",(C43-B43))</f>
        <v>-3</v>
      </c>
      <c r="E43" s="79" t="str">
        <f>IF(D43="","",IF(D43&lt;60,"Pass","Fail"))</f>
        <v>Pass</v>
      </c>
      <c r="F43" s="83">
        <v>102</v>
      </c>
      <c r="G43" s="80" t="s">
        <v>47</v>
      </c>
      <c r="H43" s="81">
        <v>60</v>
      </c>
      <c r="I43" s="81">
        <v>60</v>
      </c>
      <c r="J43" s="80" t="s">
        <v>51</v>
      </c>
    </row>
    <row r="44" spans="1:10">
      <c r="A44" s="115">
        <v>43243</v>
      </c>
      <c r="B44" s="82">
        <v>48</v>
      </c>
      <c r="C44" s="82">
        <v>76</v>
      </c>
      <c r="D44" s="82">
        <f t="shared" ref="D44:D106" si="2">IF(((C44="")*AND(B44="")),"",(C44-B44))</f>
        <v>28</v>
      </c>
      <c r="E44" s="79" t="str">
        <f t="shared" ref="E44:E106" si="3">IF(D44="","",IF(D44&lt;60,"Pass","Fail"))</f>
        <v>Pass</v>
      </c>
      <c r="F44" s="83">
        <v>1159</v>
      </c>
      <c r="G44" s="80" t="s">
        <v>47</v>
      </c>
      <c r="H44" s="81">
        <v>60</v>
      </c>
      <c r="I44" s="81">
        <v>60</v>
      </c>
      <c r="J44" s="78"/>
    </row>
    <row r="45" spans="1:10">
      <c r="A45" s="115">
        <v>43243</v>
      </c>
      <c r="B45" s="82">
        <v>43</v>
      </c>
      <c r="C45" s="82">
        <v>26</v>
      </c>
      <c r="D45" s="82">
        <f t="shared" si="2"/>
        <v>-17</v>
      </c>
      <c r="E45" s="79" t="str">
        <f t="shared" si="3"/>
        <v>Pass</v>
      </c>
      <c r="F45" s="83">
        <v>1159</v>
      </c>
      <c r="G45" s="80" t="s">
        <v>47</v>
      </c>
      <c r="H45" s="81">
        <v>60</v>
      </c>
      <c r="I45" s="81">
        <v>60</v>
      </c>
      <c r="J45" s="78"/>
    </row>
    <row r="46" spans="1:10">
      <c r="A46" s="115">
        <v>43248</v>
      </c>
      <c r="B46" s="82">
        <v>53</v>
      </c>
      <c r="C46" s="82">
        <v>44</v>
      </c>
      <c r="D46" s="82">
        <f t="shared" si="2"/>
        <v>-9</v>
      </c>
      <c r="E46" s="79" t="str">
        <f t="shared" si="3"/>
        <v>Pass</v>
      </c>
      <c r="F46" s="83">
        <v>102</v>
      </c>
      <c r="G46" s="80" t="s">
        <v>47</v>
      </c>
      <c r="H46" s="81">
        <v>60</v>
      </c>
      <c r="I46" s="81">
        <v>60</v>
      </c>
      <c r="J46" s="78"/>
    </row>
    <row r="47" spans="1:10">
      <c r="A47" s="115">
        <v>43251</v>
      </c>
      <c r="B47" s="82">
        <v>4</v>
      </c>
      <c r="C47" s="82">
        <v>16</v>
      </c>
      <c r="D47" s="82">
        <f t="shared" si="2"/>
        <v>12</v>
      </c>
      <c r="E47" s="79" t="str">
        <f t="shared" si="3"/>
        <v>Pass</v>
      </c>
      <c r="F47" s="83"/>
      <c r="G47" s="80" t="s">
        <v>47</v>
      </c>
      <c r="H47" s="81">
        <v>60</v>
      </c>
      <c r="I47" s="81">
        <v>60</v>
      </c>
      <c r="J47" s="78"/>
    </row>
    <row r="48" spans="1:10">
      <c r="A48" s="115">
        <v>43255</v>
      </c>
      <c r="B48" s="82">
        <v>21</v>
      </c>
      <c r="C48" s="82">
        <v>526</v>
      </c>
      <c r="D48" s="82">
        <f t="shared" si="2"/>
        <v>505</v>
      </c>
      <c r="E48" s="79" t="str">
        <f t="shared" si="3"/>
        <v>Fail</v>
      </c>
      <c r="F48" s="83">
        <v>1335</v>
      </c>
      <c r="G48" s="80" t="s">
        <v>47</v>
      </c>
      <c r="H48" s="81">
        <v>60</v>
      </c>
      <c r="I48" s="81">
        <v>60</v>
      </c>
      <c r="J48" s="78"/>
    </row>
    <row r="49" spans="1:10">
      <c r="A49" s="115">
        <v>43255</v>
      </c>
      <c r="B49" s="82">
        <v>24</v>
      </c>
      <c r="C49" s="82">
        <v>348</v>
      </c>
      <c r="D49" s="82">
        <f t="shared" si="2"/>
        <v>324</v>
      </c>
      <c r="E49" s="79" t="str">
        <f t="shared" si="3"/>
        <v>Fail</v>
      </c>
      <c r="F49" s="83">
        <v>121</v>
      </c>
      <c r="G49" s="80" t="s">
        <v>47</v>
      </c>
      <c r="H49" s="81">
        <v>60</v>
      </c>
      <c r="I49" s="81">
        <v>60</v>
      </c>
      <c r="J49" s="78"/>
    </row>
    <row r="50" spans="1:10">
      <c r="A50" s="115">
        <v>43255</v>
      </c>
      <c r="B50" s="82">
        <v>7</v>
      </c>
      <c r="C50" s="82">
        <v>11</v>
      </c>
      <c r="D50" s="82">
        <f t="shared" si="2"/>
        <v>4</v>
      </c>
      <c r="E50" s="79" t="str">
        <f t="shared" si="3"/>
        <v>Pass</v>
      </c>
      <c r="F50" s="83">
        <v>121</v>
      </c>
      <c r="G50" s="80" t="s">
        <v>47</v>
      </c>
      <c r="H50" s="81">
        <v>60</v>
      </c>
      <c r="I50" s="81">
        <v>60</v>
      </c>
      <c r="J50" s="78"/>
    </row>
    <row r="51" spans="1:10">
      <c r="A51" s="115">
        <v>43258</v>
      </c>
      <c r="B51" s="82">
        <v>14</v>
      </c>
      <c r="C51" s="82">
        <v>10</v>
      </c>
      <c r="D51" s="82">
        <f t="shared" si="2"/>
        <v>-4</v>
      </c>
      <c r="E51" s="79" t="str">
        <f t="shared" si="3"/>
        <v>Pass</v>
      </c>
      <c r="F51" s="83">
        <v>1335</v>
      </c>
      <c r="G51" s="80" t="s">
        <v>47</v>
      </c>
      <c r="H51" s="81">
        <v>60</v>
      </c>
      <c r="I51" s="81">
        <v>60</v>
      </c>
      <c r="J51" s="78"/>
    </row>
    <row r="52" spans="1:10">
      <c r="A52" s="115">
        <v>43262</v>
      </c>
      <c r="B52" s="82">
        <v>44</v>
      </c>
      <c r="C52" s="82">
        <v>80</v>
      </c>
      <c r="D52" s="82">
        <f t="shared" si="2"/>
        <v>36</v>
      </c>
      <c r="E52" s="79" t="str">
        <f t="shared" si="3"/>
        <v>Pass</v>
      </c>
      <c r="F52" s="83">
        <v>1159</v>
      </c>
      <c r="G52" s="80" t="s">
        <v>47</v>
      </c>
      <c r="H52" s="81">
        <v>60</v>
      </c>
      <c r="I52" s="81">
        <v>60</v>
      </c>
      <c r="J52" s="78"/>
    </row>
    <row r="53" spans="1:10">
      <c r="A53" s="115">
        <v>43272</v>
      </c>
      <c r="B53" s="82">
        <v>8</v>
      </c>
      <c r="C53" s="82">
        <v>11</v>
      </c>
      <c r="D53" s="82">
        <f t="shared" si="2"/>
        <v>3</v>
      </c>
      <c r="E53" s="79" t="str">
        <f t="shared" si="3"/>
        <v>Pass</v>
      </c>
      <c r="F53" s="83">
        <v>1159</v>
      </c>
      <c r="G53" s="80" t="s">
        <v>47</v>
      </c>
      <c r="H53" s="81">
        <v>60</v>
      </c>
      <c r="I53" s="81">
        <v>60</v>
      </c>
      <c r="J53" s="78"/>
    </row>
    <row r="54" spans="1:10">
      <c r="A54" s="115">
        <v>43283</v>
      </c>
      <c r="B54" s="82">
        <v>27</v>
      </c>
      <c r="C54" s="82">
        <v>57</v>
      </c>
      <c r="D54" s="82">
        <f t="shared" si="2"/>
        <v>30</v>
      </c>
      <c r="E54" s="79" t="str">
        <f t="shared" si="3"/>
        <v>Pass</v>
      </c>
      <c r="F54" s="83">
        <v>1340</v>
      </c>
      <c r="G54" s="80" t="s">
        <v>47</v>
      </c>
      <c r="H54" s="81">
        <v>60</v>
      </c>
      <c r="I54" s="81">
        <v>60</v>
      </c>
      <c r="J54" s="78"/>
    </row>
    <row r="55" spans="1:10">
      <c r="A55" s="115">
        <v>43287</v>
      </c>
      <c r="B55" s="82">
        <v>36</v>
      </c>
      <c r="C55" s="82">
        <v>27</v>
      </c>
      <c r="D55" s="82">
        <f t="shared" si="2"/>
        <v>-9</v>
      </c>
      <c r="E55" s="79" t="str">
        <f t="shared" si="3"/>
        <v>Pass</v>
      </c>
      <c r="F55" s="85"/>
      <c r="G55" s="80" t="s">
        <v>47</v>
      </c>
      <c r="H55" s="81">
        <v>60</v>
      </c>
      <c r="I55" s="81">
        <v>60</v>
      </c>
      <c r="J55" s="78"/>
    </row>
    <row r="56" spans="1:10">
      <c r="A56" s="115">
        <v>43294</v>
      </c>
      <c r="B56" s="82">
        <v>11</v>
      </c>
      <c r="C56" s="82">
        <v>13</v>
      </c>
      <c r="D56" s="82">
        <f t="shared" si="2"/>
        <v>2</v>
      </c>
      <c r="E56" s="79" t="str">
        <f t="shared" si="3"/>
        <v>Pass</v>
      </c>
      <c r="F56" s="85">
        <v>1335</v>
      </c>
      <c r="G56" s="80" t="s">
        <v>47</v>
      </c>
      <c r="H56" s="81">
        <v>60</v>
      </c>
      <c r="I56" s="81">
        <v>60</v>
      </c>
      <c r="J56" s="78"/>
    </row>
    <row r="57" spans="1:10">
      <c r="A57" s="115">
        <v>43300</v>
      </c>
      <c r="B57" s="82">
        <v>10</v>
      </c>
      <c r="C57" s="82">
        <v>68</v>
      </c>
      <c r="D57" s="82">
        <f t="shared" si="2"/>
        <v>58</v>
      </c>
      <c r="E57" s="79" t="str">
        <f t="shared" si="3"/>
        <v>Pass</v>
      </c>
      <c r="F57" s="85">
        <v>1335</v>
      </c>
      <c r="G57" s="80" t="s">
        <v>47</v>
      </c>
      <c r="H57" s="81">
        <v>60</v>
      </c>
      <c r="I57" s="81">
        <v>60</v>
      </c>
      <c r="J57" s="78"/>
    </row>
    <row r="58" spans="1:10">
      <c r="A58" s="115">
        <v>43304</v>
      </c>
      <c r="B58" s="86">
        <v>9</v>
      </c>
      <c r="C58" s="86">
        <v>15</v>
      </c>
      <c r="D58" s="87">
        <f t="shared" si="2"/>
        <v>6</v>
      </c>
      <c r="E58" s="88" t="str">
        <f t="shared" si="3"/>
        <v>Pass</v>
      </c>
      <c r="F58" s="89">
        <v>1340</v>
      </c>
      <c r="G58" s="80" t="s">
        <v>47</v>
      </c>
      <c r="H58" s="81">
        <v>60</v>
      </c>
      <c r="I58" s="81">
        <v>60</v>
      </c>
      <c r="J58" s="78"/>
    </row>
    <row r="59" spans="1:10">
      <c r="A59" s="115">
        <v>43305</v>
      </c>
      <c r="B59" s="87">
        <v>13</v>
      </c>
      <c r="C59" s="87">
        <v>63</v>
      </c>
      <c r="D59" s="87">
        <f t="shared" si="2"/>
        <v>50</v>
      </c>
      <c r="E59" s="88" t="str">
        <f t="shared" si="3"/>
        <v>Pass</v>
      </c>
      <c r="F59" s="89">
        <v>1340</v>
      </c>
      <c r="G59" s="80" t="s">
        <v>47</v>
      </c>
      <c r="H59" s="81">
        <v>60</v>
      </c>
      <c r="I59" s="81">
        <v>60</v>
      </c>
      <c r="J59" s="78"/>
    </row>
    <row r="60" spans="1:10">
      <c r="A60" s="115">
        <v>43305</v>
      </c>
      <c r="B60" s="87">
        <v>13</v>
      </c>
      <c r="C60" s="87">
        <v>63</v>
      </c>
      <c r="D60" s="87">
        <f t="shared" si="2"/>
        <v>50</v>
      </c>
      <c r="E60" s="88" t="str">
        <f t="shared" si="3"/>
        <v>Pass</v>
      </c>
      <c r="F60" s="89">
        <v>1340</v>
      </c>
      <c r="G60" s="80" t="s">
        <v>47</v>
      </c>
      <c r="H60" s="81">
        <v>60</v>
      </c>
      <c r="I60" s="81">
        <v>60</v>
      </c>
      <c r="J60" s="78"/>
    </row>
    <row r="61" spans="1:10">
      <c r="A61" s="115">
        <v>43306</v>
      </c>
      <c r="B61" s="86">
        <v>21</v>
      </c>
      <c r="C61" s="86">
        <v>23</v>
      </c>
      <c r="D61" s="87">
        <f t="shared" si="2"/>
        <v>2</v>
      </c>
      <c r="E61" s="88" t="str">
        <f t="shared" si="3"/>
        <v>Pass</v>
      </c>
      <c r="F61" s="90">
        <v>121</v>
      </c>
      <c r="G61" s="80" t="s">
        <v>47</v>
      </c>
      <c r="H61" s="81">
        <v>60</v>
      </c>
      <c r="I61" s="81">
        <v>60</v>
      </c>
      <c r="J61" s="78"/>
    </row>
    <row r="62" spans="1:10">
      <c r="A62" s="115">
        <v>43308</v>
      </c>
      <c r="B62" s="87">
        <v>14</v>
      </c>
      <c r="C62" s="87">
        <v>39</v>
      </c>
      <c r="D62" s="87">
        <f t="shared" si="2"/>
        <v>25</v>
      </c>
      <c r="E62" s="88" t="str">
        <f t="shared" si="3"/>
        <v>Pass</v>
      </c>
      <c r="F62" s="89">
        <v>1340</v>
      </c>
      <c r="G62" s="80" t="s">
        <v>47</v>
      </c>
      <c r="H62" s="81">
        <v>60</v>
      </c>
      <c r="I62" s="81">
        <v>60</v>
      </c>
      <c r="J62" s="78"/>
    </row>
    <row r="63" spans="1:10">
      <c r="A63" s="115">
        <v>43313</v>
      </c>
      <c r="B63" s="87">
        <v>10</v>
      </c>
      <c r="C63" s="87">
        <v>200</v>
      </c>
      <c r="D63" s="87">
        <f t="shared" si="2"/>
        <v>190</v>
      </c>
      <c r="E63" s="88" t="str">
        <f t="shared" si="3"/>
        <v>Fail</v>
      </c>
      <c r="F63" s="89">
        <v>74</v>
      </c>
      <c r="G63" s="80" t="s">
        <v>47</v>
      </c>
      <c r="H63" s="81">
        <v>60</v>
      </c>
      <c r="I63" s="81">
        <v>60</v>
      </c>
      <c r="J63" s="78" t="s">
        <v>52</v>
      </c>
    </row>
    <row r="64" spans="1:10">
      <c r="A64" s="115">
        <v>43314</v>
      </c>
      <c r="B64" s="87">
        <v>8</v>
      </c>
      <c r="C64" s="87">
        <v>24</v>
      </c>
      <c r="D64" s="87">
        <f t="shared" si="2"/>
        <v>16</v>
      </c>
      <c r="E64" s="88" t="str">
        <f t="shared" si="3"/>
        <v>Pass</v>
      </c>
      <c r="F64" s="89">
        <v>74</v>
      </c>
      <c r="G64" s="80" t="s">
        <v>47</v>
      </c>
      <c r="H64" s="81">
        <v>60</v>
      </c>
      <c r="I64" s="81">
        <v>60</v>
      </c>
      <c r="J64" s="78"/>
    </row>
    <row r="65" spans="1:10">
      <c r="A65" s="115">
        <v>43320</v>
      </c>
      <c r="B65" s="78">
        <v>6</v>
      </c>
      <c r="C65" s="78">
        <v>8</v>
      </c>
      <c r="D65" s="78">
        <f t="shared" si="2"/>
        <v>2</v>
      </c>
      <c r="E65" s="79" t="str">
        <f t="shared" si="3"/>
        <v>Pass</v>
      </c>
      <c r="F65" s="81">
        <v>1519</v>
      </c>
      <c r="G65" s="80" t="s">
        <v>47</v>
      </c>
      <c r="H65" s="81">
        <v>60</v>
      </c>
      <c r="I65" s="81">
        <v>60</v>
      </c>
      <c r="J65" s="78"/>
    </row>
    <row r="66" spans="1:10">
      <c r="A66" s="115">
        <v>43321</v>
      </c>
      <c r="B66" s="87">
        <v>16</v>
      </c>
      <c r="C66" s="87">
        <v>964</v>
      </c>
      <c r="D66" s="87">
        <f t="shared" si="2"/>
        <v>948</v>
      </c>
      <c r="E66" s="88" t="str">
        <f t="shared" si="3"/>
        <v>Fail</v>
      </c>
      <c r="F66" s="89">
        <v>1428</v>
      </c>
      <c r="G66" s="80" t="s">
        <v>47</v>
      </c>
      <c r="H66" s="81">
        <v>60</v>
      </c>
      <c r="I66" s="81">
        <v>60</v>
      </c>
      <c r="J66" s="80" t="s">
        <v>53</v>
      </c>
    </row>
    <row r="67" spans="1:10">
      <c r="A67" s="115">
        <v>43321</v>
      </c>
      <c r="B67" s="87">
        <v>8</v>
      </c>
      <c r="C67" s="87">
        <v>19</v>
      </c>
      <c r="D67" s="87">
        <f t="shared" si="2"/>
        <v>11</v>
      </c>
      <c r="E67" s="88" t="str">
        <f t="shared" si="3"/>
        <v>Pass</v>
      </c>
      <c r="F67" s="89">
        <v>1428</v>
      </c>
      <c r="G67" s="80" t="s">
        <v>47</v>
      </c>
      <c r="H67" s="81">
        <v>60</v>
      </c>
      <c r="I67" s="81">
        <v>60</v>
      </c>
      <c r="J67" s="78"/>
    </row>
    <row r="68" spans="1:10">
      <c r="A68" s="115">
        <v>43328</v>
      </c>
      <c r="B68" s="87">
        <v>27</v>
      </c>
      <c r="C68" s="87">
        <v>37</v>
      </c>
      <c r="D68" s="87">
        <f t="shared" si="2"/>
        <v>10</v>
      </c>
      <c r="E68" s="88" t="str">
        <f t="shared" si="3"/>
        <v>Pass</v>
      </c>
      <c r="F68" s="89">
        <v>74</v>
      </c>
      <c r="G68" s="80" t="s">
        <v>47</v>
      </c>
      <c r="H68" s="81">
        <v>60</v>
      </c>
      <c r="I68" s="81">
        <v>60</v>
      </c>
      <c r="J68" s="78"/>
    </row>
    <row r="69" spans="1:10">
      <c r="A69" s="115">
        <v>43336</v>
      </c>
      <c r="B69" s="86">
        <v>11</v>
      </c>
      <c r="C69" s="86">
        <v>82</v>
      </c>
      <c r="D69" s="87">
        <f t="shared" si="2"/>
        <v>71</v>
      </c>
      <c r="E69" s="88" t="str">
        <f t="shared" si="3"/>
        <v>Fail</v>
      </c>
      <c r="F69" s="89">
        <v>1340</v>
      </c>
      <c r="G69" s="80" t="s">
        <v>47</v>
      </c>
      <c r="H69" s="81">
        <v>60</v>
      </c>
      <c r="I69" s="81">
        <v>60</v>
      </c>
      <c r="J69" s="78" t="s">
        <v>54</v>
      </c>
    </row>
    <row r="70" spans="1:10">
      <c r="A70" s="115">
        <v>43336</v>
      </c>
      <c r="B70" s="86">
        <v>14</v>
      </c>
      <c r="C70" s="86">
        <v>124</v>
      </c>
      <c r="D70" s="87">
        <f t="shared" si="2"/>
        <v>110</v>
      </c>
      <c r="E70" s="88" t="str">
        <f t="shared" si="3"/>
        <v>Fail</v>
      </c>
      <c r="F70" s="89">
        <v>1340</v>
      </c>
      <c r="G70" s="80" t="s">
        <v>47</v>
      </c>
      <c r="H70" s="81">
        <v>60</v>
      </c>
      <c r="I70" s="81">
        <v>60</v>
      </c>
      <c r="J70" s="78" t="s">
        <v>55</v>
      </c>
    </row>
    <row r="71" spans="1:10">
      <c r="A71" s="115">
        <v>43336</v>
      </c>
      <c r="B71" s="87">
        <v>19</v>
      </c>
      <c r="C71" s="87">
        <v>157</v>
      </c>
      <c r="D71" s="87">
        <f t="shared" si="2"/>
        <v>138</v>
      </c>
      <c r="E71" s="88" t="str">
        <f t="shared" si="3"/>
        <v>Fail</v>
      </c>
      <c r="F71" s="89">
        <v>1519</v>
      </c>
      <c r="G71" s="80" t="s">
        <v>47</v>
      </c>
      <c r="H71" s="81">
        <v>60</v>
      </c>
      <c r="I71" s="81">
        <v>60</v>
      </c>
      <c r="J71" s="78"/>
    </row>
    <row r="72" spans="1:10">
      <c r="A72" s="115">
        <v>43336</v>
      </c>
      <c r="B72" s="87">
        <v>16</v>
      </c>
      <c r="C72" s="87">
        <v>57</v>
      </c>
      <c r="D72" s="87">
        <f t="shared" si="2"/>
        <v>41</v>
      </c>
      <c r="E72" s="88" t="str">
        <f t="shared" si="3"/>
        <v>Pass</v>
      </c>
      <c r="F72" s="89">
        <v>1159</v>
      </c>
      <c r="G72" s="80" t="s">
        <v>47</v>
      </c>
      <c r="H72" s="81">
        <v>60</v>
      </c>
      <c r="I72" s="81">
        <v>60</v>
      </c>
      <c r="J72" s="78" t="s">
        <v>56</v>
      </c>
    </row>
    <row r="73" spans="1:10">
      <c r="A73" s="115">
        <v>43340</v>
      </c>
      <c r="B73" s="87">
        <v>31</v>
      </c>
      <c r="C73" s="87">
        <v>341</v>
      </c>
      <c r="D73" s="87">
        <f t="shared" si="2"/>
        <v>310</v>
      </c>
      <c r="E73" s="88" t="str">
        <f t="shared" si="3"/>
        <v>Fail</v>
      </c>
      <c r="F73" s="89" t="s">
        <v>57</v>
      </c>
      <c r="G73" s="80" t="s">
        <v>47</v>
      </c>
      <c r="H73" s="81">
        <v>60</v>
      </c>
      <c r="I73" s="81">
        <v>60</v>
      </c>
      <c r="J73" s="78"/>
    </row>
    <row r="74" spans="1:10">
      <c r="A74" s="115">
        <v>43340</v>
      </c>
      <c r="B74" s="87">
        <v>27</v>
      </c>
      <c r="C74" s="87">
        <v>84</v>
      </c>
      <c r="D74" s="87">
        <f t="shared" si="2"/>
        <v>57</v>
      </c>
      <c r="E74" s="88" t="str">
        <f t="shared" si="3"/>
        <v>Pass</v>
      </c>
      <c r="F74" s="89">
        <v>1340</v>
      </c>
      <c r="G74" s="80" t="s">
        <v>47</v>
      </c>
      <c r="H74" s="81">
        <v>60</v>
      </c>
      <c r="I74" s="81">
        <v>60</v>
      </c>
      <c r="J74" s="78" t="s">
        <v>58</v>
      </c>
    </row>
    <row r="75" spans="1:10">
      <c r="A75" s="115">
        <v>43341</v>
      </c>
      <c r="B75" s="87">
        <v>10</v>
      </c>
      <c r="C75" s="87">
        <v>41</v>
      </c>
      <c r="D75" s="87">
        <f t="shared" si="2"/>
        <v>31</v>
      </c>
      <c r="E75" s="88" t="str">
        <f t="shared" si="3"/>
        <v>Pass</v>
      </c>
      <c r="F75" s="89">
        <v>121</v>
      </c>
      <c r="G75" s="80" t="s">
        <v>47</v>
      </c>
      <c r="H75" s="81">
        <v>60</v>
      </c>
      <c r="I75" s="81">
        <v>60</v>
      </c>
      <c r="J75" s="78"/>
    </row>
    <row r="76" spans="1:10">
      <c r="A76" s="115">
        <v>43344</v>
      </c>
      <c r="B76" s="87">
        <v>30</v>
      </c>
      <c r="C76" s="87">
        <v>82</v>
      </c>
      <c r="D76" s="87">
        <f t="shared" si="2"/>
        <v>52</v>
      </c>
      <c r="E76" s="88" t="str">
        <f t="shared" si="3"/>
        <v>Pass</v>
      </c>
      <c r="F76" s="89">
        <v>1428</v>
      </c>
      <c r="G76" s="80" t="s">
        <v>47</v>
      </c>
      <c r="H76" s="81">
        <v>60</v>
      </c>
      <c r="I76" s="81">
        <v>60</v>
      </c>
      <c r="J76" s="78"/>
    </row>
    <row r="77" spans="1:10">
      <c r="A77" s="115">
        <v>43348</v>
      </c>
      <c r="B77" s="87">
        <v>36</v>
      </c>
      <c r="C77" s="87">
        <v>909</v>
      </c>
      <c r="D77" s="87">
        <f t="shared" si="2"/>
        <v>873</v>
      </c>
      <c r="E77" s="88" t="str">
        <f t="shared" si="3"/>
        <v>Fail</v>
      </c>
      <c r="F77" s="89">
        <v>1335</v>
      </c>
      <c r="G77" s="80" t="s">
        <v>47</v>
      </c>
      <c r="H77" s="81">
        <v>60</v>
      </c>
      <c r="I77" s="81">
        <v>60</v>
      </c>
      <c r="J77" s="78" t="s">
        <v>59</v>
      </c>
    </row>
    <row r="78" spans="1:10">
      <c r="A78" s="115">
        <v>43349</v>
      </c>
      <c r="B78" s="87">
        <v>16</v>
      </c>
      <c r="C78" s="87">
        <v>49</v>
      </c>
      <c r="D78" s="87">
        <f t="shared" si="2"/>
        <v>33</v>
      </c>
      <c r="E78" s="88" t="str">
        <f t="shared" si="3"/>
        <v>Pass</v>
      </c>
      <c r="F78" s="89">
        <v>74</v>
      </c>
      <c r="G78" s="80" t="s">
        <v>47</v>
      </c>
      <c r="H78" s="81">
        <v>60</v>
      </c>
      <c r="I78" s="81">
        <v>60</v>
      </c>
      <c r="J78" s="78"/>
    </row>
    <row r="79" spans="1:10">
      <c r="A79" s="115">
        <v>43356</v>
      </c>
      <c r="B79" s="87">
        <v>24</v>
      </c>
      <c r="C79" s="87">
        <v>260</v>
      </c>
      <c r="D79" s="87">
        <f t="shared" si="2"/>
        <v>236</v>
      </c>
      <c r="E79" s="88" t="str">
        <f t="shared" si="3"/>
        <v>Fail</v>
      </c>
      <c r="F79" s="89">
        <v>1159</v>
      </c>
      <c r="G79" s="80" t="s">
        <v>47</v>
      </c>
      <c r="H79" s="81">
        <v>60</v>
      </c>
      <c r="I79" s="81">
        <v>60</v>
      </c>
      <c r="J79" s="78" t="s">
        <v>59</v>
      </c>
    </row>
    <row r="80" spans="1:10">
      <c r="A80" s="115">
        <v>43357</v>
      </c>
      <c r="B80" s="86">
        <v>25</v>
      </c>
      <c r="C80" s="86">
        <v>69</v>
      </c>
      <c r="D80" s="86">
        <f t="shared" si="2"/>
        <v>44</v>
      </c>
      <c r="E80" s="79" t="str">
        <f t="shared" si="3"/>
        <v>Pass</v>
      </c>
      <c r="F80" s="89">
        <v>1159</v>
      </c>
      <c r="G80" s="80" t="s">
        <v>47</v>
      </c>
      <c r="H80" s="81">
        <v>60</v>
      </c>
      <c r="I80" s="81">
        <v>60</v>
      </c>
      <c r="J80" s="78"/>
    </row>
    <row r="81" spans="1:10">
      <c r="A81" s="115">
        <v>43362</v>
      </c>
      <c r="B81" s="86">
        <v>30</v>
      </c>
      <c r="C81" s="86">
        <v>108</v>
      </c>
      <c r="D81" s="86">
        <f t="shared" si="2"/>
        <v>78</v>
      </c>
      <c r="E81" s="79" t="str">
        <f t="shared" si="3"/>
        <v>Fail</v>
      </c>
      <c r="F81" s="89">
        <v>1340</v>
      </c>
      <c r="G81" s="80" t="s">
        <v>47</v>
      </c>
      <c r="H81" s="81">
        <v>60</v>
      </c>
      <c r="I81" s="81">
        <v>60</v>
      </c>
      <c r="J81" s="91" t="s">
        <v>60</v>
      </c>
    </row>
    <row r="82" spans="1:10">
      <c r="A82" s="115">
        <v>43362</v>
      </c>
      <c r="B82" s="86">
        <v>22</v>
      </c>
      <c r="C82" s="86">
        <v>133</v>
      </c>
      <c r="D82" s="86">
        <f t="shared" si="2"/>
        <v>111</v>
      </c>
      <c r="E82" s="79" t="str">
        <f t="shared" si="3"/>
        <v>Fail</v>
      </c>
      <c r="F82" s="89">
        <v>1340</v>
      </c>
      <c r="G82" s="80" t="s">
        <v>47</v>
      </c>
      <c r="H82" s="81">
        <v>60</v>
      </c>
      <c r="I82" s="81">
        <v>60</v>
      </c>
      <c r="J82" s="91" t="s">
        <v>60</v>
      </c>
    </row>
    <row r="83" spans="1:10">
      <c r="A83" s="115">
        <v>43362</v>
      </c>
      <c r="B83" s="86">
        <v>18</v>
      </c>
      <c r="C83" s="86">
        <v>45</v>
      </c>
      <c r="D83" s="86">
        <f t="shared" si="2"/>
        <v>27</v>
      </c>
      <c r="E83" s="79" t="str">
        <f t="shared" si="3"/>
        <v>Pass</v>
      </c>
      <c r="F83" s="89">
        <v>1159</v>
      </c>
      <c r="G83" s="80" t="s">
        <v>47</v>
      </c>
      <c r="H83" s="81">
        <v>60</v>
      </c>
      <c r="I83" s="81">
        <v>60</v>
      </c>
      <c r="J83" s="91" t="s">
        <v>61</v>
      </c>
    </row>
    <row r="84" spans="1:10">
      <c r="A84" s="115">
        <v>43367</v>
      </c>
      <c r="B84" s="86">
        <v>6</v>
      </c>
      <c r="C84" s="86">
        <v>218</v>
      </c>
      <c r="D84" s="86">
        <f t="shared" si="2"/>
        <v>212</v>
      </c>
      <c r="E84" s="79" t="str">
        <f t="shared" si="3"/>
        <v>Fail</v>
      </c>
      <c r="F84" s="89">
        <v>1340</v>
      </c>
      <c r="G84" s="80" t="s">
        <v>47</v>
      </c>
      <c r="H84" s="81">
        <v>60</v>
      </c>
      <c r="I84" s="81">
        <v>60</v>
      </c>
      <c r="J84" s="78"/>
    </row>
    <row r="85" spans="1:10">
      <c r="A85" s="115">
        <v>43370</v>
      </c>
      <c r="B85" s="86">
        <v>16</v>
      </c>
      <c r="C85" s="86">
        <v>20</v>
      </c>
      <c r="D85" s="86">
        <f t="shared" si="2"/>
        <v>4</v>
      </c>
      <c r="E85" s="79" t="str">
        <f t="shared" si="3"/>
        <v>Pass</v>
      </c>
      <c r="F85" s="89">
        <v>1340</v>
      </c>
      <c r="G85" s="80" t="s">
        <v>47</v>
      </c>
      <c r="H85" s="81">
        <v>60</v>
      </c>
      <c r="I85" s="81">
        <v>60</v>
      </c>
      <c r="J85" s="78"/>
    </row>
    <row r="86" spans="1:10">
      <c r="A86" s="115">
        <v>43375</v>
      </c>
      <c r="B86" s="86">
        <v>14</v>
      </c>
      <c r="C86" s="86">
        <v>31</v>
      </c>
      <c r="D86" s="86">
        <f t="shared" si="2"/>
        <v>17</v>
      </c>
      <c r="E86" s="79" t="str">
        <f t="shared" si="3"/>
        <v>Pass</v>
      </c>
      <c r="F86" s="84">
        <v>1534</v>
      </c>
      <c r="G86" s="80" t="s">
        <v>47</v>
      </c>
      <c r="H86" s="81">
        <v>60</v>
      </c>
      <c r="I86" s="81">
        <v>60</v>
      </c>
      <c r="J86" s="78"/>
    </row>
    <row r="87" spans="1:10">
      <c r="A87" s="115">
        <v>43378</v>
      </c>
      <c r="B87" s="86">
        <v>26</v>
      </c>
      <c r="C87" s="86">
        <v>37</v>
      </c>
      <c r="D87" s="86">
        <f t="shared" si="2"/>
        <v>11</v>
      </c>
      <c r="E87" s="79" t="str">
        <f t="shared" si="3"/>
        <v>Pass</v>
      </c>
      <c r="F87" s="84">
        <v>1340</v>
      </c>
      <c r="G87" s="80" t="s">
        <v>47</v>
      </c>
      <c r="H87" s="81">
        <v>60</v>
      </c>
      <c r="I87" s="81">
        <v>60</v>
      </c>
      <c r="J87" s="78"/>
    </row>
    <row r="88" spans="1:10">
      <c r="A88" s="115">
        <v>43382</v>
      </c>
      <c r="B88" s="86">
        <v>19</v>
      </c>
      <c r="C88" s="86">
        <v>43</v>
      </c>
      <c r="D88" s="86">
        <f t="shared" si="2"/>
        <v>24</v>
      </c>
      <c r="E88" s="79" t="str">
        <f t="shared" si="3"/>
        <v>Pass</v>
      </c>
      <c r="F88" s="84">
        <v>1335</v>
      </c>
      <c r="G88" s="80" t="s">
        <v>47</v>
      </c>
      <c r="H88" s="81">
        <v>60</v>
      </c>
      <c r="I88" s="81">
        <v>60</v>
      </c>
      <c r="J88" s="78"/>
    </row>
    <row r="89" spans="1:10">
      <c r="A89" s="115">
        <v>43385</v>
      </c>
      <c r="B89" s="86">
        <v>36</v>
      </c>
      <c r="C89" s="86">
        <v>68</v>
      </c>
      <c r="D89" s="86">
        <f t="shared" si="2"/>
        <v>32</v>
      </c>
      <c r="E89" s="79" t="str">
        <f t="shared" si="3"/>
        <v>Pass</v>
      </c>
      <c r="F89" s="84">
        <v>102</v>
      </c>
      <c r="G89" s="80" t="s">
        <v>47</v>
      </c>
      <c r="H89" s="81">
        <v>60</v>
      </c>
      <c r="I89" s="81">
        <v>60</v>
      </c>
      <c r="J89" s="78"/>
    </row>
    <row r="90" spans="1:10">
      <c r="A90" s="115">
        <v>43388</v>
      </c>
      <c r="B90" s="86">
        <v>13</v>
      </c>
      <c r="C90" s="86">
        <v>82</v>
      </c>
      <c r="D90" s="86">
        <f t="shared" si="2"/>
        <v>69</v>
      </c>
      <c r="E90" s="79" t="str">
        <f t="shared" si="3"/>
        <v>Fail</v>
      </c>
      <c r="F90" s="84">
        <v>1340</v>
      </c>
      <c r="G90" s="80" t="s">
        <v>47</v>
      </c>
      <c r="H90" s="81">
        <v>60</v>
      </c>
      <c r="I90" s="81">
        <v>60</v>
      </c>
      <c r="J90" s="78"/>
    </row>
    <row r="91" spans="1:10">
      <c r="A91" s="115">
        <v>43388</v>
      </c>
      <c r="B91" s="86">
        <v>22</v>
      </c>
      <c r="C91" s="86">
        <v>31</v>
      </c>
      <c r="D91" s="86">
        <f t="shared" si="2"/>
        <v>9</v>
      </c>
      <c r="E91" s="79" t="str">
        <f t="shared" si="3"/>
        <v>Pass</v>
      </c>
      <c r="F91" s="84">
        <v>1340</v>
      </c>
      <c r="G91" s="80" t="s">
        <v>47</v>
      </c>
      <c r="H91" s="81">
        <v>60</v>
      </c>
      <c r="I91" s="81">
        <v>60</v>
      </c>
      <c r="J91" s="78"/>
    </row>
    <row r="92" spans="1:10">
      <c r="A92" s="115">
        <v>43391</v>
      </c>
      <c r="B92" s="78">
        <v>4</v>
      </c>
      <c r="C92" s="78">
        <v>49</v>
      </c>
      <c r="D92" s="78">
        <f t="shared" si="2"/>
        <v>45</v>
      </c>
      <c r="E92" s="79" t="str">
        <f t="shared" si="3"/>
        <v>Pass</v>
      </c>
      <c r="F92" s="85">
        <v>121</v>
      </c>
      <c r="G92" s="80" t="s">
        <v>47</v>
      </c>
      <c r="H92" s="81">
        <v>60</v>
      </c>
      <c r="I92" s="81">
        <v>60</v>
      </c>
      <c r="J92" s="92"/>
    </row>
    <row r="93" spans="1:10">
      <c r="A93" s="115">
        <v>43395</v>
      </c>
      <c r="B93" s="78">
        <v>9</v>
      </c>
      <c r="C93" s="78">
        <v>33</v>
      </c>
      <c r="D93" s="78">
        <f t="shared" si="2"/>
        <v>24</v>
      </c>
      <c r="E93" s="79" t="str">
        <f t="shared" si="3"/>
        <v>Pass</v>
      </c>
      <c r="F93" s="85">
        <v>121</v>
      </c>
      <c r="G93" s="80" t="s">
        <v>47</v>
      </c>
      <c r="H93" s="81">
        <v>60</v>
      </c>
      <c r="I93" s="81">
        <v>60</v>
      </c>
      <c r="J93" s="78"/>
    </row>
    <row r="94" spans="1:10">
      <c r="A94" s="115">
        <v>43398</v>
      </c>
      <c r="B94" s="78">
        <v>36</v>
      </c>
      <c r="C94" s="78">
        <v>165</v>
      </c>
      <c r="D94" s="78">
        <f t="shared" si="2"/>
        <v>129</v>
      </c>
      <c r="E94" s="79" t="str">
        <f t="shared" si="3"/>
        <v>Fail</v>
      </c>
      <c r="F94" s="85">
        <v>121</v>
      </c>
      <c r="G94" s="80" t="s">
        <v>47</v>
      </c>
      <c r="H94" s="81">
        <v>60</v>
      </c>
      <c r="I94" s="81">
        <v>60</v>
      </c>
      <c r="J94" s="78" t="s">
        <v>62</v>
      </c>
    </row>
    <row r="95" spans="1:10">
      <c r="A95" s="115">
        <v>43401</v>
      </c>
      <c r="B95" s="78">
        <v>32</v>
      </c>
      <c r="C95" s="78">
        <v>44</v>
      </c>
      <c r="D95" s="78">
        <f t="shared" si="2"/>
        <v>12</v>
      </c>
      <c r="E95" s="79" t="str">
        <f t="shared" si="3"/>
        <v>Pass</v>
      </c>
      <c r="F95" s="85">
        <v>1340</v>
      </c>
      <c r="G95" s="80" t="s">
        <v>47</v>
      </c>
      <c r="H95" s="81">
        <v>60</v>
      </c>
      <c r="I95" s="81">
        <v>60</v>
      </c>
      <c r="J95" s="78"/>
    </row>
    <row r="96" spans="1:10">
      <c r="A96" s="115">
        <v>43402</v>
      </c>
      <c r="B96" s="78">
        <v>43</v>
      </c>
      <c r="C96" s="78">
        <v>34</v>
      </c>
      <c r="D96" s="78">
        <f t="shared" si="2"/>
        <v>-9</v>
      </c>
      <c r="E96" s="79" t="str">
        <f t="shared" si="3"/>
        <v>Pass</v>
      </c>
      <c r="F96" s="85">
        <v>1428</v>
      </c>
      <c r="G96" s="80" t="s">
        <v>47</v>
      </c>
      <c r="H96" s="81">
        <v>60</v>
      </c>
      <c r="I96" s="81">
        <v>60</v>
      </c>
      <c r="J96" s="78"/>
    </row>
    <row r="97" spans="1:10">
      <c r="A97" s="115">
        <v>43405</v>
      </c>
      <c r="B97" s="78">
        <v>18</v>
      </c>
      <c r="C97" s="78">
        <v>32</v>
      </c>
      <c r="D97" s="78">
        <f t="shared" si="2"/>
        <v>14</v>
      </c>
      <c r="E97" s="79" t="str">
        <f t="shared" si="3"/>
        <v>Pass</v>
      </c>
      <c r="F97" s="85">
        <v>64</v>
      </c>
      <c r="G97" s="80" t="s">
        <v>47</v>
      </c>
      <c r="H97" s="81">
        <v>60</v>
      </c>
      <c r="I97" s="81">
        <v>60</v>
      </c>
      <c r="J97" s="78"/>
    </row>
    <row r="98" spans="1:10">
      <c r="A98" s="115">
        <v>43405</v>
      </c>
      <c r="B98" s="78">
        <v>10</v>
      </c>
      <c r="C98" s="78">
        <v>33</v>
      </c>
      <c r="D98" s="78">
        <f t="shared" si="2"/>
        <v>23</v>
      </c>
      <c r="E98" s="79" t="str">
        <f t="shared" si="3"/>
        <v>Pass</v>
      </c>
      <c r="F98" s="85">
        <v>1335</v>
      </c>
      <c r="G98" s="80" t="s">
        <v>47</v>
      </c>
      <c r="H98" s="81">
        <v>60</v>
      </c>
      <c r="I98" s="81">
        <v>60</v>
      </c>
      <c r="J98" s="78"/>
    </row>
    <row r="99" spans="1:10">
      <c r="A99" s="115">
        <v>43413</v>
      </c>
      <c r="B99" s="78">
        <v>10</v>
      </c>
      <c r="C99" s="78">
        <v>189</v>
      </c>
      <c r="D99" s="78">
        <f t="shared" si="2"/>
        <v>179</v>
      </c>
      <c r="E99" s="79" t="str">
        <f t="shared" si="3"/>
        <v>Fail</v>
      </c>
      <c r="F99" s="85">
        <v>1428</v>
      </c>
      <c r="G99" s="80" t="s">
        <v>47</v>
      </c>
      <c r="H99" s="81">
        <v>60</v>
      </c>
      <c r="I99" s="81">
        <v>60</v>
      </c>
      <c r="J99" s="78"/>
    </row>
    <row r="100" spans="1:10">
      <c r="A100" s="115">
        <v>43415</v>
      </c>
      <c r="B100" s="78">
        <v>13</v>
      </c>
      <c r="C100" s="78">
        <v>40</v>
      </c>
      <c r="D100" s="78">
        <f t="shared" si="2"/>
        <v>27</v>
      </c>
      <c r="E100" s="79" t="str">
        <f t="shared" si="3"/>
        <v>Pass</v>
      </c>
      <c r="F100" s="85">
        <v>1340</v>
      </c>
      <c r="G100" s="80" t="s">
        <v>47</v>
      </c>
      <c r="H100" s="81">
        <v>60</v>
      </c>
      <c r="I100" s="81">
        <v>60</v>
      </c>
      <c r="J100" s="78"/>
    </row>
    <row r="101" spans="1:10">
      <c r="A101" s="115">
        <v>43420</v>
      </c>
      <c r="B101" s="78">
        <v>24</v>
      </c>
      <c r="C101" s="78">
        <v>61</v>
      </c>
      <c r="D101" s="78">
        <f t="shared" si="2"/>
        <v>37</v>
      </c>
      <c r="E101" s="79" t="str">
        <f t="shared" si="3"/>
        <v>Pass</v>
      </c>
      <c r="F101" s="85">
        <v>1428</v>
      </c>
      <c r="G101" s="80" t="s">
        <v>47</v>
      </c>
      <c r="H101" s="81">
        <v>60</v>
      </c>
      <c r="I101" s="81">
        <v>60</v>
      </c>
      <c r="J101" s="78"/>
    </row>
    <row r="102" spans="1:10">
      <c r="A102" s="115">
        <v>43420</v>
      </c>
      <c r="B102" s="78">
        <v>24</v>
      </c>
      <c r="C102" s="78">
        <v>35</v>
      </c>
      <c r="D102" s="78">
        <f t="shared" si="2"/>
        <v>11</v>
      </c>
      <c r="E102" s="79" t="str">
        <f t="shared" si="3"/>
        <v>Pass</v>
      </c>
      <c r="F102" s="85">
        <v>1335</v>
      </c>
      <c r="G102" s="80" t="s">
        <v>47</v>
      </c>
      <c r="H102" s="81">
        <v>60</v>
      </c>
      <c r="I102" s="81">
        <v>60</v>
      </c>
      <c r="J102" s="78"/>
    </row>
    <row r="103" spans="1:10">
      <c r="A103" s="115">
        <v>43438</v>
      </c>
      <c r="B103" s="78">
        <v>27</v>
      </c>
      <c r="C103" s="78">
        <v>40</v>
      </c>
      <c r="D103" s="78">
        <f t="shared" si="2"/>
        <v>13</v>
      </c>
      <c r="E103" s="79" t="str">
        <f t="shared" si="3"/>
        <v>Pass</v>
      </c>
      <c r="F103" s="85">
        <v>1340</v>
      </c>
      <c r="G103" s="80" t="s">
        <v>47</v>
      </c>
      <c r="H103" s="81">
        <v>60</v>
      </c>
      <c r="I103" s="81">
        <v>60</v>
      </c>
      <c r="J103" s="78"/>
    </row>
    <row r="104" spans="1:10">
      <c r="A104" s="115">
        <v>43452</v>
      </c>
      <c r="B104" s="78">
        <v>30</v>
      </c>
      <c r="C104" s="78">
        <v>40</v>
      </c>
      <c r="D104" s="78">
        <f t="shared" si="2"/>
        <v>10</v>
      </c>
      <c r="E104" s="79" t="str">
        <f t="shared" si="3"/>
        <v>Pass</v>
      </c>
      <c r="F104" s="85">
        <v>1340</v>
      </c>
      <c r="G104" s="80" t="s">
        <v>47</v>
      </c>
      <c r="H104" s="81">
        <v>60</v>
      </c>
      <c r="I104" s="81">
        <v>60</v>
      </c>
      <c r="J104" s="78"/>
    </row>
    <row r="105" spans="1:10">
      <c r="A105" s="115">
        <v>43458</v>
      </c>
      <c r="B105" s="78">
        <v>48</v>
      </c>
      <c r="C105" s="78">
        <v>71</v>
      </c>
      <c r="D105" s="78">
        <f t="shared" si="2"/>
        <v>23</v>
      </c>
      <c r="E105" s="79" t="str">
        <f t="shared" si="3"/>
        <v>Pass</v>
      </c>
      <c r="F105" s="85">
        <v>1428</v>
      </c>
      <c r="G105" s="80" t="s">
        <v>47</v>
      </c>
      <c r="H105" s="81">
        <v>60</v>
      </c>
      <c r="I105" s="81">
        <v>60</v>
      </c>
      <c r="J105" s="78"/>
    </row>
    <row r="106" spans="1:10">
      <c r="A106" s="115">
        <v>43462</v>
      </c>
      <c r="B106" s="78">
        <v>26</v>
      </c>
      <c r="C106" s="78">
        <v>48</v>
      </c>
      <c r="D106" s="78">
        <f t="shared" si="2"/>
        <v>22</v>
      </c>
      <c r="E106" s="79" t="str">
        <f t="shared" si="3"/>
        <v>Pass</v>
      </c>
      <c r="F106" s="85">
        <v>1340</v>
      </c>
      <c r="G106" s="80" t="s">
        <v>47</v>
      </c>
      <c r="H106" s="81">
        <v>60</v>
      </c>
      <c r="I106" s="81">
        <v>60</v>
      </c>
      <c r="J106" s="78"/>
    </row>
    <row r="107" spans="1:10">
      <c r="A107" s="115">
        <v>43466</v>
      </c>
      <c r="B107" s="78">
        <v>12</v>
      </c>
      <c r="C107" s="78">
        <v>14</v>
      </c>
      <c r="D107" s="78">
        <f>IF(((C107="")*AND(B107="")),"",(C107-B107))</f>
        <v>2</v>
      </c>
      <c r="E107" s="79" t="str">
        <f>IF(D107="","",IF(D107&lt;60,"Pass","Fail"))</f>
        <v>Pass</v>
      </c>
      <c r="F107" s="85">
        <v>1340</v>
      </c>
      <c r="G107" s="80" t="s">
        <v>47</v>
      </c>
      <c r="H107" s="81">
        <v>60</v>
      </c>
      <c r="I107" s="81">
        <v>60</v>
      </c>
      <c r="J107" s="78"/>
    </row>
    <row r="108" spans="1:10" customFormat="1" ht="12.75" customHeight="1">
      <c r="A108" s="115">
        <v>43476</v>
      </c>
      <c r="B108" s="78">
        <v>21</v>
      </c>
      <c r="C108" s="78">
        <v>255</v>
      </c>
      <c r="D108" s="78">
        <f t="shared" ref="D108:D126" si="4">IF(((C108="")*AND(B108="")),"",(C108-B108))</f>
        <v>234</v>
      </c>
      <c r="E108" s="30" t="str">
        <f t="shared" ref="E108:E142" si="5">IF(D108="","",IF(D108&lt;60,"Pass","Fail"))</f>
        <v>Fail</v>
      </c>
      <c r="F108" s="85">
        <v>121</v>
      </c>
      <c r="G108" s="111" t="s">
        <v>47</v>
      </c>
      <c r="H108" s="81">
        <v>60</v>
      </c>
      <c r="I108" s="81">
        <v>60</v>
      </c>
      <c r="J108" s="78" t="s">
        <v>136</v>
      </c>
    </row>
    <row r="109" spans="1:10" customFormat="1" ht="15.75">
      <c r="A109" s="115">
        <v>43115</v>
      </c>
      <c r="B109" s="78">
        <v>9</v>
      </c>
      <c r="C109" s="78">
        <v>128</v>
      </c>
      <c r="D109" s="78">
        <f t="shared" si="4"/>
        <v>119</v>
      </c>
      <c r="E109" s="30" t="str">
        <f t="shared" si="5"/>
        <v>Fail</v>
      </c>
      <c r="F109" s="85">
        <v>1340</v>
      </c>
      <c r="G109" s="111" t="s">
        <v>47</v>
      </c>
      <c r="H109" s="81">
        <v>60</v>
      </c>
      <c r="I109" s="81">
        <v>60</v>
      </c>
      <c r="J109" s="78" t="s">
        <v>136</v>
      </c>
    </row>
    <row r="110" spans="1:10" customFormat="1" ht="15.75">
      <c r="A110" s="115">
        <v>43115</v>
      </c>
      <c r="B110" s="78">
        <v>11</v>
      </c>
      <c r="C110" s="78">
        <v>36</v>
      </c>
      <c r="D110" s="78">
        <f t="shared" si="4"/>
        <v>25</v>
      </c>
      <c r="E110" s="30" t="str">
        <f t="shared" si="5"/>
        <v>Pass</v>
      </c>
      <c r="F110" s="85" t="s">
        <v>137</v>
      </c>
      <c r="G110" s="111" t="s">
        <v>47</v>
      </c>
      <c r="H110" s="81">
        <v>60</v>
      </c>
      <c r="I110" s="81">
        <v>60</v>
      </c>
      <c r="J110" s="78"/>
    </row>
    <row r="111" spans="1:10" customFormat="1" ht="15.75">
      <c r="A111" s="115">
        <v>43115</v>
      </c>
      <c r="B111" s="78">
        <v>13</v>
      </c>
      <c r="C111" s="78">
        <v>32</v>
      </c>
      <c r="D111" s="78">
        <f t="shared" si="4"/>
        <v>19</v>
      </c>
      <c r="E111" s="30" t="str">
        <f t="shared" si="5"/>
        <v>Pass</v>
      </c>
      <c r="F111" s="85" t="s">
        <v>137</v>
      </c>
      <c r="G111" s="111" t="s">
        <v>47</v>
      </c>
      <c r="H111" s="81">
        <v>60</v>
      </c>
      <c r="I111" s="81">
        <v>60</v>
      </c>
      <c r="J111" s="78"/>
    </row>
    <row r="112" spans="1:10" customFormat="1" ht="15.75">
      <c r="A112" s="115">
        <v>43487</v>
      </c>
      <c r="B112" s="78">
        <v>10</v>
      </c>
      <c r="C112" s="78">
        <v>51</v>
      </c>
      <c r="D112" s="78">
        <f t="shared" si="4"/>
        <v>41</v>
      </c>
      <c r="E112" s="30" t="str">
        <f t="shared" si="5"/>
        <v>Pass</v>
      </c>
      <c r="F112" s="85">
        <v>1335</v>
      </c>
      <c r="G112" s="111" t="s">
        <v>47</v>
      </c>
      <c r="H112" s="81">
        <v>60</v>
      </c>
      <c r="I112" s="81">
        <v>60</v>
      </c>
      <c r="J112" s="78"/>
    </row>
    <row r="113" spans="1:10" customFormat="1" ht="15.75">
      <c r="A113" s="115">
        <v>43493</v>
      </c>
      <c r="B113" s="78">
        <v>13</v>
      </c>
      <c r="C113" s="78">
        <v>30</v>
      </c>
      <c r="D113" s="78">
        <f t="shared" si="4"/>
        <v>17</v>
      </c>
      <c r="E113" s="30" t="str">
        <f t="shared" si="5"/>
        <v>Pass</v>
      </c>
      <c r="F113" s="412" t="s">
        <v>98</v>
      </c>
      <c r="G113" s="111" t="s">
        <v>47</v>
      </c>
      <c r="H113" s="81">
        <v>60</v>
      </c>
      <c r="I113" s="81">
        <v>60</v>
      </c>
      <c r="J113" s="78"/>
    </row>
    <row r="114" spans="1:10" customFormat="1" ht="15.75">
      <c r="A114" s="115">
        <v>43497</v>
      </c>
      <c r="B114" s="78">
        <v>32</v>
      </c>
      <c r="C114" s="78">
        <v>56</v>
      </c>
      <c r="D114" s="78">
        <f t="shared" si="4"/>
        <v>24</v>
      </c>
      <c r="E114" s="30" t="str">
        <f t="shared" si="5"/>
        <v>Pass</v>
      </c>
      <c r="F114" s="120">
        <v>121</v>
      </c>
      <c r="G114" s="78" t="s">
        <v>47</v>
      </c>
      <c r="H114" s="81">
        <v>60</v>
      </c>
      <c r="I114" s="81">
        <v>60</v>
      </c>
      <c r="J114" s="78"/>
    </row>
    <row r="115" spans="1:10" customFormat="1" ht="15.75">
      <c r="A115" s="115">
        <v>43502</v>
      </c>
      <c r="B115" s="78">
        <v>18</v>
      </c>
      <c r="C115" s="78">
        <v>29</v>
      </c>
      <c r="D115" s="78">
        <f t="shared" si="4"/>
        <v>11</v>
      </c>
      <c r="E115" s="30" t="str">
        <f t="shared" si="5"/>
        <v>Pass</v>
      </c>
      <c r="F115" s="120">
        <v>102</v>
      </c>
      <c r="G115" s="78" t="s">
        <v>47</v>
      </c>
      <c r="H115" s="81">
        <v>60</v>
      </c>
      <c r="I115" s="81">
        <v>60</v>
      </c>
      <c r="J115" s="78"/>
    </row>
    <row r="116" spans="1:10" customFormat="1" ht="15.75">
      <c r="A116" s="115">
        <v>43510</v>
      </c>
      <c r="B116" s="78">
        <v>20</v>
      </c>
      <c r="C116" s="78">
        <v>82</v>
      </c>
      <c r="D116" s="78">
        <f t="shared" si="4"/>
        <v>62</v>
      </c>
      <c r="E116" s="30" t="str">
        <f t="shared" si="5"/>
        <v>Fail</v>
      </c>
      <c r="F116" s="85" t="s">
        <v>138</v>
      </c>
      <c r="G116" s="78" t="s">
        <v>47</v>
      </c>
      <c r="H116" s="81">
        <v>60</v>
      </c>
      <c r="I116" s="81">
        <v>60</v>
      </c>
      <c r="J116" s="78"/>
    </row>
    <row r="117" spans="1:10" customFormat="1" ht="15.75">
      <c r="A117" s="115">
        <v>43510</v>
      </c>
      <c r="B117" s="78">
        <v>10</v>
      </c>
      <c r="C117" s="78">
        <v>46</v>
      </c>
      <c r="D117" s="78">
        <f t="shared" si="4"/>
        <v>36</v>
      </c>
      <c r="E117" s="30" t="str">
        <f t="shared" si="5"/>
        <v>Pass</v>
      </c>
      <c r="F117" s="85" t="s">
        <v>138</v>
      </c>
      <c r="G117" s="78" t="s">
        <v>47</v>
      </c>
      <c r="H117" s="81">
        <v>60</v>
      </c>
      <c r="I117" s="81">
        <v>60</v>
      </c>
      <c r="J117" s="78"/>
    </row>
    <row r="118" spans="1:10" customFormat="1" ht="15.75">
      <c r="A118" s="115">
        <v>43510</v>
      </c>
      <c r="B118" s="78">
        <v>19</v>
      </c>
      <c r="C118" s="78">
        <v>38</v>
      </c>
      <c r="D118" s="117">
        <f t="shared" si="4"/>
        <v>19</v>
      </c>
      <c r="E118" s="30" t="str">
        <f t="shared" si="5"/>
        <v>Pass</v>
      </c>
      <c r="F118" s="85" t="s">
        <v>138</v>
      </c>
      <c r="G118" s="78" t="s">
        <v>47</v>
      </c>
      <c r="H118" s="81">
        <v>60</v>
      </c>
      <c r="I118" s="81">
        <v>60</v>
      </c>
      <c r="J118" s="78"/>
    </row>
    <row r="119" spans="1:10" customFormat="1" ht="15.75">
      <c r="A119" s="115">
        <v>43514</v>
      </c>
      <c r="B119" s="78">
        <v>17</v>
      </c>
      <c r="C119" s="78">
        <v>54</v>
      </c>
      <c r="D119" s="117">
        <f t="shared" si="4"/>
        <v>37</v>
      </c>
      <c r="E119" s="30" t="str">
        <f t="shared" si="5"/>
        <v>Pass</v>
      </c>
      <c r="F119" s="85">
        <v>1340</v>
      </c>
      <c r="G119" s="78" t="s">
        <v>47</v>
      </c>
      <c r="H119" s="81">
        <v>60</v>
      </c>
      <c r="I119" s="81">
        <v>60</v>
      </c>
      <c r="J119" s="78"/>
    </row>
    <row r="120" spans="1:10" customFormat="1" ht="15.75">
      <c r="A120" s="115">
        <v>43522</v>
      </c>
      <c r="B120" s="118">
        <v>41</v>
      </c>
      <c r="C120" s="118">
        <v>131</v>
      </c>
      <c r="D120" s="117">
        <f t="shared" si="4"/>
        <v>90</v>
      </c>
      <c r="E120" s="32" t="str">
        <f t="shared" si="5"/>
        <v>Fail</v>
      </c>
      <c r="F120" s="119">
        <v>1340</v>
      </c>
      <c r="G120" s="78" t="s">
        <v>47</v>
      </c>
      <c r="H120" s="81">
        <v>60</v>
      </c>
      <c r="I120" s="81">
        <v>60</v>
      </c>
      <c r="J120" s="78"/>
    </row>
    <row r="121" spans="1:10" customFormat="1" ht="15.75">
      <c r="A121" s="115">
        <v>43522</v>
      </c>
      <c r="B121" s="118">
        <v>41</v>
      </c>
      <c r="C121" s="118">
        <v>64</v>
      </c>
      <c r="D121" s="117">
        <f t="shared" si="4"/>
        <v>23</v>
      </c>
      <c r="E121" s="32" t="str">
        <f t="shared" si="5"/>
        <v>Pass</v>
      </c>
      <c r="F121" s="119">
        <v>1340</v>
      </c>
      <c r="G121" s="78" t="s">
        <v>47</v>
      </c>
      <c r="H121" s="81">
        <v>60</v>
      </c>
      <c r="I121" s="81">
        <v>60</v>
      </c>
      <c r="J121" s="78"/>
    </row>
    <row r="122" spans="1:10" customFormat="1" ht="15.75">
      <c r="A122" s="115">
        <v>43522</v>
      </c>
      <c r="B122" s="78">
        <v>37</v>
      </c>
      <c r="C122" s="78">
        <v>63</v>
      </c>
      <c r="D122" s="82">
        <f t="shared" si="4"/>
        <v>26</v>
      </c>
      <c r="E122" s="30" t="str">
        <f t="shared" si="5"/>
        <v>Pass</v>
      </c>
      <c r="F122" s="85" t="s">
        <v>137</v>
      </c>
      <c r="G122" s="78" t="s">
        <v>47</v>
      </c>
      <c r="H122" s="81">
        <v>60</v>
      </c>
      <c r="I122" s="81">
        <v>60</v>
      </c>
      <c r="J122" s="78"/>
    </row>
    <row r="123" spans="1:10" customFormat="1" ht="15.75">
      <c r="A123" s="115">
        <v>43528</v>
      </c>
      <c r="B123" s="78">
        <v>45</v>
      </c>
      <c r="C123" s="78">
        <v>100</v>
      </c>
      <c r="D123" s="82">
        <f t="shared" si="4"/>
        <v>55</v>
      </c>
      <c r="E123" s="30" t="str">
        <f t="shared" si="5"/>
        <v>Pass</v>
      </c>
      <c r="F123" s="85">
        <v>1159</v>
      </c>
      <c r="G123" s="78" t="s">
        <v>47</v>
      </c>
      <c r="H123" s="81">
        <v>60</v>
      </c>
      <c r="I123" s="81">
        <v>60</v>
      </c>
      <c r="J123" s="78"/>
    </row>
    <row r="124" spans="1:10" customFormat="1" ht="15.75">
      <c r="A124" s="115">
        <v>43546</v>
      </c>
      <c r="B124" s="78">
        <v>15</v>
      </c>
      <c r="C124" s="78">
        <v>36</v>
      </c>
      <c r="D124" s="82">
        <f t="shared" si="4"/>
        <v>21</v>
      </c>
      <c r="E124" s="30" t="str">
        <f t="shared" si="5"/>
        <v>Pass</v>
      </c>
      <c r="F124" s="85">
        <v>1340</v>
      </c>
      <c r="G124" s="78" t="s">
        <v>47</v>
      </c>
      <c r="H124" s="81">
        <v>60</v>
      </c>
      <c r="I124" s="81">
        <v>60</v>
      </c>
      <c r="J124" s="78"/>
    </row>
    <row r="125" spans="1:10" customFormat="1" ht="15.75">
      <c r="A125" s="115">
        <v>43549</v>
      </c>
      <c r="B125" s="78">
        <v>16</v>
      </c>
      <c r="C125" s="78">
        <v>53</v>
      </c>
      <c r="D125" s="82">
        <f t="shared" si="4"/>
        <v>37</v>
      </c>
      <c r="E125" s="30" t="str">
        <f t="shared" si="5"/>
        <v>Pass</v>
      </c>
      <c r="F125" s="85">
        <v>1159</v>
      </c>
      <c r="G125" s="78" t="s">
        <v>47</v>
      </c>
      <c r="H125" s="81">
        <v>60</v>
      </c>
      <c r="I125" s="81">
        <v>60</v>
      </c>
      <c r="J125" s="78"/>
    </row>
    <row r="126" spans="1:10" customFormat="1" ht="15.75">
      <c r="A126" s="115">
        <v>43552</v>
      </c>
      <c r="B126" s="78">
        <v>33</v>
      </c>
      <c r="C126" s="78">
        <v>83</v>
      </c>
      <c r="D126" s="82">
        <f t="shared" si="4"/>
        <v>50</v>
      </c>
      <c r="E126" s="30" t="str">
        <f t="shared" si="5"/>
        <v>Pass</v>
      </c>
      <c r="F126" s="85">
        <v>1159</v>
      </c>
      <c r="G126" s="78" t="s">
        <v>47</v>
      </c>
      <c r="H126" s="81">
        <v>60</v>
      </c>
      <c r="I126" s="81">
        <v>60</v>
      </c>
      <c r="J126" s="78"/>
    </row>
    <row r="127" spans="1:10" customFormat="1" ht="15.75">
      <c r="A127" s="115">
        <v>43558</v>
      </c>
      <c r="B127" s="78">
        <v>17</v>
      </c>
      <c r="C127" s="78">
        <v>34</v>
      </c>
      <c r="D127" s="82">
        <f>IF(((C127="")*AND(B127="")),"",(C127-B127))</f>
        <v>17</v>
      </c>
      <c r="E127" s="30" t="str">
        <f t="shared" si="5"/>
        <v>Pass</v>
      </c>
      <c r="F127" s="85">
        <v>1340</v>
      </c>
      <c r="G127" s="111" t="s">
        <v>47</v>
      </c>
      <c r="H127" s="81">
        <v>60</v>
      </c>
      <c r="I127" s="81">
        <v>60</v>
      </c>
      <c r="J127" s="78"/>
    </row>
    <row r="128" spans="1:10" customFormat="1" ht="15.75">
      <c r="A128" s="115">
        <v>43564</v>
      </c>
      <c r="B128" s="78">
        <v>17</v>
      </c>
      <c r="C128" s="78">
        <v>10</v>
      </c>
      <c r="D128" s="82">
        <f>IF(((C128="")*AND(B128="")),"",(C128-B128))</f>
        <v>-7</v>
      </c>
      <c r="E128" s="30" t="str">
        <f t="shared" si="5"/>
        <v>Pass</v>
      </c>
      <c r="F128" s="85">
        <v>1159</v>
      </c>
      <c r="G128" s="111" t="s">
        <v>47</v>
      </c>
      <c r="H128" s="81">
        <v>60</v>
      </c>
      <c r="I128" s="81">
        <v>60</v>
      </c>
      <c r="J128" s="78"/>
    </row>
    <row r="129" spans="1:10" customFormat="1" ht="15.75">
      <c r="A129" s="115">
        <v>43569</v>
      </c>
      <c r="B129" s="78">
        <v>27</v>
      </c>
      <c r="C129" s="78">
        <v>533</v>
      </c>
      <c r="D129" s="82">
        <f>IF(((C129="")*AND(B129="")),"",(C129-B129))</f>
        <v>506</v>
      </c>
      <c r="E129" s="30" t="str">
        <f t="shared" si="5"/>
        <v>Fail</v>
      </c>
      <c r="F129" s="85">
        <v>102</v>
      </c>
      <c r="G129" s="111" t="s">
        <v>47</v>
      </c>
      <c r="H129" s="81">
        <v>60</v>
      </c>
      <c r="I129" s="81">
        <v>60</v>
      </c>
      <c r="J129" s="78" t="s">
        <v>59</v>
      </c>
    </row>
    <row r="130" spans="1:10" customFormat="1" ht="15.75">
      <c r="A130" s="115">
        <v>43569</v>
      </c>
      <c r="B130" s="78">
        <v>11</v>
      </c>
      <c r="C130" s="78">
        <v>147</v>
      </c>
      <c r="D130" s="82">
        <f>IF(((C130="")*AND(B130="")),"",(C130-B130))</f>
        <v>136</v>
      </c>
      <c r="E130" s="30" t="str">
        <f t="shared" si="5"/>
        <v>Fail</v>
      </c>
      <c r="F130" s="85">
        <v>102</v>
      </c>
      <c r="G130" s="111" t="s">
        <v>47</v>
      </c>
      <c r="H130" s="81">
        <v>60</v>
      </c>
      <c r="I130" s="81">
        <v>60</v>
      </c>
      <c r="J130" s="112" t="s">
        <v>139</v>
      </c>
    </row>
    <row r="131" spans="1:10" customFormat="1" ht="15.75">
      <c r="A131" s="115">
        <v>43570</v>
      </c>
      <c r="B131" s="78">
        <v>11</v>
      </c>
      <c r="C131" s="78">
        <v>48</v>
      </c>
      <c r="D131" s="82">
        <f>IF(((C131="")*AND(B131="")),"",(C131-B131))</f>
        <v>37</v>
      </c>
      <c r="E131" s="30" t="str">
        <f t="shared" si="5"/>
        <v>Pass</v>
      </c>
      <c r="F131" s="85">
        <v>1340</v>
      </c>
      <c r="G131" s="111" t="s">
        <v>47</v>
      </c>
      <c r="H131" s="81">
        <v>60</v>
      </c>
      <c r="I131" s="81">
        <v>60</v>
      </c>
      <c r="J131" s="112" t="s">
        <v>140</v>
      </c>
    </row>
    <row r="132" spans="1:10" customFormat="1" ht="15.75">
      <c r="A132" s="115">
        <v>43577</v>
      </c>
      <c r="B132" s="82">
        <v>31</v>
      </c>
      <c r="C132" s="82">
        <v>37</v>
      </c>
      <c r="D132" s="82">
        <f t="shared" ref="D132:D195" si="6">IF(((C132="")*AND(B132="")),"",(C132-B132))</f>
        <v>6</v>
      </c>
      <c r="E132" s="30" t="str">
        <f t="shared" si="5"/>
        <v>Pass</v>
      </c>
      <c r="F132" s="85">
        <v>1340</v>
      </c>
      <c r="G132" s="111" t="s">
        <v>47</v>
      </c>
      <c r="H132" s="81">
        <v>60</v>
      </c>
      <c r="I132" s="81">
        <v>60</v>
      </c>
      <c r="J132" s="78"/>
    </row>
    <row r="133" spans="1:10" customFormat="1" ht="15.75">
      <c r="A133" s="115">
        <v>43580</v>
      </c>
      <c r="B133" s="82">
        <v>31</v>
      </c>
      <c r="C133" s="82">
        <v>37</v>
      </c>
      <c r="D133" s="82">
        <f t="shared" si="6"/>
        <v>6</v>
      </c>
      <c r="E133" s="30" t="str">
        <f t="shared" si="5"/>
        <v>Pass</v>
      </c>
      <c r="F133" s="85">
        <v>121</v>
      </c>
      <c r="G133" s="111" t="s">
        <v>47</v>
      </c>
      <c r="H133" s="81">
        <v>60</v>
      </c>
      <c r="I133" s="81">
        <v>60</v>
      </c>
      <c r="J133" s="78"/>
    </row>
    <row r="134" spans="1:10" customFormat="1" ht="15.75">
      <c r="A134" s="115">
        <v>43585</v>
      </c>
      <c r="B134" s="82">
        <v>14</v>
      </c>
      <c r="C134" s="82">
        <v>31</v>
      </c>
      <c r="D134" s="82">
        <f t="shared" si="6"/>
        <v>17</v>
      </c>
      <c r="E134" s="30" t="str">
        <f t="shared" si="5"/>
        <v>Pass</v>
      </c>
      <c r="F134" s="85">
        <v>1340</v>
      </c>
      <c r="G134" s="111" t="s">
        <v>47</v>
      </c>
      <c r="H134" s="81">
        <v>60</v>
      </c>
      <c r="I134" s="81">
        <v>60</v>
      </c>
      <c r="J134" s="78"/>
    </row>
    <row r="135" spans="1:10" customFormat="1" ht="15.75">
      <c r="A135" s="115">
        <v>43588</v>
      </c>
      <c r="B135" s="82">
        <v>7</v>
      </c>
      <c r="C135" s="82">
        <v>41</v>
      </c>
      <c r="D135" s="82">
        <f t="shared" si="6"/>
        <v>34</v>
      </c>
      <c r="E135" s="30" t="str">
        <f t="shared" si="5"/>
        <v>Pass</v>
      </c>
      <c r="F135" s="85">
        <v>1340</v>
      </c>
      <c r="G135" s="111" t="s">
        <v>47</v>
      </c>
      <c r="H135" s="81">
        <v>60</v>
      </c>
      <c r="I135" s="81">
        <v>60</v>
      </c>
      <c r="J135" s="78"/>
    </row>
    <row r="136" spans="1:10" customFormat="1" ht="15.75">
      <c r="A136" s="115">
        <v>43591</v>
      </c>
      <c r="B136" s="82">
        <v>17</v>
      </c>
      <c r="C136" s="82">
        <v>34</v>
      </c>
      <c r="D136" s="82">
        <f t="shared" si="6"/>
        <v>17</v>
      </c>
      <c r="E136" s="30" t="str">
        <f t="shared" si="5"/>
        <v>Pass</v>
      </c>
      <c r="F136" s="85">
        <v>1335</v>
      </c>
      <c r="G136" s="111" t="s">
        <v>47</v>
      </c>
      <c r="H136" s="81">
        <v>60</v>
      </c>
      <c r="I136" s="81">
        <v>60</v>
      </c>
      <c r="J136" s="78"/>
    </row>
    <row r="137" spans="1:10" customFormat="1" ht="12.75" customHeight="1">
      <c r="A137" s="115">
        <v>43593</v>
      </c>
      <c r="B137" s="82">
        <v>37</v>
      </c>
      <c r="C137" s="82">
        <v>739</v>
      </c>
      <c r="D137" s="82">
        <f t="shared" si="6"/>
        <v>702</v>
      </c>
      <c r="E137" s="30" t="str">
        <f t="shared" si="5"/>
        <v>Fail</v>
      </c>
      <c r="F137" s="85">
        <v>1428</v>
      </c>
      <c r="G137" s="112" t="s">
        <v>47</v>
      </c>
      <c r="H137" s="81">
        <v>60</v>
      </c>
      <c r="I137" s="81">
        <v>60</v>
      </c>
      <c r="J137" s="121" t="s">
        <v>146</v>
      </c>
    </row>
    <row r="138" spans="1:10" customFormat="1" ht="12.75" customHeight="1">
      <c r="A138" s="115">
        <v>43598</v>
      </c>
      <c r="B138" s="82">
        <v>10</v>
      </c>
      <c r="C138" s="82">
        <v>18</v>
      </c>
      <c r="D138" s="82">
        <f t="shared" si="6"/>
        <v>8</v>
      </c>
      <c r="E138" s="30" t="str">
        <f t="shared" si="5"/>
        <v>Pass</v>
      </c>
      <c r="F138" s="85">
        <v>1335</v>
      </c>
      <c r="G138" s="112" t="s">
        <v>47</v>
      </c>
      <c r="H138" s="81">
        <v>60</v>
      </c>
      <c r="I138" s="81">
        <v>60</v>
      </c>
      <c r="J138" s="78"/>
    </row>
    <row r="139" spans="1:10" customFormat="1" ht="12.75" customHeight="1">
      <c r="A139" s="115">
        <v>43603</v>
      </c>
      <c r="B139" s="82">
        <v>20</v>
      </c>
      <c r="C139" s="82">
        <v>97</v>
      </c>
      <c r="D139" s="82">
        <f t="shared" si="6"/>
        <v>77</v>
      </c>
      <c r="E139" s="30" t="str">
        <f t="shared" si="5"/>
        <v>Fail</v>
      </c>
      <c r="F139" s="85">
        <v>1335</v>
      </c>
      <c r="G139" s="112" t="s">
        <v>47</v>
      </c>
      <c r="H139" s="81">
        <v>60</v>
      </c>
      <c r="I139" s="81">
        <v>60</v>
      </c>
      <c r="J139" s="78"/>
    </row>
    <row r="140" spans="1:10" customFormat="1" ht="12.75" customHeight="1">
      <c r="A140" s="115">
        <v>43603</v>
      </c>
      <c r="B140" s="82">
        <v>26</v>
      </c>
      <c r="C140" s="82">
        <v>334</v>
      </c>
      <c r="D140" s="82">
        <f t="shared" si="6"/>
        <v>308</v>
      </c>
      <c r="E140" s="30" t="str">
        <f t="shared" si="5"/>
        <v>Fail</v>
      </c>
      <c r="F140" s="85">
        <v>1335</v>
      </c>
      <c r="G140" s="112" t="s">
        <v>47</v>
      </c>
      <c r="H140" s="81">
        <v>60</v>
      </c>
      <c r="I140" s="81">
        <v>60</v>
      </c>
      <c r="J140" s="78"/>
    </row>
    <row r="141" spans="1:10" customFormat="1" ht="12.75" customHeight="1">
      <c r="A141" s="115">
        <v>43603</v>
      </c>
      <c r="B141" s="82">
        <v>21</v>
      </c>
      <c r="C141" s="82">
        <v>675</v>
      </c>
      <c r="D141" s="82">
        <f t="shared" si="6"/>
        <v>654</v>
      </c>
      <c r="E141" s="30" t="str">
        <f t="shared" si="5"/>
        <v>Fail</v>
      </c>
      <c r="F141" s="85">
        <v>1335</v>
      </c>
      <c r="G141" s="112" t="s">
        <v>47</v>
      </c>
      <c r="H141" s="81">
        <v>60</v>
      </c>
      <c r="I141" s="81">
        <v>60</v>
      </c>
      <c r="J141" s="78"/>
    </row>
    <row r="142" spans="1:10" customFormat="1" ht="12.75" customHeight="1">
      <c r="A142" s="115">
        <v>43603</v>
      </c>
      <c r="B142" s="78">
        <v>32</v>
      </c>
      <c r="C142" s="78">
        <v>754</v>
      </c>
      <c r="D142" s="82">
        <f t="shared" si="6"/>
        <v>722</v>
      </c>
      <c r="E142" s="30" t="str">
        <f t="shared" si="5"/>
        <v>Fail</v>
      </c>
      <c r="F142" s="85">
        <v>1335</v>
      </c>
      <c r="G142" s="112" t="s">
        <v>47</v>
      </c>
      <c r="H142" s="81">
        <v>60</v>
      </c>
      <c r="I142" s="81">
        <v>60</v>
      </c>
      <c r="J142" s="78"/>
    </row>
    <row r="143" spans="1:10" customFormat="1" ht="12.75" customHeight="1">
      <c r="A143" s="115">
        <v>43605</v>
      </c>
      <c r="B143" s="78">
        <v>6</v>
      </c>
      <c r="C143" s="78">
        <v>21</v>
      </c>
      <c r="D143" s="82">
        <f t="shared" si="6"/>
        <v>15</v>
      </c>
      <c r="E143" s="30" t="str">
        <f>IF(D143="","",IF(D143&lt;60,"Pass","Fail"))</f>
        <v>Pass</v>
      </c>
      <c r="F143" s="85">
        <v>102</v>
      </c>
      <c r="G143" s="112" t="s">
        <v>47</v>
      </c>
      <c r="H143" s="81">
        <v>60</v>
      </c>
      <c r="I143" s="81">
        <v>60</v>
      </c>
      <c r="J143" s="78"/>
    </row>
    <row r="144" spans="1:10">
      <c r="A144" s="115">
        <v>43608</v>
      </c>
      <c r="B144" s="78">
        <v>18</v>
      </c>
      <c r="C144" s="78">
        <v>20</v>
      </c>
      <c r="D144" s="82">
        <f t="shared" si="6"/>
        <v>2</v>
      </c>
      <c r="E144" s="30" t="str">
        <f>IF(D144="","",IF(D144&lt;60,"Pass","Fail"))</f>
        <v>Pass</v>
      </c>
      <c r="F144" s="85">
        <v>1340</v>
      </c>
      <c r="G144" s="112" t="s">
        <v>47</v>
      </c>
      <c r="H144" s="81">
        <v>60</v>
      </c>
      <c r="I144" s="81">
        <v>60</v>
      </c>
      <c r="J144" s="78" t="s">
        <v>168</v>
      </c>
    </row>
    <row r="145" spans="1:10">
      <c r="A145" s="115">
        <v>43612</v>
      </c>
      <c r="B145" s="78">
        <v>29</v>
      </c>
      <c r="C145" s="78">
        <v>141</v>
      </c>
      <c r="D145" s="82">
        <f t="shared" si="6"/>
        <v>112</v>
      </c>
      <c r="E145" s="30" t="str">
        <f t="shared" ref="E145:E200" si="7">IF(D145="","",IF(D145&lt;60,"Pass","Fail"))</f>
        <v>Fail</v>
      </c>
      <c r="F145" s="85">
        <v>74</v>
      </c>
      <c r="G145" s="112" t="s">
        <v>47</v>
      </c>
      <c r="H145" s="81">
        <v>60</v>
      </c>
      <c r="I145" s="81">
        <v>60</v>
      </c>
      <c r="J145" s="78"/>
    </row>
    <row r="146" spans="1:10">
      <c r="A146" s="115">
        <v>43612</v>
      </c>
      <c r="B146" s="78">
        <v>17</v>
      </c>
      <c r="C146" s="78">
        <v>31</v>
      </c>
      <c r="D146" s="78">
        <f t="shared" si="6"/>
        <v>14</v>
      </c>
      <c r="E146" s="30" t="str">
        <f t="shared" si="7"/>
        <v>Pass</v>
      </c>
      <c r="F146" s="85">
        <v>1428</v>
      </c>
      <c r="G146" s="112" t="s">
        <v>47</v>
      </c>
      <c r="H146" s="81">
        <v>60</v>
      </c>
      <c r="I146" s="81">
        <v>60</v>
      </c>
      <c r="J146" s="78"/>
    </row>
    <row r="147" spans="1:10">
      <c r="A147" s="115">
        <v>43616</v>
      </c>
      <c r="B147" s="78">
        <v>24</v>
      </c>
      <c r="C147" s="78">
        <v>297</v>
      </c>
      <c r="D147" s="78">
        <f t="shared" si="6"/>
        <v>273</v>
      </c>
      <c r="E147" s="30" t="str">
        <f t="shared" si="7"/>
        <v>Fail</v>
      </c>
      <c r="F147" s="85">
        <v>1340</v>
      </c>
      <c r="G147" s="112" t="s">
        <v>47</v>
      </c>
      <c r="H147" s="81">
        <v>60</v>
      </c>
      <c r="I147" s="81">
        <v>60</v>
      </c>
      <c r="J147" s="78" t="s">
        <v>175</v>
      </c>
    </row>
    <row r="148" spans="1:10">
      <c r="A148" s="115">
        <v>43616</v>
      </c>
      <c r="B148" s="78">
        <v>21</v>
      </c>
      <c r="C148" s="78">
        <v>48</v>
      </c>
      <c r="D148" s="78">
        <f t="shared" si="6"/>
        <v>27</v>
      </c>
      <c r="E148" s="30" t="str">
        <f t="shared" si="7"/>
        <v>Pass</v>
      </c>
      <c r="F148" s="85">
        <v>1340</v>
      </c>
      <c r="G148" s="112" t="s">
        <v>47</v>
      </c>
      <c r="H148" s="81">
        <v>60</v>
      </c>
      <c r="I148" s="81">
        <v>60</v>
      </c>
      <c r="J148" s="78" t="s">
        <v>172</v>
      </c>
    </row>
    <row r="149" spans="1:10">
      <c r="A149" s="115">
        <v>43616</v>
      </c>
      <c r="B149" s="78">
        <v>20</v>
      </c>
      <c r="C149" s="78">
        <v>30</v>
      </c>
      <c r="D149" s="78">
        <f t="shared" si="6"/>
        <v>10</v>
      </c>
      <c r="E149" s="30" t="str">
        <f t="shared" si="7"/>
        <v>Pass</v>
      </c>
      <c r="F149" s="85">
        <v>1340</v>
      </c>
      <c r="G149" s="112" t="s">
        <v>47</v>
      </c>
      <c r="H149" s="81">
        <v>60</v>
      </c>
      <c r="I149" s="81">
        <v>60</v>
      </c>
      <c r="J149" s="78" t="s">
        <v>173</v>
      </c>
    </row>
    <row r="150" spans="1:10">
      <c r="A150" s="115">
        <v>43619</v>
      </c>
      <c r="B150" s="78">
        <v>17</v>
      </c>
      <c r="C150" s="78">
        <v>236</v>
      </c>
      <c r="D150" s="82">
        <f t="shared" si="6"/>
        <v>219</v>
      </c>
      <c r="E150" s="30" t="str">
        <f t="shared" si="7"/>
        <v>Fail</v>
      </c>
      <c r="F150" s="85">
        <v>1159</v>
      </c>
      <c r="G150" s="112" t="s">
        <v>47</v>
      </c>
      <c r="H150" s="81">
        <v>60</v>
      </c>
      <c r="I150" s="81">
        <v>60</v>
      </c>
      <c r="J150" s="78"/>
    </row>
    <row r="151" spans="1:10">
      <c r="A151" s="115">
        <v>43619</v>
      </c>
      <c r="B151" s="78">
        <v>61</v>
      </c>
      <c r="C151" s="78">
        <v>81</v>
      </c>
      <c r="D151" s="82">
        <f t="shared" si="6"/>
        <v>20</v>
      </c>
      <c r="E151" s="30" t="str">
        <f t="shared" si="7"/>
        <v>Pass</v>
      </c>
      <c r="F151" s="85">
        <v>1428</v>
      </c>
      <c r="G151" s="112" t="s">
        <v>47</v>
      </c>
      <c r="H151" s="81">
        <v>60</v>
      </c>
      <c r="I151" s="81">
        <v>60</v>
      </c>
      <c r="J151" s="171" t="s">
        <v>174</v>
      </c>
    </row>
    <row r="152" spans="1:10">
      <c r="A152" s="115">
        <v>43623</v>
      </c>
      <c r="B152" s="78">
        <v>18</v>
      </c>
      <c r="C152" s="78">
        <v>17</v>
      </c>
      <c r="D152" s="82">
        <f t="shared" si="6"/>
        <v>-1</v>
      </c>
      <c r="E152" s="30" t="str">
        <f t="shared" si="7"/>
        <v>Pass</v>
      </c>
      <c r="F152" s="85">
        <v>1428</v>
      </c>
      <c r="G152" s="112" t="s">
        <v>47</v>
      </c>
      <c r="H152" s="81">
        <v>60</v>
      </c>
      <c r="I152" s="81">
        <v>60</v>
      </c>
      <c r="J152" s="78"/>
    </row>
    <row r="153" spans="1:10">
      <c r="A153" s="115">
        <v>43627</v>
      </c>
      <c r="B153" s="78">
        <v>5</v>
      </c>
      <c r="C153" s="78">
        <v>58</v>
      </c>
      <c r="D153" s="82">
        <f t="shared" si="6"/>
        <v>53</v>
      </c>
      <c r="E153" s="30" t="str">
        <f t="shared" si="7"/>
        <v>Pass</v>
      </c>
      <c r="F153" s="85">
        <v>121</v>
      </c>
      <c r="G153" s="112" t="s">
        <v>47</v>
      </c>
      <c r="H153" s="81">
        <v>60</v>
      </c>
      <c r="I153" s="81">
        <v>60</v>
      </c>
      <c r="J153" s="78"/>
    </row>
    <row r="154" spans="1:10">
      <c r="A154" s="115">
        <v>43633</v>
      </c>
      <c r="B154" s="78">
        <v>53</v>
      </c>
      <c r="C154" s="78">
        <v>654</v>
      </c>
      <c r="D154" s="82">
        <f t="shared" si="6"/>
        <v>601</v>
      </c>
      <c r="E154" s="30" t="str">
        <f t="shared" si="7"/>
        <v>Fail</v>
      </c>
      <c r="F154" s="85">
        <v>1340</v>
      </c>
      <c r="G154" s="112" t="s">
        <v>47</v>
      </c>
      <c r="H154" s="81">
        <v>60</v>
      </c>
      <c r="I154" s="81">
        <v>60</v>
      </c>
      <c r="J154" s="78"/>
    </row>
    <row r="155" spans="1:10">
      <c r="A155" s="115">
        <v>43634</v>
      </c>
      <c r="B155" s="78">
        <v>12</v>
      </c>
      <c r="C155" s="78">
        <v>10</v>
      </c>
      <c r="D155" s="82">
        <f t="shared" si="6"/>
        <v>-2</v>
      </c>
      <c r="E155" s="30" t="str">
        <f t="shared" si="7"/>
        <v>Pass</v>
      </c>
      <c r="F155" s="85" t="s">
        <v>137</v>
      </c>
      <c r="G155" s="112" t="s">
        <v>47</v>
      </c>
      <c r="H155" s="81">
        <v>60</v>
      </c>
      <c r="I155" s="81">
        <v>60</v>
      </c>
      <c r="J155" s="78"/>
    </row>
    <row r="156" spans="1:10">
      <c r="A156" s="115">
        <v>43634</v>
      </c>
      <c r="B156" s="78">
        <v>9</v>
      </c>
      <c r="C156" s="78">
        <v>13</v>
      </c>
      <c r="D156" s="82">
        <f t="shared" si="6"/>
        <v>4</v>
      </c>
      <c r="E156" s="30" t="str">
        <f t="shared" si="7"/>
        <v>Pass</v>
      </c>
      <c r="F156" s="85" t="s">
        <v>137</v>
      </c>
      <c r="G156" s="112" t="s">
        <v>47</v>
      </c>
      <c r="H156" s="81">
        <v>60</v>
      </c>
      <c r="I156" s="81">
        <v>60</v>
      </c>
      <c r="J156" s="78"/>
    </row>
    <row r="157" spans="1:10">
      <c r="A157" s="115">
        <v>43637</v>
      </c>
      <c r="B157" s="78">
        <v>9</v>
      </c>
      <c r="C157" s="78">
        <v>120</v>
      </c>
      <c r="D157" s="82">
        <f t="shared" si="6"/>
        <v>111</v>
      </c>
      <c r="E157" s="30" t="str">
        <f t="shared" si="7"/>
        <v>Fail</v>
      </c>
      <c r="F157" s="85">
        <v>1335</v>
      </c>
      <c r="G157" s="112" t="s">
        <v>47</v>
      </c>
      <c r="H157" s="81">
        <v>60</v>
      </c>
      <c r="I157" s="81">
        <v>60</v>
      </c>
      <c r="J157" s="78"/>
    </row>
    <row r="158" spans="1:10">
      <c r="A158" s="115">
        <v>43637</v>
      </c>
      <c r="B158" s="78">
        <v>10</v>
      </c>
      <c r="C158" s="78">
        <v>13</v>
      </c>
      <c r="D158" s="82">
        <f t="shared" si="6"/>
        <v>3</v>
      </c>
      <c r="E158" s="30" t="str">
        <f t="shared" si="7"/>
        <v>Pass</v>
      </c>
      <c r="F158" s="85">
        <v>1335</v>
      </c>
      <c r="G158" s="112" t="s">
        <v>47</v>
      </c>
      <c r="H158" s="81">
        <v>60</v>
      </c>
      <c r="I158" s="81">
        <v>60</v>
      </c>
      <c r="J158" s="78"/>
    </row>
    <row r="159" spans="1:10">
      <c r="A159" s="115">
        <v>43640</v>
      </c>
      <c r="B159" s="78">
        <v>31</v>
      </c>
      <c r="C159" s="78">
        <v>49</v>
      </c>
      <c r="D159" s="82">
        <f t="shared" si="6"/>
        <v>18</v>
      </c>
      <c r="E159" s="30" t="str">
        <f t="shared" si="7"/>
        <v>Pass</v>
      </c>
      <c r="F159" s="85" t="s">
        <v>183</v>
      </c>
      <c r="G159" s="112" t="s">
        <v>47</v>
      </c>
      <c r="H159" s="81">
        <v>60</v>
      </c>
      <c r="I159" s="81">
        <v>60</v>
      </c>
      <c r="J159" s="78"/>
    </row>
    <row r="160" spans="1:10">
      <c r="A160" s="115">
        <v>43656</v>
      </c>
      <c r="B160" s="78">
        <v>38</v>
      </c>
      <c r="C160" s="78">
        <v>47</v>
      </c>
      <c r="D160" s="82">
        <f t="shared" si="6"/>
        <v>9</v>
      </c>
      <c r="E160" s="30" t="str">
        <f t="shared" si="7"/>
        <v>Pass</v>
      </c>
      <c r="F160" s="85">
        <v>1428</v>
      </c>
      <c r="G160" s="112" t="s">
        <v>47</v>
      </c>
      <c r="H160" s="81">
        <v>60</v>
      </c>
      <c r="I160" s="81">
        <v>60</v>
      </c>
      <c r="J160" s="78"/>
    </row>
    <row r="161" spans="1:10">
      <c r="A161" s="115">
        <v>43661</v>
      </c>
      <c r="B161" s="78">
        <v>8</v>
      </c>
      <c r="C161" s="78">
        <v>26</v>
      </c>
      <c r="D161" s="82">
        <f t="shared" si="6"/>
        <v>18</v>
      </c>
      <c r="E161" s="30" t="str">
        <f t="shared" si="7"/>
        <v>Pass</v>
      </c>
      <c r="F161" s="85">
        <v>1159</v>
      </c>
      <c r="G161" s="112" t="s">
        <v>47</v>
      </c>
      <c r="H161" s="81">
        <v>60</v>
      </c>
      <c r="I161" s="81">
        <v>60</v>
      </c>
      <c r="J161" s="78"/>
    </row>
    <row r="162" spans="1:10">
      <c r="A162" s="115">
        <v>43665</v>
      </c>
      <c r="B162" s="78">
        <v>32</v>
      </c>
      <c r="C162" s="78">
        <v>38</v>
      </c>
      <c r="D162" s="82">
        <f t="shared" si="6"/>
        <v>6</v>
      </c>
      <c r="E162" s="30" t="str">
        <f t="shared" si="7"/>
        <v>Pass</v>
      </c>
      <c r="F162" s="85">
        <v>1159</v>
      </c>
      <c r="G162" s="112" t="s">
        <v>47</v>
      </c>
      <c r="H162" s="81">
        <v>60</v>
      </c>
      <c r="I162" s="81">
        <v>60</v>
      </c>
      <c r="J162" s="171" t="s">
        <v>187</v>
      </c>
    </row>
    <row r="163" spans="1:10">
      <c r="A163" s="115">
        <v>43671</v>
      </c>
      <c r="B163" s="78">
        <v>27</v>
      </c>
      <c r="C163" s="78">
        <v>19</v>
      </c>
      <c r="D163" s="82">
        <f t="shared" si="6"/>
        <v>-8</v>
      </c>
      <c r="E163" s="30" t="str">
        <f t="shared" si="7"/>
        <v>Pass</v>
      </c>
      <c r="F163" s="85">
        <v>1159</v>
      </c>
      <c r="G163" s="112" t="s">
        <v>47</v>
      </c>
      <c r="H163" s="81">
        <v>60</v>
      </c>
      <c r="I163" s="81">
        <v>60</v>
      </c>
      <c r="J163" s="171" t="s">
        <v>188</v>
      </c>
    </row>
    <row r="164" spans="1:10">
      <c r="A164" s="115">
        <v>43674</v>
      </c>
      <c r="B164" s="78">
        <v>16</v>
      </c>
      <c r="C164" s="78">
        <v>17</v>
      </c>
      <c r="D164" s="82">
        <f t="shared" si="6"/>
        <v>1</v>
      </c>
      <c r="E164" s="30" t="str">
        <f t="shared" si="7"/>
        <v>Pass</v>
      </c>
      <c r="F164" s="85">
        <v>1340</v>
      </c>
      <c r="G164" s="112" t="s">
        <v>47</v>
      </c>
      <c r="H164" s="81">
        <v>60</v>
      </c>
      <c r="I164" s="81">
        <v>60</v>
      </c>
      <c r="J164" s="78"/>
    </row>
    <row r="165" spans="1:10">
      <c r="A165" s="115">
        <v>43678</v>
      </c>
      <c r="B165" s="78">
        <v>36</v>
      </c>
      <c r="C165" s="78">
        <v>46</v>
      </c>
      <c r="D165" s="82">
        <f t="shared" si="6"/>
        <v>10</v>
      </c>
      <c r="E165" s="30" t="str">
        <f t="shared" si="7"/>
        <v>Pass</v>
      </c>
      <c r="F165" s="85">
        <v>1159</v>
      </c>
      <c r="G165" s="112" t="s">
        <v>47</v>
      </c>
      <c r="H165" s="81">
        <v>60</v>
      </c>
      <c r="I165" s="81">
        <v>60</v>
      </c>
      <c r="J165" s="78"/>
    </row>
    <row r="166" spans="1:10">
      <c r="A166" s="115">
        <v>43681</v>
      </c>
      <c r="B166" s="78">
        <v>48</v>
      </c>
      <c r="C166" s="78">
        <v>48</v>
      </c>
      <c r="D166" s="82">
        <f t="shared" si="6"/>
        <v>0</v>
      </c>
      <c r="E166" s="30" t="str">
        <f t="shared" si="7"/>
        <v>Pass</v>
      </c>
      <c r="F166" s="85">
        <v>1335</v>
      </c>
      <c r="G166" s="112" t="s">
        <v>47</v>
      </c>
      <c r="H166" s="81">
        <v>60</v>
      </c>
      <c r="I166" s="81">
        <v>60</v>
      </c>
      <c r="J166" s="78"/>
    </row>
    <row r="167" spans="1:10">
      <c r="A167" s="115">
        <v>43685</v>
      </c>
      <c r="B167" s="78">
        <v>18</v>
      </c>
      <c r="C167" s="78">
        <v>240</v>
      </c>
      <c r="D167" s="82">
        <f t="shared" si="6"/>
        <v>222</v>
      </c>
      <c r="E167" s="30" t="str">
        <f t="shared" si="7"/>
        <v>Fail</v>
      </c>
      <c r="F167" s="85">
        <v>121</v>
      </c>
      <c r="G167" s="112" t="s">
        <v>47</v>
      </c>
      <c r="H167" s="81">
        <v>60</v>
      </c>
      <c r="I167" s="81">
        <v>60</v>
      </c>
      <c r="J167" s="78"/>
    </row>
    <row r="168" spans="1:10">
      <c r="A168" s="115">
        <v>43685</v>
      </c>
      <c r="B168" s="78">
        <v>42</v>
      </c>
      <c r="C168" s="78">
        <v>36</v>
      </c>
      <c r="D168" s="82">
        <f t="shared" si="6"/>
        <v>-6</v>
      </c>
      <c r="E168" s="30" t="str">
        <f t="shared" si="7"/>
        <v>Pass</v>
      </c>
      <c r="F168" s="85">
        <v>121</v>
      </c>
      <c r="G168" s="112" t="s">
        <v>47</v>
      </c>
      <c r="H168" s="81">
        <v>60</v>
      </c>
      <c r="I168" s="81">
        <v>60</v>
      </c>
      <c r="J168" s="78"/>
    </row>
    <row r="169" spans="1:10">
      <c r="A169" s="115">
        <v>43685</v>
      </c>
      <c r="B169" s="78">
        <v>23</v>
      </c>
      <c r="C169" s="78">
        <v>44</v>
      </c>
      <c r="D169" s="82">
        <f t="shared" si="6"/>
        <v>21</v>
      </c>
      <c r="E169" s="30" t="str">
        <f t="shared" si="7"/>
        <v>Pass</v>
      </c>
      <c r="F169" s="85">
        <v>121</v>
      </c>
      <c r="G169" s="112" t="s">
        <v>47</v>
      </c>
      <c r="H169" s="81">
        <v>60</v>
      </c>
      <c r="I169" s="81">
        <v>60</v>
      </c>
      <c r="J169" s="78"/>
    </row>
    <row r="170" spans="1:10">
      <c r="A170" s="115">
        <v>43690</v>
      </c>
      <c r="B170" s="78">
        <v>8</v>
      </c>
      <c r="C170" s="78">
        <v>17</v>
      </c>
      <c r="D170" s="82">
        <f t="shared" si="6"/>
        <v>9</v>
      </c>
      <c r="E170" s="30" t="str">
        <f t="shared" si="7"/>
        <v>Pass</v>
      </c>
      <c r="F170" s="85" t="s">
        <v>205</v>
      </c>
      <c r="G170" s="112" t="s">
        <v>47</v>
      </c>
      <c r="H170" s="81">
        <v>60</v>
      </c>
      <c r="I170" s="81">
        <v>60</v>
      </c>
      <c r="J170" s="78"/>
    </row>
    <row r="171" spans="1:10">
      <c r="A171" s="115">
        <v>43694</v>
      </c>
      <c r="B171" s="78">
        <v>21</v>
      </c>
      <c r="C171" s="78">
        <v>549</v>
      </c>
      <c r="D171" s="82">
        <f t="shared" si="6"/>
        <v>528</v>
      </c>
      <c r="E171" s="30" t="str">
        <f t="shared" si="7"/>
        <v>Fail</v>
      </c>
      <c r="F171" s="85">
        <v>64</v>
      </c>
      <c r="G171" s="112" t="s">
        <v>47</v>
      </c>
      <c r="H171" s="81">
        <v>60</v>
      </c>
      <c r="I171" s="81">
        <v>60</v>
      </c>
      <c r="J171" s="78"/>
    </row>
    <row r="172" spans="1:10">
      <c r="A172" s="115">
        <v>43694</v>
      </c>
      <c r="B172" s="78">
        <v>15</v>
      </c>
      <c r="C172" s="78">
        <v>67</v>
      </c>
      <c r="D172" s="82">
        <f t="shared" si="6"/>
        <v>52</v>
      </c>
      <c r="E172" s="30" t="str">
        <f t="shared" si="7"/>
        <v>Pass</v>
      </c>
      <c r="F172" s="85">
        <v>102</v>
      </c>
      <c r="G172" s="112" t="s">
        <v>47</v>
      </c>
      <c r="H172" s="81">
        <v>60</v>
      </c>
      <c r="I172" s="81">
        <v>60</v>
      </c>
      <c r="J172" s="78" t="s">
        <v>207</v>
      </c>
    </row>
    <row r="173" spans="1:10">
      <c r="A173" s="115">
        <v>43697</v>
      </c>
      <c r="B173" s="78">
        <v>11</v>
      </c>
      <c r="C173" s="78">
        <v>45</v>
      </c>
      <c r="D173" s="82">
        <f t="shared" si="6"/>
        <v>34</v>
      </c>
      <c r="E173" s="30" t="str">
        <f t="shared" si="7"/>
        <v>Pass</v>
      </c>
      <c r="F173" s="85">
        <v>1340</v>
      </c>
      <c r="G173" s="112" t="s">
        <v>47</v>
      </c>
      <c r="H173" s="81">
        <v>60</v>
      </c>
      <c r="I173" s="81">
        <v>60</v>
      </c>
      <c r="J173" s="78"/>
    </row>
    <row r="174" spans="1:10">
      <c r="A174" s="115">
        <v>43700</v>
      </c>
      <c r="B174" s="78">
        <v>24</v>
      </c>
      <c r="C174" s="78">
        <v>30</v>
      </c>
      <c r="D174" s="82">
        <f t="shared" si="6"/>
        <v>6</v>
      </c>
      <c r="E174" s="30" t="str">
        <f t="shared" si="7"/>
        <v>Pass</v>
      </c>
      <c r="F174" s="85">
        <v>1340</v>
      </c>
      <c r="G174" s="112" t="s">
        <v>47</v>
      </c>
      <c r="H174" s="81">
        <v>60</v>
      </c>
      <c r="I174" s="81">
        <v>60</v>
      </c>
      <c r="J174" s="78"/>
    </row>
    <row r="175" spans="1:10">
      <c r="A175" s="115">
        <v>43704</v>
      </c>
      <c r="B175" s="78">
        <v>22</v>
      </c>
      <c r="C175" s="78">
        <v>28</v>
      </c>
      <c r="D175" s="82">
        <f t="shared" si="6"/>
        <v>6</v>
      </c>
      <c r="E175" s="30" t="str">
        <f t="shared" si="7"/>
        <v>Pass</v>
      </c>
      <c r="F175" s="85">
        <v>1428</v>
      </c>
      <c r="G175" s="112" t="s">
        <v>47</v>
      </c>
      <c r="H175" s="81">
        <v>60</v>
      </c>
      <c r="I175" s="81">
        <v>60</v>
      </c>
      <c r="J175" s="78"/>
    </row>
    <row r="176" spans="1:10">
      <c r="A176" s="115">
        <v>43710</v>
      </c>
      <c r="B176" s="78">
        <v>21</v>
      </c>
      <c r="C176" s="78">
        <v>34</v>
      </c>
      <c r="D176" s="82">
        <f t="shared" si="6"/>
        <v>13</v>
      </c>
      <c r="E176" s="30" t="str">
        <f t="shared" si="7"/>
        <v>Pass</v>
      </c>
      <c r="F176" s="85">
        <v>1428</v>
      </c>
      <c r="G176" s="112" t="s">
        <v>47</v>
      </c>
      <c r="H176" s="81">
        <v>60</v>
      </c>
      <c r="I176" s="81">
        <v>60</v>
      </c>
      <c r="J176" s="78"/>
    </row>
    <row r="177" spans="1:10">
      <c r="A177" s="115">
        <v>43712</v>
      </c>
      <c r="B177" s="78">
        <v>25</v>
      </c>
      <c r="C177" s="78">
        <v>73</v>
      </c>
      <c r="D177" s="82">
        <f t="shared" si="6"/>
        <v>48</v>
      </c>
      <c r="E177" s="30" t="str">
        <f t="shared" si="7"/>
        <v>Pass</v>
      </c>
      <c r="F177" s="85">
        <v>1428</v>
      </c>
      <c r="G177" s="112" t="s">
        <v>47</v>
      </c>
      <c r="H177" s="81">
        <v>60</v>
      </c>
      <c r="I177" s="81">
        <v>60</v>
      </c>
      <c r="J177" s="78"/>
    </row>
    <row r="178" spans="1:10">
      <c r="A178" s="115">
        <v>43715</v>
      </c>
      <c r="B178" s="78">
        <v>26</v>
      </c>
      <c r="C178" s="78">
        <v>51</v>
      </c>
      <c r="D178" s="82">
        <f t="shared" si="6"/>
        <v>25</v>
      </c>
      <c r="E178" s="30" t="str">
        <f t="shared" si="7"/>
        <v>Pass</v>
      </c>
      <c r="F178" s="85">
        <v>1335</v>
      </c>
      <c r="G178" s="112" t="s">
        <v>47</v>
      </c>
      <c r="H178" s="81">
        <v>60</v>
      </c>
      <c r="I178" s="81">
        <v>60</v>
      </c>
      <c r="J178" s="78"/>
    </row>
    <row r="179" spans="1:10">
      <c r="A179" s="115">
        <v>43719</v>
      </c>
      <c r="B179" s="78">
        <v>32</v>
      </c>
      <c r="C179" s="78">
        <v>41</v>
      </c>
      <c r="D179" s="82">
        <f t="shared" si="6"/>
        <v>9</v>
      </c>
      <c r="E179" s="30" t="str">
        <f t="shared" si="7"/>
        <v>Pass</v>
      </c>
      <c r="F179" s="85">
        <v>74</v>
      </c>
      <c r="G179" s="112" t="s">
        <v>47</v>
      </c>
      <c r="H179" s="81">
        <v>60</v>
      </c>
      <c r="I179" s="81">
        <v>60</v>
      </c>
      <c r="J179" s="78"/>
    </row>
    <row r="180" spans="1:10">
      <c r="A180" s="115">
        <v>43724</v>
      </c>
      <c r="B180" s="78">
        <v>43</v>
      </c>
      <c r="C180" s="78">
        <v>56</v>
      </c>
      <c r="D180" s="82">
        <f t="shared" si="6"/>
        <v>13</v>
      </c>
      <c r="E180" s="30" t="str">
        <f t="shared" si="7"/>
        <v>Pass</v>
      </c>
      <c r="F180" s="85">
        <v>121</v>
      </c>
      <c r="G180" s="112" t="s">
        <v>47</v>
      </c>
      <c r="H180" s="81">
        <v>60</v>
      </c>
      <c r="I180" s="81">
        <v>60</v>
      </c>
      <c r="J180" s="78" t="s">
        <v>215</v>
      </c>
    </row>
    <row r="181" spans="1:10">
      <c r="A181" s="115">
        <v>43727</v>
      </c>
      <c r="B181" s="78">
        <v>24</v>
      </c>
      <c r="C181" s="78">
        <v>36</v>
      </c>
      <c r="D181" s="82">
        <f t="shared" si="6"/>
        <v>12</v>
      </c>
      <c r="E181" s="30" t="str">
        <f t="shared" si="7"/>
        <v>Pass</v>
      </c>
      <c r="F181" s="85">
        <v>1159</v>
      </c>
      <c r="G181" s="112" t="s">
        <v>47</v>
      </c>
      <c r="H181" s="81">
        <v>60</v>
      </c>
      <c r="I181" s="81">
        <v>60</v>
      </c>
      <c r="J181" s="78"/>
    </row>
    <row r="182" spans="1:10">
      <c r="A182" s="115">
        <v>43732</v>
      </c>
      <c r="B182" s="78">
        <v>28</v>
      </c>
      <c r="C182" s="78">
        <v>391</v>
      </c>
      <c r="D182" s="82">
        <f t="shared" si="6"/>
        <v>363</v>
      </c>
      <c r="E182" s="30" t="str">
        <f t="shared" si="7"/>
        <v>Fail</v>
      </c>
      <c r="F182" s="85">
        <v>1335</v>
      </c>
      <c r="G182" s="112" t="s">
        <v>47</v>
      </c>
      <c r="H182" s="81">
        <v>60</v>
      </c>
      <c r="I182" s="81">
        <v>60</v>
      </c>
      <c r="J182" s="78"/>
    </row>
    <row r="183" spans="1:10">
      <c r="A183" s="115">
        <v>43734</v>
      </c>
      <c r="B183" s="78">
        <v>7</v>
      </c>
      <c r="C183" s="78">
        <v>8</v>
      </c>
      <c r="D183" s="82">
        <f t="shared" si="6"/>
        <v>1</v>
      </c>
      <c r="E183" s="30" t="str">
        <f t="shared" si="7"/>
        <v>Pass</v>
      </c>
      <c r="F183" s="85" t="s">
        <v>177</v>
      </c>
      <c r="G183" s="112" t="s">
        <v>47</v>
      </c>
      <c r="H183" s="81">
        <v>60</v>
      </c>
      <c r="I183" s="81">
        <v>60</v>
      </c>
      <c r="J183" s="78"/>
    </row>
    <row r="184" spans="1:10">
      <c r="A184" s="115">
        <v>43738</v>
      </c>
      <c r="B184" s="78">
        <v>9</v>
      </c>
      <c r="C184" s="78">
        <v>627</v>
      </c>
      <c r="D184" s="82">
        <f t="shared" si="6"/>
        <v>618</v>
      </c>
      <c r="E184" s="30" t="str">
        <f t="shared" si="7"/>
        <v>Fail</v>
      </c>
      <c r="F184" s="85">
        <v>121</v>
      </c>
      <c r="G184" s="112" t="s">
        <v>47</v>
      </c>
      <c r="H184" s="81">
        <v>60</v>
      </c>
      <c r="I184" s="81">
        <v>60</v>
      </c>
      <c r="J184" s="78" t="s">
        <v>215</v>
      </c>
    </row>
    <row r="185" spans="1:10">
      <c r="A185" s="115">
        <v>43738</v>
      </c>
      <c r="B185" s="78">
        <v>32</v>
      </c>
      <c r="C185" s="78">
        <v>65</v>
      </c>
      <c r="D185" s="82">
        <f t="shared" si="6"/>
        <v>33</v>
      </c>
      <c r="E185" s="30" t="str">
        <f t="shared" si="7"/>
        <v>Pass</v>
      </c>
      <c r="F185" s="85">
        <v>121</v>
      </c>
      <c r="G185" s="112" t="s">
        <v>47</v>
      </c>
      <c r="H185" s="81">
        <v>60</v>
      </c>
      <c r="I185" s="81">
        <v>60</v>
      </c>
      <c r="J185" s="78"/>
    </row>
    <row r="186" spans="1:10">
      <c r="A186" s="115">
        <v>43752</v>
      </c>
      <c r="B186" s="78">
        <v>25</v>
      </c>
      <c r="C186" s="78">
        <v>24</v>
      </c>
      <c r="D186" s="82">
        <f t="shared" si="6"/>
        <v>-1</v>
      </c>
      <c r="E186" s="30" t="str">
        <f t="shared" si="7"/>
        <v>Pass</v>
      </c>
      <c r="F186" s="85">
        <v>1428</v>
      </c>
      <c r="G186" s="112" t="s">
        <v>47</v>
      </c>
      <c r="H186" s="81">
        <v>60</v>
      </c>
      <c r="I186" s="81">
        <v>60</v>
      </c>
      <c r="J186" s="78"/>
    </row>
    <row r="187" spans="1:10">
      <c r="A187" s="115">
        <v>43756</v>
      </c>
      <c r="B187" s="78">
        <v>13</v>
      </c>
      <c r="C187" s="78">
        <v>365</v>
      </c>
      <c r="D187" s="82">
        <f t="shared" si="6"/>
        <v>352</v>
      </c>
      <c r="E187" s="30" t="str">
        <f t="shared" si="7"/>
        <v>Fail</v>
      </c>
      <c r="F187" s="85">
        <v>1428</v>
      </c>
      <c r="G187" s="112" t="s">
        <v>47</v>
      </c>
      <c r="H187" s="81">
        <v>60</v>
      </c>
      <c r="I187" s="81">
        <v>60</v>
      </c>
      <c r="J187" s="78" t="s">
        <v>242</v>
      </c>
    </row>
    <row r="188" spans="1:10">
      <c r="A188" s="115">
        <v>43756</v>
      </c>
      <c r="B188" s="78">
        <v>56</v>
      </c>
      <c r="C188" s="78">
        <v>42</v>
      </c>
      <c r="D188" s="82">
        <f t="shared" si="6"/>
        <v>-14</v>
      </c>
      <c r="E188" s="30" t="str">
        <f t="shared" si="7"/>
        <v>Pass</v>
      </c>
      <c r="F188" s="85">
        <v>1428</v>
      </c>
      <c r="G188" s="112" t="s">
        <v>47</v>
      </c>
      <c r="H188" s="81">
        <v>60</v>
      </c>
      <c r="I188" s="81">
        <v>60</v>
      </c>
      <c r="J188" s="78"/>
    </row>
    <row r="189" spans="1:10">
      <c r="A189" s="115">
        <v>43760</v>
      </c>
      <c r="B189" s="78">
        <v>46</v>
      </c>
      <c r="C189" s="78">
        <v>33</v>
      </c>
      <c r="D189" s="82">
        <f t="shared" si="6"/>
        <v>-13</v>
      </c>
      <c r="E189" s="30" t="str">
        <f t="shared" si="7"/>
        <v>Pass</v>
      </c>
      <c r="F189" s="85">
        <v>1335</v>
      </c>
      <c r="G189" s="112" t="s">
        <v>47</v>
      </c>
      <c r="H189" s="81">
        <v>60</v>
      </c>
      <c r="I189" s="81">
        <v>60</v>
      </c>
      <c r="J189" s="78"/>
    </row>
    <row r="190" spans="1:10">
      <c r="A190" s="115">
        <v>43766</v>
      </c>
      <c r="B190" s="78">
        <v>35</v>
      </c>
      <c r="C190" s="78">
        <v>128</v>
      </c>
      <c r="D190" s="82">
        <f t="shared" si="6"/>
        <v>93</v>
      </c>
      <c r="E190" s="30" t="str">
        <f t="shared" si="7"/>
        <v>Fail</v>
      </c>
      <c r="F190" s="85">
        <v>1428</v>
      </c>
      <c r="G190" s="112" t="s">
        <v>47</v>
      </c>
      <c r="H190" s="81">
        <v>60</v>
      </c>
      <c r="I190" s="81">
        <v>60</v>
      </c>
      <c r="J190" s="78" t="s">
        <v>243</v>
      </c>
    </row>
    <row r="191" spans="1:10">
      <c r="A191" s="115">
        <v>43766</v>
      </c>
      <c r="B191" s="78">
        <v>22</v>
      </c>
      <c r="C191" s="78">
        <v>26</v>
      </c>
      <c r="D191" s="82">
        <f t="shared" si="6"/>
        <v>4</v>
      </c>
      <c r="E191" s="30" t="str">
        <f t="shared" si="7"/>
        <v>Pass</v>
      </c>
      <c r="F191" s="85">
        <v>1428</v>
      </c>
      <c r="G191" s="112" t="s">
        <v>47</v>
      </c>
      <c r="H191" s="81">
        <v>60</v>
      </c>
      <c r="I191" s="81">
        <v>60</v>
      </c>
      <c r="J191" s="78"/>
    </row>
    <row r="192" spans="1:10">
      <c r="A192" s="115">
        <v>43769</v>
      </c>
      <c r="B192" s="78">
        <v>12</v>
      </c>
      <c r="C192" s="78">
        <v>21</v>
      </c>
      <c r="D192" s="82">
        <f t="shared" si="6"/>
        <v>9</v>
      </c>
      <c r="E192" s="30" t="str">
        <f t="shared" si="7"/>
        <v>Pass</v>
      </c>
      <c r="F192" s="85">
        <v>1428</v>
      </c>
      <c r="G192" s="112" t="s">
        <v>47</v>
      </c>
      <c r="H192" s="81">
        <v>60</v>
      </c>
      <c r="I192" s="81">
        <v>60</v>
      </c>
      <c r="J192" s="78"/>
    </row>
    <row r="193" spans="1:10">
      <c r="A193" s="115">
        <v>43773</v>
      </c>
      <c r="B193" s="78">
        <v>21</v>
      </c>
      <c r="C193" s="78">
        <v>23</v>
      </c>
      <c r="D193" s="82">
        <f t="shared" si="6"/>
        <v>2</v>
      </c>
      <c r="E193" s="30" t="str">
        <f t="shared" si="7"/>
        <v>Pass</v>
      </c>
      <c r="F193" s="85">
        <v>121</v>
      </c>
      <c r="G193" s="112" t="s">
        <v>47</v>
      </c>
      <c r="H193" s="81">
        <v>60</v>
      </c>
      <c r="I193" s="81">
        <v>60</v>
      </c>
      <c r="J193" s="78"/>
    </row>
    <row r="194" spans="1:10">
      <c r="A194" s="115">
        <v>43780</v>
      </c>
      <c r="B194" s="78">
        <v>33</v>
      </c>
      <c r="C194" s="78">
        <v>15</v>
      </c>
      <c r="D194" s="82">
        <f t="shared" si="6"/>
        <v>-18</v>
      </c>
      <c r="E194" s="30" t="str">
        <f t="shared" si="7"/>
        <v>Pass</v>
      </c>
      <c r="F194" s="85">
        <v>1159</v>
      </c>
      <c r="G194" s="112" t="s">
        <v>47</v>
      </c>
      <c r="H194" s="81">
        <v>60</v>
      </c>
      <c r="I194" s="81">
        <v>60</v>
      </c>
      <c r="J194" s="78"/>
    </row>
    <row r="195" spans="1:10">
      <c r="A195" s="115">
        <v>43786</v>
      </c>
      <c r="B195" s="78">
        <v>63</v>
      </c>
      <c r="C195" s="78">
        <v>84</v>
      </c>
      <c r="D195" s="82">
        <f t="shared" si="6"/>
        <v>21</v>
      </c>
      <c r="E195" s="30" t="str">
        <f t="shared" si="7"/>
        <v>Pass</v>
      </c>
      <c r="F195" s="85">
        <v>74</v>
      </c>
      <c r="G195" s="112" t="s">
        <v>47</v>
      </c>
      <c r="H195" s="81">
        <v>60</v>
      </c>
      <c r="I195" s="81">
        <v>60</v>
      </c>
      <c r="J195" s="78"/>
    </row>
    <row r="196" spans="1:10">
      <c r="A196" s="115">
        <v>43789</v>
      </c>
      <c r="B196" s="78">
        <v>0</v>
      </c>
      <c r="C196" s="78">
        <v>15</v>
      </c>
      <c r="D196" s="82">
        <f t="shared" ref="D196:D238" si="8">IF(((C196="")*AND(B196="")),"",(C196-B196))</f>
        <v>15</v>
      </c>
      <c r="E196" s="30" t="str">
        <f t="shared" si="7"/>
        <v>Pass</v>
      </c>
      <c r="F196" s="85">
        <v>74</v>
      </c>
      <c r="G196" s="112" t="s">
        <v>47</v>
      </c>
      <c r="H196" s="81">
        <v>60</v>
      </c>
      <c r="I196" s="81">
        <v>60</v>
      </c>
      <c r="J196" s="78" t="s">
        <v>255</v>
      </c>
    </row>
    <row r="197" spans="1:10">
      <c r="A197" s="115">
        <v>43792</v>
      </c>
      <c r="B197" s="78">
        <v>36</v>
      </c>
      <c r="C197" s="78">
        <v>88</v>
      </c>
      <c r="D197" s="82">
        <f t="shared" si="8"/>
        <v>52</v>
      </c>
      <c r="E197" s="30" t="str">
        <f t="shared" si="7"/>
        <v>Pass</v>
      </c>
      <c r="F197" s="85">
        <v>121</v>
      </c>
      <c r="G197" s="112" t="s">
        <v>47</v>
      </c>
      <c r="H197" s="81">
        <v>60</v>
      </c>
      <c r="I197" s="81">
        <v>60</v>
      </c>
      <c r="J197" s="78"/>
    </row>
    <row r="198" spans="1:10">
      <c r="A198" s="115">
        <v>43795</v>
      </c>
      <c r="B198" s="78">
        <v>21</v>
      </c>
      <c r="C198" s="78">
        <v>173</v>
      </c>
      <c r="D198" s="82">
        <f t="shared" si="8"/>
        <v>152</v>
      </c>
      <c r="E198" s="30" t="str">
        <f t="shared" si="7"/>
        <v>Fail</v>
      </c>
      <c r="F198" s="85">
        <v>1428</v>
      </c>
      <c r="G198" s="112" t="s">
        <v>47</v>
      </c>
      <c r="H198" s="81">
        <v>60</v>
      </c>
      <c r="I198" s="81">
        <v>60</v>
      </c>
      <c r="J198" s="78"/>
    </row>
    <row r="199" spans="1:10">
      <c r="A199" s="115">
        <v>43795</v>
      </c>
      <c r="B199" s="78">
        <v>1</v>
      </c>
      <c r="C199" s="78">
        <v>17</v>
      </c>
      <c r="D199" s="82">
        <f t="shared" si="8"/>
        <v>16</v>
      </c>
      <c r="E199" s="30" t="str">
        <f t="shared" si="7"/>
        <v>Pass</v>
      </c>
      <c r="F199" s="85">
        <v>1340</v>
      </c>
      <c r="G199" s="112" t="s">
        <v>47</v>
      </c>
      <c r="H199" s="81">
        <v>60</v>
      </c>
      <c r="I199" s="81">
        <v>60</v>
      </c>
      <c r="J199" s="78"/>
    </row>
    <row r="200" spans="1:10">
      <c r="A200" s="115">
        <v>43801</v>
      </c>
      <c r="B200" s="78">
        <v>0</v>
      </c>
      <c r="C200" s="78">
        <v>16</v>
      </c>
      <c r="D200" s="82">
        <f t="shared" si="8"/>
        <v>16</v>
      </c>
      <c r="E200" s="30" t="str">
        <f t="shared" si="7"/>
        <v>Pass</v>
      </c>
      <c r="F200" s="85">
        <v>1335</v>
      </c>
      <c r="G200" s="112" t="s">
        <v>47</v>
      </c>
      <c r="H200" s="81">
        <v>60</v>
      </c>
      <c r="I200" s="81">
        <v>60</v>
      </c>
      <c r="J200" s="78" t="s">
        <v>264</v>
      </c>
    </row>
    <row r="201" spans="1:10">
      <c r="A201" s="115"/>
      <c r="B201" s="78"/>
      <c r="C201" s="78"/>
      <c r="D201" s="82" t="str">
        <f t="shared" si="8"/>
        <v/>
      </c>
      <c r="E201" s="30" t="str">
        <f>IF(D201="","",IF(D201&lt;H201,"Pass","Fail"))</f>
        <v/>
      </c>
      <c r="F201" s="85"/>
      <c r="G201" s="112"/>
      <c r="H201" s="81">
        <v>50</v>
      </c>
      <c r="I201" s="81">
        <v>60</v>
      </c>
      <c r="J201" s="78" t="s">
        <v>265</v>
      </c>
    </row>
    <row r="202" spans="1:10">
      <c r="A202" s="115"/>
      <c r="B202" s="78"/>
      <c r="C202" s="78"/>
      <c r="D202" s="82" t="str">
        <f t="shared" si="8"/>
        <v/>
      </c>
      <c r="E202" s="30" t="str">
        <f t="shared" ref="E202:E238" si="9">IF(D202="","",IF(D202&lt;H202,"Pass","Fail"))</f>
        <v/>
      </c>
      <c r="F202" s="85"/>
      <c r="G202" s="112"/>
      <c r="H202" s="81">
        <v>50</v>
      </c>
      <c r="I202" s="81">
        <v>60</v>
      </c>
      <c r="J202" s="78"/>
    </row>
    <row r="203" spans="1:10">
      <c r="A203" s="115"/>
      <c r="B203" s="78"/>
      <c r="C203" s="78"/>
      <c r="D203" s="82" t="str">
        <f t="shared" si="8"/>
        <v/>
      </c>
      <c r="E203" s="30" t="str">
        <f t="shared" si="9"/>
        <v/>
      </c>
      <c r="F203" s="85"/>
      <c r="G203" s="112"/>
      <c r="H203" s="81">
        <v>50</v>
      </c>
      <c r="I203" s="81">
        <v>60</v>
      </c>
      <c r="J203" s="78"/>
    </row>
    <row r="204" spans="1:10">
      <c r="A204" s="115"/>
      <c r="B204" s="78"/>
      <c r="C204" s="78"/>
      <c r="D204" s="82" t="str">
        <f t="shared" si="8"/>
        <v/>
      </c>
      <c r="E204" s="30" t="str">
        <f t="shared" si="9"/>
        <v/>
      </c>
      <c r="F204" s="85"/>
      <c r="G204" s="112"/>
      <c r="H204" s="81">
        <v>50</v>
      </c>
      <c r="I204" s="81">
        <v>60</v>
      </c>
      <c r="J204" s="78"/>
    </row>
    <row r="205" spans="1:10">
      <c r="A205" s="115"/>
      <c r="B205" s="78"/>
      <c r="C205" s="78"/>
      <c r="D205" s="82" t="str">
        <f t="shared" si="8"/>
        <v/>
      </c>
      <c r="E205" s="30" t="str">
        <f t="shared" si="9"/>
        <v/>
      </c>
      <c r="F205" s="85"/>
      <c r="G205" s="112"/>
      <c r="H205" s="81">
        <v>50</v>
      </c>
      <c r="I205" s="81">
        <v>60</v>
      </c>
      <c r="J205" s="78"/>
    </row>
    <row r="206" spans="1:10">
      <c r="A206" s="115"/>
      <c r="B206" s="78"/>
      <c r="C206" s="78"/>
      <c r="D206" s="82" t="str">
        <f t="shared" si="8"/>
        <v/>
      </c>
      <c r="E206" s="30" t="str">
        <f t="shared" si="9"/>
        <v/>
      </c>
      <c r="F206" s="85"/>
      <c r="G206" s="112"/>
      <c r="H206" s="81">
        <v>50</v>
      </c>
      <c r="I206" s="81">
        <v>60</v>
      </c>
      <c r="J206" s="78"/>
    </row>
    <row r="207" spans="1:10">
      <c r="A207" s="115"/>
      <c r="B207" s="78"/>
      <c r="C207" s="78"/>
      <c r="D207" s="82" t="str">
        <f t="shared" si="8"/>
        <v/>
      </c>
      <c r="E207" s="30" t="str">
        <f t="shared" si="9"/>
        <v/>
      </c>
      <c r="F207" s="85"/>
      <c r="G207" s="112"/>
      <c r="H207" s="81">
        <v>50</v>
      </c>
      <c r="I207" s="81">
        <v>60</v>
      </c>
      <c r="J207" s="78"/>
    </row>
    <row r="208" spans="1:10">
      <c r="A208" s="115"/>
      <c r="B208" s="78"/>
      <c r="C208" s="78"/>
      <c r="D208" s="82" t="str">
        <f t="shared" si="8"/>
        <v/>
      </c>
      <c r="E208" s="30" t="str">
        <f t="shared" si="9"/>
        <v/>
      </c>
      <c r="F208" s="85"/>
      <c r="G208" s="112"/>
      <c r="H208" s="81">
        <v>50</v>
      </c>
      <c r="I208" s="81">
        <v>60</v>
      </c>
      <c r="J208" s="78"/>
    </row>
    <row r="209" spans="1:10">
      <c r="A209" s="115"/>
      <c r="B209" s="78"/>
      <c r="C209" s="78"/>
      <c r="D209" s="82" t="str">
        <f t="shared" si="8"/>
        <v/>
      </c>
      <c r="E209" s="30" t="str">
        <f t="shared" si="9"/>
        <v/>
      </c>
      <c r="F209" s="85"/>
      <c r="G209" s="112"/>
      <c r="H209" s="81">
        <v>50</v>
      </c>
      <c r="I209" s="81">
        <v>60</v>
      </c>
      <c r="J209" s="78"/>
    </row>
    <row r="210" spans="1:10">
      <c r="A210" s="115"/>
      <c r="B210" s="78"/>
      <c r="C210" s="78"/>
      <c r="D210" s="82" t="str">
        <f t="shared" si="8"/>
        <v/>
      </c>
      <c r="E210" s="30" t="str">
        <f t="shared" si="9"/>
        <v/>
      </c>
      <c r="F210" s="85"/>
      <c r="G210" s="112"/>
      <c r="H210" s="81">
        <v>50</v>
      </c>
      <c r="I210" s="81">
        <v>60</v>
      </c>
      <c r="J210" s="78"/>
    </row>
    <row r="211" spans="1:10">
      <c r="A211" s="115"/>
      <c r="B211" s="78"/>
      <c r="C211" s="78"/>
      <c r="D211" s="82" t="str">
        <f t="shared" si="8"/>
        <v/>
      </c>
      <c r="E211" s="30" t="str">
        <f t="shared" si="9"/>
        <v/>
      </c>
      <c r="F211" s="85"/>
      <c r="G211" s="112"/>
      <c r="H211" s="81">
        <v>50</v>
      </c>
      <c r="I211" s="81">
        <v>60</v>
      </c>
      <c r="J211" s="78"/>
    </row>
    <row r="212" spans="1:10">
      <c r="A212" s="115"/>
      <c r="B212" s="78"/>
      <c r="C212" s="78"/>
      <c r="D212" s="82" t="str">
        <f t="shared" si="8"/>
        <v/>
      </c>
      <c r="E212" s="30" t="str">
        <f t="shared" si="9"/>
        <v/>
      </c>
      <c r="F212" s="85"/>
      <c r="G212" s="112"/>
      <c r="H212" s="81">
        <v>50</v>
      </c>
      <c r="I212" s="81">
        <v>60</v>
      </c>
      <c r="J212" s="78"/>
    </row>
    <row r="213" spans="1:10">
      <c r="A213" s="115"/>
      <c r="B213" s="78"/>
      <c r="C213" s="78"/>
      <c r="D213" s="82" t="str">
        <f t="shared" si="8"/>
        <v/>
      </c>
      <c r="E213" s="30" t="str">
        <f t="shared" si="9"/>
        <v/>
      </c>
      <c r="F213" s="85"/>
      <c r="G213" s="112"/>
      <c r="H213" s="81">
        <v>50</v>
      </c>
      <c r="I213" s="81">
        <v>60</v>
      </c>
      <c r="J213" s="78"/>
    </row>
    <row r="214" spans="1:10">
      <c r="A214" s="115"/>
      <c r="B214" s="78"/>
      <c r="C214" s="78"/>
      <c r="D214" s="82" t="str">
        <f t="shared" si="8"/>
        <v/>
      </c>
      <c r="E214" s="30" t="str">
        <f t="shared" si="9"/>
        <v/>
      </c>
      <c r="F214" s="85"/>
      <c r="G214" s="112"/>
      <c r="H214" s="81">
        <v>50</v>
      </c>
      <c r="I214" s="81">
        <v>60</v>
      </c>
      <c r="J214" s="78"/>
    </row>
    <row r="215" spans="1:10">
      <c r="A215" s="115"/>
      <c r="B215" s="78"/>
      <c r="C215" s="78"/>
      <c r="D215" s="82" t="str">
        <f t="shared" si="8"/>
        <v/>
      </c>
      <c r="E215" s="30" t="str">
        <f t="shared" si="9"/>
        <v/>
      </c>
      <c r="F215" s="85"/>
      <c r="G215" s="112"/>
      <c r="H215" s="81">
        <v>50</v>
      </c>
      <c r="I215" s="81">
        <v>60</v>
      </c>
      <c r="J215" s="78"/>
    </row>
    <row r="216" spans="1:10">
      <c r="A216" s="115"/>
      <c r="B216" s="78"/>
      <c r="C216" s="78"/>
      <c r="D216" s="82" t="str">
        <f t="shared" si="8"/>
        <v/>
      </c>
      <c r="E216" s="30" t="str">
        <f t="shared" si="9"/>
        <v/>
      </c>
      <c r="F216" s="85"/>
      <c r="G216" s="112"/>
      <c r="H216" s="81">
        <v>50</v>
      </c>
      <c r="I216" s="81">
        <v>60</v>
      </c>
      <c r="J216" s="78"/>
    </row>
    <row r="217" spans="1:10">
      <c r="A217" s="115"/>
      <c r="B217" s="78"/>
      <c r="C217" s="78"/>
      <c r="D217" s="82" t="str">
        <f t="shared" si="8"/>
        <v/>
      </c>
      <c r="E217" s="30" t="str">
        <f t="shared" si="9"/>
        <v/>
      </c>
      <c r="F217" s="85"/>
      <c r="G217" s="112"/>
      <c r="H217" s="81">
        <v>50</v>
      </c>
      <c r="I217" s="81">
        <v>60</v>
      </c>
      <c r="J217" s="78"/>
    </row>
    <row r="218" spans="1:10">
      <c r="A218" s="115"/>
      <c r="B218" s="78"/>
      <c r="C218" s="78"/>
      <c r="D218" s="82" t="str">
        <f t="shared" si="8"/>
        <v/>
      </c>
      <c r="E218" s="30" t="str">
        <f t="shared" si="9"/>
        <v/>
      </c>
      <c r="F218" s="85"/>
      <c r="G218" s="112"/>
      <c r="H218" s="81">
        <v>50</v>
      </c>
      <c r="I218" s="81">
        <v>60</v>
      </c>
      <c r="J218" s="78"/>
    </row>
    <row r="219" spans="1:10">
      <c r="A219" s="115"/>
      <c r="B219" s="78"/>
      <c r="C219" s="78"/>
      <c r="D219" s="82" t="str">
        <f t="shared" si="8"/>
        <v/>
      </c>
      <c r="E219" s="30" t="str">
        <f t="shared" si="9"/>
        <v/>
      </c>
      <c r="F219" s="85"/>
      <c r="G219" s="112"/>
      <c r="H219" s="81">
        <v>50</v>
      </c>
      <c r="I219" s="81">
        <v>60</v>
      </c>
      <c r="J219" s="78"/>
    </row>
    <row r="220" spans="1:10">
      <c r="A220" s="115"/>
      <c r="B220" s="78"/>
      <c r="C220" s="78"/>
      <c r="D220" s="82" t="str">
        <f t="shared" si="8"/>
        <v/>
      </c>
      <c r="E220" s="30" t="str">
        <f t="shared" si="9"/>
        <v/>
      </c>
      <c r="F220" s="85"/>
      <c r="G220" s="112"/>
      <c r="H220" s="81">
        <v>50</v>
      </c>
      <c r="I220" s="81">
        <v>60</v>
      </c>
      <c r="J220" s="78"/>
    </row>
    <row r="221" spans="1:10">
      <c r="A221" s="115"/>
      <c r="B221" s="78"/>
      <c r="C221" s="78"/>
      <c r="D221" s="82" t="str">
        <f t="shared" si="8"/>
        <v/>
      </c>
      <c r="E221" s="30" t="str">
        <f t="shared" si="9"/>
        <v/>
      </c>
      <c r="F221" s="85"/>
      <c r="G221" s="112"/>
      <c r="H221" s="81">
        <v>50</v>
      </c>
      <c r="I221" s="81">
        <v>60</v>
      </c>
      <c r="J221" s="78"/>
    </row>
    <row r="222" spans="1:10">
      <c r="A222" s="115"/>
      <c r="B222" s="78"/>
      <c r="C222" s="78"/>
      <c r="D222" s="82" t="str">
        <f t="shared" si="8"/>
        <v/>
      </c>
      <c r="E222" s="30" t="str">
        <f t="shared" si="9"/>
        <v/>
      </c>
      <c r="F222" s="85"/>
      <c r="G222" s="112"/>
      <c r="H222" s="81">
        <v>50</v>
      </c>
      <c r="I222" s="81">
        <v>60</v>
      </c>
      <c r="J222" s="78"/>
    </row>
    <row r="223" spans="1:10">
      <c r="A223" s="115"/>
      <c r="B223" s="78"/>
      <c r="C223" s="78"/>
      <c r="D223" s="82" t="str">
        <f t="shared" si="8"/>
        <v/>
      </c>
      <c r="E223" s="30" t="str">
        <f t="shared" si="9"/>
        <v/>
      </c>
      <c r="F223" s="85"/>
      <c r="G223" s="112"/>
      <c r="H223" s="81">
        <v>50</v>
      </c>
      <c r="I223" s="81">
        <v>60</v>
      </c>
      <c r="J223" s="78"/>
    </row>
    <row r="224" spans="1:10">
      <c r="A224" s="115"/>
      <c r="B224" s="78"/>
      <c r="C224" s="78"/>
      <c r="D224" s="82" t="str">
        <f t="shared" si="8"/>
        <v/>
      </c>
      <c r="E224" s="30" t="str">
        <f t="shared" si="9"/>
        <v/>
      </c>
      <c r="F224" s="85"/>
      <c r="G224" s="112"/>
      <c r="H224" s="81">
        <v>50</v>
      </c>
      <c r="I224" s="81">
        <v>60</v>
      </c>
      <c r="J224" s="78"/>
    </row>
    <row r="225" spans="1:10">
      <c r="A225" s="115"/>
      <c r="B225" s="78"/>
      <c r="C225" s="78"/>
      <c r="D225" s="82" t="str">
        <f t="shared" si="8"/>
        <v/>
      </c>
      <c r="E225" s="30" t="str">
        <f t="shared" si="9"/>
        <v/>
      </c>
      <c r="F225" s="85"/>
      <c r="G225" s="112"/>
      <c r="H225" s="81">
        <v>50</v>
      </c>
      <c r="I225" s="81">
        <v>60</v>
      </c>
      <c r="J225" s="78"/>
    </row>
    <row r="226" spans="1:10">
      <c r="A226" s="115"/>
      <c r="B226" s="78"/>
      <c r="C226" s="78"/>
      <c r="D226" s="82" t="str">
        <f t="shared" si="8"/>
        <v/>
      </c>
      <c r="E226" s="30" t="str">
        <f t="shared" si="9"/>
        <v/>
      </c>
      <c r="F226" s="85"/>
      <c r="G226" s="112"/>
      <c r="H226" s="81">
        <v>50</v>
      </c>
      <c r="I226" s="81">
        <v>60</v>
      </c>
      <c r="J226" s="78"/>
    </row>
    <row r="227" spans="1:10">
      <c r="A227" s="115"/>
      <c r="B227" s="78"/>
      <c r="C227" s="78"/>
      <c r="D227" s="82" t="str">
        <f t="shared" si="8"/>
        <v/>
      </c>
      <c r="E227" s="30" t="str">
        <f t="shared" si="9"/>
        <v/>
      </c>
      <c r="F227" s="85"/>
      <c r="G227" s="112"/>
      <c r="H227" s="81">
        <v>50</v>
      </c>
      <c r="I227" s="81">
        <v>60</v>
      </c>
      <c r="J227" s="78"/>
    </row>
    <row r="228" spans="1:10">
      <c r="A228" s="115"/>
      <c r="B228" s="78"/>
      <c r="C228" s="78"/>
      <c r="D228" s="82" t="str">
        <f t="shared" si="8"/>
        <v/>
      </c>
      <c r="E228" s="30" t="str">
        <f t="shared" si="9"/>
        <v/>
      </c>
      <c r="F228" s="85"/>
      <c r="G228" s="112"/>
      <c r="H228" s="81">
        <v>50</v>
      </c>
      <c r="I228" s="81">
        <v>60</v>
      </c>
      <c r="J228" s="78"/>
    </row>
    <row r="229" spans="1:10">
      <c r="A229" s="115"/>
      <c r="B229" s="78"/>
      <c r="C229" s="78"/>
      <c r="D229" s="82" t="str">
        <f t="shared" si="8"/>
        <v/>
      </c>
      <c r="E229" s="30" t="str">
        <f t="shared" si="9"/>
        <v/>
      </c>
      <c r="F229" s="85"/>
      <c r="G229" s="112"/>
      <c r="H229" s="81">
        <v>50</v>
      </c>
      <c r="I229" s="81">
        <v>60</v>
      </c>
      <c r="J229" s="78"/>
    </row>
    <row r="230" spans="1:10">
      <c r="A230" s="115"/>
      <c r="B230" s="78"/>
      <c r="C230" s="78"/>
      <c r="D230" s="82" t="str">
        <f t="shared" si="8"/>
        <v/>
      </c>
      <c r="E230" s="30" t="str">
        <f t="shared" si="9"/>
        <v/>
      </c>
      <c r="F230" s="85"/>
      <c r="G230" s="112"/>
      <c r="H230" s="81">
        <v>50</v>
      </c>
      <c r="I230" s="81">
        <v>60</v>
      </c>
      <c r="J230" s="78"/>
    </row>
    <row r="231" spans="1:10">
      <c r="A231" s="115"/>
      <c r="B231" s="78"/>
      <c r="C231" s="78"/>
      <c r="D231" s="82" t="str">
        <f t="shared" si="8"/>
        <v/>
      </c>
      <c r="E231" s="30" t="str">
        <f t="shared" si="9"/>
        <v/>
      </c>
      <c r="F231" s="85"/>
      <c r="G231" s="112"/>
      <c r="H231" s="81">
        <v>50</v>
      </c>
      <c r="I231" s="81">
        <v>60</v>
      </c>
      <c r="J231" s="78"/>
    </row>
    <row r="232" spans="1:10">
      <c r="A232" s="115"/>
      <c r="B232" s="78"/>
      <c r="C232" s="78"/>
      <c r="D232" s="82" t="str">
        <f t="shared" si="8"/>
        <v/>
      </c>
      <c r="E232" s="30" t="str">
        <f t="shared" si="9"/>
        <v/>
      </c>
      <c r="F232" s="85"/>
      <c r="G232" s="112"/>
      <c r="H232" s="81">
        <v>50</v>
      </c>
      <c r="I232" s="81">
        <v>60</v>
      </c>
      <c r="J232" s="78"/>
    </row>
    <row r="233" spans="1:10">
      <c r="A233" s="115"/>
      <c r="B233" s="78"/>
      <c r="C233" s="78"/>
      <c r="D233" s="82" t="str">
        <f t="shared" si="8"/>
        <v/>
      </c>
      <c r="E233" s="30" t="str">
        <f t="shared" si="9"/>
        <v/>
      </c>
      <c r="F233" s="85"/>
      <c r="G233" s="112"/>
      <c r="H233" s="81">
        <v>50</v>
      </c>
      <c r="I233" s="81">
        <v>60</v>
      </c>
      <c r="J233" s="78"/>
    </row>
    <row r="234" spans="1:10">
      <c r="A234" s="115"/>
      <c r="B234" s="78"/>
      <c r="C234" s="78"/>
      <c r="D234" s="82" t="str">
        <f t="shared" si="8"/>
        <v/>
      </c>
      <c r="E234" s="30" t="str">
        <f t="shared" si="9"/>
        <v/>
      </c>
      <c r="F234" s="85"/>
      <c r="G234" s="112"/>
      <c r="H234" s="81">
        <v>50</v>
      </c>
      <c r="I234" s="81">
        <v>60</v>
      </c>
      <c r="J234" s="78"/>
    </row>
    <row r="235" spans="1:10">
      <c r="A235" s="115"/>
      <c r="B235" s="78"/>
      <c r="C235" s="78"/>
      <c r="D235" s="82" t="str">
        <f t="shared" si="8"/>
        <v/>
      </c>
      <c r="E235" s="30" t="str">
        <f t="shared" si="9"/>
        <v/>
      </c>
      <c r="F235" s="85"/>
      <c r="G235" s="112"/>
      <c r="H235" s="81">
        <v>50</v>
      </c>
      <c r="I235" s="81">
        <v>60</v>
      </c>
      <c r="J235" s="78"/>
    </row>
    <row r="236" spans="1:10">
      <c r="A236" s="115"/>
      <c r="B236" s="78"/>
      <c r="C236" s="78"/>
      <c r="D236" s="82" t="str">
        <f t="shared" si="8"/>
        <v/>
      </c>
      <c r="E236" s="30" t="str">
        <f t="shared" si="9"/>
        <v/>
      </c>
      <c r="F236" s="85"/>
      <c r="G236" s="112"/>
      <c r="H236" s="81">
        <v>50</v>
      </c>
      <c r="I236" s="81">
        <v>60</v>
      </c>
      <c r="J236" s="78"/>
    </row>
    <row r="237" spans="1:10">
      <c r="A237" s="115"/>
      <c r="B237" s="78"/>
      <c r="C237" s="78"/>
      <c r="D237" s="82" t="str">
        <f t="shared" si="8"/>
        <v/>
      </c>
      <c r="E237" s="30" t="str">
        <f t="shared" si="9"/>
        <v/>
      </c>
      <c r="F237" s="85"/>
      <c r="G237" s="112"/>
      <c r="H237" s="81">
        <v>50</v>
      </c>
      <c r="I237" s="81">
        <v>60</v>
      </c>
      <c r="J237" s="78"/>
    </row>
    <row r="238" spans="1:10">
      <c r="A238" s="115"/>
      <c r="B238" s="78"/>
      <c r="C238" s="78"/>
      <c r="D238" s="82" t="str">
        <f t="shared" si="8"/>
        <v/>
      </c>
      <c r="E238" s="30" t="str">
        <f t="shared" si="9"/>
        <v/>
      </c>
      <c r="F238" s="85"/>
      <c r="G238" s="112"/>
      <c r="H238" s="81">
        <v>50</v>
      </c>
      <c r="I238" s="81">
        <v>60</v>
      </c>
      <c r="J238" s="78"/>
    </row>
  </sheetData>
  <autoFilter ref="A9:J238"/>
  <mergeCells count="2">
    <mergeCell ref="A1:H1"/>
    <mergeCell ref="B8:C8"/>
  </mergeCells>
  <conditionalFormatting sqref="E10:E133">
    <cfRule type="cellIs" dxfId="1729" priority="409" stopIfTrue="1" operator="equal">
      <formula>"Pass"</formula>
    </cfRule>
    <cfRule type="cellIs" dxfId="1728" priority="410" stopIfTrue="1" operator="equal">
      <formula>"Fail"</formula>
    </cfRule>
  </conditionalFormatting>
  <conditionalFormatting sqref="E108:E136">
    <cfRule type="cellIs" dxfId="1727" priority="407" stopIfTrue="1" operator="equal">
      <formula>"Pass"</formula>
    </cfRule>
    <cfRule type="cellIs" dxfId="1726" priority="408" stopIfTrue="1" operator="equal">
      <formula>"Fail"</formula>
    </cfRule>
  </conditionalFormatting>
  <conditionalFormatting sqref="E137:E143">
    <cfRule type="cellIs" dxfId="1725" priority="405" stopIfTrue="1" operator="equal">
      <formula>"Pass"</formula>
    </cfRule>
    <cfRule type="cellIs" dxfId="1724" priority="406" stopIfTrue="1" operator="equal">
      <formula>"Fail"</formula>
    </cfRule>
  </conditionalFormatting>
  <conditionalFormatting sqref="E144:E151">
    <cfRule type="cellIs" dxfId="1723" priority="403" stopIfTrue="1" operator="equal">
      <formula>"Pass"</formula>
    </cfRule>
    <cfRule type="cellIs" dxfId="1722" priority="404" stopIfTrue="1" operator="equal">
      <formula>"Fail"</formula>
    </cfRule>
  </conditionalFormatting>
  <conditionalFormatting sqref="E145:E151">
    <cfRule type="cellIs" dxfId="1721" priority="401" stopIfTrue="1" operator="equal">
      <formula>"Pass"</formula>
    </cfRule>
    <cfRule type="cellIs" dxfId="1720" priority="402" stopIfTrue="1" operator="equal">
      <formula>"Fail"</formula>
    </cfRule>
  </conditionalFormatting>
  <conditionalFormatting sqref="E152">
    <cfRule type="cellIs" dxfId="1719" priority="399" stopIfTrue="1" operator="equal">
      <formula>"Pass"</formula>
    </cfRule>
    <cfRule type="cellIs" dxfId="1718" priority="400" stopIfTrue="1" operator="equal">
      <formula>"Fail"</formula>
    </cfRule>
  </conditionalFormatting>
  <conditionalFormatting sqref="E152">
    <cfRule type="cellIs" dxfId="1717" priority="397" stopIfTrue="1" operator="equal">
      <formula>"Pass"</formula>
    </cfRule>
    <cfRule type="cellIs" dxfId="1716" priority="398" stopIfTrue="1" operator="equal">
      <formula>"Fail"</formula>
    </cfRule>
  </conditionalFormatting>
  <conditionalFormatting sqref="E153">
    <cfRule type="cellIs" dxfId="1715" priority="395" stopIfTrue="1" operator="equal">
      <formula>"Pass"</formula>
    </cfRule>
    <cfRule type="cellIs" dxfId="1714" priority="396" stopIfTrue="1" operator="equal">
      <formula>"Fail"</formula>
    </cfRule>
  </conditionalFormatting>
  <conditionalFormatting sqref="E153">
    <cfRule type="cellIs" dxfId="1713" priority="393" stopIfTrue="1" operator="equal">
      <formula>"Pass"</formula>
    </cfRule>
    <cfRule type="cellIs" dxfId="1712" priority="394" stopIfTrue="1" operator="equal">
      <formula>"Fail"</formula>
    </cfRule>
  </conditionalFormatting>
  <conditionalFormatting sqref="E154">
    <cfRule type="cellIs" dxfId="1711" priority="391" stopIfTrue="1" operator="equal">
      <formula>"Pass"</formula>
    </cfRule>
    <cfRule type="cellIs" dxfId="1710" priority="392" stopIfTrue="1" operator="equal">
      <formula>"Fail"</formula>
    </cfRule>
  </conditionalFormatting>
  <conditionalFormatting sqref="E154">
    <cfRule type="cellIs" dxfId="1709" priority="389" stopIfTrue="1" operator="equal">
      <formula>"Pass"</formula>
    </cfRule>
    <cfRule type="cellIs" dxfId="1708" priority="390" stopIfTrue="1" operator="equal">
      <formula>"Fail"</formula>
    </cfRule>
  </conditionalFormatting>
  <conditionalFormatting sqref="E155">
    <cfRule type="cellIs" dxfId="1707" priority="387" stopIfTrue="1" operator="equal">
      <formula>"Pass"</formula>
    </cfRule>
    <cfRule type="cellIs" dxfId="1706" priority="388" stopIfTrue="1" operator="equal">
      <formula>"Fail"</formula>
    </cfRule>
  </conditionalFormatting>
  <conditionalFormatting sqref="E155">
    <cfRule type="cellIs" dxfId="1705" priority="385" stopIfTrue="1" operator="equal">
      <formula>"Pass"</formula>
    </cfRule>
    <cfRule type="cellIs" dxfId="1704" priority="386" stopIfTrue="1" operator="equal">
      <formula>"Fail"</formula>
    </cfRule>
  </conditionalFormatting>
  <conditionalFormatting sqref="E156">
    <cfRule type="cellIs" dxfId="1703" priority="383" stopIfTrue="1" operator="equal">
      <formula>"Pass"</formula>
    </cfRule>
    <cfRule type="cellIs" dxfId="1702" priority="384" stopIfTrue="1" operator="equal">
      <formula>"Fail"</formula>
    </cfRule>
  </conditionalFormatting>
  <conditionalFormatting sqref="E156">
    <cfRule type="cellIs" dxfId="1701" priority="381" stopIfTrue="1" operator="equal">
      <formula>"Pass"</formula>
    </cfRule>
    <cfRule type="cellIs" dxfId="1700" priority="382" stopIfTrue="1" operator="equal">
      <formula>"Fail"</formula>
    </cfRule>
  </conditionalFormatting>
  <conditionalFormatting sqref="E157">
    <cfRule type="cellIs" dxfId="1699" priority="379" stopIfTrue="1" operator="equal">
      <formula>"Pass"</formula>
    </cfRule>
    <cfRule type="cellIs" dxfId="1698" priority="380" stopIfTrue="1" operator="equal">
      <formula>"Fail"</formula>
    </cfRule>
  </conditionalFormatting>
  <conditionalFormatting sqref="E157">
    <cfRule type="cellIs" dxfId="1697" priority="377" stopIfTrue="1" operator="equal">
      <formula>"Pass"</formula>
    </cfRule>
    <cfRule type="cellIs" dxfId="1696" priority="378" stopIfTrue="1" operator="equal">
      <formula>"Fail"</formula>
    </cfRule>
  </conditionalFormatting>
  <conditionalFormatting sqref="E158">
    <cfRule type="cellIs" dxfId="1695" priority="375" stopIfTrue="1" operator="equal">
      <formula>"Pass"</formula>
    </cfRule>
    <cfRule type="cellIs" dxfId="1694" priority="376" stopIfTrue="1" operator="equal">
      <formula>"Fail"</formula>
    </cfRule>
  </conditionalFormatting>
  <conditionalFormatting sqref="E158">
    <cfRule type="cellIs" dxfId="1693" priority="373" stopIfTrue="1" operator="equal">
      <formula>"Pass"</formula>
    </cfRule>
    <cfRule type="cellIs" dxfId="1692" priority="374" stopIfTrue="1" operator="equal">
      <formula>"Fail"</formula>
    </cfRule>
  </conditionalFormatting>
  <conditionalFormatting sqref="E159">
    <cfRule type="cellIs" dxfId="1691" priority="371" stopIfTrue="1" operator="equal">
      <formula>"Pass"</formula>
    </cfRule>
    <cfRule type="cellIs" dxfId="1690" priority="372" stopIfTrue="1" operator="equal">
      <formula>"Fail"</formula>
    </cfRule>
  </conditionalFormatting>
  <conditionalFormatting sqref="E159">
    <cfRule type="cellIs" dxfId="1689" priority="369" stopIfTrue="1" operator="equal">
      <formula>"Pass"</formula>
    </cfRule>
    <cfRule type="cellIs" dxfId="1688" priority="370" stopIfTrue="1" operator="equal">
      <formula>"Fail"</formula>
    </cfRule>
  </conditionalFormatting>
  <conditionalFormatting sqref="E160">
    <cfRule type="cellIs" dxfId="1687" priority="367" stopIfTrue="1" operator="equal">
      <formula>"Pass"</formula>
    </cfRule>
    <cfRule type="cellIs" dxfId="1686" priority="368" stopIfTrue="1" operator="equal">
      <formula>"Fail"</formula>
    </cfRule>
  </conditionalFormatting>
  <conditionalFormatting sqref="E160">
    <cfRule type="cellIs" dxfId="1685" priority="365" stopIfTrue="1" operator="equal">
      <formula>"Pass"</formula>
    </cfRule>
    <cfRule type="cellIs" dxfId="1684" priority="366" stopIfTrue="1" operator="equal">
      <formula>"Fail"</formula>
    </cfRule>
  </conditionalFormatting>
  <conditionalFormatting sqref="E161">
    <cfRule type="cellIs" dxfId="1683" priority="363" stopIfTrue="1" operator="equal">
      <formula>"Pass"</formula>
    </cfRule>
    <cfRule type="cellIs" dxfId="1682" priority="364" stopIfTrue="1" operator="equal">
      <formula>"Fail"</formula>
    </cfRule>
  </conditionalFormatting>
  <conditionalFormatting sqref="E161">
    <cfRule type="cellIs" dxfId="1681" priority="361" stopIfTrue="1" operator="equal">
      <formula>"Pass"</formula>
    </cfRule>
    <cfRule type="cellIs" dxfId="1680" priority="362" stopIfTrue="1" operator="equal">
      <formula>"Fail"</formula>
    </cfRule>
  </conditionalFormatting>
  <conditionalFormatting sqref="E162">
    <cfRule type="cellIs" dxfId="1679" priority="359" stopIfTrue="1" operator="equal">
      <formula>"Pass"</formula>
    </cfRule>
    <cfRule type="cellIs" dxfId="1678" priority="360" stopIfTrue="1" operator="equal">
      <formula>"Fail"</formula>
    </cfRule>
  </conditionalFormatting>
  <conditionalFormatting sqref="E162">
    <cfRule type="cellIs" dxfId="1677" priority="357" stopIfTrue="1" operator="equal">
      <formula>"Pass"</formula>
    </cfRule>
    <cfRule type="cellIs" dxfId="1676" priority="358" stopIfTrue="1" operator="equal">
      <formula>"Fail"</formula>
    </cfRule>
  </conditionalFormatting>
  <conditionalFormatting sqref="E163">
    <cfRule type="cellIs" dxfId="1675" priority="355" stopIfTrue="1" operator="equal">
      <formula>"Pass"</formula>
    </cfRule>
    <cfRule type="cellIs" dxfId="1674" priority="356" stopIfTrue="1" operator="equal">
      <formula>"Fail"</formula>
    </cfRule>
  </conditionalFormatting>
  <conditionalFormatting sqref="E163">
    <cfRule type="cellIs" dxfId="1673" priority="353" stopIfTrue="1" operator="equal">
      <formula>"Pass"</formula>
    </cfRule>
    <cfRule type="cellIs" dxfId="1672" priority="354" stopIfTrue="1" operator="equal">
      <formula>"Fail"</formula>
    </cfRule>
  </conditionalFormatting>
  <conditionalFormatting sqref="E164">
    <cfRule type="cellIs" dxfId="1671" priority="351" stopIfTrue="1" operator="equal">
      <formula>"Pass"</formula>
    </cfRule>
    <cfRule type="cellIs" dxfId="1670" priority="352" stopIfTrue="1" operator="equal">
      <formula>"Fail"</formula>
    </cfRule>
  </conditionalFormatting>
  <conditionalFormatting sqref="E164">
    <cfRule type="cellIs" dxfId="1669" priority="349" stopIfTrue="1" operator="equal">
      <formula>"Pass"</formula>
    </cfRule>
    <cfRule type="cellIs" dxfId="1668" priority="350" stopIfTrue="1" operator="equal">
      <formula>"Fail"</formula>
    </cfRule>
  </conditionalFormatting>
  <conditionalFormatting sqref="E165">
    <cfRule type="cellIs" dxfId="1667" priority="347" stopIfTrue="1" operator="equal">
      <formula>"Pass"</formula>
    </cfRule>
    <cfRule type="cellIs" dxfId="1666" priority="348" stopIfTrue="1" operator="equal">
      <formula>"Fail"</formula>
    </cfRule>
  </conditionalFormatting>
  <conditionalFormatting sqref="E165">
    <cfRule type="cellIs" dxfId="1665" priority="345" stopIfTrue="1" operator="equal">
      <formula>"Pass"</formula>
    </cfRule>
    <cfRule type="cellIs" dxfId="1664" priority="346" stopIfTrue="1" operator="equal">
      <formula>"Fail"</formula>
    </cfRule>
  </conditionalFormatting>
  <conditionalFormatting sqref="E166">
    <cfRule type="cellIs" dxfId="1663" priority="343" stopIfTrue="1" operator="equal">
      <formula>"Pass"</formula>
    </cfRule>
    <cfRule type="cellIs" dxfId="1662" priority="344" stopIfTrue="1" operator="equal">
      <formula>"Fail"</formula>
    </cfRule>
  </conditionalFormatting>
  <conditionalFormatting sqref="E166">
    <cfRule type="cellIs" dxfId="1661" priority="341" stopIfTrue="1" operator="equal">
      <formula>"Pass"</formula>
    </cfRule>
    <cfRule type="cellIs" dxfId="1660" priority="342" stopIfTrue="1" operator="equal">
      <formula>"Fail"</formula>
    </cfRule>
  </conditionalFormatting>
  <conditionalFormatting sqref="E167">
    <cfRule type="cellIs" dxfId="1659" priority="339" stopIfTrue="1" operator="equal">
      <formula>"Pass"</formula>
    </cfRule>
    <cfRule type="cellIs" dxfId="1658" priority="340" stopIfTrue="1" operator="equal">
      <formula>"Fail"</formula>
    </cfRule>
  </conditionalFormatting>
  <conditionalFormatting sqref="E167">
    <cfRule type="cellIs" dxfId="1657" priority="337" stopIfTrue="1" operator="equal">
      <formula>"Pass"</formula>
    </cfRule>
    <cfRule type="cellIs" dxfId="1656" priority="338" stopIfTrue="1" operator="equal">
      <formula>"Fail"</formula>
    </cfRule>
  </conditionalFormatting>
  <conditionalFormatting sqref="E168">
    <cfRule type="cellIs" dxfId="1655" priority="335" stopIfTrue="1" operator="equal">
      <formula>"Pass"</formula>
    </cfRule>
    <cfRule type="cellIs" dxfId="1654" priority="336" stopIfTrue="1" operator="equal">
      <formula>"Fail"</formula>
    </cfRule>
  </conditionalFormatting>
  <conditionalFormatting sqref="E168">
    <cfRule type="cellIs" dxfId="1653" priority="333" stopIfTrue="1" operator="equal">
      <formula>"Pass"</formula>
    </cfRule>
    <cfRule type="cellIs" dxfId="1652" priority="334" stopIfTrue="1" operator="equal">
      <formula>"Fail"</formula>
    </cfRule>
  </conditionalFormatting>
  <conditionalFormatting sqref="E169">
    <cfRule type="cellIs" dxfId="1651" priority="331" stopIfTrue="1" operator="equal">
      <formula>"Pass"</formula>
    </cfRule>
    <cfRule type="cellIs" dxfId="1650" priority="332" stopIfTrue="1" operator="equal">
      <formula>"Fail"</formula>
    </cfRule>
  </conditionalFormatting>
  <conditionalFormatting sqref="E169">
    <cfRule type="cellIs" dxfId="1649" priority="329" stopIfTrue="1" operator="equal">
      <formula>"Pass"</formula>
    </cfRule>
    <cfRule type="cellIs" dxfId="1648" priority="330" stopIfTrue="1" operator="equal">
      <formula>"Fail"</formula>
    </cfRule>
  </conditionalFormatting>
  <conditionalFormatting sqref="E170">
    <cfRule type="cellIs" dxfId="1647" priority="327" stopIfTrue="1" operator="equal">
      <formula>"Pass"</formula>
    </cfRule>
    <cfRule type="cellIs" dxfId="1646" priority="328" stopIfTrue="1" operator="equal">
      <formula>"Fail"</formula>
    </cfRule>
  </conditionalFormatting>
  <conditionalFormatting sqref="E170">
    <cfRule type="cellIs" dxfId="1645" priority="325" stopIfTrue="1" operator="equal">
      <formula>"Pass"</formula>
    </cfRule>
    <cfRule type="cellIs" dxfId="1644" priority="326" stopIfTrue="1" operator="equal">
      <formula>"Fail"</formula>
    </cfRule>
  </conditionalFormatting>
  <conditionalFormatting sqref="E171">
    <cfRule type="cellIs" dxfId="1643" priority="323" stopIfTrue="1" operator="equal">
      <formula>"Pass"</formula>
    </cfRule>
    <cfRule type="cellIs" dxfId="1642" priority="324" stopIfTrue="1" operator="equal">
      <formula>"Fail"</formula>
    </cfRule>
  </conditionalFormatting>
  <conditionalFormatting sqref="E171">
    <cfRule type="cellIs" dxfId="1641" priority="321" stopIfTrue="1" operator="equal">
      <formula>"Pass"</formula>
    </cfRule>
    <cfRule type="cellIs" dxfId="1640" priority="322" stopIfTrue="1" operator="equal">
      <formula>"Fail"</formula>
    </cfRule>
  </conditionalFormatting>
  <conditionalFormatting sqref="E172">
    <cfRule type="cellIs" dxfId="1639" priority="319" stopIfTrue="1" operator="equal">
      <formula>"Pass"</formula>
    </cfRule>
    <cfRule type="cellIs" dxfId="1638" priority="320" stopIfTrue="1" operator="equal">
      <formula>"Fail"</formula>
    </cfRule>
  </conditionalFormatting>
  <conditionalFormatting sqref="E172">
    <cfRule type="cellIs" dxfId="1637" priority="317" stopIfTrue="1" operator="equal">
      <formula>"Pass"</formula>
    </cfRule>
    <cfRule type="cellIs" dxfId="1636" priority="318" stopIfTrue="1" operator="equal">
      <formula>"Fail"</formula>
    </cfRule>
  </conditionalFormatting>
  <conditionalFormatting sqref="E173">
    <cfRule type="cellIs" dxfId="1635" priority="315" stopIfTrue="1" operator="equal">
      <formula>"Pass"</formula>
    </cfRule>
    <cfRule type="cellIs" dxfId="1634" priority="316" stopIfTrue="1" operator="equal">
      <formula>"Fail"</formula>
    </cfRule>
  </conditionalFormatting>
  <conditionalFormatting sqref="E173">
    <cfRule type="cellIs" dxfId="1633" priority="313" stopIfTrue="1" operator="equal">
      <formula>"Pass"</formula>
    </cfRule>
    <cfRule type="cellIs" dxfId="1632" priority="314" stopIfTrue="1" operator="equal">
      <formula>"Fail"</formula>
    </cfRule>
  </conditionalFormatting>
  <conditionalFormatting sqref="E174">
    <cfRule type="cellIs" dxfId="1631" priority="311" stopIfTrue="1" operator="equal">
      <formula>"Pass"</formula>
    </cfRule>
    <cfRule type="cellIs" dxfId="1630" priority="312" stopIfTrue="1" operator="equal">
      <formula>"Fail"</formula>
    </cfRule>
  </conditionalFormatting>
  <conditionalFormatting sqref="E174">
    <cfRule type="cellIs" dxfId="1629" priority="309" stopIfTrue="1" operator="equal">
      <formula>"Pass"</formula>
    </cfRule>
    <cfRule type="cellIs" dxfId="1628" priority="310" stopIfTrue="1" operator="equal">
      <formula>"Fail"</formula>
    </cfRule>
  </conditionalFormatting>
  <conditionalFormatting sqref="E175">
    <cfRule type="cellIs" dxfId="1627" priority="307" stopIfTrue="1" operator="equal">
      <formula>"Pass"</formula>
    </cfRule>
    <cfRule type="cellIs" dxfId="1626" priority="308" stopIfTrue="1" operator="equal">
      <formula>"Fail"</formula>
    </cfRule>
  </conditionalFormatting>
  <conditionalFormatting sqref="E175">
    <cfRule type="cellIs" dxfId="1625" priority="305" stopIfTrue="1" operator="equal">
      <formula>"Pass"</formula>
    </cfRule>
    <cfRule type="cellIs" dxfId="1624" priority="306" stopIfTrue="1" operator="equal">
      <formula>"Fail"</formula>
    </cfRule>
  </conditionalFormatting>
  <conditionalFormatting sqref="E176">
    <cfRule type="cellIs" dxfId="1623" priority="303" stopIfTrue="1" operator="equal">
      <formula>"Pass"</formula>
    </cfRule>
    <cfRule type="cellIs" dxfId="1622" priority="304" stopIfTrue="1" operator="equal">
      <formula>"Fail"</formula>
    </cfRule>
  </conditionalFormatting>
  <conditionalFormatting sqref="E176">
    <cfRule type="cellIs" dxfId="1621" priority="301" stopIfTrue="1" operator="equal">
      <formula>"Pass"</formula>
    </cfRule>
    <cfRule type="cellIs" dxfId="1620" priority="302" stopIfTrue="1" operator="equal">
      <formula>"Fail"</formula>
    </cfRule>
  </conditionalFormatting>
  <conditionalFormatting sqref="E177">
    <cfRule type="cellIs" dxfId="1619" priority="299" stopIfTrue="1" operator="equal">
      <formula>"Pass"</formula>
    </cfRule>
    <cfRule type="cellIs" dxfId="1618" priority="300" stopIfTrue="1" operator="equal">
      <formula>"Fail"</formula>
    </cfRule>
  </conditionalFormatting>
  <conditionalFormatting sqref="E177">
    <cfRule type="cellIs" dxfId="1617" priority="297" stopIfTrue="1" operator="equal">
      <formula>"Pass"</formula>
    </cfRule>
    <cfRule type="cellIs" dxfId="1616" priority="298" stopIfTrue="1" operator="equal">
      <formula>"Fail"</formula>
    </cfRule>
  </conditionalFormatting>
  <conditionalFormatting sqref="E178:E179">
    <cfRule type="cellIs" dxfId="1615" priority="295" stopIfTrue="1" operator="equal">
      <formula>"Pass"</formula>
    </cfRule>
    <cfRule type="cellIs" dxfId="1614" priority="296" stopIfTrue="1" operator="equal">
      <formula>"Fail"</formula>
    </cfRule>
  </conditionalFormatting>
  <conditionalFormatting sqref="E178:E179">
    <cfRule type="cellIs" dxfId="1613" priority="293" stopIfTrue="1" operator="equal">
      <formula>"Pass"</formula>
    </cfRule>
    <cfRule type="cellIs" dxfId="1612" priority="294" stopIfTrue="1" operator="equal">
      <formula>"Fail"</formula>
    </cfRule>
  </conditionalFormatting>
  <conditionalFormatting sqref="E179">
    <cfRule type="cellIs" dxfId="1611" priority="291" stopIfTrue="1" operator="equal">
      <formula>"Pass"</formula>
    </cfRule>
    <cfRule type="cellIs" dxfId="1610" priority="292" stopIfTrue="1" operator="equal">
      <formula>"Fail"</formula>
    </cfRule>
  </conditionalFormatting>
  <conditionalFormatting sqref="E179">
    <cfRule type="cellIs" dxfId="1609" priority="289" stopIfTrue="1" operator="equal">
      <formula>"Pass"</formula>
    </cfRule>
    <cfRule type="cellIs" dxfId="1608" priority="290" stopIfTrue="1" operator="equal">
      <formula>"Fail"</formula>
    </cfRule>
  </conditionalFormatting>
  <conditionalFormatting sqref="E180">
    <cfRule type="cellIs" dxfId="1607" priority="287" stopIfTrue="1" operator="equal">
      <formula>"Pass"</formula>
    </cfRule>
    <cfRule type="cellIs" dxfId="1606" priority="288" stopIfTrue="1" operator="equal">
      <formula>"Fail"</formula>
    </cfRule>
  </conditionalFormatting>
  <conditionalFormatting sqref="E180">
    <cfRule type="cellIs" dxfId="1605" priority="285" stopIfTrue="1" operator="equal">
      <formula>"Pass"</formula>
    </cfRule>
    <cfRule type="cellIs" dxfId="1604" priority="286" stopIfTrue="1" operator="equal">
      <formula>"Fail"</formula>
    </cfRule>
  </conditionalFormatting>
  <conditionalFormatting sqref="E181">
    <cfRule type="cellIs" dxfId="1603" priority="283" stopIfTrue="1" operator="equal">
      <formula>"Pass"</formula>
    </cfRule>
    <cfRule type="cellIs" dxfId="1602" priority="284" stopIfTrue="1" operator="equal">
      <formula>"Fail"</formula>
    </cfRule>
  </conditionalFormatting>
  <conditionalFormatting sqref="E181">
    <cfRule type="cellIs" dxfId="1601" priority="281" stopIfTrue="1" operator="equal">
      <formula>"Pass"</formula>
    </cfRule>
    <cfRule type="cellIs" dxfId="1600" priority="282" stopIfTrue="1" operator="equal">
      <formula>"Fail"</formula>
    </cfRule>
  </conditionalFormatting>
  <conditionalFormatting sqref="E182">
    <cfRule type="cellIs" dxfId="1599" priority="279" stopIfTrue="1" operator="equal">
      <formula>"Pass"</formula>
    </cfRule>
    <cfRule type="cellIs" dxfId="1598" priority="280" stopIfTrue="1" operator="equal">
      <formula>"Fail"</formula>
    </cfRule>
  </conditionalFormatting>
  <conditionalFormatting sqref="E182">
    <cfRule type="cellIs" dxfId="1597" priority="277" stopIfTrue="1" operator="equal">
      <formula>"Pass"</formula>
    </cfRule>
    <cfRule type="cellIs" dxfId="1596" priority="278" stopIfTrue="1" operator="equal">
      <formula>"Fail"</formula>
    </cfRule>
  </conditionalFormatting>
  <conditionalFormatting sqref="E183">
    <cfRule type="cellIs" dxfId="1595" priority="275" stopIfTrue="1" operator="equal">
      <formula>"Pass"</formula>
    </cfRule>
    <cfRule type="cellIs" dxfId="1594" priority="276" stopIfTrue="1" operator="equal">
      <formula>"Fail"</formula>
    </cfRule>
  </conditionalFormatting>
  <conditionalFormatting sqref="E183">
    <cfRule type="cellIs" dxfId="1593" priority="273" stopIfTrue="1" operator="equal">
      <formula>"Pass"</formula>
    </cfRule>
    <cfRule type="cellIs" dxfId="1592" priority="274" stopIfTrue="1" operator="equal">
      <formula>"Fail"</formula>
    </cfRule>
  </conditionalFormatting>
  <conditionalFormatting sqref="E184">
    <cfRule type="cellIs" dxfId="1591" priority="271" stopIfTrue="1" operator="equal">
      <formula>"Pass"</formula>
    </cfRule>
    <cfRule type="cellIs" dxfId="1590" priority="272" stopIfTrue="1" operator="equal">
      <formula>"Fail"</formula>
    </cfRule>
  </conditionalFormatting>
  <conditionalFormatting sqref="E184">
    <cfRule type="cellIs" dxfId="1589" priority="269" stopIfTrue="1" operator="equal">
      <formula>"Pass"</formula>
    </cfRule>
    <cfRule type="cellIs" dxfId="1588" priority="270" stopIfTrue="1" operator="equal">
      <formula>"Fail"</formula>
    </cfRule>
  </conditionalFormatting>
  <conditionalFormatting sqref="E185">
    <cfRule type="cellIs" dxfId="1587" priority="267" stopIfTrue="1" operator="equal">
      <formula>"Pass"</formula>
    </cfRule>
    <cfRule type="cellIs" dxfId="1586" priority="268" stopIfTrue="1" operator="equal">
      <formula>"Fail"</formula>
    </cfRule>
  </conditionalFormatting>
  <conditionalFormatting sqref="E185">
    <cfRule type="cellIs" dxfId="1585" priority="265" stopIfTrue="1" operator="equal">
      <formula>"Pass"</formula>
    </cfRule>
    <cfRule type="cellIs" dxfId="1584" priority="266" stopIfTrue="1" operator="equal">
      <formula>"Fail"</formula>
    </cfRule>
  </conditionalFormatting>
  <conditionalFormatting sqref="E186">
    <cfRule type="cellIs" dxfId="1583" priority="263" stopIfTrue="1" operator="equal">
      <formula>"Pass"</formula>
    </cfRule>
    <cfRule type="cellIs" dxfId="1582" priority="264" stopIfTrue="1" operator="equal">
      <formula>"Fail"</formula>
    </cfRule>
  </conditionalFormatting>
  <conditionalFormatting sqref="E186">
    <cfRule type="cellIs" dxfId="1581" priority="261" stopIfTrue="1" operator="equal">
      <formula>"Pass"</formula>
    </cfRule>
    <cfRule type="cellIs" dxfId="1580" priority="262" stopIfTrue="1" operator="equal">
      <formula>"Fail"</formula>
    </cfRule>
  </conditionalFormatting>
  <conditionalFormatting sqref="E187">
    <cfRule type="cellIs" dxfId="1579" priority="259" stopIfTrue="1" operator="equal">
      <formula>"Pass"</formula>
    </cfRule>
    <cfRule type="cellIs" dxfId="1578" priority="260" stopIfTrue="1" operator="equal">
      <formula>"Fail"</formula>
    </cfRule>
  </conditionalFormatting>
  <conditionalFormatting sqref="E187">
    <cfRule type="cellIs" dxfId="1577" priority="257" stopIfTrue="1" operator="equal">
      <formula>"Pass"</formula>
    </cfRule>
    <cfRule type="cellIs" dxfId="1576" priority="258" stopIfTrue="1" operator="equal">
      <formula>"Fail"</formula>
    </cfRule>
  </conditionalFormatting>
  <conditionalFormatting sqref="E188">
    <cfRule type="cellIs" dxfId="1575" priority="255" stopIfTrue="1" operator="equal">
      <formula>"Pass"</formula>
    </cfRule>
    <cfRule type="cellIs" dxfId="1574" priority="256" stopIfTrue="1" operator="equal">
      <formula>"Fail"</formula>
    </cfRule>
  </conditionalFormatting>
  <conditionalFormatting sqref="E188">
    <cfRule type="cellIs" dxfId="1573" priority="253" stopIfTrue="1" operator="equal">
      <formula>"Pass"</formula>
    </cfRule>
    <cfRule type="cellIs" dxfId="1572" priority="254" stopIfTrue="1" operator="equal">
      <formula>"Fail"</formula>
    </cfRule>
  </conditionalFormatting>
  <conditionalFormatting sqref="E189">
    <cfRule type="cellIs" dxfId="1571" priority="251" stopIfTrue="1" operator="equal">
      <formula>"Pass"</formula>
    </cfRule>
    <cfRule type="cellIs" dxfId="1570" priority="252" stopIfTrue="1" operator="equal">
      <formula>"Fail"</formula>
    </cfRule>
  </conditionalFormatting>
  <conditionalFormatting sqref="E189">
    <cfRule type="cellIs" dxfId="1569" priority="249" stopIfTrue="1" operator="equal">
      <formula>"Pass"</formula>
    </cfRule>
    <cfRule type="cellIs" dxfId="1568" priority="250" stopIfTrue="1" operator="equal">
      <formula>"Fail"</formula>
    </cfRule>
  </conditionalFormatting>
  <conditionalFormatting sqref="E190">
    <cfRule type="cellIs" dxfId="1567" priority="247" stopIfTrue="1" operator="equal">
      <formula>"Pass"</formula>
    </cfRule>
    <cfRule type="cellIs" dxfId="1566" priority="248" stopIfTrue="1" operator="equal">
      <formula>"Fail"</formula>
    </cfRule>
  </conditionalFormatting>
  <conditionalFormatting sqref="E190">
    <cfRule type="cellIs" dxfId="1565" priority="245" stopIfTrue="1" operator="equal">
      <formula>"Pass"</formula>
    </cfRule>
    <cfRule type="cellIs" dxfId="1564" priority="246" stopIfTrue="1" operator="equal">
      <formula>"Fail"</formula>
    </cfRule>
  </conditionalFormatting>
  <conditionalFormatting sqref="E191">
    <cfRule type="cellIs" dxfId="1563" priority="243" stopIfTrue="1" operator="equal">
      <formula>"Pass"</formula>
    </cfRule>
    <cfRule type="cellIs" dxfId="1562" priority="244" stopIfTrue="1" operator="equal">
      <formula>"Fail"</formula>
    </cfRule>
  </conditionalFormatting>
  <conditionalFormatting sqref="E191">
    <cfRule type="cellIs" dxfId="1561" priority="241" stopIfTrue="1" operator="equal">
      <formula>"Pass"</formula>
    </cfRule>
    <cfRule type="cellIs" dxfId="1560" priority="242" stopIfTrue="1" operator="equal">
      <formula>"Fail"</formula>
    </cfRule>
  </conditionalFormatting>
  <conditionalFormatting sqref="E192">
    <cfRule type="cellIs" dxfId="1559" priority="239" stopIfTrue="1" operator="equal">
      <formula>"Pass"</formula>
    </cfRule>
    <cfRule type="cellIs" dxfId="1558" priority="240" stopIfTrue="1" operator="equal">
      <formula>"Fail"</formula>
    </cfRule>
  </conditionalFormatting>
  <conditionalFormatting sqref="E192">
    <cfRule type="cellIs" dxfId="1557" priority="237" stopIfTrue="1" operator="equal">
      <formula>"Pass"</formula>
    </cfRule>
    <cfRule type="cellIs" dxfId="1556" priority="238" stopIfTrue="1" operator="equal">
      <formula>"Fail"</formula>
    </cfRule>
  </conditionalFormatting>
  <conditionalFormatting sqref="E193">
    <cfRule type="cellIs" dxfId="1555" priority="235" stopIfTrue="1" operator="equal">
      <formula>"Pass"</formula>
    </cfRule>
    <cfRule type="cellIs" dxfId="1554" priority="236" stopIfTrue="1" operator="equal">
      <formula>"Fail"</formula>
    </cfRule>
  </conditionalFormatting>
  <conditionalFormatting sqref="E193">
    <cfRule type="cellIs" dxfId="1553" priority="233" stopIfTrue="1" operator="equal">
      <formula>"Pass"</formula>
    </cfRule>
    <cfRule type="cellIs" dxfId="1552" priority="234" stopIfTrue="1" operator="equal">
      <formula>"Fail"</formula>
    </cfRule>
  </conditionalFormatting>
  <conditionalFormatting sqref="E194:E195">
    <cfRule type="cellIs" dxfId="1551" priority="231" stopIfTrue="1" operator="equal">
      <formula>"Pass"</formula>
    </cfRule>
    <cfRule type="cellIs" dxfId="1550" priority="232" stopIfTrue="1" operator="equal">
      <formula>"Fail"</formula>
    </cfRule>
  </conditionalFormatting>
  <conditionalFormatting sqref="E194:E195">
    <cfRule type="cellIs" dxfId="1549" priority="229" stopIfTrue="1" operator="equal">
      <formula>"Pass"</formula>
    </cfRule>
    <cfRule type="cellIs" dxfId="1548" priority="230" stopIfTrue="1" operator="equal">
      <formula>"Fail"</formula>
    </cfRule>
  </conditionalFormatting>
  <conditionalFormatting sqref="E195">
    <cfRule type="cellIs" dxfId="1547" priority="227" stopIfTrue="1" operator="equal">
      <formula>"Pass"</formula>
    </cfRule>
    <cfRule type="cellIs" dxfId="1546" priority="228" stopIfTrue="1" operator="equal">
      <formula>"Fail"</formula>
    </cfRule>
  </conditionalFormatting>
  <conditionalFormatting sqref="E195">
    <cfRule type="cellIs" dxfId="1545" priority="225" stopIfTrue="1" operator="equal">
      <formula>"Pass"</formula>
    </cfRule>
    <cfRule type="cellIs" dxfId="1544" priority="226" stopIfTrue="1" operator="equal">
      <formula>"Fail"</formula>
    </cfRule>
  </conditionalFormatting>
  <conditionalFormatting sqref="E196">
    <cfRule type="cellIs" dxfId="1543" priority="223" stopIfTrue="1" operator="equal">
      <formula>"Pass"</formula>
    </cfRule>
    <cfRule type="cellIs" dxfId="1542" priority="224" stopIfTrue="1" operator="equal">
      <formula>"Fail"</formula>
    </cfRule>
  </conditionalFormatting>
  <conditionalFormatting sqref="E196">
    <cfRule type="cellIs" dxfId="1541" priority="221" stopIfTrue="1" operator="equal">
      <formula>"Pass"</formula>
    </cfRule>
    <cfRule type="cellIs" dxfId="1540" priority="222" stopIfTrue="1" operator="equal">
      <formula>"Fail"</formula>
    </cfRule>
  </conditionalFormatting>
  <conditionalFormatting sqref="E197">
    <cfRule type="cellIs" dxfId="1539" priority="219" stopIfTrue="1" operator="equal">
      <formula>"Pass"</formula>
    </cfRule>
    <cfRule type="cellIs" dxfId="1538" priority="220" stopIfTrue="1" operator="equal">
      <formula>"Fail"</formula>
    </cfRule>
  </conditionalFormatting>
  <conditionalFormatting sqref="E197">
    <cfRule type="cellIs" dxfId="1537" priority="217" stopIfTrue="1" operator="equal">
      <formula>"Pass"</formula>
    </cfRule>
    <cfRule type="cellIs" dxfId="1536" priority="218" stopIfTrue="1" operator="equal">
      <formula>"Fail"</formula>
    </cfRule>
  </conditionalFormatting>
  <conditionalFormatting sqref="E198:E199">
    <cfRule type="cellIs" dxfId="1535" priority="215" stopIfTrue="1" operator="equal">
      <formula>"Pass"</formula>
    </cfRule>
    <cfRule type="cellIs" dxfId="1534" priority="216" stopIfTrue="1" operator="equal">
      <formula>"Fail"</formula>
    </cfRule>
  </conditionalFormatting>
  <conditionalFormatting sqref="E198:E199">
    <cfRule type="cellIs" dxfId="1533" priority="213" stopIfTrue="1" operator="equal">
      <formula>"Pass"</formula>
    </cfRule>
    <cfRule type="cellIs" dxfId="1532" priority="214" stopIfTrue="1" operator="equal">
      <formula>"Fail"</formula>
    </cfRule>
  </conditionalFormatting>
  <conditionalFormatting sqref="E199">
    <cfRule type="cellIs" dxfId="1531" priority="211" stopIfTrue="1" operator="equal">
      <formula>"Pass"</formula>
    </cfRule>
    <cfRule type="cellIs" dxfId="1530" priority="212" stopIfTrue="1" operator="equal">
      <formula>"Fail"</formula>
    </cfRule>
  </conditionalFormatting>
  <conditionalFormatting sqref="E199">
    <cfRule type="cellIs" dxfId="1529" priority="209" stopIfTrue="1" operator="equal">
      <formula>"Pass"</formula>
    </cfRule>
    <cfRule type="cellIs" dxfId="1528" priority="210" stopIfTrue="1" operator="equal">
      <formula>"Fail"</formula>
    </cfRule>
  </conditionalFormatting>
  <conditionalFormatting sqref="E200">
    <cfRule type="cellIs" dxfId="1527" priority="207" stopIfTrue="1" operator="equal">
      <formula>"Pass"</formula>
    </cfRule>
    <cfRule type="cellIs" dxfId="1526" priority="208" stopIfTrue="1" operator="equal">
      <formula>"Fail"</formula>
    </cfRule>
  </conditionalFormatting>
  <conditionalFormatting sqref="E200">
    <cfRule type="cellIs" dxfId="1525" priority="205" stopIfTrue="1" operator="equal">
      <formula>"Pass"</formula>
    </cfRule>
    <cfRule type="cellIs" dxfId="1524" priority="206" stopIfTrue="1" operator="equal">
      <formula>"Fail"</formula>
    </cfRule>
  </conditionalFormatting>
  <conditionalFormatting sqref="E201:E238">
    <cfRule type="cellIs" dxfId="1523" priority="203" stopIfTrue="1" operator="equal">
      <formula>"Pass"</formula>
    </cfRule>
    <cfRule type="cellIs" dxfId="1522" priority="204" stopIfTrue="1" operator="equal">
      <formula>"Fail"</formula>
    </cfRule>
  </conditionalFormatting>
  <conditionalFormatting sqref="E201:E238">
    <cfRule type="cellIs" dxfId="1521" priority="201" stopIfTrue="1" operator="equal">
      <formula>"Pass"</formula>
    </cfRule>
    <cfRule type="cellIs" dxfId="1520" priority="202" stopIfTrue="1" operator="equal">
      <formula>"Fail"</formula>
    </cfRule>
  </conditionalFormatting>
  <conditionalFormatting sqref="E202">
    <cfRule type="cellIs" dxfId="1519" priority="199" stopIfTrue="1" operator="equal">
      <formula>"Pass"</formula>
    </cfRule>
    <cfRule type="cellIs" dxfId="1518" priority="200" stopIfTrue="1" operator="equal">
      <formula>"Fail"</formula>
    </cfRule>
  </conditionalFormatting>
  <conditionalFormatting sqref="E202">
    <cfRule type="cellIs" dxfId="1517" priority="197" stopIfTrue="1" operator="equal">
      <formula>"Pass"</formula>
    </cfRule>
    <cfRule type="cellIs" dxfId="1516" priority="198" stopIfTrue="1" operator="equal">
      <formula>"Fail"</formula>
    </cfRule>
  </conditionalFormatting>
  <conditionalFormatting sqref="E203">
    <cfRule type="cellIs" dxfId="1515" priority="195" stopIfTrue="1" operator="equal">
      <formula>"Pass"</formula>
    </cfRule>
    <cfRule type="cellIs" dxfId="1514" priority="196" stopIfTrue="1" operator="equal">
      <formula>"Fail"</formula>
    </cfRule>
  </conditionalFormatting>
  <conditionalFormatting sqref="E203">
    <cfRule type="cellIs" dxfId="1513" priority="193" stopIfTrue="1" operator="equal">
      <formula>"Pass"</formula>
    </cfRule>
    <cfRule type="cellIs" dxfId="1512" priority="194" stopIfTrue="1" operator="equal">
      <formula>"Fail"</formula>
    </cfRule>
  </conditionalFormatting>
  <conditionalFormatting sqref="E204">
    <cfRule type="cellIs" dxfId="1511" priority="191" stopIfTrue="1" operator="equal">
      <formula>"Pass"</formula>
    </cfRule>
    <cfRule type="cellIs" dxfId="1510" priority="192" stopIfTrue="1" operator="equal">
      <formula>"Fail"</formula>
    </cfRule>
  </conditionalFormatting>
  <conditionalFormatting sqref="E204">
    <cfRule type="cellIs" dxfId="1509" priority="189" stopIfTrue="1" operator="equal">
      <formula>"Pass"</formula>
    </cfRule>
    <cfRule type="cellIs" dxfId="1508" priority="190" stopIfTrue="1" operator="equal">
      <formula>"Fail"</formula>
    </cfRule>
  </conditionalFormatting>
  <conditionalFormatting sqref="E205">
    <cfRule type="cellIs" dxfId="1507" priority="187" stopIfTrue="1" operator="equal">
      <formula>"Pass"</formula>
    </cfRule>
    <cfRule type="cellIs" dxfId="1506" priority="188" stopIfTrue="1" operator="equal">
      <formula>"Fail"</formula>
    </cfRule>
  </conditionalFormatting>
  <conditionalFormatting sqref="E205">
    <cfRule type="cellIs" dxfId="1505" priority="185" stopIfTrue="1" operator="equal">
      <formula>"Pass"</formula>
    </cfRule>
    <cfRule type="cellIs" dxfId="1504" priority="186" stopIfTrue="1" operator="equal">
      <formula>"Fail"</formula>
    </cfRule>
  </conditionalFormatting>
  <conditionalFormatting sqref="E206">
    <cfRule type="cellIs" dxfId="1503" priority="183" stopIfTrue="1" operator="equal">
      <formula>"Pass"</formula>
    </cfRule>
    <cfRule type="cellIs" dxfId="1502" priority="184" stopIfTrue="1" operator="equal">
      <formula>"Fail"</formula>
    </cfRule>
  </conditionalFormatting>
  <conditionalFormatting sqref="E206">
    <cfRule type="cellIs" dxfId="1501" priority="181" stopIfTrue="1" operator="equal">
      <formula>"Pass"</formula>
    </cfRule>
    <cfRule type="cellIs" dxfId="1500" priority="182" stopIfTrue="1" operator="equal">
      <formula>"Fail"</formula>
    </cfRule>
  </conditionalFormatting>
  <conditionalFormatting sqref="E207">
    <cfRule type="cellIs" dxfId="1499" priority="179" stopIfTrue="1" operator="equal">
      <formula>"Pass"</formula>
    </cfRule>
    <cfRule type="cellIs" dxfId="1498" priority="180" stopIfTrue="1" operator="equal">
      <formula>"Fail"</formula>
    </cfRule>
  </conditionalFormatting>
  <conditionalFormatting sqref="E207">
    <cfRule type="cellIs" dxfId="1497" priority="177" stopIfTrue="1" operator="equal">
      <formula>"Pass"</formula>
    </cfRule>
    <cfRule type="cellIs" dxfId="1496" priority="178" stopIfTrue="1" operator="equal">
      <formula>"Fail"</formula>
    </cfRule>
  </conditionalFormatting>
  <conditionalFormatting sqref="E208">
    <cfRule type="cellIs" dxfId="1495" priority="175" stopIfTrue="1" operator="equal">
      <formula>"Pass"</formula>
    </cfRule>
    <cfRule type="cellIs" dxfId="1494" priority="176" stopIfTrue="1" operator="equal">
      <formula>"Fail"</formula>
    </cfRule>
  </conditionalFormatting>
  <conditionalFormatting sqref="E208">
    <cfRule type="cellIs" dxfId="1493" priority="173" stopIfTrue="1" operator="equal">
      <formula>"Pass"</formula>
    </cfRule>
    <cfRule type="cellIs" dxfId="1492" priority="174" stopIfTrue="1" operator="equal">
      <formula>"Fail"</formula>
    </cfRule>
  </conditionalFormatting>
  <conditionalFormatting sqref="E209">
    <cfRule type="cellIs" dxfId="1491" priority="171" stopIfTrue="1" operator="equal">
      <formula>"Pass"</formula>
    </cfRule>
    <cfRule type="cellIs" dxfId="1490" priority="172" stopIfTrue="1" operator="equal">
      <formula>"Fail"</formula>
    </cfRule>
  </conditionalFormatting>
  <conditionalFormatting sqref="E209">
    <cfRule type="cellIs" dxfId="1489" priority="169" stopIfTrue="1" operator="equal">
      <formula>"Pass"</formula>
    </cfRule>
    <cfRule type="cellIs" dxfId="1488" priority="170" stopIfTrue="1" operator="equal">
      <formula>"Fail"</formula>
    </cfRule>
  </conditionalFormatting>
  <conditionalFormatting sqref="E210">
    <cfRule type="cellIs" dxfId="1487" priority="167" stopIfTrue="1" operator="equal">
      <formula>"Pass"</formula>
    </cfRule>
    <cfRule type="cellIs" dxfId="1486" priority="168" stopIfTrue="1" operator="equal">
      <formula>"Fail"</formula>
    </cfRule>
  </conditionalFormatting>
  <conditionalFormatting sqref="E210">
    <cfRule type="cellIs" dxfId="1485" priority="165" stopIfTrue="1" operator="equal">
      <formula>"Pass"</formula>
    </cfRule>
    <cfRule type="cellIs" dxfId="1484" priority="166" stopIfTrue="1" operator="equal">
      <formula>"Fail"</formula>
    </cfRule>
  </conditionalFormatting>
  <conditionalFormatting sqref="E211">
    <cfRule type="cellIs" dxfId="1483" priority="163" stopIfTrue="1" operator="equal">
      <formula>"Pass"</formula>
    </cfRule>
    <cfRule type="cellIs" dxfId="1482" priority="164" stopIfTrue="1" operator="equal">
      <formula>"Fail"</formula>
    </cfRule>
  </conditionalFormatting>
  <conditionalFormatting sqref="E211">
    <cfRule type="cellIs" dxfId="1481" priority="161" stopIfTrue="1" operator="equal">
      <formula>"Pass"</formula>
    </cfRule>
    <cfRule type="cellIs" dxfId="1480" priority="162" stopIfTrue="1" operator="equal">
      <formula>"Fail"</formula>
    </cfRule>
  </conditionalFormatting>
  <conditionalFormatting sqref="E212">
    <cfRule type="cellIs" dxfId="1479" priority="159" stopIfTrue="1" operator="equal">
      <formula>"Pass"</formula>
    </cfRule>
    <cfRule type="cellIs" dxfId="1478" priority="160" stopIfTrue="1" operator="equal">
      <formula>"Fail"</formula>
    </cfRule>
  </conditionalFormatting>
  <conditionalFormatting sqref="E212">
    <cfRule type="cellIs" dxfId="1477" priority="157" stopIfTrue="1" operator="equal">
      <formula>"Pass"</formula>
    </cfRule>
    <cfRule type="cellIs" dxfId="1476" priority="158" stopIfTrue="1" operator="equal">
      <formula>"Fail"</formula>
    </cfRule>
  </conditionalFormatting>
  <conditionalFormatting sqref="E213">
    <cfRule type="cellIs" dxfId="1475" priority="155" stopIfTrue="1" operator="equal">
      <formula>"Pass"</formula>
    </cfRule>
    <cfRule type="cellIs" dxfId="1474" priority="156" stopIfTrue="1" operator="equal">
      <formula>"Fail"</formula>
    </cfRule>
  </conditionalFormatting>
  <conditionalFormatting sqref="E213">
    <cfRule type="cellIs" dxfId="1473" priority="153" stopIfTrue="1" operator="equal">
      <formula>"Pass"</formula>
    </cfRule>
    <cfRule type="cellIs" dxfId="1472" priority="154" stopIfTrue="1" operator="equal">
      <formula>"Fail"</formula>
    </cfRule>
  </conditionalFormatting>
  <conditionalFormatting sqref="E214">
    <cfRule type="cellIs" dxfId="1471" priority="151" stopIfTrue="1" operator="equal">
      <formula>"Pass"</formula>
    </cfRule>
    <cfRule type="cellIs" dxfId="1470" priority="152" stopIfTrue="1" operator="equal">
      <formula>"Fail"</formula>
    </cfRule>
  </conditionalFormatting>
  <conditionalFormatting sqref="E214">
    <cfRule type="cellIs" dxfId="1469" priority="149" stopIfTrue="1" operator="equal">
      <formula>"Pass"</formula>
    </cfRule>
    <cfRule type="cellIs" dxfId="1468" priority="150" stopIfTrue="1" operator="equal">
      <formula>"Fail"</formula>
    </cfRule>
  </conditionalFormatting>
  <conditionalFormatting sqref="E215">
    <cfRule type="cellIs" dxfId="1467" priority="147" stopIfTrue="1" operator="equal">
      <formula>"Pass"</formula>
    </cfRule>
    <cfRule type="cellIs" dxfId="1466" priority="148" stopIfTrue="1" operator="equal">
      <formula>"Fail"</formula>
    </cfRule>
  </conditionalFormatting>
  <conditionalFormatting sqref="E215">
    <cfRule type="cellIs" dxfId="1465" priority="145" stopIfTrue="1" operator="equal">
      <formula>"Pass"</formula>
    </cfRule>
    <cfRule type="cellIs" dxfId="1464" priority="146" stopIfTrue="1" operator="equal">
      <formula>"Fail"</formula>
    </cfRule>
  </conditionalFormatting>
  <conditionalFormatting sqref="E216">
    <cfRule type="cellIs" dxfId="1463" priority="143" stopIfTrue="1" operator="equal">
      <formula>"Pass"</formula>
    </cfRule>
    <cfRule type="cellIs" dxfId="1462" priority="144" stopIfTrue="1" operator="equal">
      <formula>"Fail"</formula>
    </cfRule>
  </conditionalFormatting>
  <conditionalFormatting sqref="E216">
    <cfRule type="cellIs" dxfId="1461" priority="141" stopIfTrue="1" operator="equal">
      <formula>"Pass"</formula>
    </cfRule>
    <cfRule type="cellIs" dxfId="1460" priority="142" stopIfTrue="1" operator="equal">
      <formula>"Fail"</formula>
    </cfRule>
  </conditionalFormatting>
  <conditionalFormatting sqref="E217">
    <cfRule type="cellIs" dxfId="1459" priority="139" stopIfTrue="1" operator="equal">
      <formula>"Pass"</formula>
    </cfRule>
    <cfRule type="cellIs" dxfId="1458" priority="140" stopIfTrue="1" operator="equal">
      <formula>"Fail"</formula>
    </cfRule>
  </conditionalFormatting>
  <conditionalFormatting sqref="E217">
    <cfRule type="cellIs" dxfId="1457" priority="137" stopIfTrue="1" operator="equal">
      <formula>"Pass"</formula>
    </cfRule>
    <cfRule type="cellIs" dxfId="1456" priority="138" stopIfTrue="1" operator="equal">
      <formula>"Fail"</formula>
    </cfRule>
  </conditionalFormatting>
  <conditionalFormatting sqref="E218">
    <cfRule type="cellIs" dxfId="1455" priority="135" stopIfTrue="1" operator="equal">
      <formula>"Pass"</formula>
    </cfRule>
    <cfRule type="cellIs" dxfId="1454" priority="136" stopIfTrue="1" operator="equal">
      <formula>"Fail"</formula>
    </cfRule>
  </conditionalFormatting>
  <conditionalFormatting sqref="E218">
    <cfRule type="cellIs" dxfId="1453" priority="133" stopIfTrue="1" operator="equal">
      <formula>"Pass"</formula>
    </cfRule>
    <cfRule type="cellIs" dxfId="1452" priority="134" stopIfTrue="1" operator="equal">
      <formula>"Fail"</formula>
    </cfRule>
  </conditionalFormatting>
  <conditionalFormatting sqref="E219">
    <cfRule type="cellIs" dxfId="1451" priority="131" stopIfTrue="1" operator="equal">
      <formula>"Pass"</formula>
    </cfRule>
    <cfRule type="cellIs" dxfId="1450" priority="132" stopIfTrue="1" operator="equal">
      <formula>"Fail"</formula>
    </cfRule>
  </conditionalFormatting>
  <conditionalFormatting sqref="E219">
    <cfRule type="cellIs" dxfId="1449" priority="129" stopIfTrue="1" operator="equal">
      <formula>"Pass"</formula>
    </cfRule>
    <cfRule type="cellIs" dxfId="1448" priority="130" stopIfTrue="1" operator="equal">
      <formula>"Fail"</formula>
    </cfRule>
  </conditionalFormatting>
  <conditionalFormatting sqref="E220">
    <cfRule type="cellIs" dxfId="1447" priority="127" stopIfTrue="1" operator="equal">
      <formula>"Pass"</formula>
    </cfRule>
    <cfRule type="cellIs" dxfId="1446" priority="128" stopIfTrue="1" operator="equal">
      <formula>"Fail"</formula>
    </cfRule>
  </conditionalFormatting>
  <conditionalFormatting sqref="E220">
    <cfRule type="cellIs" dxfId="1445" priority="125" stopIfTrue="1" operator="equal">
      <formula>"Pass"</formula>
    </cfRule>
    <cfRule type="cellIs" dxfId="1444" priority="126" stopIfTrue="1" operator="equal">
      <formula>"Fail"</formula>
    </cfRule>
  </conditionalFormatting>
  <conditionalFormatting sqref="E221">
    <cfRule type="cellIs" dxfId="1443" priority="123" stopIfTrue="1" operator="equal">
      <formula>"Pass"</formula>
    </cfRule>
    <cfRule type="cellIs" dxfId="1442" priority="124" stopIfTrue="1" operator="equal">
      <formula>"Fail"</formula>
    </cfRule>
  </conditionalFormatting>
  <conditionalFormatting sqref="E221">
    <cfRule type="cellIs" dxfId="1441" priority="121" stopIfTrue="1" operator="equal">
      <formula>"Pass"</formula>
    </cfRule>
    <cfRule type="cellIs" dxfId="1440" priority="122" stopIfTrue="1" operator="equal">
      <formula>"Fail"</formula>
    </cfRule>
  </conditionalFormatting>
  <conditionalFormatting sqref="E222">
    <cfRule type="cellIs" dxfId="1439" priority="119" stopIfTrue="1" operator="equal">
      <formula>"Pass"</formula>
    </cfRule>
    <cfRule type="cellIs" dxfId="1438" priority="120" stopIfTrue="1" operator="equal">
      <formula>"Fail"</formula>
    </cfRule>
  </conditionalFormatting>
  <conditionalFormatting sqref="E222">
    <cfRule type="cellIs" dxfId="1437" priority="117" stopIfTrue="1" operator="equal">
      <formula>"Pass"</formula>
    </cfRule>
    <cfRule type="cellIs" dxfId="1436" priority="118" stopIfTrue="1" operator="equal">
      <formula>"Fail"</formula>
    </cfRule>
  </conditionalFormatting>
  <conditionalFormatting sqref="E223">
    <cfRule type="cellIs" dxfId="1435" priority="115" stopIfTrue="1" operator="equal">
      <formula>"Pass"</formula>
    </cfRule>
    <cfRule type="cellIs" dxfId="1434" priority="116" stopIfTrue="1" operator="equal">
      <formula>"Fail"</formula>
    </cfRule>
  </conditionalFormatting>
  <conditionalFormatting sqref="E223">
    <cfRule type="cellIs" dxfId="1433" priority="113" stopIfTrue="1" operator="equal">
      <formula>"Pass"</formula>
    </cfRule>
    <cfRule type="cellIs" dxfId="1432" priority="114" stopIfTrue="1" operator="equal">
      <formula>"Fail"</formula>
    </cfRule>
  </conditionalFormatting>
  <conditionalFormatting sqref="E224">
    <cfRule type="cellIs" dxfId="1431" priority="111" stopIfTrue="1" operator="equal">
      <formula>"Pass"</formula>
    </cfRule>
    <cfRule type="cellIs" dxfId="1430" priority="112" stopIfTrue="1" operator="equal">
      <formula>"Fail"</formula>
    </cfRule>
  </conditionalFormatting>
  <conditionalFormatting sqref="E224">
    <cfRule type="cellIs" dxfId="1429" priority="109" stopIfTrue="1" operator="equal">
      <formula>"Pass"</formula>
    </cfRule>
    <cfRule type="cellIs" dxfId="1428" priority="110" stopIfTrue="1" operator="equal">
      <formula>"Fail"</formula>
    </cfRule>
  </conditionalFormatting>
  <conditionalFormatting sqref="E225">
    <cfRule type="cellIs" dxfId="1427" priority="107" stopIfTrue="1" operator="equal">
      <formula>"Pass"</formula>
    </cfRule>
    <cfRule type="cellIs" dxfId="1426" priority="108" stopIfTrue="1" operator="equal">
      <formula>"Fail"</formula>
    </cfRule>
  </conditionalFormatting>
  <conditionalFormatting sqref="E225">
    <cfRule type="cellIs" dxfId="1425" priority="105" stopIfTrue="1" operator="equal">
      <formula>"Pass"</formula>
    </cfRule>
    <cfRule type="cellIs" dxfId="1424" priority="106" stopIfTrue="1" operator="equal">
      <formula>"Fail"</formula>
    </cfRule>
  </conditionalFormatting>
  <conditionalFormatting sqref="E226">
    <cfRule type="cellIs" dxfId="1423" priority="103" stopIfTrue="1" operator="equal">
      <formula>"Pass"</formula>
    </cfRule>
    <cfRule type="cellIs" dxfId="1422" priority="104" stopIfTrue="1" operator="equal">
      <formula>"Fail"</formula>
    </cfRule>
  </conditionalFormatting>
  <conditionalFormatting sqref="E226">
    <cfRule type="cellIs" dxfId="1421" priority="101" stopIfTrue="1" operator="equal">
      <formula>"Pass"</formula>
    </cfRule>
    <cfRule type="cellIs" dxfId="1420" priority="102" stopIfTrue="1" operator="equal">
      <formula>"Fail"</formula>
    </cfRule>
  </conditionalFormatting>
  <conditionalFormatting sqref="E227">
    <cfRule type="cellIs" dxfId="1419" priority="99" stopIfTrue="1" operator="equal">
      <formula>"Pass"</formula>
    </cfRule>
    <cfRule type="cellIs" dxfId="1418" priority="100" stopIfTrue="1" operator="equal">
      <formula>"Fail"</formula>
    </cfRule>
  </conditionalFormatting>
  <conditionalFormatting sqref="E227">
    <cfRule type="cellIs" dxfId="1417" priority="97" stopIfTrue="1" operator="equal">
      <formula>"Pass"</formula>
    </cfRule>
    <cfRule type="cellIs" dxfId="1416" priority="98" stopIfTrue="1" operator="equal">
      <formula>"Fail"</formula>
    </cfRule>
  </conditionalFormatting>
  <conditionalFormatting sqref="E228">
    <cfRule type="cellIs" dxfId="1415" priority="95" stopIfTrue="1" operator="equal">
      <formula>"Pass"</formula>
    </cfRule>
    <cfRule type="cellIs" dxfId="1414" priority="96" stopIfTrue="1" operator="equal">
      <formula>"Fail"</formula>
    </cfRule>
  </conditionalFormatting>
  <conditionalFormatting sqref="E228">
    <cfRule type="cellIs" dxfId="1413" priority="93" stopIfTrue="1" operator="equal">
      <formula>"Pass"</formula>
    </cfRule>
    <cfRule type="cellIs" dxfId="1412" priority="94" stopIfTrue="1" operator="equal">
      <formula>"Fail"</formula>
    </cfRule>
  </conditionalFormatting>
  <conditionalFormatting sqref="E229">
    <cfRule type="cellIs" dxfId="1411" priority="91" stopIfTrue="1" operator="equal">
      <formula>"Pass"</formula>
    </cfRule>
    <cfRule type="cellIs" dxfId="1410" priority="92" stopIfTrue="1" operator="equal">
      <formula>"Fail"</formula>
    </cfRule>
  </conditionalFormatting>
  <conditionalFormatting sqref="E229">
    <cfRule type="cellIs" dxfId="1409" priority="89" stopIfTrue="1" operator="equal">
      <formula>"Pass"</formula>
    </cfRule>
    <cfRule type="cellIs" dxfId="1408" priority="90" stopIfTrue="1" operator="equal">
      <formula>"Fail"</formula>
    </cfRule>
  </conditionalFormatting>
  <conditionalFormatting sqref="E230">
    <cfRule type="cellIs" dxfId="1407" priority="87" stopIfTrue="1" operator="equal">
      <formula>"Pass"</formula>
    </cfRule>
    <cfRule type="cellIs" dxfId="1406" priority="88" stopIfTrue="1" operator="equal">
      <formula>"Fail"</formula>
    </cfRule>
  </conditionalFormatting>
  <conditionalFormatting sqref="E230">
    <cfRule type="cellIs" dxfId="1405" priority="85" stopIfTrue="1" operator="equal">
      <formula>"Pass"</formula>
    </cfRule>
    <cfRule type="cellIs" dxfId="1404" priority="86" stopIfTrue="1" operator="equal">
      <formula>"Fail"</formula>
    </cfRule>
  </conditionalFormatting>
  <conditionalFormatting sqref="E231">
    <cfRule type="cellIs" dxfId="1403" priority="83" stopIfTrue="1" operator="equal">
      <formula>"Pass"</formula>
    </cfRule>
    <cfRule type="cellIs" dxfId="1402" priority="84" stopIfTrue="1" operator="equal">
      <formula>"Fail"</formula>
    </cfRule>
  </conditionalFormatting>
  <conditionalFormatting sqref="E231">
    <cfRule type="cellIs" dxfId="1401" priority="81" stopIfTrue="1" operator="equal">
      <formula>"Pass"</formula>
    </cfRule>
    <cfRule type="cellIs" dxfId="1400" priority="82" stopIfTrue="1" operator="equal">
      <formula>"Fail"</formula>
    </cfRule>
  </conditionalFormatting>
  <conditionalFormatting sqref="E232">
    <cfRule type="cellIs" dxfId="1399" priority="79" stopIfTrue="1" operator="equal">
      <formula>"Pass"</formula>
    </cfRule>
    <cfRule type="cellIs" dxfId="1398" priority="80" stopIfTrue="1" operator="equal">
      <formula>"Fail"</formula>
    </cfRule>
  </conditionalFormatting>
  <conditionalFormatting sqref="E232">
    <cfRule type="cellIs" dxfId="1397" priority="77" stopIfTrue="1" operator="equal">
      <formula>"Pass"</formula>
    </cfRule>
    <cfRule type="cellIs" dxfId="1396" priority="78" stopIfTrue="1" operator="equal">
      <formula>"Fail"</formula>
    </cfRule>
  </conditionalFormatting>
  <conditionalFormatting sqref="E233">
    <cfRule type="cellIs" dxfId="1395" priority="75" stopIfTrue="1" operator="equal">
      <formula>"Pass"</formula>
    </cfRule>
    <cfRule type="cellIs" dxfId="1394" priority="76" stopIfTrue="1" operator="equal">
      <formula>"Fail"</formula>
    </cfRule>
  </conditionalFormatting>
  <conditionalFormatting sqref="E233">
    <cfRule type="cellIs" dxfId="1393" priority="73" stopIfTrue="1" operator="equal">
      <formula>"Pass"</formula>
    </cfRule>
    <cfRule type="cellIs" dxfId="1392" priority="74" stopIfTrue="1" operator="equal">
      <formula>"Fail"</formula>
    </cfRule>
  </conditionalFormatting>
  <conditionalFormatting sqref="E234">
    <cfRule type="cellIs" dxfId="1391" priority="71" stopIfTrue="1" operator="equal">
      <formula>"Pass"</formula>
    </cfRule>
    <cfRule type="cellIs" dxfId="1390" priority="72" stopIfTrue="1" operator="equal">
      <formula>"Fail"</formula>
    </cfRule>
  </conditionalFormatting>
  <conditionalFormatting sqref="E234">
    <cfRule type="cellIs" dxfId="1389" priority="69" stopIfTrue="1" operator="equal">
      <formula>"Pass"</formula>
    </cfRule>
    <cfRule type="cellIs" dxfId="1388" priority="70" stopIfTrue="1" operator="equal">
      <formula>"Fail"</formula>
    </cfRule>
  </conditionalFormatting>
  <conditionalFormatting sqref="E235">
    <cfRule type="cellIs" dxfId="1387" priority="67" stopIfTrue="1" operator="equal">
      <formula>"Pass"</formula>
    </cfRule>
    <cfRule type="cellIs" dxfId="1386" priority="68" stopIfTrue="1" operator="equal">
      <formula>"Fail"</formula>
    </cfRule>
  </conditionalFormatting>
  <conditionalFormatting sqref="E235">
    <cfRule type="cellIs" dxfId="1385" priority="65" stopIfTrue="1" operator="equal">
      <formula>"Pass"</formula>
    </cfRule>
    <cfRule type="cellIs" dxfId="1384" priority="66" stopIfTrue="1" operator="equal">
      <formula>"Fail"</formula>
    </cfRule>
  </conditionalFormatting>
  <conditionalFormatting sqref="E236">
    <cfRule type="cellIs" dxfId="1383" priority="63" stopIfTrue="1" operator="equal">
      <formula>"Pass"</formula>
    </cfRule>
    <cfRule type="cellIs" dxfId="1382" priority="64" stopIfTrue="1" operator="equal">
      <formula>"Fail"</formula>
    </cfRule>
  </conditionalFormatting>
  <conditionalFormatting sqref="E236">
    <cfRule type="cellIs" dxfId="1381" priority="61" stopIfTrue="1" operator="equal">
      <formula>"Pass"</formula>
    </cfRule>
    <cfRule type="cellIs" dxfId="1380" priority="62" stopIfTrue="1" operator="equal">
      <formula>"Fail"</formula>
    </cfRule>
  </conditionalFormatting>
  <conditionalFormatting sqref="E237">
    <cfRule type="cellIs" dxfId="1379" priority="59" stopIfTrue="1" operator="equal">
      <formula>"Pass"</formula>
    </cfRule>
    <cfRule type="cellIs" dxfId="1378" priority="60" stopIfTrue="1" operator="equal">
      <formula>"Fail"</formula>
    </cfRule>
  </conditionalFormatting>
  <conditionalFormatting sqref="E237">
    <cfRule type="cellIs" dxfId="1377" priority="57" stopIfTrue="1" operator="equal">
      <formula>"Pass"</formula>
    </cfRule>
    <cfRule type="cellIs" dxfId="1376" priority="58" stopIfTrue="1" operator="equal">
      <formula>"Fail"</formula>
    </cfRule>
  </conditionalFormatting>
  <conditionalFormatting sqref="E238">
    <cfRule type="cellIs" dxfId="1375" priority="55" stopIfTrue="1" operator="equal">
      <formula>"Pass"</formula>
    </cfRule>
    <cfRule type="cellIs" dxfId="1374" priority="56" stopIfTrue="1" operator="equal">
      <formula>"Fail"</formula>
    </cfRule>
  </conditionalFormatting>
  <conditionalFormatting sqref="E238">
    <cfRule type="cellIs" dxfId="1373" priority="53" stopIfTrue="1" operator="equal">
      <formula>"Pass"</formula>
    </cfRule>
    <cfRule type="cellIs" dxfId="1372" priority="54" stopIfTrue="1" operator="equal">
      <formula>"Fail"</formula>
    </cfRule>
  </conditionalFormatting>
  <conditionalFormatting sqref="E162">
    <cfRule type="cellIs" dxfId="1371" priority="51" stopIfTrue="1" operator="equal">
      <formula>"Pass"</formula>
    </cfRule>
    <cfRule type="cellIs" dxfId="1370" priority="52" stopIfTrue="1" operator="equal">
      <formula>"Fail"</formula>
    </cfRule>
  </conditionalFormatting>
  <conditionalFormatting sqref="E162">
    <cfRule type="cellIs" dxfId="1369" priority="49" stopIfTrue="1" operator="equal">
      <formula>"Pass"</formula>
    </cfRule>
    <cfRule type="cellIs" dxfId="1368" priority="50" stopIfTrue="1" operator="equal">
      <formula>"Fail"</formula>
    </cfRule>
  </conditionalFormatting>
  <conditionalFormatting sqref="E165">
    <cfRule type="cellIs" dxfId="1367" priority="47" stopIfTrue="1" operator="equal">
      <formula>"Pass"</formula>
    </cfRule>
    <cfRule type="cellIs" dxfId="1366" priority="48" stopIfTrue="1" operator="equal">
      <formula>"Fail"</formula>
    </cfRule>
  </conditionalFormatting>
  <conditionalFormatting sqref="E165">
    <cfRule type="cellIs" dxfId="1365" priority="45" stopIfTrue="1" operator="equal">
      <formula>"Pass"</formula>
    </cfRule>
    <cfRule type="cellIs" dxfId="1364" priority="46" stopIfTrue="1" operator="equal">
      <formula>"Fail"</formula>
    </cfRule>
  </conditionalFormatting>
  <conditionalFormatting sqref="E170">
    <cfRule type="cellIs" dxfId="1363" priority="43" stopIfTrue="1" operator="equal">
      <formula>"Pass"</formula>
    </cfRule>
    <cfRule type="cellIs" dxfId="1362" priority="44" stopIfTrue="1" operator="equal">
      <formula>"Fail"</formula>
    </cfRule>
  </conditionalFormatting>
  <conditionalFormatting sqref="E170">
    <cfRule type="cellIs" dxfId="1361" priority="41" stopIfTrue="1" operator="equal">
      <formula>"Pass"</formula>
    </cfRule>
    <cfRule type="cellIs" dxfId="1360" priority="42" stopIfTrue="1" operator="equal">
      <formula>"Fail"</formula>
    </cfRule>
  </conditionalFormatting>
  <conditionalFormatting sqref="E181">
    <cfRule type="cellIs" dxfId="1359" priority="39" stopIfTrue="1" operator="equal">
      <formula>"Pass"</formula>
    </cfRule>
    <cfRule type="cellIs" dxfId="1358" priority="40" stopIfTrue="1" operator="equal">
      <formula>"Fail"</formula>
    </cfRule>
  </conditionalFormatting>
  <conditionalFormatting sqref="E181">
    <cfRule type="cellIs" dxfId="1357" priority="37" stopIfTrue="1" operator="equal">
      <formula>"Pass"</formula>
    </cfRule>
    <cfRule type="cellIs" dxfId="1356" priority="38" stopIfTrue="1" operator="equal">
      <formula>"Fail"</formula>
    </cfRule>
  </conditionalFormatting>
  <conditionalFormatting sqref="E187">
    <cfRule type="cellIs" dxfId="1355" priority="35" stopIfTrue="1" operator="equal">
      <formula>"Pass"</formula>
    </cfRule>
    <cfRule type="cellIs" dxfId="1354" priority="36" stopIfTrue="1" operator="equal">
      <formula>"Fail"</formula>
    </cfRule>
  </conditionalFormatting>
  <conditionalFormatting sqref="E187">
    <cfRule type="cellIs" dxfId="1353" priority="33" stopIfTrue="1" operator="equal">
      <formula>"Pass"</formula>
    </cfRule>
    <cfRule type="cellIs" dxfId="1352" priority="34" stopIfTrue="1" operator="equal">
      <formula>"Fail"</formula>
    </cfRule>
  </conditionalFormatting>
  <conditionalFormatting sqref="E188">
    <cfRule type="cellIs" dxfId="1351" priority="31" stopIfTrue="1" operator="equal">
      <formula>"Pass"</formula>
    </cfRule>
    <cfRule type="cellIs" dxfId="1350" priority="32" stopIfTrue="1" operator="equal">
      <formula>"Fail"</formula>
    </cfRule>
  </conditionalFormatting>
  <conditionalFormatting sqref="E188">
    <cfRule type="cellIs" dxfId="1349" priority="29" stopIfTrue="1" operator="equal">
      <formula>"Pass"</formula>
    </cfRule>
    <cfRule type="cellIs" dxfId="1348" priority="30" stopIfTrue="1" operator="equal">
      <formula>"Fail"</formula>
    </cfRule>
  </conditionalFormatting>
  <conditionalFormatting sqref="E189">
    <cfRule type="cellIs" dxfId="1347" priority="27" stopIfTrue="1" operator="equal">
      <formula>"Pass"</formula>
    </cfRule>
    <cfRule type="cellIs" dxfId="1346" priority="28" stopIfTrue="1" operator="equal">
      <formula>"Fail"</formula>
    </cfRule>
  </conditionalFormatting>
  <conditionalFormatting sqref="E189">
    <cfRule type="cellIs" dxfId="1345" priority="25" stopIfTrue="1" operator="equal">
      <formula>"Pass"</formula>
    </cfRule>
    <cfRule type="cellIs" dxfId="1344" priority="26" stopIfTrue="1" operator="equal">
      <formula>"Fail"</formula>
    </cfRule>
  </conditionalFormatting>
  <conditionalFormatting sqref="E190">
    <cfRule type="cellIs" dxfId="1343" priority="23" stopIfTrue="1" operator="equal">
      <formula>"Pass"</formula>
    </cfRule>
    <cfRule type="cellIs" dxfId="1342" priority="24" stopIfTrue="1" operator="equal">
      <formula>"Fail"</formula>
    </cfRule>
  </conditionalFormatting>
  <conditionalFormatting sqref="E190">
    <cfRule type="cellIs" dxfId="1341" priority="21" stopIfTrue="1" operator="equal">
      <formula>"Pass"</formula>
    </cfRule>
    <cfRule type="cellIs" dxfId="1340" priority="22" stopIfTrue="1" operator="equal">
      <formula>"Fail"</formula>
    </cfRule>
  </conditionalFormatting>
  <conditionalFormatting sqref="E191">
    <cfRule type="cellIs" dxfId="1339" priority="19" stopIfTrue="1" operator="equal">
      <formula>"Pass"</formula>
    </cfRule>
    <cfRule type="cellIs" dxfId="1338" priority="20" stopIfTrue="1" operator="equal">
      <formula>"Fail"</formula>
    </cfRule>
  </conditionalFormatting>
  <conditionalFormatting sqref="E191">
    <cfRule type="cellIs" dxfId="1337" priority="17" stopIfTrue="1" operator="equal">
      <formula>"Pass"</formula>
    </cfRule>
    <cfRule type="cellIs" dxfId="1336" priority="18" stopIfTrue="1" operator="equal">
      <formula>"Fail"</formula>
    </cfRule>
  </conditionalFormatting>
  <conditionalFormatting sqref="E192">
    <cfRule type="cellIs" dxfId="1335" priority="15" stopIfTrue="1" operator="equal">
      <formula>"Pass"</formula>
    </cfRule>
    <cfRule type="cellIs" dxfId="1334" priority="16" stopIfTrue="1" operator="equal">
      <formula>"Fail"</formula>
    </cfRule>
  </conditionalFormatting>
  <conditionalFormatting sqref="E192">
    <cfRule type="cellIs" dxfId="1333" priority="13" stopIfTrue="1" operator="equal">
      <formula>"Pass"</formula>
    </cfRule>
    <cfRule type="cellIs" dxfId="1332" priority="14" stopIfTrue="1" operator="equal">
      <formula>"Fail"</formula>
    </cfRule>
  </conditionalFormatting>
  <conditionalFormatting sqref="E193">
    <cfRule type="cellIs" dxfId="1331" priority="11" stopIfTrue="1" operator="equal">
      <formula>"Pass"</formula>
    </cfRule>
    <cfRule type="cellIs" dxfId="1330" priority="12" stopIfTrue="1" operator="equal">
      <formula>"Fail"</formula>
    </cfRule>
  </conditionalFormatting>
  <conditionalFormatting sqref="E193">
    <cfRule type="cellIs" dxfId="1329" priority="9" stopIfTrue="1" operator="equal">
      <formula>"Pass"</formula>
    </cfRule>
    <cfRule type="cellIs" dxfId="1328" priority="10" stopIfTrue="1" operator="equal">
      <formula>"Fail"</formula>
    </cfRule>
  </conditionalFormatting>
  <conditionalFormatting sqref="E194:E195">
    <cfRule type="cellIs" dxfId="1327" priority="7" stopIfTrue="1" operator="equal">
      <formula>"Pass"</formula>
    </cfRule>
    <cfRule type="cellIs" dxfId="1326" priority="8" stopIfTrue="1" operator="equal">
      <formula>"Fail"</formula>
    </cfRule>
  </conditionalFormatting>
  <conditionalFormatting sqref="E194:E195">
    <cfRule type="cellIs" dxfId="1325" priority="5" stopIfTrue="1" operator="equal">
      <formula>"Pass"</formula>
    </cfRule>
    <cfRule type="cellIs" dxfId="1324" priority="6" stopIfTrue="1" operator="equal">
      <formula>"Fail"</formula>
    </cfRule>
  </conditionalFormatting>
  <conditionalFormatting sqref="E194:E195">
    <cfRule type="cellIs" dxfId="1323" priority="3" stopIfTrue="1" operator="equal">
      <formula>"Pass"</formula>
    </cfRule>
    <cfRule type="cellIs" dxfId="1322" priority="4" stopIfTrue="1" operator="equal">
      <formula>"Fail"</formula>
    </cfRule>
  </conditionalFormatting>
  <conditionalFormatting sqref="E194:E195">
    <cfRule type="cellIs" dxfId="1321" priority="1" stopIfTrue="1" operator="equal">
      <formula>"Pass"</formula>
    </cfRule>
    <cfRule type="cellIs" dxfId="132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F663"/>
  <sheetViews>
    <sheetView zoomScale="70" zoomScaleNormal="70" workbookViewId="0">
      <pane ySplit="11" topLeftCell="A273" activePane="bottomLeft" state="frozen"/>
      <selection pane="bottomLeft" activeCell="G9" sqref="G9"/>
    </sheetView>
  </sheetViews>
  <sheetFormatPr defaultColWidth="9" defaultRowHeight="15.75"/>
  <cols>
    <col min="1" max="1" width="13.375" style="295" customWidth="1"/>
    <col min="2" max="2" width="15.125" style="123" customWidth="1"/>
    <col min="3" max="15" width="9" style="123"/>
    <col min="16" max="16" width="10" style="123" customWidth="1"/>
    <col min="17" max="19" width="9" style="123"/>
    <col min="20" max="20" width="11.375" style="123" customWidth="1"/>
    <col min="21" max="21" width="11" style="209" customWidth="1"/>
    <col min="22" max="22" width="9" style="123"/>
    <col min="23" max="23" width="10.25" style="296" customWidth="1"/>
    <col min="24" max="24" width="18.875" style="122" customWidth="1"/>
    <col min="25" max="25" width="28.25" style="231" customWidth="1"/>
    <col min="26" max="29" width="9" style="266"/>
    <col min="30" max="31" width="9" style="267"/>
    <col min="32" max="16384" width="9" style="123"/>
  </cols>
  <sheetData>
    <row r="1" spans="1:31" s="182" customFormat="1">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5" thickBot="1">
      <c r="A8" s="208"/>
      <c r="B8" s="408"/>
      <c r="C8" s="408"/>
      <c r="D8" s="428" t="s">
        <v>145</v>
      </c>
      <c r="E8" s="429"/>
      <c r="F8" s="429"/>
      <c r="G8" s="429"/>
      <c r="H8" s="429"/>
      <c r="I8" s="429"/>
      <c r="J8" s="429"/>
      <c r="K8" s="429"/>
      <c r="L8" s="429"/>
      <c r="M8" s="429"/>
      <c r="N8" s="429"/>
      <c r="O8" s="429"/>
      <c r="P8" s="429"/>
      <c r="W8" s="210"/>
      <c r="X8" s="211"/>
      <c r="Y8" s="212"/>
      <c r="Z8" s="213"/>
      <c r="AA8" s="213"/>
      <c r="AB8" s="213"/>
      <c r="AC8" s="213"/>
      <c r="AD8" s="214"/>
      <c r="AE8" s="214"/>
    </row>
    <row r="9" spans="1:31">
      <c r="A9" s="401"/>
      <c r="B9" s="399"/>
      <c r="C9" s="399" t="s">
        <v>258</v>
      </c>
      <c r="D9" s="410">
        <v>0</v>
      </c>
      <c r="E9" s="410">
        <v>0</v>
      </c>
      <c r="F9" s="410">
        <v>0</v>
      </c>
      <c r="G9" s="410">
        <v>0</v>
      </c>
      <c r="H9" s="410">
        <v>0</v>
      </c>
      <c r="I9" s="410">
        <v>-90</v>
      </c>
      <c r="J9" s="410">
        <v>-30.06</v>
      </c>
      <c r="K9" s="410">
        <v>30.06</v>
      </c>
      <c r="L9" s="410">
        <v>90</v>
      </c>
      <c r="M9" s="410">
        <v>-30.06</v>
      </c>
      <c r="N9" s="410">
        <v>30.06</v>
      </c>
      <c r="O9" s="410">
        <v>-30.06</v>
      </c>
      <c r="P9" s="410">
        <v>30.06</v>
      </c>
      <c r="W9" s="402"/>
      <c r="X9" s="403"/>
      <c r="Y9" s="404"/>
      <c r="Z9" s="405"/>
      <c r="AA9" s="405"/>
      <c r="AB9" s="405"/>
      <c r="AC9" s="405"/>
      <c r="AD9" s="406"/>
      <c r="AE9" s="407"/>
    </row>
    <row r="10" spans="1:31" ht="16.5" thickBot="1">
      <c r="A10" s="401"/>
      <c r="B10" s="399"/>
      <c r="C10" s="399" t="s">
        <v>259</v>
      </c>
      <c r="D10" s="410">
        <v>90</v>
      </c>
      <c r="E10" s="410">
        <v>30.06</v>
      </c>
      <c r="F10" s="410">
        <v>0</v>
      </c>
      <c r="G10" s="410">
        <v>-30.06</v>
      </c>
      <c r="H10" s="410">
        <v>-90</v>
      </c>
      <c r="I10" s="410">
        <v>0</v>
      </c>
      <c r="J10" s="410">
        <v>0</v>
      </c>
      <c r="K10" s="410">
        <v>0</v>
      </c>
      <c r="L10" s="410">
        <v>0</v>
      </c>
      <c r="M10" s="410">
        <v>30.06</v>
      </c>
      <c r="N10" s="410">
        <v>-30.06</v>
      </c>
      <c r="O10" s="410">
        <v>-30.06</v>
      </c>
      <c r="P10" s="410">
        <v>30.06</v>
      </c>
      <c r="W10" s="402"/>
      <c r="X10" s="403"/>
      <c r="Y10" s="404"/>
      <c r="Z10" s="405"/>
      <c r="AA10" s="405"/>
      <c r="AB10" s="405"/>
      <c r="AC10" s="405"/>
      <c r="AD10" s="406"/>
      <c r="AE10" s="407"/>
    </row>
    <row r="11" spans="1:31" s="223" customFormat="1" ht="57.75" customHeight="1" thickBot="1">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2.25" thickBot="1">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2.25" thickBot="1">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2.25" thickBot="1">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2.25" thickBot="1">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2.25" thickBot="1">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2.25" thickBot="1">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2.25" thickBot="1">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2.25" thickBot="1">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2.25" thickBot="1">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2.25" thickBot="1">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2.25" thickBot="1">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2.25" thickBot="1">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2.25" thickBot="1">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2.25" thickBot="1">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2.25" thickBot="1">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5" thickBot="1">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2.25" thickBot="1">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5" thickBot="1">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5" thickBot="1">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2.25" thickBot="1">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5" thickBot="1">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5" thickBot="1">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2.25" thickBot="1">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5" thickBot="1">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2.25" thickBot="1">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5" thickBot="1">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5" thickBot="1">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2.25" thickBot="1">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5" thickBot="1">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5" thickBot="1">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2.25" thickBot="1">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5" thickBot="1">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5" thickBot="1">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2.25" thickBot="1">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5" thickBot="1">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5" thickBot="1">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2.25" thickBot="1">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5" thickBot="1">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5" thickBot="1">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2.25" thickBot="1">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5" thickBot="1">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5" thickBot="1">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2.25" thickBot="1">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5" thickBot="1">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5" thickBot="1">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2.25" thickBot="1">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5" thickBot="1">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5" thickBot="1">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2.25" thickBot="1">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5" thickBot="1">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5" thickBot="1">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2.25" thickBot="1">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5" thickBot="1">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5" thickBot="1">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2.25" thickBot="1">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5" thickBot="1">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5" thickBot="1">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2.25" thickBot="1">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5" thickBot="1">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5" thickBot="1">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2.25" thickBot="1">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5" thickBot="1">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5" thickBot="1">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2.25" thickBot="1">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5" thickBot="1">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5" thickBot="1">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2.25" thickBot="1">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5" thickBot="1">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5" thickBot="1">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2.25" thickBot="1">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2.25" thickBot="1">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2.25" thickBot="1">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2.25" thickBot="1">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2.25" thickBot="1">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2.25" thickBot="1">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2.25" thickBot="1">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2.25" thickBot="1">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2.25" thickBot="1">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2.25" thickBot="1">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2.25" thickBot="1">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2.25" thickBot="1">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2.25" thickBot="1">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2.25" thickBot="1">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2.25" thickBot="1">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2.25" thickBot="1">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2.25" thickBot="1">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2.25" thickBot="1">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2.25" thickBot="1">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2.25" thickBot="1">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2.25" thickBot="1">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2.25" thickBot="1">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2.25" thickBot="1">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45" customHeight="1">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2.25" thickBot="1">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2.25" thickBot="1">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2.25" thickBot="1">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2.25" thickBot="1">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2.25" thickBot="1">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2.25" thickBot="1">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2.25" thickBot="1">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2.25" thickBot="1">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2.25" thickBot="1">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2.25" thickBot="1">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2.25" thickBot="1">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2.25" thickBot="1">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2.25" thickBot="1">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2.25" thickBot="1">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2.25" thickBot="1">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2.25" thickBot="1">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2.25" thickBot="1">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2.25" thickBot="1">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2.25" thickBot="1">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2.25" thickBot="1">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2.25" thickBot="1">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2.25" thickBot="1">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2.25" thickBot="1">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2.25" thickBot="1">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2.25" thickBot="1">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2.25" thickBot="1">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2.25" thickBot="1">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2.25" thickBot="1">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2.25" thickBot="1">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2.25" thickBot="1">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2.25" thickBot="1">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2.25" thickBot="1">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2.25" thickBot="1">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2.25" thickBot="1">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2.25" thickBot="1">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2.25" thickBot="1">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2.25" thickBot="1">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2.25" thickBot="1">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2.25" thickBot="1">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2.25" thickBot="1">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2.25" thickBot="1">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2.25" thickBot="1">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2.25" thickBot="1">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2.25" thickBot="1">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2.25" thickBot="1">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2.25" thickBot="1">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2.25" thickBot="1">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2.25" thickBot="1">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2.25" thickBot="1">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2.25" thickBot="1">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2.25" thickBot="1">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2.25" thickBot="1">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2.25" thickBot="1">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2.25" thickBot="1">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2.25" thickBot="1">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2.25" thickBot="1">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2.25" thickBot="1">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2.25" thickBot="1">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2.25" thickBot="1">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2.25" thickBot="1">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2.25" thickBot="1">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2.25" thickBot="1">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2.25" thickBot="1">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2.25" thickBot="1">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2.25" thickBot="1">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2.25" thickBot="1">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2.25" thickBot="1">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2.25" thickBot="1">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2.25" thickBot="1">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2.25" thickBot="1">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2.25" thickBot="1">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2.25" thickBot="1">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75">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2.25" thickBot="1">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2.25" thickBot="1">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2.25" thickBot="1">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75">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2.25" thickBot="1">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2.25" thickBot="1">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2.25" thickBot="1">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2.25" thickBot="1">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2.25" thickBot="1">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2.25" thickBot="1">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2.25" thickBot="1">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2.25" thickBot="1">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2.25" thickBot="1">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2.25" thickBot="1">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2.25" thickBot="1">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2.25" thickBot="1">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2.25" thickBot="1">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c r="A444" s="291">
        <v>43795</v>
      </c>
      <c r="B444" s="268" t="s">
        <v>76</v>
      </c>
      <c r="C444" s="269" t="s">
        <v>77</v>
      </c>
      <c r="D444" s="409">
        <v>3078.6</v>
      </c>
      <c r="E444" s="409">
        <v>2995.13</v>
      </c>
      <c r="F444" s="409">
        <v>2960.3</v>
      </c>
      <c r="G444" s="409">
        <v>2951.61</v>
      </c>
      <c r="H444" s="409">
        <v>2977.75</v>
      </c>
      <c r="I444" s="409">
        <v>3037.63</v>
      </c>
      <c r="J444" s="409">
        <v>3131.07</v>
      </c>
      <c r="K444" s="409">
        <v>3061.49</v>
      </c>
      <c r="L444" s="409">
        <v>2998.93</v>
      </c>
      <c r="M444" s="409">
        <v>2960.53</v>
      </c>
      <c r="N444" s="409">
        <v>2964.88</v>
      </c>
      <c r="O444" s="409">
        <v>2996.67</v>
      </c>
      <c r="P444" s="409">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c r="A445" s="293"/>
      <c r="B445" s="276"/>
      <c r="C445" s="276" t="s">
        <v>78</v>
      </c>
      <c r="D445" s="409">
        <v>2107.25</v>
      </c>
      <c r="E445" s="409">
        <v>1994.95</v>
      </c>
      <c r="F445" s="409">
        <v>1954.1</v>
      </c>
      <c r="G445" s="409">
        <v>1948.1</v>
      </c>
      <c r="H445" s="409">
        <v>1984.01</v>
      </c>
      <c r="I445" s="409">
        <v>2048.84</v>
      </c>
      <c r="J445" s="409">
        <v>2201.21</v>
      </c>
      <c r="K445" s="409">
        <v>2087.38</v>
      </c>
      <c r="L445" s="409">
        <v>1995.34</v>
      </c>
      <c r="M445" s="409">
        <v>1957.66</v>
      </c>
      <c r="N445" s="409">
        <v>1959.13</v>
      </c>
      <c r="O445" s="409">
        <v>1997.32</v>
      </c>
      <c r="P445" s="409">
        <v>2091.56</v>
      </c>
      <c r="Q445" s="276"/>
      <c r="R445" s="276"/>
      <c r="S445" s="276"/>
      <c r="T445" s="276"/>
      <c r="U445" s="276"/>
      <c r="V445" s="277"/>
      <c r="W445" s="238"/>
      <c r="Y445" s="271"/>
    </row>
    <row r="446" spans="1:31" ht="32.25" thickBot="1">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c r="A447" s="291">
        <v>43798</v>
      </c>
      <c r="B447" s="268" t="s">
        <v>76</v>
      </c>
      <c r="C447" s="269" t="s">
        <v>77</v>
      </c>
      <c r="D447">
        <v>3069.54</v>
      </c>
      <c r="E447">
        <v>2948.35</v>
      </c>
      <c r="F447">
        <v>2946.92</v>
      </c>
      <c r="G447">
        <v>2973.01</v>
      </c>
      <c r="H447">
        <v>3127.36</v>
      </c>
      <c r="I447">
        <v>3075.68</v>
      </c>
      <c r="J447">
        <v>2962.35</v>
      </c>
      <c r="K447">
        <v>2956.68</v>
      </c>
      <c r="L447">
        <v>3067.56</v>
      </c>
      <c r="M447">
        <v>2965.28</v>
      </c>
      <c r="N447">
        <v>2979.99</v>
      </c>
      <c r="O447">
        <v>2992.3</v>
      </c>
      <c r="P447">
        <v>2966.29</v>
      </c>
      <c r="Q447" s="269">
        <f>IF((P448=""),"",MAX(D449:P449))</f>
        <v>2161.7600000000002</v>
      </c>
      <c r="R447" s="269">
        <f>IF(P448="","",MIN(D449:P449))</f>
        <v>2015.04</v>
      </c>
      <c r="S447" s="269">
        <f>IF((P449=""),"",AVERAGE(D449:P449))</f>
        <v>2100.3123076923075</v>
      </c>
      <c r="T447" s="269">
        <f>IF((P448=""),"",STDEV(D449:P449))</f>
        <v>45.114949139918522</v>
      </c>
      <c r="U447" s="269">
        <f>IF((P448=""),"",((Q447-R447)/(Q447+R447))*100)</f>
        <v>3.512737023558711</v>
      </c>
      <c r="V447" s="228" t="str">
        <f>IF(P448="","",IF(U447&lt;7.2,IF(S447&gt;AB447,IF(S447&lt;AC447,"Pass","Fail"),"Fail"),"Fail"))</f>
        <v>Pass</v>
      </c>
      <c r="W447" s="284" t="s">
        <v>261</v>
      </c>
      <c r="X447" s="381" t="s">
        <v>262</v>
      </c>
      <c r="Y447" s="271"/>
      <c r="Z447" s="272">
        <v>1600</v>
      </c>
      <c r="AA447" s="272">
        <v>2600</v>
      </c>
      <c r="AB447" s="273">
        <v>1900</v>
      </c>
      <c r="AC447" s="273">
        <v>2250</v>
      </c>
      <c r="AD447" s="274">
        <v>10</v>
      </c>
      <c r="AE447" s="274">
        <v>3.6</v>
      </c>
    </row>
    <row r="448" spans="1:31">
      <c r="A448" s="293"/>
      <c r="B448" s="276"/>
      <c r="C448" s="276" t="s">
        <v>78</v>
      </c>
      <c r="D448">
        <v>2062.02</v>
      </c>
      <c r="E448">
        <v>1901.46</v>
      </c>
      <c r="F448">
        <v>1899.54</v>
      </c>
      <c r="G448">
        <v>1905.74</v>
      </c>
      <c r="H448">
        <v>2096.06</v>
      </c>
      <c r="I448">
        <v>2054.4499999999998</v>
      </c>
      <c r="J448">
        <v>1898.08</v>
      </c>
      <c r="K448">
        <v>1896.42</v>
      </c>
      <c r="L448">
        <v>2041.64</v>
      </c>
      <c r="M448">
        <v>1905.96</v>
      </c>
      <c r="N448">
        <v>1903.43</v>
      </c>
      <c r="O448">
        <v>1911.42</v>
      </c>
      <c r="P448">
        <v>1903.06</v>
      </c>
      <c r="Q448" s="276"/>
      <c r="R448" s="276"/>
      <c r="S448" s="276"/>
      <c r="T448" s="276"/>
      <c r="U448" s="276"/>
      <c r="V448" s="277"/>
      <c r="W448" s="238"/>
      <c r="Y448" s="271"/>
    </row>
    <row r="449" spans="1:31" ht="32.25" thickBot="1">
      <c r="A449" s="294"/>
      <c r="B449" s="281"/>
      <c r="C449" s="243" t="s">
        <v>221</v>
      </c>
      <c r="D449" s="282">
        <f t="shared" ref="D449:P449" si="145">IF(((D447="")*AND(D448="")),"",(D447-D448)*2)</f>
        <v>2015.04</v>
      </c>
      <c r="E449" s="282">
        <f t="shared" si="145"/>
        <v>2093.7799999999997</v>
      </c>
      <c r="F449" s="282">
        <f t="shared" si="145"/>
        <v>2094.7600000000002</v>
      </c>
      <c r="G449" s="282">
        <f t="shared" si="145"/>
        <v>2134.5400000000004</v>
      </c>
      <c r="H449" s="282">
        <f t="shared" si="145"/>
        <v>2062.6000000000004</v>
      </c>
      <c r="I449" s="282">
        <f t="shared" si="145"/>
        <v>2042.46</v>
      </c>
      <c r="J449" s="282">
        <f t="shared" si="145"/>
        <v>2128.54</v>
      </c>
      <c r="K449" s="282">
        <f t="shared" si="145"/>
        <v>2120.5199999999995</v>
      </c>
      <c r="L449" s="282">
        <f t="shared" si="145"/>
        <v>2051.8399999999997</v>
      </c>
      <c r="M449" s="282">
        <f t="shared" si="145"/>
        <v>2118.6400000000003</v>
      </c>
      <c r="N449" s="282">
        <f t="shared" si="145"/>
        <v>2153.1199999999994</v>
      </c>
      <c r="O449" s="282">
        <f t="shared" si="145"/>
        <v>2161.7600000000002</v>
      </c>
      <c r="P449" s="282">
        <f t="shared" si="145"/>
        <v>2126.46</v>
      </c>
      <c r="Q449" s="264"/>
      <c r="R449" s="281"/>
      <c r="S449" s="281"/>
      <c r="T449" s="281"/>
      <c r="U449" s="281"/>
      <c r="V449" s="283"/>
      <c r="W449" s="247"/>
      <c r="Y449" s="271"/>
    </row>
    <row r="450" spans="1:31">
      <c r="A450" s="291">
        <v>43801</v>
      </c>
      <c r="B450" s="268" t="s">
        <v>76</v>
      </c>
      <c r="C450" s="269" t="s">
        <v>77</v>
      </c>
      <c r="D450">
        <v>2935.51</v>
      </c>
      <c r="E450">
        <v>2786.19</v>
      </c>
      <c r="F450">
        <v>2762.12</v>
      </c>
      <c r="G450">
        <v>2768.76</v>
      </c>
      <c r="H450">
        <v>2889.41</v>
      </c>
      <c r="I450">
        <v>2884.09</v>
      </c>
      <c r="J450">
        <v>2774.76</v>
      </c>
      <c r="K450">
        <v>2772.1</v>
      </c>
      <c r="L450">
        <v>2866.89</v>
      </c>
      <c r="M450">
        <v>2798.75</v>
      </c>
      <c r="N450">
        <v>2775.11</v>
      </c>
      <c r="O450">
        <v>2781.29</v>
      </c>
      <c r="P450">
        <v>2798.3</v>
      </c>
      <c r="Q450" s="269">
        <f>IF((P451=""),"",MAX(D452:P452))</f>
        <v>2126.7200000000003</v>
      </c>
      <c r="R450" s="269">
        <f>IF(P451="","",MIN(D452:P452))</f>
        <v>2017.06</v>
      </c>
      <c r="S450" s="269">
        <f>IF((P452=""),"",AVERAGE(D452:P452))</f>
        <v>2092.98</v>
      </c>
      <c r="T450" s="269">
        <f>IF((P451=""),"",STDEV(D452:P452))</f>
        <v>33.65483125298163</v>
      </c>
      <c r="U450" s="269">
        <f>IF((P451=""),"",((Q450-R450)/(Q450+R450))*100)</f>
        <v>2.6463760141706434</v>
      </c>
      <c r="V450" s="228" t="str">
        <f>IF(P451="","",IF(U450&lt;7.2,IF(S450&gt;AB450,IF(S450&lt;AC450,"Pass","Fail"),"Fail"),"Fail"))</f>
        <v>Pass</v>
      </c>
      <c r="W450" s="284">
        <v>1335</v>
      </c>
      <c r="X450" s="380" t="s">
        <v>263</v>
      </c>
      <c r="Y450" s="271"/>
      <c r="Z450" s="272">
        <v>1600</v>
      </c>
      <c r="AA450" s="272">
        <v>2600</v>
      </c>
      <c r="AB450" s="273">
        <v>1900</v>
      </c>
      <c r="AC450" s="273">
        <v>2250</v>
      </c>
      <c r="AD450" s="274">
        <v>10</v>
      </c>
      <c r="AE450" s="274">
        <v>3.6</v>
      </c>
    </row>
    <row r="451" spans="1:31">
      <c r="A451" s="293"/>
      <c r="B451" s="276"/>
      <c r="C451" s="276" t="s">
        <v>78</v>
      </c>
      <c r="D451">
        <v>1898.83</v>
      </c>
      <c r="E451">
        <v>1729.91</v>
      </c>
      <c r="F451">
        <v>1709.89</v>
      </c>
      <c r="G451">
        <v>1709.96</v>
      </c>
      <c r="H451">
        <v>1865.86</v>
      </c>
      <c r="I451">
        <v>1856.16</v>
      </c>
      <c r="J451">
        <v>1718.93</v>
      </c>
      <c r="K451">
        <v>1718.04</v>
      </c>
      <c r="L451">
        <v>1858.36</v>
      </c>
      <c r="M451">
        <v>1747.03</v>
      </c>
      <c r="N451">
        <v>1711.75</v>
      </c>
      <c r="O451">
        <v>1724.56</v>
      </c>
      <c r="P451">
        <v>1739.63</v>
      </c>
      <c r="Q451" s="276"/>
      <c r="R451" s="276"/>
      <c r="S451" s="276"/>
      <c r="T451" s="276"/>
      <c r="U451" s="276"/>
      <c r="V451" s="277"/>
      <c r="W451" s="238"/>
      <c r="Y451" s="271"/>
    </row>
    <row r="452" spans="1:31" ht="32.25" thickBot="1">
      <c r="A452" s="294"/>
      <c r="B452" s="281"/>
      <c r="C452" s="243" t="s">
        <v>221</v>
      </c>
      <c r="D452" s="282">
        <f t="shared" ref="D452:P452" si="146">IF(((D450="")*AND(D451="")),"",(D450-D451)*2)</f>
        <v>2073.3600000000006</v>
      </c>
      <c r="E452" s="282">
        <f t="shared" si="146"/>
        <v>2112.56</v>
      </c>
      <c r="F452" s="282">
        <f t="shared" si="146"/>
        <v>2104.4599999999996</v>
      </c>
      <c r="G452" s="282">
        <f t="shared" si="146"/>
        <v>2117.6000000000004</v>
      </c>
      <c r="H452" s="282">
        <f t="shared" si="146"/>
        <v>2047.1</v>
      </c>
      <c r="I452" s="282">
        <f t="shared" si="146"/>
        <v>2055.86</v>
      </c>
      <c r="J452" s="282">
        <f t="shared" si="146"/>
        <v>2111.6600000000003</v>
      </c>
      <c r="K452" s="282">
        <f t="shared" si="146"/>
        <v>2108.12</v>
      </c>
      <c r="L452" s="282">
        <f t="shared" si="146"/>
        <v>2017.06</v>
      </c>
      <c r="M452" s="282">
        <f t="shared" si="146"/>
        <v>2103.44</v>
      </c>
      <c r="N452" s="282">
        <f t="shared" si="146"/>
        <v>2126.7200000000003</v>
      </c>
      <c r="O452" s="282">
        <f t="shared" si="146"/>
        <v>2113.46</v>
      </c>
      <c r="P452" s="282">
        <f t="shared" si="146"/>
        <v>2117.34</v>
      </c>
      <c r="Q452" s="264"/>
      <c r="R452" s="281"/>
      <c r="S452" s="281"/>
      <c r="T452" s="281"/>
      <c r="U452" s="281"/>
      <c r="V452" s="283"/>
      <c r="W452" s="247"/>
      <c r="Y452" s="271"/>
    </row>
    <row r="453" spans="1:31">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c r="A454" s="293"/>
      <c r="B454" s="276"/>
      <c r="C454" s="276" t="s">
        <v>78</v>
      </c>
      <c r="Q454" s="276"/>
      <c r="R454" s="276"/>
      <c r="S454" s="276"/>
      <c r="T454" s="276"/>
      <c r="U454" s="276"/>
      <c r="V454" s="277"/>
      <c r="W454" s="238"/>
      <c r="Y454" s="271"/>
    </row>
    <row r="455" spans="1:31" ht="32.25" thickBot="1">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c r="A457" s="293"/>
      <c r="B457" s="276"/>
      <c r="C457" s="276" t="s">
        <v>78</v>
      </c>
      <c r="Q457" s="276"/>
      <c r="R457" s="276"/>
      <c r="S457" s="276"/>
      <c r="T457" s="276"/>
      <c r="U457" s="276"/>
      <c r="V457" s="277"/>
      <c r="W457" s="238"/>
      <c r="Y457" s="271"/>
    </row>
    <row r="458" spans="1:31" ht="32.25" thickBot="1">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c r="A460" s="293"/>
      <c r="B460" s="276"/>
      <c r="C460" s="276" t="s">
        <v>78</v>
      </c>
      <c r="Q460" s="276"/>
      <c r="R460" s="276"/>
      <c r="S460" s="276"/>
      <c r="T460" s="276"/>
      <c r="U460" s="276"/>
      <c r="V460" s="277"/>
      <c r="W460" s="238"/>
      <c r="Y460" s="271"/>
    </row>
    <row r="461" spans="1:31" ht="32.25" thickBot="1">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c r="A463" s="293"/>
      <c r="B463" s="276"/>
      <c r="C463" s="276" t="s">
        <v>78</v>
      </c>
      <c r="Q463" s="276"/>
      <c r="R463" s="276"/>
      <c r="S463" s="276"/>
      <c r="T463" s="276"/>
      <c r="U463" s="276"/>
      <c r="V463" s="277"/>
      <c r="W463" s="238"/>
      <c r="Y463" s="271"/>
    </row>
    <row r="464" spans="1:31" ht="32.25" thickBot="1">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c r="A466" s="293"/>
      <c r="B466" s="276"/>
      <c r="C466" s="276" t="s">
        <v>78</v>
      </c>
      <c r="Q466" s="276"/>
      <c r="R466" s="276"/>
      <c r="S466" s="276"/>
      <c r="T466" s="276"/>
      <c r="U466" s="276"/>
      <c r="V466" s="277"/>
      <c r="W466" s="238"/>
      <c r="Y466" s="271"/>
    </row>
    <row r="467" spans="1:31" ht="32.25" thickBot="1">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c r="A469" s="293"/>
      <c r="B469" s="276"/>
      <c r="C469" s="276" t="s">
        <v>78</v>
      </c>
      <c r="Q469" s="276"/>
      <c r="R469" s="276"/>
      <c r="S469" s="276"/>
      <c r="T469" s="276"/>
      <c r="U469" s="276"/>
      <c r="V469" s="277"/>
      <c r="W469" s="238"/>
      <c r="Y469" s="271"/>
    </row>
    <row r="470" spans="1:31" ht="32.25" thickBot="1">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c r="A472" s="293"/>
      <c r="B472" s="276"/>
      <c r="C472" s="276" t="s">
        <v>78</v>
      </c>
      <c r="Q472" s="276"/>
      <c r="R472" s="276"/>
      <c r="S472" s="276"/>
      <c r="T472" s="276"/>
      <c r="U472" s="276"/>
      <c r="V472" s="277"/>
      <c r="W472" s="238"/>
      <c r="Y472" s="271"/>
    </row>
    <row r="473" spans="1:31" ht="32.25" thickBot="1">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c r="A475" s="293"/>
      <c r="B475" s="276"/>
      <c r="C475" s="276" t="s">
        <v>78</v>
      </c>
      <c r="Q475" s="276"/>
      <c r="R475" s="276"/>
      <c r="S475" s="276"/>
      <c r="T475" s="276"/>
      <c r="U475" s="276"/>
      <c r="V475" s="277"/>
      <c r="W475" s="238"/>
      <c r="Y475" s="271"/>
    </row>
    <row r="476" spans="1:31" ht="32.25" thickBot="1">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c r="A478" s="293"/>
      <c r="B478" s="276"/>
      <c r="C478" s="276" t="s">
        <v>78</v>
      </c>
      <c r="Q478" s="276"/>
      <c r="R478" s="276"/>
      <c r="S478" s="276"/>
      <c r="T478" s="276"/>
      <c r="U478" s="276"/>
      <c r="V478" s="277"/>
      <c r="W478" s="238"/>
      <c r="Y478" s="271"/>
    </row>
    <row r="479" spans="1:31" ht="32.25" thickBot="1">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c r="A481" s="293"/>
      <c r="B481" s="276"/>
      <c r="C481" s="276" t="s">
        <v>78</v>
      </c>
      <c r="Q481" s="276"/>
      <c r="R481" s="276"/>
      <c r="S481" s="276"/>
      <c r="T481" s="276"/>
      <c r="U481" s="276"/>
      <c r="V481" s="277"/>
      <c r="W481" s="238"/>
      <c r="Y481" s="271"/>
    </row>
    <row r="482" spans="1:31" ht="32.25" thickBot="1">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c r="A484" s="293"/>
      <c r="B484" s="276"/>
      <c r="C484" s="276" t="s">
        <v>78</v>
      </c>
      <c r="Q484" s="276"/>
      <c r="R484" s="276"/>
      <c r="S484" s="276"/>
      <c r="T484" s="276"/>
      <c r="U484" s="276"/>
      <c r="V484" s="277"/>
      <c r="W484" s="238"/>
      <c r="Y484" s="271"/>
    </row>
    <row r="485" spans="1:31" ht="32.25" thickBot="1">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c r="A487" s="293"/>
      <c r="B487" s="276"/>
      <c r="C487" s="276" t="s">
        <v>78</v>
      </c>
      <c r="Q487" s="276"/>
      <c r="R487" s="276"/>
      <c r="S487" s="276"/>
      <c r="T487" s="276"/>
      <c r="U487" s="276"/>
      <c r="V487" s="277"/>
      <c r="W487" s="238"/>
      <c r="Y487" s="271"/>
    </row>
    <row r="488" spans="1:31" ht="32.25" thickBot="1">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c r="A490" s="293"/>
      <c r="B490" s="276"/>
      <c r="C490" s="276" t="s">
        <v>78</v>
      </c>
      <c r="Q490" s="276"/>
      <c r="R490" s="276"/>
      <c r="S490" s="276"/>
      <c r="T490" s="276"/>
      <c r="U490" s="276"/>
      <c r="V490" s="277"/>
      <c r="W490" s="238"/>
      <c r="Y490" s="271"/>
    </row>
    <row r="491" spans="1:31" ht="32.25" thickBot="1">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c r="A493" s="293"/>
      <c r="B493" s="276"/>
      <c r="C493" s="276" t="s">
        <v>78</v>
      </c>
      <c r="Q493" s="276"/>
      <c r="R493" s="276"/>
      <c r="S493" s="276"/>
      <c r="T493" s="276"/>
      <c r="U493" s="276"/>
      <c r="V493" s="277"/>
      <c r="W493" s="238"/>
      <c r="Y493" s="271"/>
    </row>
    <row r="494" spans="1:31" ht="32.25" thickBot="1">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c r="A496" s="293"/>
      <c r="B496" s="276"/>
      <c r="C496" s="276" t="s">
        <v>78</v>
      </c>
      <c r="Q496" s="276"/>
      <c r="R496" s="276"/>
      <c r="S496" s="276"/>
      <c r="T496" s="276"/>
      <c r="U496" s="276"/>
      <c r="V496" s="277"/>
      <c r="W496" s="238"/>
      <c r="Y496" s="271"/>
    </row>
    <row r="497" spans="1:31" ht="32.25" thickBot="1">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c r="A499" s="293"/>
      <c r="B499" s="276"/>
      <c r="C499" s="276" t="s">
        <v>78</v>
      </c>
      <c r="Q499" s="276"/>
      <c r="R499" s="276"/>
      <c r="S499" s="276"/>
      <c r="T499" s="276"/>
      <c r="U499" s="276"/>
      <c r="V499" s="277"/>
      <c r="W499" s="238"/>
      <c r="Y499" s="271"/>
    </row>
    <row r="500" spans="1:31" ht="32.25" thickBot="1">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c r="A502" s="293"/>
      <c r="B502" s="276"/>
      <c r="C502" s="276" t="s">
        <v>78</v>
      </c>
      <c r="Q502" s="276"/>
      <c r="R502" s="276"/>
      <c r="S502" s="276"/>
      <c r="T502" s="276"/>
      <c r="U502" s="276"/>
      <c r="V502" s="277"/>
      <c r="W502" s="238"/>
      <c r="Y502" s="271"/>
    </row>
    <row r="503" spans="1:31" ht="32.25" thickBot="1">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c r="A505" s="293"/>
      <c r="B505" s="276"/>
      <c r="C505" s="276" t="s">
        <v>78</v>
      </c>
      <c r="Q505" s="276"/>
      <c r="R505" s="276"/>
      <c r="S505" s="276"/>
      <c r="T505" s="276"/>
      <c r="U505" s="276"/>
      <c r="V505" s="277"/>
      <c r="W505" s="238"/>
      <c r="Y505" s="271"/>
    </row>
    <row r="506" spans="1:31" ht="32.25" thickBot="1">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c r="A508" s="293"/>
      <c r="B508" s="276"/>
      <c r="C508" s="276" t="s">
        <v>78</v>
      </c>
      <c r="Q508" s="276"/>
      <c r="R508" s="276"/>
      <c r="S508" s="276"/>
      <c r="T508" s="276"/>
      <c r="U508" s="276"/>
      <c r="V508" s="277"/>
      <c r="W508" s="238"/>
      <c r="Y508" s="271"/>
    </row>
    <row r="509" spans="1:31" ht="32.25" thickBot="1">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c r="A511" s="293"/>
      <c r="B511" s="276"/>
      <c r="C511" s="276" t="s">
        <v>78</v>
      </c>
      <c r="Q511" s="276"/>
      <c r="R511" s="276"/>
      <c r="S511" s="276"/>
      <c r="T511" s="276"/>
      <c r="U511" s="276"/>
      <c r="V511" s="277"/>
      <c r="W511" s="238"/>
      <c r="Y511" s="271"/>
    </row>
    <row r="512" spans="1:31" ht="32.25" thickBot="1">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c r="A514" s="293"/>
      <c r="B514" s="276"/>
      <c r="C514" s="276" t="s">
        <v>78</v>
      </c>
      <c r="Q514" s="276"/>
      <c r="R514" s="276"/>
      <c r="S514" s="276"/>
      <c r="T514" s="276"/>
      <c r="U514" s="276"/>
      <c r="V514" s="277"/>
      <c r="W514" s="238"/>
      <c r="Y514" s="271"/>
    </row>
    <row r="515" spans="1:31" ht="32.25" thickBot="1">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c r="A517" s="293"/>
      <c r="B517" s="276"/>
      <c r="C517" s="276" t="s">
        <v>78</v>
      </c>
      <c r="Q517" s="276"/>
      <c r="R517" s="276"/>
      <c r="S517" s="276"/>
      <c r="T517" s="276"/>
      <c r="U517" s="276"/>
      <c r="V517" s="277"/>
      <c r="W517" s="238"/>
      <c r="Y517" s="271"/>
    </row>
    <row r="518" spans="1:31" ht="32.25" thickBot="1">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c r="A520" s="293"/>
      <c r="B520" s="276"/>
      <c r="C520" s="276" t="s">
        <v>78</v>
      </c>
      <c r="Q520" s="276"/>
      <c r="R520" s="276"/>
      <c r="S520" s="276"/>
      <c r="T520" s="276"/>
      <c r="U520" s="276"/>
      <c r="V520" s="277"/>
      <c r="W520" s="238"/>
      <c r="Y520" s="271"/>
    </row>
    <row r="521" spans="1:31" ht="32.25" thickBot="1">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c r="A523" s="293"/>
      <c r="B523" s="276"/>
      <c r="C523" s="276" t="s">
        <v>78</v>
      </c>
      <c r="Q523" s="276"/>
      <c r="R523" s="276"/>
      <c r="S523" s="276"/>
      <c r="T523" s="276"/>
      <c r="U523" s="276"/>
      <c r="V523" s="277"/>
      <c r="W523" s="238"/>
      <c r="Y523" s="271"/>
    </row>
    <row r="524" spans="1:31" ht="32.25" thickBot="1">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c r="A526" s="293"/>
      <c r="B526" s="276"/>
      <c r="C526" s="276" t="s">
        <v>78</v>
      </c>
      <c r="Q526" s="276"/>
      <c r="R526" s="276"/>
      <c r="S526" s="276"/>
      <c r="T526" s="276"/>
      <c r="U526" s="276"/>
      <c r="V526" s="277"/>
      <c r="W526" s="238"/>
      <c r="Y526" s="271"/>
    </row>
    <row r="527" spans="1:31" ht="32.25" thickBot="1">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c r="A529" s="293"/>
      <c r="B529" s="276"/>
      <c r="C529" s="276" t="s">
        <v>78</v>
      </c>
      <c r="Q529" s="276"/>
      <c r="R529" s="276"/>
      <c r="S529" s="276"/>
      <c r="T529" s="276"/>
      <c r="U529" s="276"/>
      <c r="V529" s="277"/>
      <c r="W529" s="238"/>
      <c r="Y529" s="271"/>
    </row>
    <row r="530" spans="1:31" ht="32.25" thickBot="1">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c r="A532" s="293"/>
      <c r="B532" s="276"/>
      <c r="C532" s="276" t="s">
        <v>78</v>
      </c>
      <c r="Q532" s="276"/>
      <c r="R532" s="276"/>
      <c r="S532" s="276"/>
      <c r="T532" s="276"/>
      <c r="U532" s="276"/>
      <c r="V532" s="277"/>
      <c r="W532" s="238"/>
      <c r="Y532" s="271"/>
    </row>
    <row r="533" spans="1:31" ht="32.25" thickBot="1">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c r="A535" s="293"/>
      <c r="B535" s="276"/>
      <c r="C535" s="276" t="s">
        <v>78</v>
      </c>
      <c r="Q535" s="276"/>
      <c r="R535" s="276"/>
      <c r="S535" s="276"/>
      <c r="T535" s="276"/>
      <c r="U535" s="276"/>
      <c r="V535" s="277"/>
      <c r="W535" s="238"/>
      <c r="Y535" s="271"/>
    </row>
    <row r="536" spans="1:31" ht="32.25" thickBot="1">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c r="A538" s="293"/>
      <c r="B538" s="276"/>
      <c r="C538" s="276" t="s">
        <v>78</v>
      </c>
      <c r="Q538" s="276"/>
      <c r="R538" s="276"/>
      <c r="S538" s="276"/>
      <c r="T538" s="276"/>
      <c r="U538" s="276"/>
      <c r="V538" s="277"/>
      <c r="W538" s="238"/>
      <c r="Y538" s="271"/>
    </row>
    <row r="539" spans="1:31" ht="32.25" thickBot="1">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c r="A541" s="293"/>
      <c r="B541" s="276"/>
      <c r="C541" s="276" t="s">
        <v>78</v>
      </c>
      <c r="Q541" s="276"/>
      <c r="R541" s="276"/>
      <c r="S541" s="276"/>
      <c r="T541" s="276"/>
      <c r="U541" s="276"/>
      <c r="V541" s="277"/>
      <c r="W541" s="238"/>
      <c r="Y541" s="271"/>
    </row>
    <row r="542" spans="1:31" ht="32.25" thickBot="1">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c r="A544" s="293"/>
      <c r="B544" s="276"/>
      <c r="C544" s="276" t="s">
        <v>78</v>
      </c>
      <c r="Q544" s="276"/>
      <c r="R544" s="276"/>
      <c r="S544" s="276"/>
      <c r="T544" s="276"/>
      <c r="U544" s="276"/>
      <c r="V544" s="277"/>
      <c r="W544" s="238"/>
      <c r="Y544" s="271"/>
    </row>
    <row r="545" spans="1:31" ht="32.25" thickBot="1">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c r="A547" s="293"/>
      <c r="B547" s="276"/>
      <c r="C547" s="276" t="s">
        <v>78</v>
      </c>
      <c r="Q547" s="276"/>
      <c r="R547" s="276"/>
      <c r="S547" s="276"/>
      <c r="T547" s="276"/>
      <c r="U547" s="276"/>
      <c r="V547" s="277"/>
      <c r="W547" s="238"/>
      <c r="Y547" s="271"/>
    </row>
    <row r="548" spans="1:31" ht="32.25" thickBot="1">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c r="A550" s="293"/>
      <c r="B550" s="276"/>
      <c r="C550" s="276" t="s">
        <v>78</v>
      </c>
      <c r="Q550" s="276"/>
      <c r="R550" s="276"/>
      <c r="S550" s="276"/>
      <c r="T550" s="276"/>
      <c r="U550" s="276"/>
      <c r="V550" s="277"/>
      <c r="W550" s="238"/>
      <c r="Y550" s="271"/>
    </row>
    <row r="551" spans="1:31" ht="32.25" thickBot="1">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c r="A553" s="293"/>
      <c r="B553" s="276"/>
      <c r="C553" s="276" t="s">
        <v>78</v>
      </c>
      <c r="Q553" s="276"/>
      <c r="R553" s="276"/>
      <c r="S553" s="276"/>
      <c r="T553" s="276"/>
      <c r="U553" s="276"/>
      <c r="V553" s="277"/>
      <c r="W553" s="238"/>
      <c r="Y553" s="271"/>
    </row>
    <row r="554" spans="1:31" ht="32.25" thickBot="1">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c r="A556" s="293"/>
      <c r="B556" s="276"/>
      <c r="C556" s="276" t="s">
        <v>78</v>
      </c>
      <c r="Q556" s="276"/>
      <c r="R556" s="276"/>
      <c r="S556" s="276"/>
      <c r="T556" s="276"/>
      <c r="U556" s="276"/>
      <c r="V556" s="277"/>
      <c r="W556" s="238"/>
      <c r="Y556" s="271"/>
    </row>
    <row r="557" spans="1:31" ht="32.25" thickBot="1">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c r="A559" s="293"/>
      <c r="B559" s="276"/>
      <c r="C559" s="276" t="s">
        <v>78</v>
      </c>
      <c r="Q559" s="276"/>
      <c r="R559" s="276"/>
      <c r="S559" s="276"/>
      <c r="T559" s="276"/>
      <c r="U559" s="276"/>
      <c r="V559" s="277"/>
      <c r="W559" s="238"/>
      <c r="Y559" s="271"/>
    </row>
    <row r="560" spans="1:31" ht="32.25" thickBot="1">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c r="A562" s="293"/>
      <c r="B562" s="276"/>
      <c r="C562" s="276" t="s">
        <v>78</v>
      </c>
      <c r="Q562" s="276"/>
      <c r="R562" s="276"/>
      <c r="S562" s="276"/>
      <c r="T562" s="276"/>
      <c r="U562" s="276"/>
      <c r="V562" s="277"/>
      <c r="W562" s="238"/>
      <c r="Y562" s="271"/>
    </row>
    <row r="563" spans="1:31" ht="32.25" thickBot="1">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c r="A565" s="293"/>
      <c r="B565" s="276"/>
      <c r="C565" s="276" t="s">
        <v>78</v>
      </c>
      <c r="Q565" s="276"/>
      <c r="R565" s="276"/>
      <c r="S565" s="276"/>
      <c r="T565" s="276"/>
      <c r="U565" s="276"/>
      <c r="V565" s="277"/>
      <c r="W565" s="238"/>
      <c r="Y565" s="271"/>
    </row>
    <row r="566" spans="1:31" ht="32.25" thickBot="1">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c r="A568" s="293"/>
      <c r="B568" s="276"/>
      <c r="C568" s="276" t="s">
        <v>78</v>
      </c>
      <c r="Q568" s="276"/>
      <c r="R568" s="276"/>
      <c r="S568" s="276"/>
      <c r="T568" s="276"/>
      <c r="U568" s="276"/>
      <c r="V568" s="277"/>
      <c r="W568" s="238"/>
      <c r="Y568" s="271"/>
    </row>
    <row r="569" spans="1:31" ht="32.25" thickBot="1">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c r="A571" s="293"/>
      <c r="B571" s="276"/>
      <c r="C571" s="276" t="s">
        <v>78</v>
      </c>
      <c r="Q571" s="276"/>
      <c r="R571" s="276"/>
      <c r="S571" s="276"/>
      <c r="T571" s="276"/>
      <c r="U571" s="276"/>
      <c r="V571" s="277"/>
      <c r="W571" s="238"/>
      <c r="Y571" s="271"/>
    </row>
    <row r="572" spans="1:31" ht="32.25" thickBot="1">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c r="A574" s="293"/>
      <c r="B574" s="276"/>
      <c r="C574" s="276" t="s">
        <v>78</v>
      </c>
      <c r="Q574" s="276"/>
      <c r="R574" s="276"/>
      <c r="S574" s="276"/>
      <c r="T574" s="276"/>
      <c r="U574" s="276"/>
      <c r="V574" s="277"/>
      <c r="W574" s="238"/>
      <c r="Y574" s="271"/>
    </row>
    <row r="575" spans="1:31" ht="32.25" thickBot="1">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c r="A577" s="293"/>
      <c r="B577" s="276"/>
      <c r="C577" s="276" t="s">
        <v>78</v>
      </c>
      <c r="Q577" s="276"/>
      <c r="R577" s="276"/>
      <c r="S577" s="276"/>
      <c r="T577" s="276"/>
      <c r="U577" s="276"/>
      <c r="V577" s="277"/>
      <c r="W577" s="238"/>
      <c r="Y577" s="271"/>
    </row>
    <row r="578" spans="1:31" ht="32.25" thickBot="1">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c r="A580" s="293"/>
      <c r="B580" s="276"/>
      <c r="C580" s="276" t="s">
        <v>78</v>
      </c>
      <c r="Q580" s="276"/>
      <c r="R580" s="276"/>
      <c r="S580" s="276"/>
      <c r="T580" s="276"/>
      <c r="U580" s="276"/>
      <c r="V580" s="277"/>
      <c r="W580" s="238"/>
      <c r="Y580" s="271"/>
    </row>
    <row r="581" spans="1:31" ht="32.25" thickBot="1">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c r="A583" s="293"/>
      <c r="B583" s="276"/>
      <c r="C583" s="276" t="s">
        <v>78</v>
      </c>
      <c r="Q583" s="276"/>
      <c r="R583" s="276"/>
      <c r="S583" s="276"/>
      <c r="T583" s="276"/>
      <c r="U583" s="276"/>
      <c r="V583" s="277"/>
      <c r="W583" s="238"/>
      <c r="Y583" s="271"/>
    </row>
    <row r="584" spans="1:31" ht="32.25" thickBot="1">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c r="A586" s="293"/>
      <c r="B586" s="276"/>
      <c r="C586" s="276" t="s">
        <v>78</v>
      </c>
      <c r="Q586" s="276"/>
      <c r="R586" s="276"/>
      <c r="S586" s="276"/>
      <c r="T586" s="276"/>
      <c r="U586" s="276"/>
      <c r="V586" s="277"/>
      <c r="W586" s="238"/>
      <c r="Y586" s="271"/>
    </row>
    <row r="587" spans="1:31" ht="32.25" thickBot="1">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c r="A589" s="293"/>
      <c r="B589" s="276"/>
      <c r="C589" s="276" t="s">
        <v>78</v>
      </c>
      <c r="Q589" s="276"/>
      <c r="R589" s="276"/>
      <c r="S589" s="276"/>
      <c r="T589" s="276"/>
      <c r="U589" s="276"/>
      <c r="V589" s="277"/>
      <c r="W589" s="238"/>
      <c r="Y589" s="271"/>
    </row>
    <row r="590" spans="1:31" ht="32.25" thickBot="1">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c r="A592" s="293"/>
      <c r="B592" s="276"/>
      <c r="C592" s="276" t="s">
        <v>78</v>
      </c>
      <c r="Q592" s="276"/>
      <c r="R592" s="276"/>
      <c r="S592" s="276"/>
      <c r="T592" s="276"/>
      <c r="U592" s="276"/>
      <c r="V592" s="277"/>
      <c r="W592" s="238"/>
      <c r="Y592" s="271"/>
    </row>
    <row r="593" spans="1:31" ht="32.25" thickBot="1">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c r="A595" s="293"/>
      <c r="B595" s="276"/>
      <c r="C595" s="276" t="s">
        <v>78</v>
      </c>
      <c r="Q595" s="276"/>
      <c r="R595" s="276"/>
      <c r="S595" s="276"/>
      <c r="T595" s="276"/>
      <c r="U595" s="276"/>
      <c r="V595" s="277"/>
      <c r="W595" s="238"/>
      <c r="Y595" s="271"/>
    </row>
    <row r="596" spans="1:31" ht="32.25" thickBot="1">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c r="A598" s="293"/>
      <c r="B598" s="276"/>
      <c r="C598" s="276" t="s">
        <v>78</v>
      </c>
      <c r="Q598" s="276"/>
      <c r="R598" s="276"/>
      <c r="S598" s="276"/>
      <c r="T598" s="276"/>
      <c r="U598" s="276"/>
      <c r="V598" s="277"/>
      <c r="W598" s="238"/>
      <c r="Y598" s="271"/>
    </row>
    <row r="599" spans="1:31" ht="32.25" thickBot="1">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c r="A601" s="293"/>
      <c r="B601" s="276"/>
      <c r="C601" s="276" t="s">
        <v>78</v>
      </c>
      <c r="Q601" s="276"/>
      <c r="R601" s="276"/>
      <c r="S601" s="276"/>
      <c r="T601" s="276"/>
      <c r="U601" s="276"/>
      <c r="V601" s="277"/>
      <c r="W601" s="238"/>
      <c r="Y601" s="271"/>
    </row>
    <row r="602" spans="1:31" ht="32.25" thickBot="1">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c r="A604" s="293"/>
      <c r="B604" s="276"/>
      <c r="C604" s="276" t="s">
        <v>78</v>
      </c>
      <c r="Q604" s="276"/>
      <c r="R604" s="276"/>
      <c r="S604" s="276"/>
      <c r="T604" s="276"/>
      <c r="U604" s="276"/>
      <c r="V604" s="277"/>
      <c r="W604" s="238"/>
      <c r="Y604" s="271"/>
    </row>
    <row r="605" spans="1:31" ht="32.25" thickBot="1">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c r="A607" s="293"/>
      <c r="B607" s="276"/>
      <c r="C607" s="276" t="s">
        <v>78</v>
      </c>
      <c r="Q607" s="276"/>
      <c r="R607" s="276"/>
      <c r="S607" s="276"/>
      <c r="T607" s="276"/>
      <c r="U607" s="276"/>
      <c r="V607" s="277"/>
      <c r="W607" s="238"/>
      <c r="Y607" s="271"/>
    </row>
    <row r="608" spans="1:31" ht="32.25" thickBot="1">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c r="A610" s="293"/>
      <c r="B610" s="276"/>
      <c r="C610" s="276" t="s">
        <v>78</v>
      </c>
      <c r="Q610" s="276"/>
      <c r="R610" s="276"/>
      <c r="S610" s="276"/>
      <c r="T610" s="276"/>
      <c r="U610" s="276"/>
      <c r="V610" s="277"/>
      <c r="W610" s="238"/>
      <c r="Y610" s="271"/>
    </row>
    <row r="611" spans="1:31" ht="32.25" thickBot="1">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c r="A613" s="293"/>
      <c r="B613" s="276"/>
      <c r="C613" s="276" t="s">
        <v>78</v>
      </c>
      <c r="Q613" s="276"/>
      <c r="R613" s="276"/>
      <c r="S613" s="276"/>
      <c r="T613" s="276"/>
      <c r="U613" s="276"/>
      <c r="V613" s="277"/>
      <c r="W613" s="238"/>
      <c r="Y613" s="271"/>
    </row>
    <row r="614" spans="1:31" ht="32.25" thickBot="1">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c r="A616" s="293"/>
      <c r="B616" s="276"/>
      <c r="C616" s="276" t="s">
        <v>78</v>
      </c>
      <c r="Q616" s="276"/>
      <c r="R616" s="276"/>
      <c r="S616" s="276"/>
      <c r="T616" s="276"/>
      <c r="U616" s="276"/>
      <c r="V616" s="277"/>
      <c r="W616" s="238"/>
      <c r="Y616" s="271"/>
    </row>
    <row r="617" spans="1:31" ht="32.25" thickBot="1">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c r="A619" s="293"/>
      <c r="B619" s="276"/>
      <c r="C619" s="276" t="s">
        <v>78</v>
      </c>
      <c r="Q619" s="276"/>
      <c r="R619" s="276"/>
      <c r="S619" s="276"/>
      <c r="T619" s="276"/>
      <c r="U619" s="276"/>
      <c r="V619" s="277"/>
      <c r="W619" s="238"/>
      <c r="Y619" s="271"/>
    </row>
    <row r="620" spans="1:31" ht="32.25" thickBot="1">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c r="A622" s="293"/>
      <c r="B622" s="276"/>
      <c r="C622" s="276" t="s">
        <v>78</v>
      </c>
      <c r="Q622" s="276"/>
      <c r="R622" s="276"/>
      <c r="S622" s="276"/>
      <c r="T622" s="276"/>
      <c r="U622" s="276"/>
      <c r="V622" s="277"/>
      <c r="W622" s="238"/>
      <c r="Y622" s="271"/>
    </row>
    <row r="623" spans="1:31" ht="32.25" thickBot="1">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c r="A625" s="293"/>
      <c r="B625" s="276"/>
      <c r="C625" s="276" t="s">
        <v>78</v>
      </c>
      <c r="Q625" s="276"/>
      <c r="R625" s="276"/>
      <c r="S625" s="276"/>
      <c r="T625" s="276"/>
      <c r="U625" s="276"/>
      <c r="V625" s="277"/>
      <c r="W625" s="238"/>
      <c r="Y625" s="271"/>
    </row>
    <row r="626" spans="1:31" ht="32.25" thickBot="1">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c r="A628" s="293"/>
      <c r="B628" s="276"/>
      <c r="C628" s="276" t="s">
        <v>78</v>
      </c>
      <c r="Q628" s="276"/>
      <c r="R628" s="276"/>
      <c r="S628" s="276"/>
      <c r="T628" s="276"/>
      <c r="U628" s="276"/>
      <c r="V628" s="277"/>
      <c r="W628" s="238"/>
      <c r="Y628" s="271"/>
    </row>
    <row r="629" spans="1:31" ht="32.25" thickBot="1">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c r="A631" s="293"/>
      <c r="B631" s="276"/>
      <c r="C631" s="276" t="s">
        <v>78</v>
      </c>
      <c r="Q631" s="276"/>
      <c r="R631" s="276"/>
      <c r="S631" s="276"/>
      <c r="T631" s="276"/>
      <c r="U631" s="276"/>
      <c r="V631" s="277"/>
      <c r="W631" s="238"/>
      <c r="Y631" s="271"/>
    </row>
    <row r="632" spans="1:31" ht="32.25" thickBot="1">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c r="A634" s="293"/>
      <c r="B634" s="276"/>
      <c r="C634" s="276" t="s">
        <v>78</v>
      </c>
      <c r="Q634" s="276"/>
      <c r="R634" s="276"/>
      <c r="S634" s="276"/>
      <c r="T634" s="276"/>
      <c r="U634" s="276"/>
      <c r="V634" s="277"/>
      <c r="W634" s="238"/>
      <c r="Y634" s="271"/>
    </row>
    <row r="635" spans="1:31" ht="32.25" thickBot="1">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c r="A637" s="293"/>
      <c r="B637" s="276"/>
      <c r="C637" s="276" t="s">
        <v>78</v>
      </c>
      <c r="Q637" s="276"/>
      <c r="R637" s="276"/>
      <c r="S637" s="276"/>
      <c r="T637" s="276"/>
      <c r="U637" s="276"/>
      <c r="V637" s="277"/>
      <c r="W637" s="238"/>
      <c r="Y637" s="271"/>
    </row>
    <row r="638" spans="1:31" ht="32.25" thickBot="1">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c r="A640" s="293"/>
      <c r="B640" s="276"/>
      <c r="C640" s="276" t="s">
        <v>78</v>
      </c>
      <c r="Q640" s="276"/>
      <c r="R640" s="276"/>
      <c r="S640" s="276"/>
      <c r="T640" s="276"/>
      <c r="U640" s="276"/>
      <c r="V640" s="277"/>
      <c r="W640" s="238"/>
      <c r="Y640" s="271"/>
    </row>
    <row r="641" spans="1:31" ht="32.25" thickBot="1">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c r="A643" s="293"/>
      <c r="B643" s="276"/>
      <c r="C643" s="276" t="s">
        <v>78</v>
      </c>
      <c r="Q643" s="276"/>
      <c r="R643" s="276"/>
      <c r="S643" s="276"/>
      <c r="T643" s="276"/>
      <c r="U643" s="276"/>
      <c r="V643" s="277"/>
      <c r="W643" s="238"/>
      <c r="Y643" s="271"/>
    </row>
    <row r="644" spans="1:31" ht="32.25" thickBot="1">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c r="A646" s="293"/>
      <c r="B646" s="276"/>
      <c r="C646" s="276" t="s">
        <v>78</v>
      </c>
      <c r="Q646" s="276"/>
      <c r="R646" s="276"/>
      <c r="S646" s="276"/>
      <c r="T646" s="276"/>
      <c r="U646" s="276"/>
      <c r="V646" s="277"/>
      <c r="W646" s="238"/>
      <c r="Y646" s="271"/>
    </row>
    <row r="647" spans="1:31" ht="32.25" thickBot="1">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c r="A649" s="293"/>
      <c r="B649" s="276"/>
      <c r="C649" s="276" t="s">
        <v>78</v>
      </c>
      <c r="Q649" s="276"/>
      <c r="R649" s="276"/>
      <c r="S649" s="276"/>
      <c r="T649" s="276"/>
      <c r="U649" s="276"/>
      <c r="V649" s="277"/>
      <c r="W649" s="238"/>
      <c r="Y649" s="271"/>
    </row>
    <row r="650" spans="1:31" ht="32.25" thickBot="1">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c r="A652" s="293"/>
      <c r="B652" s="276"/>
      <c r="C652" s="276" t="s">
        <v>78</v>
      </c>
      <c r="Q652" s="276"/>
      <c r="R652" s="276"/>
      <c r="S652" s="276"/>
      <c r="T652" s="276"/>
      <c r="U652" s="276"/>
      <c r="V652" s="277"/>
      <c r="W652" s="238"/>
      <c r="Y652" s="271"/>
    </row>
    <row r="653" spans="1:31" ht="32.25" thickBot="1">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c r="A655" s="293"/>
      <c r="B655" s="276"/>
      <c r="C655" s="276" t="s">
        <v>78</v>
      </c>
      <c r="Q655" s="276"/>
      <c r="R655" s="276"/>
      <c r="S655" s="276"/>
      <c r="T655" s="276"/>
      <c r="U655" s="276"/>
      <c r="V655" s="277"/>
      <c r="W655" s="238"/>
      <c r="Y655" s="271"/>
    </row>
    <row r="656" spans="1:31" ht="32.25" thickBot="1">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c r="A658" s="293"/>
      <c r="B658" s="276"/>
      <c r="C658" s="276" t="s">
        <v>78</v>
      </c>
      <c r="Q658" s="276"/>
      <c r="R658" s="276"/>
      <c r="S658" s="276"/>
      <c r="T658" s="276"/>
      <c r="U658" s="276"/>
      <c r="V658" s="277"/>
      <c r="W658" s="238"/>
      <c r="Y658" s="271"/>
    </row>
    <row r="659" spans="1:31" ht="32.25" thickBot="1">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c r="A661" s="293"/>
      <c r="B661" s="276"/>
      <c r="C661" s="276" t="s">
        <v>78</v>
      </c>
      <c r="Q661" s="276"/>
      <c r="R661" s="276"/>
      <c r="S661" s="276"/>
      <c r="T661" s="276"/>
      <c r="U661" s="276"/>
      <c r="V661" s="277"/>
      <c r="W661" s="238"/>
      <c r="Y661" s="271"/>
    </row>
    <row r="662" spans="1:31" ht="32.25" thickBot="1">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c r="AB663" s="273"/>
      <c r="AC663" s="273"/>
    </row>
  </sheetData>
  <autoFilter ref="A11:AE662"/>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19" priority="171" stopIfTrue="1" operator="equal">
      <formula>"Fail"</formula>
    </cfRule>
    <cfRule type="cellIs" dxfId="1318" priority="172"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17" priority="169" stopIfTrue="1" operator="equal">
      <formula>"Fail"</formula>
    </cfRule>
    <cfRule type="cellIs" dxfId="1316" priority="170" stopIfTrue="1" operator="equal">
      <formula>"Pass"</formula>
    </cfRule>
  </conditionalFormatting>
  <conditionalFormatting sqref="U426 V426:V428">
    <cfRule type="cellIs" dxfId="1315" priority="167" stopIfTrue="1" operator="equal">
      <formula>"Fail"</formula>
    </cfRule>
    <cfRule type="cellIs" dxfId="1314" priority="168" stopIfTrue="1" operator="equal">
      <formula>"Pass"</formula>
    </cfRule>
  </conditionalFormatting>
  <conditionalFormatting sqref="U429 V429:V431">
    <cfRule type="cellIs" dxfId="1313" priority="165" stopIfTrue="1" operator="equal">
      <formula>"Fail"</formula>
    </cfRule>
    <cfRule type="cellIs" dxfId="1312" priority="166" stopIfTrue="1" operator="equal">
      <formula>"Pass"</formula>
    </cfRule>
  </conditionalFormatting>
  <conditionalFormatting sqref="U432 V432:V434">
    <cfRule type="cellIs" dxfId="1311" priority="163" stopIfTrue="1" operator="equal">
      <formula>"Fail"</formula>
    </cfRule>
    <cfRule type="cellIs" dxfId="1310" priority="164" stopIfTrue="1" operator="equal">
      <formula>"Pass"</formula>
    </cfRule>
  </conditionalFormatting>
  <conditionalFormatting sqref="U435 V435:V437">
    <cfRule type="cellIs" dxfId="1309" priority="161" stopIfTrue="1" operator="equal">
      <formula>"Fail"</formula>
    </cfRule>
    <cfRule type="cellIs" dxfId="1308" priority="162" stopIfTrue="1" operator="equal">
      <formula>"Pass"</formula>
    </cfRule>
  </conditionalFormatting>
  <conditionalFormatting sqref="U438 V438:V440">
    <cfRule type="cellIs" dxfId="1307" priority="159" stopIfTrue="1" operator="equal">
      <formula>"Fail"</formula>
    </cfRule>
    <cfRule type="cellIs" dxfId="1306" priority="160" stopIfTrue="1" operator="equal">
      <formula>"Pass"</formula>
    </cfRule>
  </conditionalFormatting>
  <conditionalFormatting sqref="U441 V441:V443">
    <cfRule type="cellIs" dxfId="1305" priority="157" stopIfTrue="1" operator="equal">
      <formula>"Fail"</formula>
    </cfRule>
    <cfRule type="cellIs" dxfId="1304" priority="158" stopIfTrue="1" operator="equal">
      <formula>"Pass"</formula>
    </cfRule>
  </conditionalFormatting>
  <conditionalFormatting sqref="U444 V444:V446">
    <cfRule type="cellIs" dxfId="1303" priority="155" stopIfTrue="1" operator="equal">
      <formula>"Fail"</formula>
    </cfRule>
    <cfRule type="cellIs" dxfId="1302" priority="156" stopIfTrue="1" operator="equal">
      <formula>"Pass"</formula>
    </cfRule>
  </conditionalFormatting>
  <conditionalFormatting sqref="U447 V447:V449">
    <cfRule type="cellIs" dxfId="1301" priority="153" stopIfTrue="1" operator="equal">
      <formula>"Fail"</formula>
    </cfRule>
    <cfRule type="cellIs" dxfId="1300" priority="154" stopIfTrue="1" operator="equal">
      <formula>"Pass"</formula>
    </cfRule>
  </conditionalFormatting>
  <conditionalFormatting sqref="U450 V450:V452">
    <cfRule type="cellIs" dxfId="1299" priority="151" stopIfTrue="1" operator="equal">
      <formula>"Fail"</formula>
    </cfRule>
    <cfRule type="cellIs" dxfId="1298" priority="152" stopIfTrue="1" operator="equal">
      <formula>"Pass"</formula>
    </cfRule>
  </conditionalFormatting>
  <conditionalFormatting sqref="U453 V453:V455">
    <cfRule type="cellIs" dxfId="1297" priority="149" stopIfTrue="1" operator="equal">
      <formula>"Fail"</formula>
    </cfRule>
    <cfRule type="cellIs" dxfId="1296" priority="150" stopIfTrue="1" operator="equal">
      <formula>"Pass"</formula>
    </cfRule>
  </conditionalFormatting>
  <conditionalFormatting sqref="U456 V456:V458">
    <cfRule type="cellIs" dxfId="1295" priority="147" stopIfTrue="1" operator="equal">
      <formula>"Fail"</formula>
    </cfRule>
    <cfRule type="cellIs" dxfId="1294" priority="148" stopIfTrue="1" operator="equal">
      <formula>"Pass"</formula>
    </cfRule>
  </conditionalFormatting>
  <conditionalFormatting sqref="U459 V459:V461">
    <cfRule type="cellIs" dxfId="1293" priority="145" stopIfTrue="1" operator="equal">
      <formula>"Fail"</formula>
    </cfRule>
    <cfRule type="cellIs" dxfId="1292" priority="146" stopIfTrue="1" operator="equal">
      <formula>"Pass"</formula>
    </cfRule>
  </conditionalFormatting>
  <conditionalFormatting sqref="U462 V462:V464">
    <cfRule type="cellIs" dxfId="1291" priority="143" stopIfTrue="1" operator="equal">
      <formula>"Fail"</formula>
    </cfRule>
    <cfRule type="cellIs" dxfId="1290" priority="144" stopIfTrue="1" operator="equal">
      <formula>"Pass"</formula>
    </cfRule>
  </conditionalFormatting>
  <conditionalFormatting sqref="U465 V465:V467">
    <cfRule type="cellIs" dxfId="1289" priority="141" stopIfTrue="1" operator="equal">
      <formula>"Fail"</formula>
    </cfRule>
    <cfRule type="cellIs" dxfId="1288" priority="142" stopIfTrue="1" operator="equal">
      <formula>"Pass"</formula>
    </cfRule>
  </conditionalFormatting>
  <conditionalFormatting sqref="U468 V468:V470">
    <cfRule type="cellIs" dxfId="1287" priority="139" stopIfTrue="1" operator="equal">
      <formula>"Fail"</formula>
    </cfRule>
    <cfRule type="cellIs" dxfId="1286" priority="140" stopIfTrue="1" operator="equal">
      <formula>"Pass"</formula>
    </cfRule>
  </conditionalFormatting>
  <conditionalFormatting sqref="U471 V471:V473">
    <cfRule type="cellIs" dxfId="1285" priority="137" stopIfTrue="1" operator="equal">
      <formula>"Fail"</formula>
    </cfRule>
    <cfRule type="cellIs" dxfId="1284" priority="138" stopIfTrue="1" operator="equal">
      <formula>"Pass"</formula>
    </cfRule>
  </conditionalFormatting>
  <conditionalFormatting sqref="U474 V474:V476">
    <cfRule type="cellIs" dxfId="1283" priority="135" stopIfTrue="1" operator="equal">
      <formula>"Fail"</formula>
    </cfRule>
    <cfRule type="cellIs" dxfId="1282" priority="136" stopIfTrue="1" operator="equal">
      <formula>"Pass"</formula>
    </cfRule>
  </conditionalFormatting>
  <conditionalFormatting sqref="U477 V477:V479">
    <cfRule type="cellIs" dxfId="1281" priority="133" stopIfTrue="1" operator="equal">
      <formula>"Fail"</formula>
    </cfRule>
    <cfRule type="cellIs" dxfId="1280" priority="134" stopIfTrue="1" operator="equal">
      <formula>"Pass"</formula>
    </cfRule>
  </conditionalFormatting>
  <conditionalFormatting sqref="U480 V480:V482">
    <cfRule type="cellIs" dxfId="1279" priority="131" stopIfTrue="1" operator="equal">
      <formula>"Fail"</formula>
    </cfRule>
    <cfRule type="cellIs" dxfId="1278" priority="132" stopIfTrue="1" operator="equal">
      <formula>"Pass"</formula>
    </cfRule>
  </conditionalFormatting>
  <conditionalFormatting sqref="U483 V483:V485">
    <cfRule type="cellIs" dxfId="1277" priority="129" stopIfTrue="1" operator="equal">
      <formula>"Fail"</formula>
    </cfRule>
    <cfRule type="cellIs" dxfId="1276" priority="130" stopIfTrue="1" operator="equal">
      <formula>"Pass"</formula>
    </cfRule>
  </conditionalFormatting>
  <conditionalFormatting sqref="U486 V486:V488">
    <cfRule type="cellIs" dxfId="1275" priority="127" stopIfTrue="1" operator="equal">
      <formula>"Fail"</formula>
    </cfRule>
    <cfRule type="cellIs" dxfId="1274" priority="128" stopIfTrue="1" operator="equal">
      <formula>"Pass"</formula>
    </cfRule>
  </conditionalFormatting>
  <conditionalFormatting sqref="U489 V489:V491">
    <cfRule type="cellIs" dxfId="1273" priority="125" stopIfTrue="1" operator="equal">
      <formula>"Fail"</formula>
    </cfRule>
    <cfRule type="cellIs" dxfId="1272" priority="126" stopIfTrue="1" operator="equal">
      <formula>"Pass"</formula>
    </cfRule>
  </conditionalFormatting>
  <conditionalFormatting sqref="U492 V492:V494">
    <cfRule type="cellIs" dxfId="1271" priority="123" stopIfTrue="1" operator="equal">
      <formula>"Fail"</formula>
    </cfRule>
    <cfRule type="cellIs" dxfId="1270" priority="124" stopIfTrue="1" operator="equal">
      <formula>"Pass"</formula>
    </cfRule>
  </conditionalFormatting>
  <conditionalFormatting sqref="U495 V495:V497">
    <cfRule type="cellIs" dxfId="1269" priority="121" stopIfTrue="1" operator="equal">
      <formula>"Fail"</formula>
    </cfRule>
    <cfRule type="cellIs" dxfId="1268" priority="122" stopIfTrue="1" operator="equal">
      <formula>"Pass"</formula>
    </cfRule>
  </conditionalFormatting>
  <conditionalFormatting sqref="U498 V498:V500">
    <cfRule type="cellIs" dxfId="1267" priority="119" stopIfTrue="1" operator="equal">
      <formula>"Fail"</formula>
    </cfRule>
    <cfRule type="cellIs" dxfId="1266" priority="120" stopIfTrue="1" operator="equal">
      <formula>"Pass"</formula>
    </cfRule>
  </conditionalFormatting>
  <conditionalFormatting sqref="U501 V501:V503">
    <cfRule type="cellIs" dxfId="1265" priority="117" stopIfTrue="1" operator="equal">
      <formula>"Fail"</formula>
    </cfRule>
    <cfRule type="cellIs" dxfId="1264" priority="118" stopIfTrue="1" operator="equal">
      <formula>"Pass"</formula>
    </cfRule>
  </conditionalFormatting>
  <conditionalFormatting sqref="U504 V504:V506">
    <cfRule type="cellIs" dxfId="1263" priority="115" stopIfTrue="1" operator="equal">
      <formula>"Fail"</formula>
    </cfRule>
    <cfRule type="cellIs" dxfId="1262" priority="116" stopIfTrue="1" operator="equal">
      <formula>"Pass"</formula>
    </cfRule>
  </conditionalFormatting>
  <conditionalFormatting sqref="U507 V507:V509">
    <cfRule type="cellIs" dxfId="1261" priority="113" stopIfTrue="1" operator="equal">
      <formula>"Fail"</formula>
    </cfRule>
    <cfRule type="cellIs" dxfId="1260" priority="114" stopIfTrue="1" operator="equal">
      <formula>"Pass"</formula>
    </cfRule>
  </conditionalFormatting>
  <conditionalFormatting sqref="U510 V510:V512">
    <cfRule type="cellIs" dxfId="1259" priority="111" stopIfTrue="1" operator="equal">
      <formula>"Fail"</formula>
    </cfRule>
    <cfRule type="cellIs" dxfId="1258" priority="112" stopIfTrue="1" operator="equal">
      <formula>"Pass"</formula>
    </cfRule>
  </conditionalFormatting>
  <conditionalFormatting sqref="U513 V513:V515">
    <cfRule type="cellIs" dxfId="1257" priority="109" stopIfTrue="1" operator="equal">
      <formula>"Fail"</formula>
    </cfRule>
    <cfRule type="cellIs" dxfId="1256" priority="110" stopIfTrue="1" operator="equal">
      <formula>"Pass"</formula>
    </cfRule>
  </conditionalFormatting>
  <conditionalFormatting sqref="U516 V516:V518">
    <cfRule type="cellIs" dxfId="1255" priority="107" stopIfTrue="1" operator="equal">
      <formula>"Fail"</formula>
    </cfRule>
    <cfRule type="cellIs" dxfId="1254" priority="108" stopIfTrue="1" operator="equal">
      <formula>"Pass"</formula>
    </cfRule>
  </conditionalFormatting>
  <conditionalFormatting sqref="U519 V519:V521">
    <cfRule type="cellIs" dxfId="1253" priority="105" stopIfTrue="1" operator="equal">
      <formula>"Fail"</formula>
    </cfRule>
    <cfRule type="cellIs" dxfId="1252" priority="106" stopIfTrue="1" operator="equal">
      <formula>"Pass"</formula>
    </cfRule>
  </conditionalFormatting>
  <conditionalFormatting sqref="U522 V522:V524">
    <cfRule type="cellIs" dxfId="1251" priority="103" stopIfTrue="1" operator="equal">
      <formula>"Fail"</formula>
    </cfRule>
    <cfRule type="cellIs" dxfId="1250" priority="104" stopIfTrue="1" operator="equal">
      <formula>"Pass"</formula>
    </cfRule>
  </conditionalFormatting>
  <conditionalFormatting sqref="U525 V525:V527">
    <cfRule type="cellIs" dxfId="1249" priority="101" stopIfTrue="1" operator="equal">
      <formula>"Fail"</formula>
    </cfRule>
    <cfRule type="cellIs" dxfId="1248" priority="102" stopIfTrue="1" operator="equal">
      <formula>"Pass"</formula>
    </cfRule>
  </conditionalFormatting>
  <conditionalFormatting sqref="U528 V528:V530">
    <cfRule type="cellIs" dxfId="1247" priority="99" stopIfTrue="1" operator="equal">
      <formula>"Fail"</formula>
    </cfRule>
    <cfRule type="cellIs" dxfId="1246" priority="100" stopIfTrue="1" operator="equal">
      <formula>"Pass"</formula>
    </cfRule>
  </conditionalFormatting>
  <conditionalFormatting sqref="U531 V531:V533">
    <cfRule type="cellIs" dxfId="1245" priority="97" stopIfTrue="1" operator="equal">
      <formula>"Fail"</formula>
    </cfRule>
    <cfRule type="cellIs" dxfId="1244" priority="98" stopIfTrue="1" operator="equal">
      <formula>"Pass"</formula>
    </cfRule>
  </conditionalFormatting>
  <conditionalFormatting sqref="U534 V534:V536">
    <cfRule type="cellIs" dxfId="1243" priority="95" stopIfTrue="1" operator="equal">
      <formula>"Fail"</formula>
    </cfRule>
    <cfRule type="cellIs" dxfId="1242" priority="96" stopIfTrue="1" operator="equal">
      <formula>"Pass"</formula>
    </cfRule>
  </conditionalFormatting>
  <conditionalFormatting sqref="U537 V537:V539">
    <cfRule type="cellIs" dxfId="1241" priority="93" stopIfTrue="1" operator="equal">
      <formula>"Fail"</formula>
    </cfRule>
    <cfRule type="cellIs" dxfId="1240" priority="94" stopIfTrue="1" operator="equal">
      <formula>"Pass"</formula>
    </cfRule>
  </conditionalFormatting>
  <conditionalFormatting sqref="U540 V540:V542">
    <cfRule type="cellIs" dxfId="1239" priority="91" stopIfTrue="1" operator="equal">
      <formula>"Fail"</formula>
    </cfRule>
    <cfRule type="cellIs" dxfId="1238" priority="92" stopIfTrue="1" operator="equal">
      <formula>"Pass"</formula>
    </cfRule>
  </conditionalFormatting>
  <conditionalFormatting sqref="U543 V543:V545">
    <cfRule type="cellIs" dxfId="1237" priority="89" stopIfTrue="1" operator="equal">
      <formula>"Fail"</formula>
    </cfRule>
    <cfRule type="cellIs" dxfId="1236" priority="90" stopIfTrue="1" operator="equal">
      <formula>"Pass"</formula>
    </cfRule>
  </conditionalFormatting>
  <conditionalFormatting sqref="U546 V546:V548">
    <cfRule type="cellIs" dxfId="1235" priority="87" stopIfTrue="1" operator="equal">
      <formula>"Fail"</formula>
    </cfRule>
    <cfRule type="cellIs" dxfId="1234" priority="88" stopIfTrue="1" operator="equal">
      <formula>"Pass"</formula>
    </cfRule>
  </conditionalFormatting>
  <conditionalFormatting sqref="U549 V549:V551">
    <cfRule type="cellIs" dxfId="1233" priority="85" stopIfTrue="1" operator="equal">
      <formula>"Fail"</formula>
    </cfRule>
    <cfRule type="cellIs" dxfId="1232" priority="86" stopIfTrue="1" operator="equal">
      <formula>"Pass"</formula>
    </cfRule>
  </conditionalFormatting>
  <conditionalFormatting sqref="U552 V552:V554">
    <cfRule type="cellIs" dxfId="1231" priority="83" stopIfTrue="1" operator="equal">
      <formula>"Fail"</formula>
    </cfRule>
    <cfRule type="cellIs" dxfId="1230" priority="84" stopIfTrue="1" operator="equal">
      <formula>"Pass"</formula>
    </cfRule>
  </conditionalFormatting>
  <conditionalFormatting sqref="U555 V555:V557">
    <cfRule type="cellIs" dxfId="1229" priority="81" stopIfTrue="1" operator="equal">
      <formula>"Fail"</formula>
    </cfRule>
    <cfRule type="cellIs" dxfId="1228" priority="82" stopIfTrue="1" operator="equal">
      <formula>"Pass"</formula>
    </cfRule>
  </conditionalFormatting>
  <conditionalFormatting sqref="U558 V558:V560">
    <cfRule type="cellIs" dxfId="1227" priority="79" stopIfTrue="1" operator="equal">
      <formula>"Fail"</formula>
    </cfRule>
    <cfRule type="cellIs" dxfId="1226" priority="80" stopIfTrue="1" operator="equal">
      <formula>"Pass"</formula>
    </cfRule>
  </conditionalFormatting>
  <conditionalFormatting sqref="U561 V561:V563">
    <cfRule type="cellIs" dxfId="1225" priority="77" stopIfTrue="1" operator="equal">
      <formula>"Fail"</formula>
    </cfRule>
    <cfRule type="cellIs" dxfId="1224" priority="78" stopIfTrue="1" operator="equal">
      <formula>"Pass"</formula>
    </cfRule>
  </conditionalFormatting>
  <conditionalFormatting sqref="U564 V564:V566">
    <cfRule type="cellIs" dxfId="1223" priority="75" stopIfTrue="1" operator="equal">
      <formula>"Fail"</formula>
    </cfRule>
    <cfRule type="cellIs" dxfId="1222" priority="76" stopIfTrue="1" operator="equal">
      <formula>"Pass"</formula>
    </cfRule>
  </conditionalFormatting>
  <conditionalFormatting sqref="U567 V567:V569">
    <cfRule type="cellIs" dxfId="1221" priority="73" stopIfTrue="1" operator="equal">
      <formula>"Fail"</formula>
    </cfRule>
    <cfRule type="cellIs" dxfId="1220" priority="74" stopIfTrue="1" operator="equal">
      <formula>"Pass"</formula>
    </cfRule>
  </conditionalFormatting>
  <conditionalFormatting sqref="U570 V570:V572">
    <cfRule type="cellIs" dxfId="1219" priority="71" stopIfTrue="1" operator="equal">
      <formula>"Fail"</formula>
    </cfRule>
    <cfRule type="cellIs" dxfId="1218" priority="72" stopIfTrue="1" operator="equal">
      <formula>"Pass"</formula>
    </cfRule>
  </conditionalFormatting>
  <conditionalFormatting sqref="U573 V573:V575">
    <cfRule type="cellIs" dxfId="1217" priority="69" stopIfTrue="1" operator="equal">
      <formula>"Fail"</formula>
    </cfRule>
    <cfRule type="cellIs" dxfId="1216" priority="70" stopIfTrue="1" operator="equal">
      <formula>"Pass"</formula>
    </cfRule>
  </conditionalFormatting>
  <conditionalFormatting sqref="U576 V576:V578">
    <cfRule type="cellIs" dxfId="1215" priority="67" stopIfTrue="1" operator="equal">
      <formula>"Fail"</formula>
    </cfRule>
    <cfRule type="cellIs" dxfId="1214" priority="68" stopIfTrue="1" operator="equal">
      <formula>"Pass"</formula>
    </cfRule>
  </conditionalFormatting>
  <conditionalFormatting sqref="U579 V579:V581">
    <cfRule type="cellIs" dxfId="1213" priority="65" stopIfTrue="1" operator="equal">
      <formula>"Fail"</formula>
    </cfRule>
    <cfRule type="cellIs" dxfId="1212" priority="66" stopIfTrue="1" operator="equal">
      <formula>"Pass"</formula>
    </cfRule>
  </conditionalFormatting>
  <conditionalFormatting sqref="U582 V582:V584">
    <cfRule type="cellIs" dxfId="1211" priority="63" stopIfTrue="1" operator="equal">
      <formula>"Fail"</formula>
    </cfRule>
    <cfRule type="cellIs" dxfId="1210" priority="64" stopIfTrue="1" operator="equal">
      <formula>"Pass"</formula>
    </cfRule>
  </conditionalFormatting>
  <conditionalFormatting sqref="U585 V585:V587">
    <cfRule type="cellIs" dxfId="1209" priority="61" stopIfTrue="1" operator="equal">
      <formula>"Fail"</formula>
    </cfRule>
    <cfRule type="cellIs" dxfId="1208" priority="62" stopIfTrue="1" operator="equal">
      <formula>"Pass"</formula>
    </cfRule>
  </conditionalFormatting>
  <conditionalFormatting sqref="U588 V588:V590">
    <cfRule type="cellIs" dxfId="1207" priority="59" stopIfTrue="1" operator="equal">
      <formula>"Fail"</formula>
    </cfRule>
    <cfRule type="cellIs" dxfId="1206" priority="60" stopIfTrue="1" operator="equal">
      <formula>"Pass"</formula>
    </cfRule>
  </conditionalFormatting>
  <conditionalFormatting sqref="U591 V591:V593">
    <cfRule type="cellIs" dxfId="1205" priority="57" stopIfTrue="1" operator="equal">
      <formula>"Fail"</formula>
    </cfRule>
    <cfRule type="cellIs" dxfId="1204" priority="58" stopIfTrue="1" operator="equal">
      <formula>"Pass"</formula>
    </cfRule>
  </conditionalFormatting>
  <conditionalFormatting sqref="U594 V594:V596">
    <cfRule type="cellIs" dxfId="1203" priority="55" stopIfTrue="1" operator="equal">
      <formula>"Fail"</formula>
    </cfRule>
    <cfRule type="cellIs" dxfId="1202" priority="56" stopIfTrue="1" operator="equal">
      <formula>"Pass"</formula>
    </cfRule>
  </conditionalFormatting>
  <conditionalFormatting sqref="U597 V597:V599">
    <cfRule type="cellIs" dxfId="1201" priority="53" stopIfTrue="1" operator="equal">
      <formula>"Fail"</formula>
    </cfRule>
    <cfRule type="cellIs" dxfId="1200" priority="54" stopIfTrue="1" operator="equal">
      <formula>"Pass"</formula>
    </cfRule>
  </conditionalFormatting>
  <conditionalFormatting sqref="U600 V600:V602">
    <cfRule type="cellIs" dxfId="1199" priority="51" stopIfTrue="1" operator="equal">
      <formula>"Fail"</formula>
    </cfRule>
    <cfRule type="cellIs" dxfId="1198" priority="52" stopIfTrue="1" operator="equal">
      <formula>"Pass"</formula>
    </cfRule>
  </conditionalFormatting>
  <conditionalFormatting sqref="U603 V603:V605">
    <cfRule type="cellIs" dxfId="1197" priority="49" stopIfTrue="1" operator="equal">
      <formula>"Fail"</formula>
    </cfRule>
    <cfRule type="cellIs" dxfId="1196" priority="50" stopIfTrue="1" operator="equal">
      <formula>"Pass"</formula>
    </cfRule>
  </conditionalFormatting>
  <conditionalFormatting sqref="U606 V606:V608">
    <cfRule type="cellIs" dxfId="1195" priority="47" stopIfTrue="1" operator="equal">
      <formula>"Fail"</formula>
    </cfRule>
    <cfRule type="cellIs" dxfId="1194" priority="48" stopIfTrue="1" operator="equal">
      <formula>"Pass"</formula>
    </cfRule>
  </conditionalFormatting>
  <conditionalFormatting sqref="U609 V609:V611">
    <cfRule type="cellIs" dxfId="1193" priority="45" stopIfTrue="1" operator="equal">
      <formula>"Fail"</formula>
    </cfRule>
    <cfRule type="cellIs" dxfId="1192" priority="46" stopIfTrue="1" operator="equal">
      <formula>"Pass"</formula>
    </cfRule>
  </conditionalFormatting>
  <conditionalFormatting sqref="U612 V612:V614">
    <cfRule type="cellIs" dxfId="1191" priority="43" stopIfTrue="1" operator="equal">
      <formula>"Fail"</formula>
    </cfRule>
    <cfRule type="cellIs" dxfId="1190" priority="44" stopIfTrue="1" operator="equal">
      <formula>"Pass"</formula>
    </cfRule>
  </conditionalFormatting>
  <conditionalFormatting sqref="U615 V615:V617">
    <cfRule type="cellIs" dxfId="1189" priority="41" stopIfTrue="1" operator="equal">
      <formula>"Fail"</formula>
    </cfRule>
    <cfRule type="cellIs" dxfId="1188" priority="42" stopIfTrue="1" operator="equal">
      <formula>"Pass"</formula>
    </cfRule>
  </conditionalFormatting>
  <conditionalFormatting sqref="U618 V618:V620">
    <cfRule type="cellIs" dxfId="1187" priority="39" stopIfTrue="1" operator="equal">
      <formula>"Fail"</formula>
    </cfRule>
    <cfRule type="cellIs" dxfId="1186" priority="40" stopIfTrue="1" operator="equal">
      <formula>"Pass"</formula>
    </cfRule>
  </conditionalFormatting>
  <conditionalFormatting sqref="U621 V621:V623">
    <cfRule type="cellIs" dxfId="1185" priority="37" stopIfTrue="1" operator="equal">
      <formula>"Fail"</formula>
    </cfRule>
    <cfRule type="cellIs" dxfId="1184" priority="38" stopIfTrue="1" operator="equal">
      <formula>"Pass"</formula>
    </cfRule>
  </conditionalFormatting>
  <conditionalFormatting sqref="U624 V624:V626">
    <cfRule type="cellIs" dxfId="1183" priority="35" stopIfTrue="1" operator="equal">
      <formula>"Fail"</formula>
    </cfRule>
    <cfRule type="cellIs" dxfId="1182" priority="36" stopIfTrue="1" operator="equal">
      <formula>"Pass"</formula>
    </cfRule>
  </conditionalFormatting>
  <conditionalFormatting sqref="U627 V627:V629">
    <cfRule type="cellIs" dxfId="1181" priority="33" stopIfTrue="1" operator="equal">
      <formula>"Fail"</formula>
    </cfRule>
    <cfRule type="cellIs" dxfId="1180" priority="34" stopIfTrue="1" operator="equal">
      <formula>"Pass"</formula>
    </cfRule>
  </conditionalFormatting>
  <conditionalFormatting sqref="U630 V630:V632">
    <cfRule type="cellIs" dxfId="1179" priority="31" stopIfTrue="1" operator="equal">
      <formula>"Fail"</formula>
    </cfRule>
    <cfRule type="cellIs" dxfId="1178" priority="32" stopIfTrue="1" operator="equal">
      <formula>"Pass"</formula>
    </cfRule>
  </conditionalFormatting>
  <conditionalFormatting sqref="U633 V633:V635">
    <cfRule type="cellIs" dxfId="1177" priority="29" stopIfTrue="1" operator="equal">
      <formula>"Fail"</formula>
    </cfRule>
    <cfRule type="cellIs" dxfId="1176" priority="30" stopIfTrue="1" operator="equal">
      <formula>"Pass"</formula>
    </cfRule>
  </conditionalFormatting>
  <conditionalFormatting sqref="U636 V636:V638">
    <cfRule type="cellIs" dxfId="1175" priority="27" stopIfTrue="1" operator="equal">
      <formula>"Fail"</formula>
    </cfRule>
    <cfRule type="cellIs" dxfId="1174" priority="28" stopIfTrue="1" operator="equal">
      <formula>"Pass"</formula>
    </cfRule>
  </conditionalFormatting>
  <conditionalFormatting sqref="U639 V639:V641">
    <cfRule type="cellIs" dxfId="1173" priority="25" stopIfTrue="1" operator="equal">
      <formula>"Fail"</formula>
    </cfRule>
    <cfRule type="cellIs" dxfId="1172" priority="26" stopIfTrue="1" operator="equal">
      <formula>"Pass"</formula>
    </cfRule>
  </conditionalFormatting>
  <conditionalFormatting sqref="U642 V642:V644">
    <cfRule type="cellIs" dxfId="1171" priority="23" stopIfTrue="1" operator="equal">
      <formula>"Fail"</formula>
    </cfRule>
    <cfRule type="cellIs" dxfId="1170" priority="24" stopIfTrue="1" operator="equal">
      <formula>"Pass"</formula>
    </cfRule>
  </conditionalFormatting>
  <conditionalFormatting sqref="U645 V645:V647">
    <cfRule type="cellIs" dxfId="1169" priority="21" stopIfTrue="1" operator="equal">
      <formula>"Fail"</formula>
    </cfRule>
    <cfRule type="cellIs" dxfId="1168" priority="22" stopIfTrue="1" operator="equal">
      <formula>"Pass"</formula>
    </cfRule>
  </conditionalFormatting>
  <conditionalFormatting sqref="U648 V648:V650">
    <cfRule type="cellIs" dxfId="1167" priority="19" stopIfTrue="1" operator="equal">
      <formula>"Fail"</formula>
    </cfRule>
    <cfRule type="cellIs" dxfId="1166" priority="20" stopIfTrue="1" operator="equal">
      <formula>"Pass"</formula>
    </cfRule>
  </conditionalFormatting>
  <conditionalFormatting sqref="U651 V651:V653">
    <cfRule type="cellIs" dxfId="1165" priority="17" stopIfTrue="1" operator="equal">
      <formula>"Fail"</formula>
    </cfRule>
    <cfRule type="cellIs" dxfId="1164" priority="18" stopIfTrue="1" operator="equal">
      <formula>"Pass"</formula>
    </cfRule>
  </conditionalFormatting>
  <conditionalFormatting sqref="U654 V654:V656">
    <cfRule type="cellIs" dxfId="1163" priority="15" stopIfTrue="1" operator="equal">
      <formula>"Fail"</formula>
    </cfRule>
    <cfRule type="cellIs" dxfId="1162" priority="16" stopIfTrue="1" operator="equal">
      <formula>"Pass"</formula>
    </cfRule>
  </conditionalFormatting>
  <conditionalFormatting sqref="U657 V657:V659">
    <cfRule type="cellIs" dxfId="1161" priority="13" stopIfTrue="1" operator="equal">
      <formula>"Fail"</formula>
    </cfRule>
    <cfRule type="cellIs" dxfId="1160" priority="14" stopIfTrue="1" operator="equal">
      <formula>"Pass"</formula>
    </cfRule>
  </conditionalFormatting>
  <conditionalFormatting sqref="U660 V660:V662">
    <cfRule type="cellIs" dxfId="1159" priority="11" stopIfTrue="1" operator="equal">
      <formula>"Fail"</formula>
    </cfRule>
    <cfRule type="cellIs" dxfId="1158" priority="12" stopIfTrue="1" operator="equal">
      <formula>"Pass"</formula>
    </cfRule>
  </conditionalFormatting>
  <conditionalFormatting sqref="U432 V432:V434">
    <cfRule type="cellIs" dxfId="1157" priority="9" stopIfTrue="1" operator="equal">
      <formula>"Fail"</formula>
    </cfRule>
    <cfRule type="cellIs" dxfId="1156" priority="10" stopIfTrue="1" operator="equal">
      <formula>"Pass"</formula>
    </cfRule>
  </conditionalFormatting>
  <conditionalFormatting sqref="V447 V450">
    <cfRule type="cellIs" dxfId="1155" priority="7" stopIfTrue="1" operator="equal">
      <formula>"Fail"</formula>
    </cfRule>
    <cfRule type="cellIs" dxfId="1154" priority="8" stopIfTrue="1" operator="equal">
      <formula>"Pass"</formula>
    </cfRule>
  </conditionalFormatting>
  <conditionalFormatting sqref="V447 V450">
    <cfRule type="cellIs" dxfId="1153" priority="5" stopIfTrue="1" operator="equal">
      <formula>"Fail"</formula>
    </cfRule>
    <cfRule type="cellIs" dxfId="1152" priority="6" stopIfTrue="1" operator="equal">
      <formula>"Pass"</formula>
    </cfRule>
  </conditionalFormatting>
  <conditionalFormatting sqref="U447 V447:V449">
    <cfRule type="cellIs" dxfId="1151" priority="3" stopIfTrue="1" operator="equal">
      <formula>"Fail"</formula>
    </cfRule>
    <cfRule type="cellIs" dxfId="1150" priority="4" stopIfTrue="1" operator="equal">
      <formula>"Pass"</formula>
    </cfRule>
  </conditionalFormatting>
  <conditionalFormatting sqref="U450 V450:V452">
    <cfRule type="cellIs" dxfId="1149" priority="1" stopIfTrue="1" operator="equal">
      <formula>"Fail"</formula>
    </cfRule>
    <cfRule type="cellIs" dxfId="114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65"/>
  <sheetViews>
    <sheetView tabSelected="1" zoomScale="70" zoomScaleNormal="70" workbookViewId="0">
      <pane ySplit="11" topLeftCell="A444" activePane="bottomLeft" state="frozen"/>
      <selection pane="bottomLeft" activeCell="B466" sqref="B466"/>
    </sheetView>
  </sheetViews>
  <sheetFormatPr defaultColWidth="9" defaultRowHeight="15.75"/>
  <cols>
    <col min="1" max="1" width="13.75" style="378" customWidth="1"/>
    <col min="2" max="2" width="15.1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75" style="323" customWidth="1"/>
    <col min="30" max="33" width="9" style="302"/>
    <col min="34" max="34" width="9" style="122" customWidth="1"/>
    <col min="35" max="35" width="9" style="122"/>
    <col min="36" max="16384" width="9" style="123"/>
  </cols>
  <sheetData>
    <row r="1" spans="1:35" s="182" customFormat="1">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5" thickBot="1">
      <c r="A8" s="321"/>
      <c r="B8" s="399"/>
      <c r="C8" s="408"/>
      <c r="D8" s="430" t="s">
        <v>145</v>
      </c>
      <c r="E8" s="431"/>
      <c r="F8" s="431"/>
      <c r="G8" s="431"/>
      <c r="H8" s="431"/>
      <c r="I8" s="431"/>
      <c r="J8" s="431"/>
      <c r="K8" s="431"/>
      <c r="L8" s="431"/>
      <c r="M8" s="431"/>
      <c r="N8" s="431"/>
      <c r="O8" s="431"/>
      <c r="P8" s="431"/>
      <c r="Q8" s="431"/>
      <c r="R8" s="431"/>
      <c r="S8" s="431"/>
      <c r="T8" s="432"/>
      <c r="X8" s="322"/>
      <c r="AA8" s="123"/>
      <c r="AB8" s="123"/>
      <c r="AD8" s="123"/>
      <c r="AE8" s="123"/>
      <c r="AF8" s="123"/>
      <c r="AG8" s="123"/>
      <c r="AH8" s="123"/>
      <c r="AI8" s="123"/>
    </row>
    <row r="9" spans="1:35">
      <c r="A9" s="398"/>
      <c r="B9" s="399"/>
      <c r="C9" s="399" t="s">
        <v>258</v>
      </c>
      <c r="D9" s="410">
        <v>0</v>
      </c>
      <c r="E9" s="410">
        <v>0</v>
      </c>
      <c r="F9" s="410">
        <v>0</v>
      </c>
      <c r="G9" s="410">
        <v>0</v>
      </c>
      <c r="H9" s="410">
        <v>0</v>
      </c>
      <c r="I9" s="410">
        <v>0</v>
      </c>
      <c r="J9" s="410">
        <v>0</v>
      </c>
      <c r="K9" s="410">
        <v>0</v>
      </c>
      <c r="L9" s="410">
        <v>0</v>
      </c>
      <c r="M9" s="410">
        <v>-90</v>
      </c>
      <c r="N9" s="410">
        <v>-67.5</v>
      </c>
      <c r="O9" s="410">
        <v>-45</v>
      </c>
      <c r="P9" s="410">
        <v>-22.5</v>
      </c>
      <c r="Q9" s="410">
        <v>22.5</v>
      </c>
      <c r="R9" s="410">
        <v>45</v>
      </c>
      <c r="S9" s="410">
        <v>67.5</v>
      </c>
      <c r="T9" s="410">
        <v>90</v>
      </c>
      <c r="X9" s="400"/>
      <c r="AA9" s="123"/>
      <c r="AB9" s="123"/>
      <c r="AD9" s="123"/>
      <c r="AE9" s="123"/>
      <c r="AF9" s="123"/>
      <c r="AG9" s="123"/>
      <c r="AH9" s="123"/>
      <c r="AI9" s="123"/>
    </row>
    <row r="10" spans="1:35" ht="16.5" thickBot="1">
      <c r="A10" s="398"/>
      <c r="B10" s="399"/>
      <c r="C10" s="399" t="s">
        <v>259</v>
      </c>
      <c r="D10" s="410">
        <v>90</v>
      </c>
      <c r="E10" s="410">
        <v>67.5</v>
      </c>
      <c r="F10" s="410">
        <v>45</v>
      </c>
      <c r="G10" s="410">
        <v>22.5</v>
      </c>
      <c r="H10" s="410">
        <v>0</v>
      </c>
      <c r="I10" s="410">
        <v>-22.5</v>
      </c>
      <c r="J10" s="410">
        <v>-45</v>
      </c>
      <c r="K10" s="410">
        <v>-67.5</v>
      </c>
      <c r="L10" s="410">
        <v>-90</v>
      </c>
      <c r="M10" s="410">
        <v>0</v>
      </c>
      <c r="N10" s="410">
        <v>0</v>
      </c>
      <c r="O10" s="410">
        <v>0</v>
      </c>
      <c r="P10" s="410">
        <v>0</v>
      </c>
      <c r="Q10" s="410">
        <v>0</v>
      </c>
      <c r="R10" s="410">
        <v>0</v>
      </c>
      <c r="S10" s="410">
        <v>0</v>
      </c>
      <c r="T10" s="410">
        <v>0</v>
      </c>
      <c r="X10" s="400"/>
      <c r="AA10" s="123"/>
      <c r="AB10" s="123"/>
      <c r="AD10" s="123"/>
      <c r="AE10" s="123"/>
      <c r="AF10" s="123"/>
      <c r="AG10" s="123"/>
      <c r="AH10" s="123"/>
      <c r="AI10" s="123"/>
    </row>
    <row r="11" spans="1:35" s="223" customFormat="1" ht="42" customHeight="1" thickBot="1">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2.25" thickBot="1">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2.25" thickBot="1">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2.25" thickBot="1">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2.25" thickBot="1">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2.25" thickBot="1">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2.25" thickBot="1">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2.25" thickBot="1">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2.25" thickBot="1">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2.25" thickBot="1">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2.25" thickBot="1">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2.25" thickBot="1">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2.25" thickBot="1">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2.25" thickBot="1">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2.25" thickBot="1">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2.25" thickBot="1">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2.25" thickBot="1">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2.25" thickBot="1">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2.25" thickBot="1">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2.25" thickBot="1">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2.25" thickBot="1">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2.25" thickBot="1">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2.25" thickBot="1">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2.25" thickBot="1">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2.25" thickBot="1">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2.25" thickBot="1">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2.25" thickBot="1">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2.25" thickBot="1">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2.25" thickBot="1">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2.25" thickBot="1">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2.25" thickBot="1">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2.25" thickBot="1">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2.25" thickBot="1">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2.25" thickBot="1">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2.25" thickBot="1">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2.25" thickBot="1">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2.25" thickBot="1">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2.25" thickBot="1">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2.25" thickBot="1">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2.25" thickBot="1">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2.25" thickBot="1">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2.25" thickBot="1">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2.25" thickBot="1">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2.25" thickBot="1">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2.25" thickBot="1">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2.25" thickBot="1">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2.25" thickBot="1">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2.25" thickBot="1">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2.25" thickBot="1">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2.25" thickBot="1">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2.25" thickBot="1">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2.25" thickBot="1">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2.25" thickBot="1">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2.25" thickBot="1">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2.25" thickBot="1">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2.25" thickBot="1">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2.25" thickBot="1">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2.25" thickBot="1">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2.25" thickBot="1">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2.25" thickBot="1">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2.25" thickBot="1">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2.25" thickBot="1">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2.25" thickBot="1">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2.25" thickBot="1">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2.25" thickBot="1">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2.25" thickBot="1">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2.25" thickBot="1">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2.25" thickBot="1">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2.25" thickBot="1">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2.25" thickBot="1">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2.25" thickBot="1">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2.25" thickBot="1">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2.25" thickBot="1">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2.25" thickBot="1">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2.25" thickBot="1">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2.25" thickBot="1">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2.25" thickBot="1">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2.25" thickBot="1">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2.25" thickBot="1">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2.25" thickBot="1">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2.25" thickBot="1">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2.25" thickBot="1">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2.25" thickBot="1">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2.25" thickBot="1">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2.25" thickBot="1">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2.25" thickBot="1">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2.25" thickBot="1">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2.25" thickBot="1">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2.25" thickBot="1">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2.25" thickBot="1">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2.25" thickBot="1">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2.25" thickBot="1">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2.25" thickBot="1">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2.25" thickBot="1">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2.25" thickBot="1">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2.25" thickBot="1">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2.25" thickBot="1">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2.25" thickBot="1">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2.25" thickBot="1">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2.25" thickBot="1">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2.25" thickBot="1">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2.25" thickBot="1">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2.25" thickBot="1">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2.25" thickBot="1">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2.25" thickBot="1">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2.25" thickBot="1">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2.25" thickBot="1">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2.25" thickBot="1">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2.25" thickBot="1">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2.25" thickBot="1">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2.25" thickBot="1">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2.25" thickBot="1">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2.25" thickBot="1">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2.25" thickBot="1">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2.25" thickBot="1">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2.25" thickBot="1">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2.25" thickBot="1">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2.25" thickBot="1">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2.25" thickBot="1">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2.25" thickBot="1">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2.25" thickBot="1">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2.25" thickBot="1">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2.25" thickBot="1">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2.25" thickBot="1">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2.25" thickBot="1">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2.25" thickBot="1">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2.25" thickBot="1">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2.25" thickBot="1">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2.25" thickBot="1">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2.25" thickBot="1">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2.25" thickBot="1">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2.25" thickBot="1">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2.25" thickBot="1">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75">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2.25" thickBot="1">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2.25" thickBot="1">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2.25" thickBot="1">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2.25" thickBot="1">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2.25" thickBot="1">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2.25" thickBot="1">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2.25" thickBot="1">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2.25" thickBot="1">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2.25" thickBot="1">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2.25" thickBot="1">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2.25" thickBot="1">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2.25" thickBot="1">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c r="A444" s="248">
        <v>43795</v>
      </c>
      <c r="B444" s="268" t="s">
        <v>76</v>
      </c>
      <c r="C444" s="235" t="s">
        <v>77</v>
      </c>
      <c r="D444" s="409">
        <v>2022.84</v>
      </c>
      <c r="E444" s="409">
        <v>2014.73</v>
      </c>
      <c r="F444" s="409">
        <v>2023.01</v>
      </c>
      <c r="G444" s="409">
        <v>2022.84</v>
      </c>
      <c r="H444" s="409">
        <v>2014.73</v>
      </c>
      <c r="I444" s="409">
        <v>2023.01</v>
      </c>
      <c r="J444" s="409">
        <v>2022.84</v>
      </c>
      <c r="K444" s="409">
        <v>2014.73</v>
      </c>
      <c r="L444" s="409">
        <v>2023.01</v>
      </c>
      <c r="M444" s="409">
        <v>2022.84</v>
      </c>
      <c r="N444" s="409">
        <v>2014.73</v>
      </c>
      <c r="O444" s="409">
        <v>2023.01</v>
      </c>
      <c r="P444" s="409">
        <v>2022.84</v>
      </c>
      <c r="Q444" s="409">
        <v>2014.73</v>
      </c>
      <c r="R444" s="409">
        <v>2022.84</v>
      </c>
      <c r="S444" s="409">
        <v>2014.73</v>
      </c>
      <c r="T444" s="409">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c r="A445" s="371"/>
      <c r="B445" s="276"/>
      <c r="C445" s="235" t="s">
        <v>78</v>
      </c>
      <c r="D445" s="409">
        <v>980.07</v>
      </c>
      <c r="E445" s="409">
        <v>977.57</v>
      </c>
      <c r="F445" s="409">
        <v>977.18</v>
      </c>
      <c r="G445" s="409">
        <v>980.07</v>
      </c>
      <c r="H445" s="409">
        <v>977.57</v>
      </c>
      <c r="I445" s="409">
        <v>977.18</v>
      </c>
      <c r="J445" s="409">
        <v>980.07</v>
      </c>
      <c r="K445" s="409">
        <v>977.57</v>
      </c>
      <c r="L445" s="409">
        <v>977.18</v>
      </c>
      <c r="M445" s="409">
        <v>980.07</v>
      </c>
      <c r="N445" s="409">
        <v>977.57</v>
      </c>
      <c r="O445" s="409">
        <v>977.18</v>
      </c>
      <c r="P445" s="409">
        <v>980.07</v>
      </c>
      <c r="Q445" s="409">
        <v>977.57</v>
      </c>
      <c r="R445" s="409">
        <v>980.07</v>
      </c>
      <c r="S445" s="409">
        <v>977.57</v>
      </c>
      <c r="T445" s="409">
        <v>977.18</v>
      </c>
      <c r="U445" s="337"/>
      <c r="V445" s="337"/>
      <c r="W445" s="337"/>
      <c r="X445" s="359"/>
      <c r="Y445" s="337"/>
      <c r="Z445" s="337"/>
      <c r="AA445" s="339"/>
    </row>
    <row r="446" spans="1:35" ht="32.25" thickBot="1">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2.25" thickBot="1">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c r="A450" s="248">
        <v>43798</v>
      </c>
      <c r="B450" s="268" t="s">
        <v>76</v>
      </c>
      <c r="C450" s="235" t="s">
        <v>77</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35">
        <f>IF((T451=""),"",MAX(D452:T452))</f>
        <v>2171.5200000000004</v>
      </c>
      <c r="V450" s="235">
        <f>IF(T451="","",MIN(D452:T452))</f>
        <v>2012.2399999999998</v>
      </c>
      <c r="W450" s="235">
        <f>IF((T452=""),"",AVERAGE(D452:T452))</f>
        <v>2098.5105882352946</v>
      </c>
      <c r="X450" s="359">
        <f>STDEV(D452:T452)</f>
        <v>42.101913328046777</v>
      </c>
      <c r="Y450" s="235">
        <f>IF((T451=""),"",((U450-V450)/(U450+V450))*100)</f>
        <v>3.8071017457980534</v>
      </c>
      <c r="Z450" s="228" t="str">
        <f>IF(T451="","",IF(Y450&lt;15,IF(W450&gt;AF450,IF(W450&lt;AG450,"Pass","Fail"),"Fail"),"Fail"))</f>
        <v>Pass</v>
      </c>
      <c r="AA450" s="373" t="s">
        <v>261</v>
      </c>
      <c r="AB450" s="381" t="s">
        <v>262</v>
      </c>
      <c r="AD450" s="302">
        <v>1600</v>
      </c>
      <c r="AE450" s="302">
        <v>2600</v>
      </c>
      <c r="AF450" s="334">
        <v>1690</v>
      </c>
      <c r="AG450" s="334">
        <v>2210</v>
      </c>
      <c r="AH450" s="335">
        <v>15</v>
      </c>
      <c r="AI450" s="335">
        <v>15</v>
      </c>
    </row>
    <row r="451" spans="1:35">
      <c r="A451" s="371"/>
      <c r="B451" s="276"/>
      <c r="C451" s="235" t="s">
        <v>78</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37"/>
      <c r="V451" s="337"/>
      <c r="W451" s="337"/>
      <c r="X451" s="359"/>
      <c r="Y451" s="337"/>
      <c r="Z451" s="337"/>
      <c r="AA451" s="339"/>
    </row>
    <row r="452" spans="1:35" ht="32.25" thickBot="1">
      <c r="A452" s="372"/>
      <c r="B452" s="281"/>
      <c r="C452" s="243" t="s">
        <v>221</v>
      </c>
      <c r="D452" s="337">
        <f t="shared" ref="D452:I452" si="206">IF(((D450="")*AND(D451="")),"",(D450-D451)*2)</f>
        <v>2012.2399999999998</v>
      </c>
      <c r="E452" s="337">
        <f t="shared" si="206"/>
        <v>2035.7199999999998</v>
      </c>
      <c r="F452" s="337">
        <f t="shared" si="206"/>
        <v>2050.46</v>
      </c>
      <c r="G452" s="337">
        <f t="shared" si="206"/>
        <v>2065.8199999999997</v>
      </c>
      <c r="H452" s="337">
        <f t="shared" si="206"/>
        <v>2089.3599999999997</v>
      </c>
      <c r="I452" s="337">
        <f t="shared" si="206"/>
        <v>2116.7200000000003</v>
      </c>
      <c r="J452" s="337">
        <f>IF(((J450="")*AND(J451="")),"",(J450-J451)*2)</f>
        <v>2146.8599999999997</v>
      </c>
      <c r="K452" s="337">
        <f>IF(((K450="")*AND(K451="")),"",(K450-K451)*2)</f>
        <v>2169.48</v>
      </c>
      <c r="L452" s="337">
        <f>IF(((L450="")*AND(L451="")),"",(L450-L451)*2)</f>
        <v>2171.5200000000004</v>
      </c>
      <c r="M452" s="337">
        <f>IF(((M450="")*AND(M451="")),"",(M450-M451)*2)</f>
        <v>2096.8200000000002</v>
      </c>
      <c r="N452" s="337">
        <f t="shared" ref="N452:T452" si="207">IF(((N450="")*AND(N451="")),"",(N450-N451)*2)</f>
        <v>2111.0200000000004</v>
      </c>
      <c r="O452" s="337">
        <f t="shared" si="207"/>
        <v>2101.42</v>
      </c>
      <c r="P452" s="337">
        <f t="shared" si="207"/>
        <v>2094.96</v>
      </c>
      <c r="Q452" s="337">
        <f t="shared" si="207"/>
        <v>2093.8199999999997</v>
      </c>
      <c r="R452" s="337">
        <f t="shared" si="207"/>
        <v>2102.3200000000002</v>
      </c>
      <c r="S452" s="337">
        <f t="shared" si="207"/>
        <v>2114.34</v>
      </c>
      <c r="T452" s="337">
        <f t="shared" si="207"/>
        <v>2101.8000000000002</v>
      </c>
      <c r="U452" s="337"/>
      <c r="V452" s="337"/>
      <c r="W452" s="337"/>
      <c r="X452" s="366"/>
      <c r="Y452" s="337"/>
      <c r="Z452" s="337"/>
      <c r="AA452" s="339"/>
    </row>
    <row r="453" spans="1:35">
      <c r="A453" s="248">
        <v>43801</v>
      </c>
      <c r="B453" s="268" t="s">
        <v>76</v>
      </c>
      <c r="C453" s="235" t="s">
        <v>77</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35">
        <f>IF((T454=""),"",MAX(D455:T455))</f>
        <v>2140.62</v>
      </c>
      <c r="V453" s="235">
        <f>IF(T454="","",MIN(D455:T455))</f>
        <v>2019.3999999999999</v>
      </c>
      <c r="W453" s="235">
        <f>IF((T455=""),"",AVERAGE(D455:T455))</f>
        <v>2086.2541176470586</v>
      </c>
      <c r="X453" s="359">
        <f>STDEV(D455:T455)</f>
        <v>32.622733457441797</v>
      </c>
      <c r="Y453" s="235">
        <f>IF((T454=""),"",((U453-V453)/(U453+V453))*100)</f>
        <v>2.9139282984216432</v>
      </c>
      <c r="Z453" s="228" t="str">
        <f>IF(T454="","",IF(Y453&lt;15,IF(W453&gt;AF453,IF(W453&lt;AG453,"Pass","Fail"),"Fail"),"Fail"))</f>
        <v>Pass</v>
      </c>
      <c r="AA453" s="373">
        <v>1335</v>
      </c>
      <c r="AB453" s="377" t="s">
        <v>263</v>
      </c>
      <c r="AD453" s="302">
        <v>1600</v>
      </c>
      <c r="AE453" s="302">
        <v>2600</v>
      </c>
      <c r="AF453" s="334">
        <v>1690</v>
      </c>
      <c r="AG453" s="334">
        <v>2210</v>
      </c>
      <c r="AH453" s="335">
        <v>15</v>
      </c>
      <c r="AI453" s="335">
        <v>15</v>
      </c>
    </row>
    <row r="454" spans="1:35">
      <c r="A454" s="371"/>
      <c r="B454" s="276"/>
      <c r="C454" s="235" t="s">
        <v>78</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37"/>
      <c r="V454" s="337"/>
      <c r="W454" s="337"/>
      <c r="X454" s="359"/>
      <c r="Y454" s="337"/>
      <c r="Z454" s="337"/>
      <c r="AA454" s="339"/>
    </row>
    <row r="455" spans="1:35" ht="32.25" thickBot="1">
      <c r="A455" s="372"/>
      <c r="B455" s="281"/>
      <c r="C455" s="243" t="s">
        <v>221</v>
      </c>
      <c r="D455" s="337">
        <f t="shared" ref="D455:I455" si="208">IF(((D453="")*AND(D454="")),"",(D453-D454)*2)</f>
        <v>2019.3999999999999</v>
      </c>
      <c r="E455" s="337">
        <f t="shared" si="208"/>
        <v>2040.2600000000002</v>
      </c>
      <c r="F455" s="337">
        <f t="shared" si="208"/>
        <v>2048.4800000000005</v>
      </c>
      <c r="G455" s="337">
        <f t="shared" si="208"/>
        <v>2058.8000000000002</v>
      </c>
      <c r="H455" s="337">
        <f t="shared" si="208"/>
        <v>2074.16</v>
      </c>
      <c r="I455" s="337">
        <f t="shared" si="208"/>
        <v>2095.98</v>
      </c>
      <c r="J455" s="337">
        <f>IF(((J453="")*AND(J454="")),"",(J453-J454)*2)</f>
        <v>2121.1000000000004</v>
      </c>
      <c r="K455" s="337">
        <f>IF(((K453="")*AND(K454="")),"",(K453-K454)*2)</f>
        <v>2140.62</v>
      </c>
      <c r="L455" s="337">
        <f>IF(((L453="")*AND(L454="")),"",(L453-L454)*2)</f>
        <v>2137.96</v>
      </c>
      <c r="M455" s="337">
        <f>IF(((M453="")*AND(M454="")),"",(M453-M454)*2)</f>
        <v>2105.6800000000003</v>
      </c>
      <c r="N455" s="337">
        <f t="shared" ref="N455:T455" si="209">IF(((N453="")*AND(N454="")),"",(N453-N454)*2)</f>
        <v>2108.44</v>
      </c>
      <c r="O455" s="337">
        <f t="shared" si="209"/>
        <v>2098.4799999999996</v>
      </c>
      <c r="P455" s="337">
        <f t="shared" si="209"/>
        <v>2084.1999999999998</v>
      </c>
      <c r="Q455" s="337">
        <f t="shared" si="209"/>
        <v>2078.96</v>
      </c>
      <c r="R455" s="337">
        <f t="shared" si="209"/>
        <v>2083.44</v>
      </c>
      <c r="S455" s="337">
        <f t="shared" si="209"/>
        <v>2091.9399999999996</v>
      </c>
      <c r="T455" s="337">
        <f t="shared" si="209"/>
        <v>2078.42</v>
      </c>
      <c r="U455" s="337"/>
      <c r="V455" s="337"/>
      <c r="W455" s="337"/>
      <c r="X455" s="366"/>
      <c r="Y455" s="337"/>
      <c r="Z455" s="337"/>
      <c r="AA455" s="339"/>
    </row>
    <row r="456" spans="1:35">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c r="A457" s="371"/>
      <c r="B457" s="276"/>
      <c r="C457" s="235" t="s">
        <v>78</v>
      </c>
      <c r="U457" s="337"/>
      <c r="V457" s="337"/>
      <c r="W457" s="337"/>
      <c r="X457" s="359"/>
      <c r="Y457" s="337"/>
      <c r="Z457" s="337"/>
      <c r="AA457" s="339"/>
    </row>
    <row r="458" spans="1:35" ht="32.25" thickBot="1">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c r="A460" s="371"/>
      <c r="B460" s="276"/>
      <c r="C460" s="235" t="s">
        <v>78</v>
      </c>
      <c r="U460" s="337"/>
      <c r="V460" s="337"/>
      <c r="W460" s="337"/>
      <c r="X460" s="359"/>
      <c r="Y460" s="337"/>
      <c r="Z460" s="337"/>
      <c r="AA460" s="339"/>
    </row>
    <row r="461" spans="1:35" ht="32.25" thickBot="1">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c r="A463" s="371"/>
      <c r="B463" s="276"/>
      <c r="C463" s="235" t="s">
        <v>78</v>
      </c>
      <c r="U463" s="337"/>
      <c r="V463" s="337"/>
      <c r="W463" s="337"/>
      <c r="X463" s="359"/>
      <c r="Y463" s="337"/>
      <c r="Z463" s="337"/>
      <c r="AA463" s="339"/>
    </row>
    <row r="464" spans="1:35" ht="32.25" thickBot="1">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c r="A466" s="371"/>
      <c r="B466" s="276"/>
      <c r="C466" s="235" t="s">
        <v>78</v>
      </c>
      <c r="U466" s="337"/>
      <c r="V466" s="337"/>
      <c r="W466" s="337"/>
      <c r="X466" s="359"/>
      <c r="Y466" s="337"/>
      <c r="Z466" s="337"/>
      <c r="AA466" s="339"/>
    </row>
    <row r="467" spans="1:35" ht="32.25" thickBot="1">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c r="A469" s="371"/>
      <c r="B469" s="276"/>
      <c r="C469" s="235" t="s">
        <v>78</v>
      </c>
      <c r="U469" s="337"/>
      <c r="V469" s="337"/>
      <c r="W469" s="337"/>
      <c r="X469" s="359"/>
      <c r="Y469" s="337"/>
      <c r="Z469" s="337"/>
      <c r="AA469" s="339"/>
    </row>
    <row r="470" spans="1:35" ht="32.25" thickBot="1">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c r="A472" s="371"/>
      <c r="B472" s="276"/>
      <c r="C472" s="235" t="s">
        <v>78</v>
      </c>
      <c r="U472" s="337"/>
      <c r="V472" s="337"/>
      <c r="W472" s="337"/>
      <c r="X472" s="359"/>
      <c r="Y472" s="337"/>
      <c r="Z472" s="337"/>
      <c r="AA472" s="339"/>
    </row>
    <row r="473" spans="1:35" ht="32.25" thickBot="1">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c r="A475" s="371"/>
      <c r="B475" s="276"/>
      <c r="C475" s="235" t="s">
        <v>78</v>
      </c>
      <c r="U475" s="337"/>
      <c r="V475" s="337"/>
      <c r="W475" s="337"/>
      <c r="X475" s="359"/>
      <c r="Y475" s="337"/>
      <c r="Z475" s="337"/>
      <c r="AA475" s="339"/>
    </row>
    <row r="476" spans="1:35" ht="32.25" thickBot="1">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c r="A478" s="371"/>
      <c r="B478" s="276"/>
      <c r="C478" s="235" t="s">
        <v>78</v>
      </c>
      <c r="U478" s="337"/>
      <c r="V478" s="337"/>
      <c r="W478" s="337"/>
      <c r="X478" s="359"/>
      <c r="Y478" s="337"/>
      <c r="Z478" s="337"/>
      <c r="AA478" s="339"/>
    </row>
    <row r="479" spans="1:35" ht="32.25" thickBot="1">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c r="A481" s="371"/>
      <c r="B481" s="276"/>
      <c r="C481" s="235" t="s">
        <v>78</v>
      </c>
      <c r="U481" s="337"/>
      <c r="V481" s="337"/>
      <c r="W481" s="337"/>
      <c r="X481" s="359"/>
      <c r="Y481" s="337"/>
      <c r="Z481" s="337"/>
      <c r="AA481" s="339"/>
    </row>
    <row r="482" spans="1:35" ht="32.25" thickBot="1">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c r="A484" s="371"/>
      <c r="B484" s="276"/>
      <c r="C484" s="235" t="s">
        <v>78</v>
      </c>
      <c r="U484" s="337"/>
      <c r="V484" s="337"/>
      <c r="W484" s="337"/>
      <c r="X484" s="359"/>
      <c r="Y484" s="337"/>
      <c r="Z484" s="337"/>
      <c r="AA484" s="339"/>
    </row>
    <row r="485" spans="1:35" ht="32.25" thickBot="1">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c r="A487" s="371"/>
      <c r="B487" s="276"/>
      <c r="C487" s="235" t="s">
        <v>78</v>
      </c>
      <c r="U487" s="337"/>
      <c r="V487" s="337"/>
      <c r="W487" s="337"/>
      <c r="X487" s="359"/>
      <c r="Y487" s="337"/>
      <c r="Z487" s="337"/>
      <c r="AA487" s="339"/>
    </row>
    <row r="488" spans="1:35" ht="32.25" thickBot="1">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c r="A490" s="371"/>
      <c r="B490" s="276"/>
      <c r="C490" s="235" t="s">
        <v>78</v>
      </c>
      <c r="U490" s="337"/>
      <c r="V490" s="337"/>
      <c r="W490" s="337"/>
      <c r="X490" s="359"/>
      <c r="Y490" s="337"/>
      <c r="Z490" s="337"/>
      <c r="AA490" s="339"/>
    </row>
    <row r="491" spans="1:35" ht="32.25" thickBot="1">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c r="A493" s="371"/>
      <c r="B493" s="276"/>
      <c r="C493" s="235" t="s">
        <v>78</v>
      </c>
      <c r="U493" s="337"/>
      <c r="V493" s="337"/>
      <c r="W493" s="337"/>
      <c r="X493" s="359"/>
      <c r="Y493" s="337"/>
      <c r="Z493" s="337"/>
      <c r="AA493" s="339"/>
    </row>
    <row r="494" spans="1:35" ht="32.25" thickBot="1">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c r="A496" s="371"/>
      <c r="B496" s="276"/>
      <c r="C496" s="235" t="s">
        <v>78</v>
      </c>
      <c r="U496" s="337"/>
      <c r="V496" s="337"/>
      <c r="W496" s="337"/>
      <c r="X496" s="359"/>
      <c r="Y496" s="337"/>
      <c r="Z496" s="337"/>
      <c r="AA496" s="339"/>
    </row>
    <row r="497" spans="1:35" ht="32.25" thickBot="1">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c r="A499" s="371"/>
      <c r="B499" s="276"/>
      <c r="C499" s="235" t="s">
        <v>78</v>
      </c>
      <c r="U499" s="337"/>
      <c r="V499" s="337"/>
      <c r="W499" s="337"/>
      <c r="X499" s="359"/>
      <c r="Y499" s="337"/>
      <c r="Z499" s="337"/>
      <c r="AA499" s="339"/>
    </row>
    <row r="500" spans="1:35" ht="32.25" thickBot="1">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c r="A502" s="371"/>
      <c r="B502" s="276"/>
      <c r="C502" s="235" t="s">
        <v>78</v>
      </c>
      <c r="U502" s="337"/>
      <c r="V502" s="337"/>
      <c r="W502" s="337"/>
      <c r="X502" s="359"/>
      <c r="Y502" s="337"/>
      <c r="Z502" s="337"/>
      <c r="AA502" s="339"/>
    </row>
    <row r="503" spans="1:35" ht="32.25" thickBot="1">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c r="A505" s="371"/>
      <c r="B505" s="276"/>
      <c r="C505" s="235" t="s">
        <v>78</v>
      </c>
      <c r="U505" s="337"/>
      <c r="V505" s="337"/>
      <c r="W505" s="337"/>
      <c r="X505" s="359"/>
      <c r="Y505" s="337"/>
      <c r="Z505" s="337"/>
      <c r="AA505" s="339"/>
    </row>
    <row r="506" spans="1:35" ht="32.25" thickBot="1">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c r="A508" s="371"/>
      <c r="B508" s="276"/>
      <c r="C508" s="235" t="s">
        <v>78</v>
      </c>
      <c r="U508" s="337"/>
      <c r="V508" s="337"/>
      <c r="W508" s="337"/>
      <c r="X508" s="359"/>
      <c r="Y508" s="337"/>
      <c r="Z508" s="337"/>
      <c r="AA508" s="339"/>
    </row>
    <row r="509" spans="1:35" ht="32.25" thickBot="1">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c r="B510" s="268" t="s">
        <v>76</v>
      </c>
    </row>
    <row r="511" spans="1:35">
      <c r="B511" s="276"/>
    </row>
    <row r="512" spans="1:35" ht="16.5" thickBot="1">
      <c r="B512" s="281"/>
    </row>
    <row r="513" spans="2:2">
      <c r="B513" s="268" t="s">
        <v>76</v>
      </c>
    </row>
    <row r="514" spans="2:2">
      <c r="B514" s="276"/>
    </row>
    <row r="515" spans="2:2" ht="16.5" thickBot="1">
      <c r="B515" s="281"/>
    </row>
    <row r="516" spans="2:2">
      <c r="B516" s="268" t="s">
        <v>76</v>
      </c>
    </row>
    <row r="517" spans="2:2">
      <c r="B517" s="276"/>
    </row>
    <row r="518" spans="2:2" ht="16.5" thickBot="1">
      <c r="B518" s="281"/>
    </row>
    <row r="519" spans="2:2">
      <c r="B519" s="268" t="s">
        <v>76</v>
      </c>
    </row>
    <row r="520" spans="2:2">
      <c r="B520" s="276"/>
    </row>
    <row r="521" spans="2:2" ht="16.5" thickBot="1">
      <c r="B521" s="281"/>
    </row>
    <row r="522" spans="2:2">
      <c r="B522" s="268" t="s">
        <v>76</v>
      </c>
    </row>
    <row r="523" spans="2:2">
      <c r="B523" s="276"/>
    </row>
    <row r="524" spans="2:2" ht="16.5" thickBot="1">
      <c r="B524" s="281"/>
    </row>
    <row r="525" spans="2:2">
      <c r="B525" s="268" t="s">
        <v>76</v>
      </c>
    </row>
    <row r="526" spans="2:2">
      <c r="B526" s="276"/>
    </row>
    <row r="527" spans="2:2" ht="16.5" thickBot="1">
      <c r="B527" s="281"/>
    </row>
    <row r="528" spans="2:2">
      <c r="B528" s="268" t="s">
        <v>76</v>
      </c>
    </row>
    <row r="529" spans="2:2">
      <c r="B529" s="276"/>
    </row>
    <row r="530" spans="2:2" ht="16.5" thickBot="1">
      <c r="B530" s="281"/>
    </row>
    <row r="531" spans="2:2">
      <c r="B531" s="268" t="s">
        <v>76</v>
      </c>
    </row>
    <row r="532" spans="2:2">
      <c r="B532" s="276"/>
    </row>
    <row r="533" spans="2:2" ht="16.5" thickBot="1">
      <c r="B533" s="281"/>
    </row>
    <row r="534" spans="2:2">
      <c r="B534" s="268" t="s">
        <v>76</v>
      </c>
    </row>
    <row r="535" spans="2:2">
      <c r="B535" s="276"/>
    </row>
    <row r="536" spans="2:2" ht="16.5" thickBot="1">
      <c r="B536" s="281"/>
    </row>
    <row r="537" spans="2:2">
      <c r="B537" s="268" t="s">
        <v>76</v>
      </c>
    </row>
    <row r="538" spans="2:2">
      <c r="B538" s="276"/>
    </row>
    <row r="539" spans="2:2" ht="16.5" thickBot="1">
      <c r="B539" s="281"/>
    </row>
    <row r="540" spans="2:2">
      <c r="B540" s="268" t="s">
        <v>76</v>
      </c>
    </row>
    <row r="541" spans="2:2">
      <c r="B541" s="276"/>
    </row>
    <row r="542" spans="2:2" ht="16.5" thickBot="1">
      <c r="B542" s="281"/>
    </row>
    <row r="543" spans="2:2">
      <c r="B543" s="268" t="s">
        <v>76</v>
      </c>
    </row>
    <row r="544" spans="2:2">
      <c r="B544" s="276"/>
    </row>
    <row r="545" spans="2:2" ht="16.5" thickBot="1">
      <c r="B545" s="281"/>
    </row>
    <row r="546" spans="2:2">
      <c r="B546" s="268" t="s">
        <v>76</v>
      </c>
    </row>
    <row r="547" spans="2:2">
      <c r="B547" s="276"/>
    </row>
    <row r="548" spans="2:2" ht="16.5" thickBot="1">
      <c r="B548" s="281"/>
    </row>
    <row r="549" spans="2:2">
      <c r="B549" s="268" t="s">
        <v>76</v>
      </c>
    </row>
    <row r="550" spans="2:2">
      <c r="B550" s="276"/>
    </row>
    <row r="551" spans="2:2" ht="16.5" thickBot="1">
      <c r="B551" s="281"/>
    </row>
    <row r="552" spans="2:2">
      <c r="B552" s="268" t="s">
        <v>76</v>
      </c>
    </row>
    <row r="553" spans="2:2">
      <c r="B553" s="276"/>
    </row>
    <row r="554" spans="2:2" ht="16.5" thickBot="1">
      <c r="B554" s="281"/>
    </row>
    <row r="555" spans="2:2">
      <c r="B555" s="268" t="s">
        <v>76</v>
      </c>
    </row>
    <row r="556" spans="2:2">
      <c r="B556" s="276"/>
    </row>
    <row r="557" spans="2:2" ht="16.5" thickBot="1">
      <c r="B557" s="281"/>
    </row>
    <row r="558" spans="2:2">
      <c r="B558" s="268" t="s">
        <v>76</v>
      </c>
    </row>
    <row r="559" spans="2:2">
      <c r="B559" s="276"/>
    </row>
    <row r="560" spans="2:2" ht="16.5" thickBot="1">
      <c r="B560" s="281"/>
    </row>
    <row r="561" spans="2:2">
      <c r="B561" s="268" t="s">
        <v>76</v>
      </c>
    </row>
    <row r="562" spans="2:2">
      <c r="B562" s="276"/>
    </row>
    <row r="563" spans="2:2" ht="16.5" thickBot="1">
      <c r="B563" s="281"/>
    </row>
    <row r="564" spans="2:2">
      <c r="B564" s="268" t="s">
        <v>76</v>
      </c>
    </row>
    <row r="565" spans="2:2">
      <c r="B565" s="276"/>
    </row>
    <row r="566" spans="2:2" ht="16.5" thickBot="1">
      <c r="B566" s="281"/>
    </row>
    <row r="567" spans="2:2">
      <c r="B567" s="268" t="s">
        <v>76</v>
      </c>
    </row>
    <row r="568" spans="2:2">
      <c r="B568" s="276"/>
    </row>
    <row r="569" spans="2:2" ht="16.5" thickBot="1">
      <c r="B569" s="281"/>
    </row>
    <row r="570" spans="2:2">
      <c r="B570" s="268" t="s">
        <v>76</v>
      </c>
    </row>
    <row r="571" spans="2:2">
      <c r="B571" s="276"/>
    </row>
    <row r="572" spans="2:2" ht="16.5" thickBot="1">
      <c r="B572" s="281"/>
    </row>
    <row r="573" spans="2:2">
      <c r="B573" s="268" t="s">
        <v>76</v>
      </c>
    </row>
    <row r="574" spans="2:2">
      <c r="B574" s="276"/>
    </row>
    <row r="575" spans="2:2" ht="16.5" thickBot="1">
      <c r="B575" s="281"/>
    </row>
    <row r="576" spans="2:2">
      <c r="B576" s="268" t="s">
        <v>76</v>
      </c>
    </row>
    <row r="577" spans="2:2">
      <c r="B577" s="276"/>
    </row>
    <row r="578" spans="2:2" ht="16.5" thickBot="1">
      <c r="B578" s="281"/>
    </row>
    <row r="579" spans="2:2">
      <c r="B579" s="268" t="s">
        <v>76</v>
      </c>
    </row>
    <row r="580" spans="2:2">
      <c r="B580" s="276"/>
    </row>
    <row r="581" spans="2:2" ht="16.5" thickBot="1">
      <c r="B581" s="281"/>
    </row>
    <row r="582" spans="2:2">
      <c r="B582" s="268" t="s">
        <v>76</v>
      </c>
    </row>
    <row r="583" spans="2:2">
      <c r="B583" s="276"/>
    </row>
    <row r="584" spans="2:2" ht="16.5" thickBot="1">
      <c r="B584" s="281"/>
    </row>
    <row r="585" spans="2:2">
      <c r="B585" s="268" t="s">
        <v>76</v>
      </c>
    </row>
    <row r="586" spans="2:2">
      <c r="B586" s="276"/>
    </row>
    <row r="587" spans="2:2" ht="16.5" thickBot="1">
      <c r="B587" s="281"/>
    </row>
    <row r="588" spans="2:2">
      <c r="B588" s="268" t="s">
        <v>76</v>
      </c>
    </row>
    <row r="589" spans="2:2">
      <c r="B589" s="276"/>
    </row>
    <row r="590" spans="2:2" ht="16.5" thickBot="1">
      <c r="B590" s="281"/>
    </row>
    <row r="591" spans="2:2">
      <c r="B591" s="268" t="s">
        <v>76</v>
      </c>
    </row>
    <row r="592" spans="2:2">
      <c r="B592" s="276"/>
    </row>
    <row r="593" spans="2:2" ht="16.5" thickBot="1">
      <c r="B593" s="281"/>
    </row>
    <row r="594" spans="2:2">
      <c r="B594" s="268" t="s">
        <v>76</v>
      </c>
    </row>
    <row r="595" spans="2:2">
      <c r="B595" s="276"/>
    </row>
    <row r="596" spans="2:2" ht="16.5" thickBot="1">
      <c r="B596" s="281"/>
    </row>
    <row r="597" spans="2:2">
      <c r="B597" s="268" t="s">
        <v>76</v>
      </c>
    </row>
    <row r="598" spans="2:2">
      <c r="B598" s="276"/>
    </row>
    <row r="599" spans="2:2" ht="16.5" thickBot="1">
      <c r="B599" s="281"/>
    </row>
    <row r="600" spans="2:2">
      <c r="B600" s="268" t="s">
        <v>76</v>
      </c>
    </row>
    <row r="601" spans="2:2">
      <c r="B601" s="276"/>
    </row>
    <row r="602" spans="2:2" ht="16.5" thickBot="1">
      <c r="B602" s="281"/>
    </row>
    <row r="603" spans="2:2">
      <c r="B603" s="268" t="s">
        <v>76</v>
      </c>
    </row>
    <row r="604" spans="2:2">
      <c r="B604" s="276"/>
    </row>
    <row r="605" spans="2:2" ht="16.5" thickBot="1">
      <c r="B605" s="281"/>
    </row>
    <row r="606" spans="2:2">
      <c r="B606" s="268" t="s">
        <v>76</v>
      </c>
    </row>
    <row r="607" spans="2:2">
      <c r="B607" s="276"/>
    </row>
    <row r="608" spans="2:2" ht="16.5" thickBot="1">
      <c r="B608" s="281"/>
    </row>
    <row r="609" spans="2:2">
      <c r="B609" s="268" t="s">
        <v>76</v>
      </c>
    </row>
    <row r="610" spans="2:2">
      <c r="B610" s="276"/>
    </row>
    <row r="611" spans="2:2" ht="16.5" thickBot="1">
      <c r="B611" s="281"/>
    </row>
    <row r="612" spans="2:2">
      <c r="B612" s="268" t="s">
        <v>76</v>
      </c>
    </row>
    <row r="613" spans="2:2">
      <c r="B613" s="276"/>
    </row>
    <row r="614" spans="2:2" ht="16.5" thickBot="1">
      <c r="B614" s="281"/>
    </row>
    <row r="615" spans="2:2">
      <c r="B615" s="268" t="s">
        <v>76</v>
      </c>
    </row>
    <row r="616" spans="2:2">
      <c r="B616" s="276"/>
    </row>
    <row r="617" spans="2:2" ht="16.5" thickBot="1">
      <c r="B617" s="281"/>
    </row>
    <row r="618" spans="2:2">
      <c r="B618" s="268" t="s">
        <v>76</v>
      </c>
    </row>
    <row r="619" spans="2:2">
      <c r="B619" s="276"/>
    </row>
    <row r="620" spans="2:2" ht="16.5" thickBot="1">
      <c r="B620" s="281"/>
    </row>
    <row r="621" spans="2:2">
      <c r="B621" s="268" t="s">
        <v>76</v>
      </c>
    </row>
    <row r="622" spans="2:2">
      <c r="B622" s="276"/>
    </row>
    <row r="623" spans="2:2" ht="16.5" thickBot="1">
      <c r="B623" s="281"/>
    </row>
    <row r="624" spans="2:2">
      <c r="B624" s="268" t="s">
        <v>76</v>
      </c>
    </row>
    <row r="625" spans="2:2">
      <c r="B625" s="276"/>
    </row>
    <row r="626" spans="2:2" ht="16.5" thickBot="1">
      <c r="B626" s="281"/>
    </row>
    <row r="627" spans="2:2">
      <c r="B627" s="268" t="s">
        <v>76</v>
      </c>
    </row>
    <row r="628" spans="2:2">
      <c r="B628" s="276"/>
    </row>
    <row r="629" spans="2:2" ht="16.5" thickBot="1">
      <c r="B629" s="281"/>
    </row>
    <row r="630" spans="2:2">
      <c r="B630" s="268" t="s">
        <v>76</v>
      </c>
    </row>
    <row r="631" spans="2:2">
      <c r="B631" s="276"/>
    </row>
    <row r="632" spans="2:2" ht="16.5" thickBot="1">
      <c r="B632" s="281"/>
    </row>
    <row r="633" spans="2:2">
      <c r="B633" s="268" t="s">
        <v>76</v>
      </c>
    </row>
    <row r="634" spans="2:2">
      <c r="B634" s="276"/>
    </row>
    <row r="635" spans="2:2" ht="16.5" thickBot="1">
      <c r="B635" s="281"/>
    </row>
    <row r="636" spans="2:2">
      <c r="B636" s="268" t="s">
        <v>76</v>
      </c>
    </row>
    <row r="637" spans="2:2">
      <c r="B637" s="276"/>
    </row>
    <row r="638" spans="2:2" ht="16.5" thickBot="1">
      <c r="B638" s="281"/>
    </row>
    <row r="639" spans="2:2">
      <c r="B639" s="268" t="s">
        <v>76</v>
      </c>
    </row>
    <row r="640" spans="2:2">
      <c r="B640" s="276"/>
    </row>
    <row r="641" spans="2:2" ht="16.5" thickBot="1">
      <c r="B641" s="281"/>
    </row>
    <row r="642" spans="2:2">
      <c r="B642" s="268" t="s">
        <v>76</v>
      </c>
    </row>
    <row r="643" spans="2:2">
      <c r="B643" s="276"/>
    </row>
    <row r="644" spans="2:2" ht="16.5" thickBot="1">
      <c r="B644" s="281"/>
    </row>
    <row r="645" spans="2:2">
      <c r="B645" s="268" t="s">
        <v>76</v>
      </c>
    </row>
    <row r="646" spans="2:2">
      <c r="B646" s="276"/>
    </row>
    <row r="647" spans="2:2" ht="16.5" thickBot="1">
      <c r="B647" s="281"/>
    </row>
    <row r="648" spans="2:2">
      <c r="B648" s="268" t="s">
        <v>76</v>
      </c>
    </row>
    <row r="649" spans="2:2">
      <c r="B649" s="276"/>
    </row>
    <row r="650" spans="2:2" ht="16.5" thickBot="1">
      <c r="B650" s="281"/>
    </row>
    <row r="651" spans="2:2">
      <c r="B651" s="268" t="s">
        <v>76</v>
      </c>
    </row>
    <row r="652" spans="2:2">
      <c r="B652" s="276"/>
    </row>
    <row r="653" spans="2:2" ht="16.5" thickBot="1">
      <c r="B653" s="281"/>
    </row>
    <row r="654" spans="2:2">
      <c r="B654" s="268" t="s">
        <v>76</v>
      </c>
    </row>
    <row r="655" spans="2:2">
      <c r="B655" s="276"/>
    </row>
    <row r="656" spans="2:2" ht="16.5" thickBot="1">
      <c r="B656" s="281"/>
    </row>
    <row r="657" spans="2:2">
      <c r="B657" s="268" t="s">
        <v>76</v>
      </c>
    </row>
    <row r="658" spans="2:2">
      <c r="B658" s="276"/>
    </row>
    <row r="659" spans="2:2" ht="16.5" thickBot="1">
      <c r="B659" s="281"/>
    </row>
    <row r="660" spans="2:2">
      <c r="B660" s="268" t="s">
        <v>76</v>
      </c>
    </row>
    <row r="661" spans="2:2">
      <c r="B661" s="276"/>
    </row>
    <row r="662" spans="2:2" ht="16.5" thickBot="1">
      <c r="B662" s="281"/>
    </row>
    <row r="663" spans="2:2">
      <c r="B663" s="268" t="s">
        <v>76</v>
      </c>
    </row>
    <row r="664" spans="2:2">
      <c r="B664" s="276"/>
    </row>
    <row r="665" spans="2:2" ht="16.5" thickBot="1">
      <c r="B665" s="281"/>
    </row>
  </sheetData>
  <autoFilter ref="A11:AI51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7" priority="7" stopIfTrue="1" operator="equal">
      <formula>"Fail"</formula>
    </cfRule>
    <cfRule type="cellIs" dxfId="1146" priority="8" stopIfTrue="1" operator="equal">
      <formula>"Pass"</formula>
    </cfRule>
  </conditionalFormatting>
  <conditionalFormatting sqref="Z417 Z420 Z423 Z426">
    <cfRule type="cellIs" dxfId="1145" priority="5" stopIfTrue="1" operator="equal">
      <formula>"Fail"</formula>
    </cfRule>
    <cfRule type="cellIs" dxfId="1144" priority="6" stopIfTrue="1" operator="equal">
      <formula>"Pass"</formula>
    </cfRule>
  </conditionalFormatting>
  <conditionalFormatting sqref="Z429">
    <cfRule type="cellIs" dxfId="1143" priority="3" stopIfTrue="1" operator="equal">
      <formula>"Fail"</formula>
    </cfRule>
    <cfRule type="cellIs" dxfId="1142" priority="4" stopIfTrue="1" operator="equal">
      <formula>"Pass"</formula>
    </cfRule>
  </conditionalFormatting>
  <conditionalFormatting sqref="Z450 Z453">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R279"/>
  <sheetViews>
    <sheetView zoomScale="85" zoomScaleNormal="85" workbookViewId="0">
      <selection activeCell="E13" sqref="E13"/>
    </sheetView>
  </sheetViews>
  <sheetFormatPr defaultRowHeight="15.75"/>
  <cols>
    <col min="1" max="1" width="8.625" customWidth="1"/>
    <col min="10" max="10" width="13.125" customWidth="1"/>
    <col min="13" max="13" width="12.75" bestFit="1" customWidth="1"/>
    <col min="21" max="21" width="10.125" bestFit="1" customWidth="1"/>
  </cols>
  <sheetData>
    <row r="2" spans="1:174" ht="19.5" thickBot="1">
      <c r="G2" s="447" t="s">
        <v>252</v>
      </c>
      <c r="H2" s="448"/>
      <c r="I2" s="448"/>
      <c r="J2" s="448"/>
      <c r="K2" s="448"/>
      <c r="L2" s="448"/>
      <c r="M2" s="448"/>
      <c r="N2" s="448"/>
      <c r="O2" s="448"/>
      <c r="P2" s="448"/>
      <c r="Q2" s="415"/>
    </row>
    <row r="3" spans="1:174" ht="24" thickBot="1">
      <c r="J3" s="397" t="s">
        <v>240</v>
      </c>
      <c r="K3" s="433" t="s">
        <v>241</v>
      </c>
      <c r="L3" s="434"/>
      <c r="R3" s="438" t="s">
        <v>254</v>
      </c>
      <c r="S3" s="439"/>
      <c r="T3" s="440"/>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4" ht="16.5" thickBot="1">
      <c r="J4" s="394" t="s">
        <v>222</v>
      </c>
      <c r="K4" s="395" t="s">
        <v>71</v>
      </c>
      <c r="L4" s="396" t="s">
        <v>72</v>
      </c>
      <c r="R4" s="441"/>
      <c r="S4" s="442"/>
      <c r="T4" s="443"/>
    </row>
    <row r="5" spans="1:174" ht="16.5" thickBot="1">
      <c r="J5" s="391">
        <v>43801</v>
      </c>
      <c r="K5" s="389">
        <v>1843.3066108341013</v>
      </c>
      <c r="L5" s="390">
        <v>2401.7708250633345</v>
      </c>
      <c r="M5" t="s">
        <v>249</v>
      </c>
      <c r="N5">
        <f>30*13</f>
        <v>390</v>
      </c>
      <c r="R5" s="441"/>
      <c r="S5" s="442"/>
      <c r="T5" s="443"/>
      <c r="U5" s="33"/>
      <c r="V5" s="33"/>
      <c r="W5" s="33"/>
      <c r="X5" s="33"/>
      <c r="Y5" s="33"/>
      <c r="Z5" s="33"/>
      <c r="AA5" s="33">
        <v>43101</v>
      </c>
      <c r="AB5" s="33">
        <v>43104</v>
      </c>
      <c r="AC5" s="33">
        <v>43112</v>
      </c>
      <c r="AD5" s="33">
        <v>43116</v>
      </c>
      <c r="AE5" s="33">
        <v>43119</v>
      </c>
      <c r="AF5" s="33">
        <v>43125</v>
      </c>
      <c r="AG5" s="33">
        <v>43129</v>
      </c>
      <c r="AH5" s="33">
        <v>43102</v>
      </c>
      <c r="AI5" s="33">
        <v>43137</v>
      </c>
      <c r="AJ5" s="33">
        <v>43146</v>
      </c>
      <c r="AK5" s="33">
        <v>43151</v>
      </c>
      <c r="AL5" s="33">
        <v>43156</v>
      </c>
      <c r="AM5" s="33">
        <v>43178</v>
      </c>
      <c r="AN5" s="33">
        <v>43182</v>
      </c>
      <c r="AO5" s="33">
        <v>43199</v>
      </c>
      <c r="AP5" s="33">
        <v>43203</v>
      </c>
      <c r="AQ5" s="33">
        <v>43206</v>
      </c>
      <c r="AR5" s="33">
        <v>43214</v>
      </c>
      <c r="AS5" s="33">
        <v>43221</v>
      </c>
      <c r="AT5" s="33">
        <v>43234</v>
      </c>
      <c r="AU5" s="33">
        <v>43238</v>
      </c>
      <c r="AV5" s="33">
        <v>43242</v>
      </c>
      <c r="AW5" s="33">
        <v>43243</v>
      </c>
      <c r="AX5" s="33">
        <v>43248</v>
      </c>
      <c r="AY5" s="33">
        <v>43251</v>
      </c>
      <c r="AZ5" s="33">
        <v>43255</v>
      </c>
      <c r="BA5" s="33">
        <v>43258</v>
      </c>
      <c r="BB5" s="33">
        <v>43262</v>
      </c>
      <c r="BC5" s="33">
        <v>43272</v>
      </c>
      <c r="BD5" s="33">
        <v>43283</v>
      </c>
      <c r="BE5" s="33">
        <v>43287</v>
      </c>
      <c r="BF5" s="33">
        <v>43294</v>
      </c>
      <c r="BG5" s="33">
        <v>43305</v>
      </c>
      <c r="BH5" s="33">
        <v>43308</v>
      </c>
      <c r="BI5" s="33">
        <v>43314</v>
      </c>
      <c r="BJ5" s="33">
        <v>43318</v>
      </c>
      <c r="BK5" s="33">
        <v>43321</v>
      </c>
      <c r="BL5" s="33">
        <v>43325</v>
      </c>
      <c r="BM5" s="33">
        <v>43336</v>
      </c>
      <c r="BN5" s="33">
        <v>43340</v>
      </c>
      <c r="BO5" s="33">
        <v>43344</v>
      </c>
      <c r="BP5" s="33">
        <v>43348</v>
      </c>
      <c r="BQ5" s="33">
        <v>43352</v>
      </c>
      <c r="BR5" s="33">
        <v>43357</v>
      </c>
      <c r="BS5" s="33">
        <v>43362</v>
      </c>
      <c r="BT5" s="33">
        <v>43367</v>
      </c>
      <c r="BU5" s="33">
        <v>43370</v>
      </c>
      <c r="BV5" s="33">
        <v>43370</v>
      </c>
      <c r="BW5" s="33">
        <v>43378</v>
      </c>
      <c r="BX5" s="33">
        <v>43382</v>
      </c>
      <c r="BY5" s="33">
        <v>43385</v>
      </c>
      <c r="BZ5" s="33">
        <v>43388</v>
      </c>
      <c r="CA5" s="33">
        <v>43391</v>
      </c>
      <c r="CB5" s="33">
        <v>43395</v>
      </c>
      <c r="CC5" s="33">
        <v>43398</v>
      </c>
      <c r="CD5" s="33">
        <v>43401</v>
      </c>
      <c r="CE5" s="33">
        <v>43402</v>
      </c>
      <c r="CF5" s="33">
        <v>43404</v>
      </c>
      <c r="CG5" s="33">
        <v>43409</v>
      </c>
      <c r="CH5" s="33">
        <v>43413</v>
      </c>
      <c r="CI5" s="33">
        <v>43424</v>
      </c>
      <c r="CJ5" s="33">
        <v>43430</v>
      </c>
      <c r="CK5" s="33">
        <v>43438</v>
      </c>
      <c r="CL5" s="33">
        <v>43452</v>
      </c>
      <c r="CM5" s="33">
        <v>43452</v>
      </c>
      <c r="CN5" s="33">
        <v>43458</v>
      </c>
      <c r="CO5" s="33">
        <v>43462</v>
      </c>
      <c r="CP5" s="33">
        <v>43466</v>
      </c>
      <c r="CQ5" s="33">
        <v>43480</v>
      </c>
      <c r="CR5" s="33">
        <v>43487</v>
      </c>
      <c r="CS5" s="33">
        <v>43493</v>
      </c>
      <c r="CT5" s="33">
        <v>43497</v>
      </c>
      <c r="CU5" s="33">
        <v>43502</v>
      </c>
      <c r="CV5" s="33">
        <v>43507</v>
      </c>
      <c r="CW5" s="33">
        <v>43510</v>
      </c>
      <c r="CX5" s="33">
        <v>43514</v>
      </c>
      <c r="CY5" s="33">
        <v>43522</v>
      </c>
      <c r="CZ5" s="33">
        <v>43528</v>
      </c>
      <c r="DA5" s="33">
        <v>43544</v>
      </c>
      <c r="DB5" s="33">
        <v>43546</v>
      </c>
      <c r="DC5" s="33">
        <v>43549</v>
      </c>
      <c r="DD5" s="33">
        <v>43552</v>
      </c>
      <c r="DE5" s="33">
        <v>43558</v>
      </c>
      <c r="DF5" s="33">
        <v>43564</v>
      </c>
      <c r="DG5" s="33">
        <v>43569</v>
      </c>
      <c r="DH5" s="33">
        <v>43577</v>
      </c>
      <c r="DI5" s="33">
        <v>43580</v>
      </c>
      <c r="DJ5" s="33">
        <v>43585</v>
      </c>
      <c r="DK5" s="33">
        <v>43588</v>
      </c>
      <c r="DL5" s="33">
        <v>43591</v>
      </c>
      <c r="DM5" s="33">
        <v>43598</v>
      </c>
      <c r="DN5" s="33">
        <v>43601</v>
      </c>
      <c r="DO5" s="33">
        <v>43603</v>
      </c>
      <c r="DP5" s="33">
        <v>43605</v>
      </c>
      <c r="DQ5" s="33">
        <v>43608</v>
      </c>
      <c r="DR5" s="33">
        <v>43612</v>
      </c>
      <c r="DS5" s="33">
        <v>43616</v>
      </c>
      <c r="DT5" s="33">
        <v>43619</v>
      </c>
      <c r="DU5" s="33">
        <v>43623</v>
      </c>
      <c r="DV5" s="33">
        <v>43627</v>
      </c>
      <c r="DW5" s="33">
        <v>43633</v>
      </c>
      <c r="DX5" s="33">
        <v>43637</v>
      </c>
      <c r="DY5" s="33">
        <v>43640</v>
      </c>
      <c r="DZ5" s="33">
        <v>43656</v>
      </c>
      <c r="EA5" s="33">
        <v>43661</v>
      </c>
      <c r="EB5" s="33">
        <v>43667</v>
      </c>
      <c r="EC5" s="33">
        <v>43671</v>
      </c>
      <c r="ED5" s="33">
        <v>43674</v>
      </c>
      <c r="EE5" s="33">
        <v>43678</v>
      </c>
      <c r="EF5" s="33">
        <v>43681</v>
      </c>
      <c r="EG5" s="33">
        <v>43685</v>
      </c>
      <c r="EH5" s="33">
        <v>43690</v>
      </c>
      <c r="EI5" s="33">
        <v>43694</v>
      </c>
      <c r="EJ5" s="33">
        <v>43697</v>
      </c>
      <c r="EK5" s="33">
        <v>43700</v>
      </c>
      <c r="EL5" s="33">
        <v>43704</v>
      </c>
      <c r="EM5" s="33">
        <v>43710</v>
      </c>
      <c r="EN5" s="33">
        <v>43712</v>
      </c>
      <c r="EO5" s="33">
        <v>43715</v>
      </c>
      <c r="EP5" s="33">
        <v>43719</v>
      </c>
      <c r="EQ5" s="33">
        <v>43724</v>
      </c>
      <c r="ER5" s="33">
        <v>43727</v>
      </c>
      <c r="ES5" s="33">
        <v>43732</v>
      </c>
      <c r="ET5" s="33">
        <v>43734</v>
      </c>
      <c r="EU5" s="33">
        <v>43738</v>
      </c>
      <c r="EV5" s="33">
        <v>43756</v>
      </c>
      <c r="EW5" s="33">
        <v>43760</v>
      </c>
      <c r="EX5" s="33">
        <v>43766</v>
      </c>
      <c r="EY5" s="33">
        <v>43773</v>
      </c>
      <c r="EZ5" s="33">
        <v>43782</v>
      </c>
      <c r="FA5" s="33">
        <v>43786</v>
      </c>
      <c r="FB5" s="33">
        <v>43787</v>
      </c>
      <c r="FC5" s="33">
        <v>43787</v>
      </c>
      <c r="FD5" s="33">
        <v>43789</v>
      </c>
      <c r="FE5" s="33">
        <v>43792</v>
      </c>
      <c r="FF5" s="33">
        <v>43795</v>
      </c>
      <c r="FG5" s="33">
        <v>43798</v>
      </c>
      <c r="FH5" s="33">
        <v>43801</v>
      </c>
      <c r="FI5" s="33"/>
      <c r="FJ5" s="33"/>
      <c r="FK5" s="33"/>
      <c r="FL5" s="33"/>
      <c r="FM5" s="33"/>
      <c r="FN5" s="33"/>
      <c r="FO5" s="33"/>
    </row>
    <row r="6" spans="1:174">
      <c r="J6" s="411"/>
      <c r="K6" s="393">
        <v>1688.5963999777407</v>
      </c>
      <c r="L6" s="392">
        <v>2389.7470671348565</v>
      </c>
      <c r="M6" t="s">
        <v>250</v>
      </c>
      <c r="N6">
        <f>30</f>
        <v>30</v>
      </c>
      <c r="R6" s="441"/>
      <c r="S6" s="442"/>
      <c r="T6" s="443"/>
    </row>
    <row r="7" spans="1:174">
      <c r="R7" s="441"/>
      <c r="S7" s="442"/>
      <c r="T7" s="443"/>
    </row>
    <row r="8" spans="1:174">
      <c r="R8" s="441"/>
      <c r="S8" s="442"/>
      <c r="T8" s="44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4">
      <c r="R9" s="441"/>
      <c r="S9" s="442"/>
      <c r="T9" s="443"/>
    </row>
    <row r="10" spans="1:174">
      <c r="R10" s="441"/>
      <c r="S10" s="442"/>
      <c r="T10" s="44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4" ht="16.5" thickBot="1">
      <c r="R11" s="441"/>
      <c r="S11" s="442"/>
      <c r="T11" s="443"/>
    </row>
    <row r="12" spans="1:174" ht="19.5" thickBot="1">
      <c r="D12" s="388"/>
      <c r="G12" s="435" t="s">
        <v>251</v>
      </c>
      <c r="H12" s="436"/>
      <c r="I12" s="436"/>
      <c r="J12" s="436"/>
      <c r="K12" s="436"/>
      <c r="L12" s="436"/>
      <c r="M12" s="436"/>
      <c r="N12" s="436"/>
      <c r="O12" s="436"/>
      <c r="P12" s="437"/>
      <c r="R12" s="441"/>
      <c r="S12" s="442"/>
      <c r="T12" s="443"/>
    </row>
    <row r="13" spans="1:174" ht="24" thickBot="1">
      <c r="A13" s="33"/>
      <c r="J13" s="397" t="s">
        <v>240</v>
      </c>
      <c r="K13" s="433" t="s">
        <v>241</v>
      </c>
      <c r="L13" s="434"/>
      <c r="R13" s="441"/>
      <c r="S13" s="442"/>
      <c r="T13" s="443"/>
    </row>
    <row r="14" spans="1:174" ht="16.5" thickBot="1">
      <c r="A14" s="33"/>
      <c r="J14" s="394" t="s">
        <v>222</v>
      </c>
      <c r="K14" s="395" t="s">
        <v>71</v>
      </c>
      <c r="L14" s="396" t="s">
        <v>72</v>
      </c>
      <c r="R14" s="441"/>
      <c r="S14" s="442"/>
      <c r="T14" s="443"/>
    </row>
    <row r="15" spans="1:174" ht="16.5" thickBot="1">
      <c r="A15" s="33"/>
      <c r="J15" s="391">
        <v>43795</v>
      </c>
      <c r="K15" s="389">
        <v>1904.5858180700041</v>
      </c>
      <c r="L15" s="390">
        <v>2147.81614271431</v>
      </c>
      <c r="M15" t="s">
        <v>249</v>
      </c>
      <c r="N15">
        <f>30*17</f>
        <v>510</v>
      </c>
      <c r="R15" s="441"/>
      <c r="S15" s="442"/>
      <c r="T15" s="443"/>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c r="FQ15" s="33">
        <v>43798</v>
      </c>
      <c r="FR15" s="33">
        <v>43801</v>
      </c>
    </row>
    <row r="16" spans="1:174" ht="16.5" thickBot="1">
      <c r="A16" s="33"/>
      <c r="J16" s="411">
        <v>1</v>
      </c>
      <c r="K16" s="393"/>
      <c r="L16" s="392"/>
      <c r="M16" t="s">
        <v>250</v>
      </c>
      <c r="N16">
        <f>30</f>
        <v>30</v>
      </c>
      <c r="R16" s="444"/>
      <c r="S16" s="445"/>
      <c r="T16" s="446"/>
    </row>
    <row r="17" spans="1:22">
      <c r="A17" s="33"/>
    </row>
    <row r="18" spans="1:22">
      <c r="A18" s="33"/>
    </row>
    <row r="19" spans="1:22">
      <c r="A19" s="33"/>
    </row>
    <row r="20" spans="1:22">
      <c r="A20" s="33"/>
      <c r="R20" s="33"/>
      <c r="S20" s="387"/>
      <c r="U20" s="33"/>
      <c r="V20" s="387"/>
    </row>
    <row r="21" spans="1:22">
      <c r="A21" s="33"/>
      <c r="U21" s="33"/>
      <c r="V21" s="387"/>
    </row>
    <row r="22" spans="1:22">
      <c r="U22" s="33"/>
      <c r="V22" s="387"/>
    </row>
    <row r="23" spans="1:22">
      <c r="A23" s="33"/>
      <c r="U23" s="33"/>
      <c r="V23" s="387"/>
    </row>
    <row r="24" spans="1:22">
      <c r="A24" s="33"/>
      <c r="U24" s="33"/>
      <c r="V24" s="387"/>
    </row>
    <row r="25" spans="1:22">
      <c r="U25" s="33"/>
      <c r="V25" s="387"/>
    </row>
    <row r="26" spans="1:22">
      <c r="A26" s="33"/>
      <c r="U26" s="33"/>
      <c r="V26" s="387"/>
    </row>
    <row r="27" spans="1:22">
      <c r="A27" s="33"/>
      <c r="U27" s="33"/>
      <c r="V27" s="387"/>
    </row>
    <row r="28" spans="1:22">
      <c r="U28" s="33"/>
      <c r="V28" s="387"/>
    </row>
    <row r="29" spans="1:22">
      <c r="A29" s="33"/>
    </row>
    <row r="30" spans="1:22">
      <c r="A30" s="33"/>
    </row>
    <row r="32" spans="1:22">
      <c r="A32" s="33"/>
    </row>
    <row r="33" spans="1:1">
      <c r="A33" s="33"/>
    </row>
    <row r="35" spans="1:1">
      <c r="A35" s="33"/>
    </row>
    <row r="36" spans="1:1">
      <c r="A36" s="33"/>
    </row>
    <row r="38" spans="1:1">
      <c r="A38" s="33"/>
    </row>
    <row r="39" spans="1:1">
      <c r="A39" s="33"/>
    </row>
    <row r="41" spans="1:1">
      <c r="A41" s="33"/>
    </row>
    <row r="42" spans="1:1">
      <c r="A42" s="33"/>
    </row>
    <row r="44" spans="1:1">
      <c r="A44" s="33"/>
    </row>
    <row r="45" spans="1:1">
      <c r="A45" s="33"/>
    </row>
    <row r="47" spans="1:1">
      <c r="A47" s="33"/>
    </row>
    <row r="48" spans="1:1">
      <c r="A48" s="33"/>
    </row>
    <row r="50" spans="1:1">
      <c r="A50" s="33"/>
    </row>
    <row r="51" spans="1:1">
      <c r="A51" s="33"/>
    </row>
    <row r="53" spans="1:1">
      <c r="A53" s="33"/>
    </row>
    <row r="54" spans="1:1">
      <c r="A54" s="33"/>
    </row>
    <row r="56" spans="1:1">
      <c r="A56" s="33"/>
    </row>
    <row r="57" spans="1:1">
      <c r="A57" s="33"/>
    </row>
    <row r="59" spans="1:1">
      <c r="A59" s="33"/>
    </row>
    <row r="60" spans="1:1">
      <c r="A60" s="33"/>
    </row>
    <row r="62" spans="1:1">
      <c r="A62" s="33"/>
    </row>
    <row r="63" spans="1:1">
      <c r="A63" s="33"/>
    </row>
    <row r="65" spans="1:1">
      <c r="A65" s="33"/>
    </row>
    <row r="66" spans="1:1">
      <c r="A66" s="33"/>
    </row>
    <row r="68" spans="1:1">
      <c r="A68" s="33"/>
    </row>
    <row r="69" spans="1:1">
      <c r="A69" s="33"/>
    </row>
    <row r="71" spans="1:1">
      <c r="A71" s="33"/>
    </row>
    <row r="72" spans="1:1">
      <c r="A72" s="33"/>
    </row>
    <row r="74" spans="1:1">
      <c r="A74" s="33"/>
    </row>
    <row r="75" spans="1:1">
      <c r="A75" s="33"/>
    </row>
    <row r="77" spans="1:1">
      <c r="A77" s="33"/>
    </row>
    <row r="78" spans="1:1">
      <c r="A78" s="33"/>
    </row>
    <row r="80" spans="1:1">
      <c r="A80" s="33"/>
    </row>
    <row r="81" spans="1:1">
      <c r="A81" s="33"/>
    </row>
    <row r="83" spans="1:1">
      <c r="A83" s="33"/>
    </row>
    <row r="84" spans="1:1">
      <c r="A84" s="33"/>
    </row>
    <row r="86" spans="1:1">
      <c r="A86" s="33"/>
    </row>
    <row r="87" spans="1:1">
      <c r="A87" s="33"/>
    </row>
    <row r="89" spans="1:1">
      <c r="A89" s="33"/>
    </row>
    <row r="90" spans="1:1">
      <c r="A90" s="33"/>
    </row>
    <row r="92" spans="1:1">
      <c r="A92" s="33"/>
    </row>
    <row r="93" spans="1:1">
      <c r="A93" s="33"/>
    </row>
    <row r="95" spans="1:1">
      <c r="A95" s="33"/>
    </row>
    <row r="96" spans="1:1">
      <c r="A96" s="33"/>
    </row>
    <row r="98" spans="1:1">
      <c r="A98" s="33"/>
    </row>
    <row r="99" spans="1:1">
      <c r="A99" s="33"/>
    </row>
    <row r="101" spans="1:1">
      <c r="A101" s="33"/>
    </row>
    <row r="102" spans="1:1">
      <c r="A102" s="33"/>
    </row>
    <row r="104" spans="1:1">
      <c r="A104" s="33"/>
    </row>
    <row r="105" spans="1:1">
      <c r="A105" s="33"/>
    </row>
    <row r="107" spans="1:1">
      <c r="A107" s="33"/>
    </row>
    <row r="108" spans="1:1">
      <c r="A108" s="33"/>
    </row>
    <row r="110" spans="1:1">
      <c r="A110" s="33"/>
    </row>
    <row r="111" spans="1:1">
      <c r="A111" s="33"/>
    </row>
    <row r="113" spans="1:1">
      <c r="A113" s="33"/>
    </row>
    <row r="114" spans="1:1">
      <c r="A114" s="33"/>
    </row>
    <row r="116" spans="1:1">
      <c r="A116" s="33"/>
    </row>
    <row r="117" spans="1:1">
      <c r="A117" s="33"/>
    </row>
    <row r="119" spans="1:1">
      <c r="A119" s="33"/>
    </row>
    <row r="120" spans="1:1">
      <c r="A120" s="33"/>
    </row>
    <row r="122" spans="1:1">
      <c r="A122" s="33"/>
    </row>
    <row r="123" spans="1:1">
      <c r="A123" s="33"/>
    </row>
    <row r="125" spans="1:1">
      <c r="A125" s="33"/>
    </row>
    <row r="126" spans="1:1">
      <c r="A126" s="33"/>
    </row>
    <row r="128" spans="1:1">
      <c r="A128" s="33"/>
    </row>
    <row r="129" spans="1:1">
      <c r="A129" s="33"/>
    </row>
    <row r="131" spans="1:1">
      <c r="A131" s="33"/>
    </row>
    <row r="132" spans="1:1">
      <c r="A132" s="33"/>
    </row>
    <row r="134" spans="1:1">
      <c r="A134" s="33"/>
    </row>
    <row r="135" spans="1:1">
      <c r="A135" s="33"/>
    </row>
    <row r="137" spans="1:1">
      <c r="A137" s="33"/>
    </row>
    <row r="138" spans="1:1">
      <c r="A138" s="33"/>
    </row>
    <row r="140" spans="1:1">
      <c r="A140" s="33"/>
    </row>
    <row r="141" spans="1:1">
      <c r="A141" s="33"/>
    </row>
    <row r="143" spans="1:1">
      <c r="A143" s="33"/>
    </row>
    <row r="144" spans="1:1">
      <c r="A144" s="33"/>
    </row>
    <row r="146" spans="1:1">
      <c r="A146" s="33"/>
    </row>
    <row r="147" spans="1:1">
      <c r="A147" s="33"/>
    </row>
    <row r="149" spans="1:1">
      <c r="A149" s="33"/>
    </row>
    <row r="150" spans="1:1">
      <c r="A150" s="33"/>
    </row>
    <row r="152" spans="1:1">
      <c r="A152" s="33"/>
    </row>
    <row r="153" spans="1:1">
      <c r="A153" s="33"/>
    </row>
    <row r="155" spans="1:1">
      <c r="A155" s="33"/>
    </row>
    <row r="156" spans="1:1">
      <c r="A156" s="33"/>
    </row>
    <row r="158" spans="1:1">
      <c r="A158" s="33"/>
    </row>
    <row r="159" spans="1:1">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3" spans="1:1">
      <c r="A183" s="33"/>
    </row>
    <row r="186" spans="1:1">
      <c r="A186" s="33"/>
    </row>
    <row r="189" spans="1:1">
      <c r="A189" s="33"/>
    </row>
    <row r="192" spans="1:1">
      <c r="A192" s="33"/>
    </row>
    <row r="195" spans="1:1">
      <c r="A195" s="33"/>
    </row>
    <row r="198" spans="1:1">
      <c r="A198" s="33"/>
    </row>
    <row r="201" spans="1:1">
      <c r="A201" s="33"/>
    </row>
    <row r="204" spans="1:1">
      <c r="A204" s="33"/>
    </row>
    <row r="207" spans="1:1">
      <c r="A207" s="33"/>
    </row>
    <row r="210" spans="1:1">
      <c r="A210" s="33"/>
    </row>
    <row r="213" spans="1:1">
      <c r="A213" s="33"/>
    </row>
    <row r="216" spans="1:1">
      <c r="A216" s="33"/>
    </row>
    <row r="219" spans="1:1">
      <c r="A219" s="33"/>
    </row>
    <row r="222" spans="1:1">
      <c r="A222" s="33"/>
    </row>
    <row r="225" spans="1:1">
      <c r="A225" s="33"/>
    </row>
    <row r="228" spans="1:1">
      <c r="A228" s="33"/>
    </row>
    <row r="231" spans="1:1">
      <c r="A231" s="33"/>
    </row>
    <row r="234" spans="1:1">
      <c r="A234" s="33"/>
    </row>
    <row r="237" spans="1:1">
      <c r="A237" s="33"/>
    </row>
    <row r="240" spans="1:1">
      <c r="A240" s="33"/>
    </row>
    <row r="243" spans="1:1">
      <c r="A243" s="33"/>
    </row>
    <row r="246" spans="1:1">
      <c r="A246" s="33"/>
    </row>
    <row r="249" spans="1:1">
      <c r="A249" s="33"/>
    </row>
    <row r="252" spans="1:1">
      <c r="A252" s="33"/>
    </row>
    <row r="255" spans="1:1">
      <c r="A255" s="33"/>
    </row>
    <row r="258" spans="1:1">
      <c r="A258" s="33"/>
    </row>
    <row r="261" spans="1:1">
      <c r="A261" s="33"/>
    </row>
    <row r="264" spans="1:1">
      <c r="A264" s="33"/>
    </row>
    <row r="267" spans="1:1">
      <c r="A267" s="33"/>
    </row>
    <row r="270" spans="1:1">
      <c r="A270" s="33"/>
    </row>
    <row r="273" spans="1:1">
      <c r="A273" s="33"/>
    </row>
    <row r="276" spans="1:1">
      <c r="A276" s="33"/>
    </row>
    <row r="279" spans="1:1">
      <c r="A279" s="33"/>
    </row>
  </sheetData>
  <mergeCells count="5">
    <mergeCell ref="K3:L3"/>
    <mergeCell ref="K13:L13"/>
    <mergeCell ref="G12:P12"/>
    <mergeCell ref="R3:T16"/>
    <mergeCell ref="G2:P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36">
      <c r="A1" s="130" t="s">
        <v>119</v>
      </c>
      <c r="B1" s="449" t="s">
        <v>40</v>
      </c>
      <c r="C1" s="450"/>
      <c r="D1" s="131" t="s">
        <v>120</v>
      </c>
      <c r="E1" s="131" t="s">
        <v>29</v>
      </c>
      <c r="F1" s="132" t="s">
        <v>41</v>
      </c>
      <c r="G1" s="133"/>
      <c r="H1" s="134"/>
    </row>
    <row r="2" spans="1:10">
      <c r="A2" s="130"/>
      <c r="B2" s="135" t="s">
        <v>44</v>
      </c>
      <c r="C2" s="135" t="s">
        <v>45</v>
      </c>
      <c r="D2" s="136"/>
      <c r="E2" s="136"/>
      <c r="F2" s="132"/>
      <c r="G2" s="133"/>
      <c r="H2" s="134"/>
    </row>
    <row r="3" spans="1:10">
      <c r="A3" s="137">
        <v>43304</v>
      </c>
      <c r="B3" s="138">
        <v>9</v>
      </c>
      <c r="C3" s="138">
        <v>15</v>
      </c>
      <c r="D3" s="139">
        <f>IF(((C3="")*AND(B3="")),"",(C3-B3))</f>
        <v>6</v>
      </c>
      <c r="E3" s="140" t="str">
        <f>IF(D3="","",IF(D3&lt;60,"Pass","Fail"))</f>
        <v>Pass</v>
      </c>
      <c r="F3" s="141">
        <v>1340</v>
      </c>
      <c r="G3" s="142"/>
      <c r="H3" s="134"/>
    </row>
    <row r="4" spans="1:10">
      <c r="A4" s="137">
        <v>43305</v>
      </c>
      <c r="B4" s="138">
        <v>13</v>
      </c>
      <c r="C4" s="138">
        <v>63</v>
      </c>
      <c r="D4" s="139">
        <f t="shared" ref="D4:D49" si="0">IF(((C4="")*AND(B4="")),"",(C4-B4))</f>
        <v>50</v>
      </c>
      <c r="E4" s="140" t="str">
        <f t="shared" ref="E4:E49" si="1">IF(D4="","",IF(D4&lt;60,"Pass","Fail"))</f>
        <v>Pass</v>
      </c>
      <c r="F4" s="141">
        <v>1340</v>
      </c>
      <c r="G4" s="142"/>
      <c r="H4" s="134"/>
      <c r="I4" s="143"/>
      <c r="J4" s="143"/>
    </row>
    <row r="5" spans="1:10">
      <c r="A5" s="137">
        <v>43306</v>
      </c>
      <c r="B5" s="138">
        <v>21</v>
      </c>
      <c r="C5" s="138">
        <v>23</v>
      </c>
      <c r="D5" s="139">
        <f t="shared" si="0"/>
        <v>2</v>
      </c>
      <c r="E5" s="140" t="str">
        <f t="shared" si="1"/>
        <v>Pass</v>
      </c>
      <c r="F5" s="141">
        <v>121</v>
      </c>
      <c r="G5" s="142"/>
      <c r="H5" s="134"/>
      <c r="I5" s="143"/>
      <c r="J5" s="143"/>
    </row>
    <row r="6" spans="1:10">
      <c r="A6" s="137">
        <v>43308</v>
      </c>
      <c r="B6" s="144">
        <v>14</v>
      </c>
      <c r="C6" s="144">
        <v>39</v>
      </c>
      <c r="D6" s="144">
        <f>IF(((C6="")*AND(B6="")),"",(C6-B6))</f>
        <v>25</v>
      </c>
      <c r="E6" s="145" t="str">
        <f>IF(D6="","",IF(D6&lt;60,"Pass","Fail"))</f>
        <v>Pass</v>
      </c>
      <c r="F6" s="146">
        <v>1340</v>
      </c>
      <c r="G6" s="142"/>
      <c r="H6" s="134"/>
    </row>
    <row r="7" spans="1:10">
      <c r="A7" s="137">
        <v>43311</v>
      </c>
      <c r="B7" s="138">
        <v>29</v>
      </c>
      <c r="C7" s="138">
        <v>38</v>
      </c>
      <c r="D7" s="139">
        <f t="shared" si="0"/>
        <v>9</v>
      </c>
      <c r="E7" s="140" t="str">
        <f t="shared" si="1"/>
        <v>Pass</v>
      </c>
      <c r="F7" s="141">
        <v>1340</v>
      </c>
      <c r="G7" s="142"/>
      <c r="H7" s="134"/>
    </row>
    <row r="8" spans="1:10">
      <c r="A8" s="137">
        <v>43313</v>
      </c>
      <c r="B8" s="144">
        <v>8</v>
      </c>
      <c r="C8" s="144">
        <v>24</v>
      </c>
      <c r="D8" s="144">
        <f>IF(((C8="")*AND(B8="")),"",(C8-B8))</f>
        <v>16</v>
      </c>
      <c r="E8" s="145" t="str">
        <f>IF(D8="","",IF(D8&lt;60,"Pass","Fail"))</f>
        <v>Pass</v>
      </c>
      <c r="F8" s="146">
        <v>74</v>
      </c>
      <c r="G8" s="142"/>
      <c r="H8" s="134"/>
    </row>
    <row r="9" spans="1:10">
      <c r="A9" s="137">
        <v>43318</v>
      </c>
      <c r="B9" s="138">
        <v>6</v>
      </c>
      <c r="C9" s="138">
        <v>9</v>
      </c>
      <c r="D9" s="139">
        <f>IF(((C9="")*AND(B9="")),"",(C9-B9))</f>
        <v>3</v>
      </c>
      <c r="E9" s="140" t="str">
        <f>IF(D9="","",IF(D9&lt;60,"Pass","Fail"))</f>
        <v>Pass</v>
      </c>
      <c r="F9" s="141">
        <v>1340</v>
      </c>
      <c r="G9" s="142"/>
      <c r="H9" s="134"/>
    </row>
    <row r="10" spans="1:10">
      <c r="A10" s="137">
        <v>43320</v>
      </c>
      <c r="B10" s="147">
        <v>6</v>
      </c>
      <c r="C10" s="147">
        <v>8</v>
      </c>
      <c r="D10" s="147">
        <f>IF(((C10="")*AND(B10="")),"",(C10-B10))</f>
        <v>2</v>
      </c>
      <c r="E10" s="140" t="str">
        <f>IF(D10="","",IF(D10&lt;60,"Pass","Fail"))</f>
        <v>Pass</v>
      </c>
      <c r="F10" s="148">
        <v>1519</v>
      </c>
      <c r="G10" s="142"/>
      <c r="H10" s="134"/>
    </row>
    <row r="11" spans="1:10">
      <c r="A11" s="137">
        <v>43321</v>
      </c>
      <c r="B11" s="144">
        <v>8</v>
      </c>
      <c r="C11" s="144">
        <v>19</v>
      </c>
      <c r="D11" s="144">
        <f>IF(((C11="")*AND(B11="")),"",(C11-B11))</f>
        <v>11</v>
      </c>
      <c r="E11" s="145" t="str">
        <f>IF(D11="","",IF(D11&lt;60,"Pass","Fail"))</f>
        <v>Pass</v>
      </c>
      <c r="F11" s="146">
        <v>1428</v>
      </c>
      <c r="G11" s="142"/>
      <c r="H11" s="134"/>
    </row>
    <row r="12" spans="1:10">
      <c r="A12" s="137"/>
      <c r="B12" s="138"/>
      <c r="C12" s="138"/>
      <c r="D12" s="139" t="str">
        <f t="shared" si="0"/>
        <v/>
      </c>
      <c r="E12" s="140" t="str">
        <f t="shared" si="1"/>
        <v/>
      </c>
      <c r="F12" s="141"/>
      <c r="G12" s="142"/>
      <c r="H12" s="134"/>
    </row>
    <row r="13" spans="1:10">
      <c r="A13" s="137"/>
      <c r="B13" s="138"/>
      <c r="C13" s="138"/>
      <c r="D13" s="139" t="str">
        <f t="shared" si="0"/>
        <v/>
      </c>
      <c r="E13" s="140" t="str">
        <f t="shared" si="1"/>
        <v/>
      </c>
      <c r="F13" s="141"/>
      <c r="G13" s="142"/>
      <c r="H13" s="134"/>
    </row>
    <row r="14" spans="1:10">
      <c r="A14" s="137"/>
      <c r="B14" s="138"/>
      <c r="C14" s="138"/>
      <c r="D14" s="139" t="str">
        <f t="shared" si="0"/>
        <v/>
      </c>
      <c r="E14" s="140" t="str">
        <f t="shared" si="1"/>
        <v/>
      </c>
      <c r="F14" s="141"/>
      <c r="G14" s="142"/>
      <c r="H14" s="134"/>
    </row>
    <row r="15" spans="1:10">
      <c r="A15" s="137"/>
      <c r="B15" s="138"/>
      <c r="C15" s="138"/>
      <c r="D15" s="139" t="str">
        <f t="shared" si="0"/>
        <v/>
      </c>
      <c r="E15" s="140" t="str">
        <f t="shared" si="1"/>
        <v/>
      </c>
      <c r="F15" s="141"/>
      <c r="G15" s="142"/>
      <c r="H15" s="134"/>
    </row>
    <row r="16" spans="1:10">
      <c r="A16" s="137"/>
      <c r="B16" s="138"/>
      <c r="C16" s="138"/>
      <c r="D16" s="139" t="str">
        <f t="shared" si="0"/>
        <v/>
      </c>
      <c r="E16" s="140" t="str">
        <f t="shared" si="1"/>
        <v/>
      </c>
      <c r="F16" s="141"/>
      <c r="G16" s="142"/>
      <c r="H16" s="134"/>
    </row>
    <row r="17" spans="1:8">
      <c r="A17" s="137"/>
      <c r="B17" s="138"/>
      <c r="C17" s="138"/>
      <c r="D17" s="139" t="str">
        <f t="shared" si="0"/>
        <v/>
      </c>
      <c r="E17" s="140" t="str">
        <f t="shared" si="1"/>
        <v/>
      </c>
      <c r="F17" s="141"/>
      <c r="G17" s="142"/>
      <c r="H17" s="134"/>
    </row>
    <row r="18" spans="1:8">
      <c r="A18" s="137"/>
      <c r="B18" s="138"/>
      <c r="C18" s="138"/>
      <c r="D18" s="139" t="str">
        <f t="shared" si="0"/>
        <v/>
      </c>
      <c r="E18" s="140" t="str">
        <f t="shared" si="1"/>
        <v/>
      </c>
      <c r="F18" s="141"/>
      <c r="G18" s="142"/>
      <c r="H18" s="134"/>
    </row>
    <row r="19" spans="1:8">
      <c r="A19" s="137"/>
      <c r="B19" s="138"/>
      <c r="C19" s="138"/>
      <c r="D19" s="139" t="str">
        <f t="shared" si="0"/>
        <v/>
      </c>
      <c r="E19" s="140" t="str">
        <f t="shared" si="1"/>
        <v/>
      </c>
      <c r="F19" s="141"/>
      <c r="G19" s="142"/>
      <c r="H19" s="134"/>
    </row>
    <row r="20" spans="1:8">
      <c r="A20" s="137"/>
      <c r="B20" s="138"/>
      <c r="C20" s="138"/>
      <c r="D20" s="139" t="str">
        <f t="shared" si="0"/>
        <v/>
      </c>
      <c r="E20" s="140" t="str">
        <f t="shared" si="1"/>
        <v/>
      </c>
      <c r="F20" s="141"/>
      <c r="G20" s="142"/>
      <c r="H20" s="134"/>
    </row>
    <row r="21" spans="1:8">
      <c r="A21" s="137"/>
      <c r="B21" s="138"/>
      <c r="C21" s="138"/>
      <c r="D21" s="139" t="str">
        <f t="shared" si="0"/>
        <v/>
      </c>
      <c r="E21" s="140" t="str">
        <f t="shared" si="1"/>
        <v/>
      </c>
      <c r="F21" s="141"/>
      <c r="G21" s="142"/>
      <c r="H21" s="134"/>
    </row>
    <row r="22" spans="1:8">
      <c r="A22" s="137"/>
      <c r="B22" s="138"/>
      <c r="C22" s="138"/>
      <c r="D22" s="139" t="str">
        <f t="shared" si="0"/>
        <v/>
      </c>
      <c r="E22" s="140" t="str">
        <f t="shared" si="1"/>
        <v/>
      </c>
      <c r="F22" s="141"/>
      <c r="G22" s="142"/>
      <c r="H22" s="134"/>
    </row>
    <row r="23" spans="1:8">
      <c r="A23" s="137"/>
      <c r="B23" s="138"/>
      <c r="C23" s="138"/>
      <c r="D23" s="139" t="str">
        <f t="shared" si="0"/>
        <v/>
      </c>
      <c r="E23" s="140" t="str">
        <f t="shared" si="1"/>
        <v/>
      </c>
      <c r="F23" s="141"/>
      <c r="G23" s="142"/>
      <c r="H23" s="134"/>
    </row>
    <row r="24" spans="1:8">
      <c r="A24" s="137"/>
      <c r="B24" s="138"/>
      <c r="C24" s="138"/>
      <c r="D24" s="139" t="str">
        <f t="shared" si="0"/>
        <v/>
      </c>
      <c r="E24" s="140" t="str">
        <f t="shared" si="1"/>
        <v/>
      </c>
      <c r="F24" s="141"/>
      <c r="G24" s="142"/>
      <c r="H24" s="134"/>
    </row>
    <row r="25" spans="1:8">
      <c r="A25" s="137"/>
      <c r="B25" s="138"/>
      <c r="C25" s="138"/>
      <c r="D25" s="139" t="str">
        <f>IF(((C25="")*AND(B25="")),"",(C25-B25))</f>
        <v/>
      </c>
      <c r="E25" s="140" t="str">
        <f>IF(D25="","",IF(D25&lt;60,"Pass","Fail"))</f>
        <v/>
      </c>
      <c r="F25" s="141"/>
      <c r="G25" s="142"/>
      <c r="H25" s="134"/>
    </row>
    <row r="26" spans="1:8">
      <c r="A26" s="137"/>
      <c r="B26" s="138"/>
      <c r="C26" s="138"/>
      <c r="D26" s="139" t="str">
        <f t="shared" si="0"/>
        <v/>
      </c>
      <c r="E26" s="140" t="str">
        <f t="shared" si="1"/>
        <v/>
      </c>
      <c r="F26" s="141"/>
      <c r="G26" s="142"/>
      <c r="H26" s="134"/>
    </row>
    <row r="27" spans="1:8">
      <c r="A27" s="137"/>
      <c r="B27" s="138"/>
      <c r="C27" s="138"/>
      <c r="D27" s="139" t="str">
        <f>IF(((C27="")*AND(B27="")),"",(C27-B27))</f>
        <v/>
      </c>
      <c r="E27" s="140" t="str">
        <f>IF(D27="","",IF(D27&lt;60,"Pass","Fail"))</f>
        <v/>
      </c>
      <c r="F27" s="141"/>
      <c r="G27" s="142"/>
      <c r="H27" s="134"/>
    </row>
    <row r="28" spans="1:8">
      <c r="A28" s="137"/>
      <c r="B28" s="138"/>
      <c r="C28" s="138"/>
      <c r="D28" s="139" t="str">
        <f t="shared" si="0"/>
        <v/>
      </c>
      <c r="E28" s="140" t="str">
        <f t="shared" si="1"/>
        <v/>
      </c>
      <c r="F28" s="141"/>
      <c r="G28" s="142"/>
      <c r="H28" s="134"/>
    </row>
    <row r="29" spans="1:8">
      <c r="A29" s="137"/>
      <c r="B29" s="138"/>
      <c r="C29" s="138"/>
      <c r="D29" s="139" t="str">
        <f t="shared" si="0"/>
        <v/>
      </c>
      <c r="E29" s="140" t="str">
        <f t="shared" si="1"/>
        <v/>
      </c>
      <c r="F29" s="141"/>
      <c r="G29" s="142"/>
      <c r="H29" s="134"/>
    </row>
    <row r="30" spans="1:8">
      <c r="A30" s="137"/>
      <c r="B30" s="138"/>
      <c r="C30" s="138"/>
      <c r="D30" s="139" t="str">
        <f>IF(((C30="")*AND(B30="")),"",(C30-B30))</f>
        <v/>
      </c>
      <c r="E30" s="140" t="str">
        <f>IF(D30="","",IF(D30&lt;60,"Pass","Fail"))</f>
        <v/>
      </c>
      <c r="F30" s="141"/>
      <c r="G30" s="142"/>
      <c r="H30" s="134"/>
    </row>
    <row r="31" spans="1:8">
      <c r="A31" s="137"/>
      <c r="B31" s="138"/>
      <c r="C31" s="138"/>
      <c r="D31" s="139" t="str">
        <f>IF(((C31="")*AND(B31="")),"",(C31-B31))</f>
        <v/>
      </c>
      <c r="E31" s="140" t="str">
        <f>IF(D31="","",IF(D31&lt;60,"Pass","Fail"))</f>
        <v/>
      </c>
      <c r="F31" s="141"/>
      <c r="G31" s="142"/>
      <c r="H31" s="134"/>
    </row>
    <row r="32" spans="1:8">
      <c r="A32" s="137"/>
      <c r="B32" s="138"/>
      <c r="C32" s="138"/>
      <c r="D32" s="139" t="str">
        <f t="shared" si="0"/>
        <v/>
      </c>
      <c r="E32" s="140" t="str">
        <f t="shared" si="1"/>
        <v/>
      </c>
      <c r="F32" s="141"/>
      <c r="G32" s="142"/>
      <c r="H32" s="134"/>
    </row>
    <row r="33" spans="1:8">
      <c r="A33" s="137"/>
      <c r="B33" s="138"/>
      <c r="C33" s="138"/>
      <c r="D33" s="139" t="str">
        <f t="shared" si="0"/>
        <v/>
      </c>
      <c r="E33" s="140" t="str">
        <f t="shared" si="1"/>
        <v/>
      </c>
      <c r="F33" s="141"/>
      <c r="G33" s="142"/>
      <c r="H33" s="134"/>
    </row>
    <row r="34" spans="1:8">
      <c r="A34" s="137"/>
      <c r="B34" s="138"/>
      <c r="C34" s="138"/>
      <c r="D34" s="139" t="str">
        <f t="shared" si="0"/>
        <v/>
      </c>
      <c r="E34" s="140" t="str">
        <f t="shared" si="1"/>
        <v/>
      </c>
      <c r="F34" s="141"/>
      <c r="G34" s="142"/>
      <c r="H34" s="134"/>
    </row>
    <row r="35" spans="1:8">
      <c r="A35" s="137"/>
      <c r="B35" s="138"/>
      <c r="C35" s="138"/>
      <c r="D35" s="139" t="str">
        <f t="shared" si="0"/>
        <v/>
      </c>
      <c r="E35" s="140" t="str">
        <f t="shared" si="1"/>
        <v/>
      </c>
      <c r="F35" s="141"/>
      <c r="G35" s="142"/>
      <c r="H35" s="134"/>
    </row>
    <row r="36" spans="1:8">
      <c r="A36" s="137"/>
      <c r="B36" s="138"/>
      <c r="C36" s="138"/>
      <c r="D36" s="139" t="str">
        <f t="shared" si="0"/>
        <v/>
      </c>
      <c r="E36" s="140" t="str">
        <f t="shared" si="1"/>
        <v/>
      </c>
      <c r="F36" s="141"/>
      <c r="G36" s="142"/>
      <c r="H36" s="134"/>
    </row>
    <row r="37" spans="1:8">
      <c r="A37" s="137"/>
      <c r="B37" s="138"/>
      <c r="C37" s="138"/>
      <c r="D37" s="139" t="str">
        <f t="shared" si="0"/>
        <v/>
      </c>
      <c r="E37" s="140" t="str">
        <f t="shared" si="1"/>
        <v/>
      </c>
      <c r="F37" s="141"/>
      <c r="G37" s="142"/>
      <c r="H37" s="134"/>
    </row>
    <row r="38" spans="1:8">
      <c r="A38" s="137"/>
      <c r="B38" s="138"/>
      <c r="C38" s="138"/>
      <c r="D38" s="139" t="str">
        <f t="shared" si="0"/>
        <v/>
      </c>
      <c r="E38" s="140" t="str">
        <f t="shared" si="1"/>
        <v/>
      </c>
      <c r="F38" s="141"/>
      <c r="G38" s="142"/>
      <c r="H38" s="134"/>
    </row>
    <row r="39" spans="1:8">
      <c r="A39" s="137"/>
      <c r="B39" s="138"/>
      <c r="C39" s="138"/>
      <c r="D39" s="139" t="str">
        <f t="shared" si="0"/>
        <v/>
      </c>
      <c r="E39" s="140" t="str">
        <f t="shared" si="1"/>
        <v/>
      </c>
      <c r="F39" s="141"/>
      <c r="G39" s="142"/>
      <c r="H39" s="134"/>
    </row>
    <row r="40" spans="1:8">
      <c r="A40" s="149"/>
      <c r="B40" s="150"/>
      <c r="C40" s="150"/>
      <c r="D40" s="139" t="str">
        <f t="shared" si="0"/>
        <v/>
      </c>
      <c r="E40" s="140" t="str">
        <f t="shared" si="1"/>
        <v/>
      </c>
      <c r="F40" s="151"/>
      <c r="G40" s="142"/>
      <c r="H40" s="134"/>
    </row>
    <row r="41" spans="1:8">
      <c r="A41" s="137"/>
      <c r="B41" s="138"/>
      <c r="C41" s="138"/>
      <c r="D41" s="139" t="str">
        <f t="shared" si="0"/>
        <v/>
      </c>
      <c r="E41" s="140" t="str">
        <f t="shared" si="1"/>
        <v/>
      </c>
      <c r="F41" s="141"/>
      <c r="G41" s="142"/>
      <c r="H41" s="134"/>
    </row>
    <row r="42" spans="1:8">
      <c r="A42" s="137"/>
      <c r="B42" s="138"/>
      <c r="C42" s="138"/>
      <c r="D42" s="139" t="str">
        <f t="shared" si="0"/>
        <v/>
      </c>
      <c r="E42" s="140" t="str">
        <f t="shared" si="1"/>
        <v/>
      </c>
      <c r="F42" s="141"/>
      <c r="G42" s="142"/>
      <c r="H42" s="134"/>
    </row>
    <row r="43" spans="1:8">
      <c r="A43" s="149"/>
      <c r="B43" s="150"/>
      <c r="C43" s="150"/>
      <c r="D43" s="139" t="str">
        <f t="shared" si="0"/>
        <v/>
      </c>
      <c r="E43" s="140" t="str">
        <f t="shared" si="1"/>
        <v/>
      </c>
      <c r="F43" s="151"/>
      <c r="G43" s="142"/>
      <c r="H43" s="134"/>
    </row>
    <row r="44" spans="1:8">
      <c r="A44" s="149"/>
      <c r="B44" s="150"/>
      <c r="C44" s="150"/>
      <c r="D44" s="139" t="str">
        <f t="shared" si="0"/>
        <v/>
      </c>
      <c r="E44" s="140" t="str">
        <f t="shared" si="1"/>
        <v/>
      </c>
      <c r="F44" s="151"/>
      <c r="G44" s="142"/>
      <c r="H44" s="134"/>
    </row>
    <row r="45" spans="1:8">
      <c r="A45" s="149"/>
      <c r="B45" s="150"/>
      <c r="C45" s="150"/>
      <c r="D45" s="139" t="str">
        <f t="shared" si="0"/>
        <v/>
      </c>
      <c r="E45" s="140" t="str">
        <f t="shared" si="1"/>
        <v/>
      </c>
      <c r="F45" s="152"/>
      <c r="G45" s="142"/>
      <c r="H45" s="134"/>
    </row>
    <row r="46" spans="1:8">
      <c r="A46" s="137"/>
      <c r="B46" s="138"/>
      <c r="C46" s="138"/>
      <c r="D46" s="139" t="str">
        <f t="shared" si="0"/>
        <v/>
      </c>
      <c r="E46" s="140" t="str">
        <f t="shared" si="1"/>
        <v/>
      </c>
      <c r="F46" s="141"/>
      <c r="G46" s="142"/>
      <c r="H46" s="134"/>
    </row>
    <row r="47" spans="1:8">
      <c r="A47" s="137"/>
      <c r="B47" s="138"/>
      <c r="C47" s="138"/>
      <c r="D47" s="139" t="str">
        <f t="shared" si="0"/>
        <v/>
      </c>
      <c r="E47" s="140" t="str">
        <f t="shared" si="1"/>
        <v/>
      </c>
      <c r="F47" s="141"/>
      <c r="G47" s="142"/>
      <c r="H47" s="134"/>
    </row>
    <row r="48" spans="1:8">
      <c r="A48" s="149"/>
      <c r="B48" s="150"/>
      <c r="C48" s="150"/>
      <c r="D48" s="139" t="str">
        <f>IF(((C48="")*AND(B48="")),"",(C48-B48))</f>
        <v/>
      </c>
      <c r="E48" s="140" t="str">
        <f>IF(D48="","",IF(D48&lt;60,"Pass","Fail"))</f>
        <v/>
      </c>
      <c r="F48" s="152"/>
      <c r="G48" s="142"/>
      <c r="H48" s="134"/>
    </row>
    <row r="49" spans="1:8">
      <c r="A49" s="149"/>
      <c r="B49" s="150"/>
      <c r="C49" s="150"/>
      <c r="D49" s="139" t="str">
        <f t="shared" si="0"/>
        <v/>
      </c>
      <c r="E49" s="140" t="str">
        <f t="shared" si="1"/>
        <v/>
      </c>
      <c r="F49" s="152"/>
      <c r="G49" s="142"/>
      <c r="H49" s="134"/>
    </row>
    <row r="50" spans="1:8">
      <c r="A50" s="137"/>
      <c r="B50" s="138"/>
      <c r="C50" s="138"/>
      <c r="D50" s="139" t="str">
        <f>IF(((C50="")*AND(B50="")),"",(C50-B50))</f>
        <v/>
      </c>
      <c r="E50" s="140" t="str">
        <f>IF(D50="","",IF(D50&lt;60,"Pass","Fail"))</f>
        <v/>
      </c>
      <c r="F50" s="141"/>
      <c r="G50" s="142"/>
      <c r="H50" s="134"/>
    </row>
    <row r="51" spans="1:8">
      <c r="A51" s="137"/>
      <c r="B51" s="138"/>
      <c r="C51" s="138"/>
      <c r="D51" s="139" t="str">
        <f>IF(((C51="")*AND(B51="")),"",(C51-B51))</f>
        <v/>
      </c>
      <c r="E51" s="140" t="str">
        <f>IF(D51="","",IF(D51&lt;60,"Pass","Fail"))</f>
        <v/>
      </c>
      <c r="F51" s="141"/>
      <c r="G51" s="142"/>
      <c r="H51" s="134"/>
    </row>
    <row r="52" spans="1:8">
      <c r="A52" s="137"/>
      <c r="B52" s="138"/>
      <c r="C52" s="138"/>
      <c r="D52" s="139" t="str">
        <f t="shared" ref="D52:D84" si="2">IF(((C52="")*AND(B52="")),"",(C52-B52))</f>
        <v/>
      </c>
      <c r="E52" s="140" t="str">
        <f t="shared" ref="E52:E84" si="3">IF(D52="","",IF(D52&lt;60,"Pass","Fail"))</f>
        <v/>
      </c>
      <c r="F52" s="141"/>
      <c r="G52" s="142"/>
      <c r="H52" s="134"/>
    </row>
    <row r="53" spans="1:8">
      <c r="A53" s="137"/>
      <c r="B53" s="138"/>
      <c r="C53" s="138"/>
      <c r="D53" s="139" t="str">
        <f t="shared" si="2"/>
        <v/>
      </c>
      <c r="E53" s="140" t="str">
        <f t="shared" si="3"/>
        <v/>
      </c>
      <c r="F53" s="141"/>
      <c r="G53" s="142"/>
      <c r="H53" s="134"/>
    </row>
    <row r="54" spans="1:8">
      <c r="A54" s="137"/>
      <c r="B54" s="138"/>
      <c r="C54" s="138"/>
      <c r="D54" s="139" t="str">
        <f t="shared" si="2"/>
        <v/>
      </c>
      <c r="E54" s="140" t="str">
        <f t="shared" si="3"/>
        <v/>
      </c>
      <c r="F54" s="141"/>
      <c r="G54" s="142"/>
      <c r="H54" s="134"/>
    </row>
    <row r="55" spans="1:8">
      <c r="A55" s="137"/>
      <c r="B55" s="138"/>
      <c r="C55" s="138"/>
      <c r="D55" s="139" t="str">
        <f t="shared" si="2"/>
        <v/>
      </c>
      <c r="E55" s="140" t="str">
        <f t="shared" si="3"/>
        <v/>
      </c>
      <c r="F55" s="141"/>
      <c r="G55" s="142"/>
      <c r="H55" s="134"/>
    </row>
    <row r="56" spans="1:8">
      <c r="A56" s="137"/>
      <c r="B56" s="138"/>
      <c r="C56" s="138"/>
      <c r="D56" s="139" t="str">
        <f t="shared" si="2"/>
        <v/>
      </c>
      <c r="E56" s="140" t="str">
        <f t="shared" si="3"/>
        <v/>
      </c>
      <c r="F56" s="141"/>
      <c r="G56" s="142"/>
      <c r="H56" s="134"/>
    </row>
    <row r="57" spans="1:8">
      <c r="A57" s="137"/>
      <c r="B57" s="138"/>
      <c r="C57" s="138"/>
      <c r="D57" s="139" t="str">
        <f t="shared" si="2"/>
        <v/>
      </c>
      <c r="E57" s="140" t="str">
        <f t="shared" si="3"/>
        <v/>
      </c>
      <c r="F57" s="141"/>
      <c r="G57" s="142"/>
      <c r="H57" s="134"/>
    </row>
    <row r="58" spans="1:8">
      <c r="A58" s="137"/>
      <c r="B58" s="138"/>
      <c r="C58" s="138"/>
      <c r="D58" s="139" t="str">
        <f t="shared" si="2"/>
        <v/>
      </c>
      <c r="E58" s="140" t="str">
        <f t="shared" si="3"/>
        <v/>
      </c>
      <c r="F58" s="141"/>
      <c r="G58" s="142"/>
      <c r="H58" s="134"/>
    </row>
    <row r="59" spans="1:8">
      <c r="A59" s="137"/>
      <c r="B59" s="138"/>
      <c r="C59" s="138"/>
      <c r="D59" s="139" t="str">
        <f t="shared" si="2"/>
        <v/>
      </c>
      <c r="E59" s="140" t="str">
        <f t="shared" si="3"/>
        <v/>
      </c>
      <c r="F59" s="141"/>
      <c r="G59" s="142"/>
      <c r="H59" s="134"/>
    </row>
    <row r="60" spans="1:8">
      <c r="A60" s="153"/>
      <c r="B60" s="150"/>
      <c r="C60" s="150"/>
      <c r="D60" s="139" t="str">
        <f t="shared" si="2"/>
        <v/>
      </c>
      <c r="E60" s="140" t="str">
        <f t="shared" si="3"/>
        <v/>
      </c>
      <c r="F60" s="152"/>
      <c r="G60" s="154"/>
      <c r="H60" s="134"/>
    </row>
    <row r="61" spans="1:8">
      <c r="A61" s="153"/>
      <c r="B61" s="150"/>
      <c r="C61" s="150"/>
      <c r="D61" s="139" t="str">
        <f t="shared" si="2"/>
        <v/>
      </c>
      <c r="E61" s="140" t="str">
        <f t="shared" si="3"/>
        <v/>
      </c>
      <c r="F61" s="152"/>
      <c r="G61" s="154"/>
      <c r="H61" s="134"/>
    </row>
    <row r="62" spans="1:8">
      <c r="A62" s="155"/>
      <c r="B62" s="138"/>
      <c r="C62" s="138"/>
      <c r="D62" s="139" t="str">
        <f t="shared" si="2"/>
        <v/>
      </c>
      <c r="E62" s="140" t="str">
        <f t="shared" si="3"/>
        <v/>
      </c>
      <c r="F62" s="141"/>
      <c r="G62" s="142"/>
      <c r="H62" s="134"/>
    </row>
    <row r="63" spans="1:8">
      <c r="A63" s="155"/>
      <c r="B63" s="138"/>
      <c r="C63" s="138"/>
      <c r="D63" s="139" t="str">
        <f t="shared" si="2"/>
        <v/>
      </c>
      <c r="E63" s="140" t="str">
        <f t="shared" si="3"/>
        <v/>
      </c>
      <c r="F63" s="141"/>
      <c r="G63" s="142"/>
      <c r="H63" s="134"/>
    </row>
    <row r="64" spans="1:8">
      <c r="A64" s="155"/>
      <c r="B64" s="138"/>
      <c r="C64" s="138"/>
      <c r="D64" s="156" t="str">
        <f t="shared" si="2"/>
        <v/>
      </c>
      <c r="E64" s="157" t="str">
        <f t="shared" si="3"/>
        <v/>
      </c>
      <c r="F64" s="141"/>
      <c r="G64" s="142"/>
      <c r="H64" s="134"/>
    </row>
    <row r="65" spans="1:8">
      <c r="A65" s="155"/>
      <c r="B65" s="138"/>
      <c r="C65" s="138"/>
      <c r="D65" s="139" t="str">
        <f t="shared" si="2"/>
        <v/>
      </c>
      <c r="E65" s="140" t="str">
        <f t="shared" si="3"/>
        <v/>
      </c>
      <c r="F65" s="141"/>
      <c r="G65" s="142"/>
      <c r="H65" s="134"/>
    </row>
    <row r="66" spans="1:8">
      <c r="A66" s="155"/>
      <c r="B66" s="138"/>
      <c r="C66" s="138"/>
      <c r="D66" s="139" t="str">
        <f t="shared" si="2"/>
        <v/>
      </c>
      <c r="E66" s="140" t="str">
        <f t="shared" si="3"/>
        <v/>
      </c>
      <c r="F66" s="141"/>
      <c r="G66" s="142"/>
      <c r="H66" s="134"/>
    </row>
    <row r="67" spans="1:8">
      <c r="A67" s="155"/>
      <c r="B67" s="138"/>
      <c r="C67" s="138"/>
      <c r="D67" s="139" t="str">
        <f t="shared" si="2"/>
        <v/>
      </c>
      <c r="E67" s="140" t="str">
        <f t="shared" si="3"/>
        <v/>
      </c>
      <c r="F67" s="141"/>
      <c r="G67" s="142"/>
      <c r="H67" s="134"/>
    </row>
    <row r="68" spans="1:8">
      <c r="A68" s="155"/>
      <c r="B68" s="138"/>
      <c r="C68" s="138"/>
      <c r="D68" s="139" t="str">
        <f t="shared" si="2"/>
        <v/>
      </c>
      <c r="E68" s="140" t="str">
        <f t="shared" si="3"/>
        <v/>
      </c>
      <c r="F68" s="141"/>
      <c r="G68" s="142"/>
      <c r="H68" s="134"/>
    </row>
    <row r="69" spans="1:8">
      <c r="A69" s="155"/>
      <c r="B69" s="138"/>
      <c r="C69" s="138"/>
      <c r="D69" s="139" t="str">
        <f t="shared" si="2"/>
        <v/>
      </c>
      <c r="E69" s="140" t="str">
        <f t="shared" si="3"/>
        <v/>
      </c>
      <c r="F69" s="141"/>
      <c r="G69" s="142"/>
      <c r="H69" s="134"/>
    </row>
    <row r="70" spans="1:8">
      <c r="A70" s="155"/>
      <c r="B70" s="138"/>
      <c r="C70" s="138"/>
      <c r="D70" s="139" t="str">
        <f t="shared" si="2"/>
        <v/>
      </c>
      <c r="E70" s="140" t="str">
        <f t="shared" si="3"/>
        <v/>
      </c>
      <c r="F70" s="141"/>
      <c r="G70" s="142"/>
      <c r="H70" s="134"/>
    </row>
    <row r="71" spans="1:8">
      <c r="A71" s="155"/>
      <c r="B71" s="138"/>
      <c r="C71" s="138"/>
      <c r="D71" s="139" t="str">
        <f t="shared" si="2"/>
        <v/>
      </c>
      <c r="E71" s="140" t="str">
        <f t="shared" si="3"/>
        <v/>
      </c>
      <c r="F71" s="141"/>
      <c r="G71" s="142"/>
      <c r="H71" s="134"/>
    </row>
    <row r="72" spans="1:8">
      <c r="A72" s="137"/>
      <c r="B72" s="138"/>
      <c r="C72" s="138"/>
      <c r="D72" s="139" t="str">
        <f t="shared" si="2"/>
        <v/>
      </c>
      <c r="E72" s="140" t="str">
        <f t="shared" si="3"/>
        <v/>
      </c>
      <c r="F72" s="141"/>
      <c r="G72" s="142"/>
      <c r="H72" s="134"/>
    </row>
    <row r="73" spans="1:8">
      <c r="A73" s="137"/>
      <c r="B73" s="138"/>
      <c r="C73" s="138"/>
      <c r="D73" s="139" t="str">
        <f t="shared" si="2"/>
        <v/>
      </c>
      <c r="E73" s="140" t="str">
        <f t="shared" si="3"/>
        <v/>
      </c>
      <c r="F73" s="141"/>
      <c r="G73" s="142"/>
      <c r="H73" s="134"/>
    </row>
    <row r="74" spans="1:8">
      <c r="A74" s="137"/>
      <c r="B74" s="144"/>
      <c r="C74" s="144"/>
      <c r="D74" s="139" t="str">
        <f t="shared" si="2"/>
        <v/>
      </c>
      <c r="E74" s="140" t="str">
        <f t="shared" si="3"/>
        <v/>
      </c>
      <c r="F74" s="158"/>
      <c r="G74" s="159"/>
      <c r="H74" s="134"/>
    </row>
    <row r="75" spans="1:8">
      <c r="A75" s="137"/>
      <c r="B75" s="138"/>
      <c r="C75" s="147"/>
      <c r="D75" s="139" t="str">
        <f t="shared" si="2"/>
        <v/>
      </c>
      <c r="E75" s="140" t="str">
        <f t="shared" si="3"/>
        <v/>
      </c>
      <c r="F75" s="141"/>
      <c r="G75" s="159"/>
      <c r="H75" s="134"/>
    </row>
    <row r="76" spans="1:8">
      <c r="A76" s="137"/>
      <c r="B76" s="144"/>
      <c r="C76" s="144"/>
      <c r="D76" s="139" t="str">
        <f t="shared" si="2"/>
        <v/>
      </c>
      <c r="E76" s="140" t="str">
        <f t="shared" si="3"/>
        <v/>
      </c>
      <c r="F76" s="158"/>
      <c r="G76" s="160"/>
      <c r="H76" s="134"/>
    </row>
    <row r="77" spans="1:8">
      <c r="A77" s="137"/>
      <c r="B77" s="144"/>
      <c r="C77" s="144"/>
      <c r="D77" s="139" t="str">
        <f t="shared" si="2"/>
        <v/>
      </c>
      <c r="E77" s="140" t="str">
        <f t="shared" si="3"/>
        <v/>
      </c>
      <c r="F77" s="158"/>
      <c r="G77" s="160"/>
      <c r="H77" s="134"/>
    </row>
    <row r="78" spans="1:8">
      <c r="A78" s="137"/>
      <c r="B78" s="144"/>
      <c r="C78" s="144"/>
      <c r="D78" s="139" t="str">
        <f t="shared" si="2"/>
        <v/>
      </c>
      <c r="E78" s="140" t="str">
        <f t="shared" si="3"/>
        <v/>
      </c>
      <c r="F78" s="158"/>
      <c r="G78" s="160"/>
      <c r="H78" s="134"/>
    </row>
    <row r="79" spans="1:8">
      <c r="A79" s="137"/>
      <c r="B79" s="144"/>
      <c r="C79" s="144"/>
      <c r="D79" s="139" t="str">
        <f t="shared" si="2"/>
        <v/>
      </c>
      <c r="E79" s="140" t="str">
        <f t="shared" si="3"/>
        <v/>
      </c>
      <c r="F79" s="158"/>
      <c r="G79" s="160"/>
      <c r="H79" s="134"/>
    </row>
    <row r="80" spans="1:8">
      <c r="A80" s="137"/>
      <c r="B80" s="144"/>
      <c r="C80" s="144"/>
      <c r="D80" s="139" t="str">
        <f t="shared" si="2"/>
        <v/>
      </c>
      <c r="E80" s="140" t="str">
        <f t="shared" si="3"/>
        <v/>
      </c>
      <c r="F80" s="158"/>
      <c r="G80" s="160"/>
      <c r="H80" s="134"/>
    </row>
    <row r="81" spans="1:8">
      <c r="A81" s="137"/>
      <c r="B81" s="144"/>
      <c r="C81" s="144"/>
      <c r="D81" s="139" t="str">
        <f t="shared" si="2"/>
        <v/>
      </c>
      <c r="E81" s="140" t="str">
        <f t="shared" si="3"/>
        <v/>
      </c>
      <c r="F81" s="158"/>
      <c r="G81" s="160"/>
      <c r="H81" s="134"/>
    </row>
    <row r="82" spans="1:8">
      <c r="A82" s="137"/>
      <c r="B82" s="144"/>
      <c r="C82" s="144"/>
      <c r="D82" s="139" t="str">
        <f t="shared" si="2"/>
        <v/>
      </c>
      <c r="E82" s="140" t="str">
        <f t="shared" si="3"/>
        <v/>
      </c>
      <c r="F82" s="158"/>
      <c r="G82" s="160"/>
      <c r="H82" s="134"/>
    </row>
    <row r="83" spans="1:8">
      <c r="A83" s="137"/>
      <c r="B83" s="144"/>
      <c r="C83" s="144"/>
      <c r="D83" s="139" t="str">
        <f t="shared" si="2"/>
        <v/>
      </c>
      <c r="E83" s="140" t="str">
        <f t="shared" si="3"/>
        <v/>
      </c>
      <c r="F83" s="158"/>
      <c r="G83" s="160"/>
      <c r="H83" s="134"/>
    </row>
    <row r="84" spans="1:8">
      <c r="A84" s="137"/>
      <c r="B84" s="144"/>
      <c r="C84" s="144"/>
      <c r="D84" s="139" t="str">
        <f t="shared" si="2"/>
        <v/>
      </c>
      <c r="E84" s="140" t="str">
        <f t="shared" si="3"/>
        <v/>
      </c>
      <c r="F84" s="158"/>
      <c r="G84" s="160"/>
      <c r="H84" s="134"/>
    </row>
    <row r="85" spans="1:8">
      <c r="A85" s="137"/>
      <c r="B85" s="144"/>
      <c r="C85" s="144"/>
      <c r="D85" s="144"/>
      <c r="E85" s="145"/>
      <c r="F85" s="158"/>
      <c r="G85" s="160"/>
      <c r="H85" s="134"/>
    </row>
    <row r="86" spans="1:8">
      <c r="A86" s="137"/>
      <c r="B86" s="144"/>
      <c r="C86" s="144"/>
      <c r="D86" s="144"/>
      <c r="E86" s="145"/>
      <c r="F86" s="158"/>
      <c r="G86" s="160"/>
      <c r="H86" s="134"/>
    </row>
    <row r="87" spans="1:8">
      <c r="A87" s="137"/>
      <c r="B87" s="144"/>
      <c r="C87" s="144"/>
      <c r="D87" s="144"/>
      <c r="E87" s="145"/>
      <c r="F87" s="158"/>
      <c r="G87" s="160"/>
      <c r="H87" s="134"/>
    </row>
    <row r="88" spans="1:8">
      <c r="A88" s="137"/>
      <c r="B88" s="144"/>
      <c r="C88" s="144"/>
      <c r="D88" s="144"/>
      <c r="E88" s="145"/>
      <c r="F88" s="158"/>
      <c r="G88" s="160"/>
      <c r="H88" s="134"/>
    </row>
    <row r="89" spans="1:8">
      <c r="A89" s="137"/>
      <c r="B89" s="144"/>
      <c r="C89" s="144"/>
      <c r="D89" s="144"/>
      <c r="E89" s="145"/>
      <c r="F89" s="158"/>
      <c r="G89" s="160"/>
      <c r="H89" s="134"/>
    </row>
    <row r="90" spans="1:8">
      <c r="A90" s="137"/>
      <c r="B90" s="144"/>
      <c r="C90" s="144"/>
      <c r="D90" s="144"/>
      <c r="E90" s="145"/>
      <c r="F90" s="158"/>
      <c r="G90" s="160"/>
      <c r="H90" s="134"/>
    </row>
    <row r="91" spans="1:8">
      <c r="A91" s="137"/>
      <c r="B91" s="144"/>
      <c r="C91" s="144"/>
      <c r="D91" s="144"/>
      <c r="E91" s="145"/>
      <c r="F91" s="158"/>
      <c r="G91" s="160"/>
      <c r="H91" s="134"/>
    </row>
    <row r="92" spans="1:8">
      <c r="A92" s="137"/>
      <c r="B92" s="144"/>
      <c r="C92" s="144"/>
      <c r="D92" s="144"/>
      <c r="E92" s="145"/>
      <c r="F92" s="158"/>
      <c r="G92" s="160"/>
      <c r="H92" s="134"/>
    </row>
    <row r="93" spans="1:8">
      <c r="A93" s="137"/>
      <c r="B93" s="144"/>
      <c r="C93" s="144"/>
      <c r="D93" s="144"/>
      <c r="E93" s="145"/>
      <c r="F93" s="158"/>
      <c r="G93" s="160"/>
      <c r="H93" s="134"/>
    </row>
    <row r="94" spans="1:8">
      <c r="A94" s="137"/>
      <c r="B94" s="144"/>
      <c r="C94" s="144"/>
      <c r="D94" s="144"/>
      <c r="E94" s="145"/>
      <c r="F94" s="158"/>
      <c r="G94" s="160"/>
      <c r="H94" s="134"/>
    </row>
    <row r="95" spans="1:8">
      <c r="A95" s="137"/>
      <c r="B95" s="144"/>
      <c r="C95" s="144"/>
      <c r="D95" s="144"/>
      <c r="E95" s="145"/>
      <c r="F95" s="158"/>
      <c r="G95" s="160"/>
      <c r="H95" s="134"/>
    </row>
    <row r="96" spans="1:8">
      <c r="A96" s="137"/>
      <c r="B96" s="144"/>
      <c r="C96" s="144"/>
      <c r="D96" s="144"/>
      <c r="E96" s="145"/>
      <c r="F96" s="158"/>
      <c r="G96" s="160"/>
      <c r="H96" s="134"/>
    </row>
    <row r="97" spans="1:8">
      <c r="A97" s="137"/>
      <c r="B97" s="144"/>
      <c r="C97" s="144"/>
      <c r="D97" s="144"/>
      <c r="E97" s="145"/>
      <c r="F97" s="158"/>
      <c r="G97" s="160"/>
      <c r="H97" s="134"/>
    </row>
    <row r="98" spans="1:8">
      <c r="A98" s="137"/>
      <c r="B98" s="144"/>
      <c r="C98" s="144"/>
      <c r="D98" s="144"/>
      <c r="E98" s="145"/>
      <c r="F98" s="158"/>
      <c r="G98" s="160"/>
      <c r="H98" s="134"/>
    </row>
    <row r="99" spans="1:8">
      <c r="A99" s="137"/>
      <c r="B99" s="144"/>
      <c r="C99" s="144"/>
      <c r="D99" s="144"/>
      <c r="E99" s="145"/>
      <c r="F99" s="158"/>
      <c r="G99" s="160"/>
      <c r="H99" s="134"/>
    </row>
    <row r="100" spans="1:8">
      <c r="A100" s="137"/>
      <c r="B100" s="144"/>
      <c r="C100" s="144"/>
      <c r="D100" s="144"/>
      <c r="E100" s="145"/>
      <c r="F100" s="158"/>
      <c r="G100" s="160"/>
      <c r="H100" s="134"/>
    </row>
    <row r="101" spans="1:8">
      <c r="A101" s="137"/>
      <c r="B101" s="144"/>
      <c r="C101" s="144"/>
      <c r="D101" s="144"/>
      <c r="E101" s="145"/>
      <c r="F101" s="158"/>
      <c r="G101" s="160"/>
      <c r="H101" s="134"/>
    </row>
    <row r="102" spans="1:8">
      <c r="A102" s="137"/>
      <c r="B102" s="144"/>
      <c r="C102" s="144"/>
      <c r="D102" s="144"/>
      <c r="E102" s="145"/>
      <c r="F102" s="158"/>
      <c r="G102" s="160"/>
      <c r="H102" s="134"/>
    </row>
    <row r="103" spans="1:8">
      <c r="A103" s="137"/>
      <c r="B103" s="144"/>
      <c r="C103" s="144"/>
      <c r="D103" s="144"/>
      <c r="E103" s="145"/>
      <c r="F103" s="158"/>
      <c r="G103" s="160"/>
      <c r="H103" s="134"/>
    </row>
    <row r="104" spans="1:8">
      <c r="A104" s="137"/>
      <c r="B104" s="144"/>
      <c r="C104" s="144"/>
      <c r="D104" s="144"/>
      <c r="E104" s="145"/>
      <c r="F104" s="158"/>
      <c r="G104" s="160"/>
      <c r="H104" s="134"/>
    </row>
    <row r="105" spans="1:8">
      <c r="A105" s="137"/>
      <c r="B105" s="144"/>
      <c r="C105" s="144"/>
      <c r="D105" s="144"/>
      <c r="E105" s="145"/>
      <c r="F105" s="158"/>
      <c r="G105" s="160"/>
      <c r="H105" s="134"/>
    </row>
    <row r="106" spans="1:8">
      <c r="A106" s="137"/>
      <c r="B106" s="144"/>
      <c r="C106" s="144"/>
      <c r="D106" s="144"/>
      <c r="E106" s="145"/>
      <c r="F106" s="158"/>
      <c r="G106" s="160"/>
      <c r="H106" s="134"/>
    </row>
    <row r="107" spans="1:8">
      <c r="A107" s="137"/>
      <c r="B107" s="144"/>
      <c r="C107" s="144"/>
      <c r="D107" s="144"/>
      <c r="E107" s="145"/>
      <c r="F107" s="158"/>
      <c r="G107" s="160"/>
      <c r="H107" s="134"/>
    </row>
    <row r="108" spans="1:8">
      <c r="A108" s="137"/>
      <c r="B108" s="144"/>
      <c r="C108" s="144"/>
      <c r="D108" s="144"/>
      <c r="E108" s="145"/>
      <c r="F108" s="158"/>
      <c r="G108" s="160"/>
      <c r="H108" s="134"/>
    </row>
    <row r="109" spans="1:8">
      <c r="A109" s="137"/>
      <c r="B109" s="144"/>
      <c r="C109" s="144"/>
      <c r="D109" s="144"/>
      <c r="E109" s="145"/>
      <c r="F109" s="158"/>
      <c r="G109" s="160"/>
      <c r="H109" s="134"/>
    </row>
    <row r="110" spans="1:8">
      <c r="A110" s="137"/>
      <c r="B110" s="144"/>
      <c r="C110" s="144"/>
      <c r="D110" s="144"/>
      <c r="E110" s="145"/>
      <c r="F110" s="158"/>
      <c r="G110" s="160"/>
      <c r="H110" s="134"/>
    </row>
    <row r="111" spans="1:8">
      <c r="A111" s="137"/>
      <c r="B111" s="144"/>
      <c r="C111" s="144"/>
      <c r="D111" s="144"/>
      <c r="E111" s="145"/>
      <c r="F111" s="158"/>
      <c r="G111" s="160"/>
      <c r="H111" s="134"/>
    </row>
    <row r="112" spans="1:8">
      <c r="A112" s="137"/>
      <c r="B112" s="138"/>
      <c r="C112" s="138"/>
      <c r="D112" s="138"/>
      <c r="E112" s="140"/>
      <c r="F112" s="158"/>
      <c r="G112" s="160"/>
      <c r="H112" s="134"/>
    </row>
    <row r="113" spans="1:8">
      <c r="A113" s="137"/>
      <c r="B113" s="138"/>
      <c r="C113" s="138"/>
      <c r="D113" s="138"/>
      <c r="E113" s="140"/>
      <c r="F113" s="158"/>
      <c r="G113" s="160"/>
      <c r="H113" s="134"/>
    </row>
    <row r="114" spans="1:8">
      <c r="A114" s="137"/>
      <c r="B114" s="138"/>
      <c r="C114" s="138"/>
      <c r="D114" s="138"/>
      <c r="E114" s="140"/>
      <c r="F114" s="158"/>
      <c r="G114" s="160"/>
      <c r="H114" s="134"/>
    </row>
    <row r="115" spans="1:8">
      <c r="A115" s="137"/>
      <c r="B115" s="138"/>
      <c r="C115" s="138"/>
      <c r="D115" s="138"/>
      <c r="E115" s="140"/>
      <c r="F115" s="158"/>
      <c r="G115" s="160"/>
      <c r="H115" s="134"/>
    </row>
    <row r="116" spans="1:8">
      <c r="A116" s="137"/>
      <c r="B116" s="138"/>
      <c r="C116" s="138"/>
      <c r="D116" s="138"/>
      <c r="E116" s="140"/>
      <c r="F116" s="158"/>
      <c r="G116" s="160"/>
      <c r="H116" s="134"/>
    </row>
    <row r="117" spans="1:8">
      <c r="A117" s="137"/>
      <c r="B117" s="138"/>
      <c r="C117" s="138"/>
      <c r="D117" s="138"/>
      <c r="E117" s="140"/>
      <c r="F117" s="158"/>
      <c r="G117" s="160"/>
      <c r="H117" s="134"/>
    </row>
    <row r="118" spans="1:8">
      <c r="A118" s="137"/>
      <c r="B118" s="138"/>
      <c r="C118" s="138"/>
      <c r="D118" s="138"/>
      <c r="E118" s="140"/>
      <c r="F118" s="161"/>
      <c r="G118" s="160"/>
      <c r="H118" s="134"/>
    </row>
    <row r="119" spans="1:8">
      <c r="A119" s="137"/>
      <c r="B119" s="138"/>
      <c r="C119" s="138"/>
      <c r="D119" s="138"/>
      <c r="E119" s="140"/>
      <c r="F119" s="161"/>
      <c r="G119" s="160"/>
      <c r="H119" s="134"/>
    </row>
    <row r="120" spans="1:8">
      <c r="A120" s="137"/>
      <c r="B120" s="138"/>
      <c r="C120" s="138"/>
      <c r="D120" s="138"/>
      <c r="E120" s="140"/>
      <c r="F120" s="161"/>
      <c r="G120" s="160"/>
      <c r="H120" s="134"/>
    </row>
    <row r="121" spans="1:8">
      <c r="A121" s="137"/>
      <c r="B121" s="138"/>
      <c r="C121" s="138"/>
      <c r="D121" s="138"/>
      <c r="E121" s="140"/>
      <c r="F121" s="161"/>
      <c r="G121" s="160"/>
      <c r="H121" s="134"/>
    </row>
    <row r="122" spans="1:8">
      <c r="A122" s="137"/>
      <c r="B122" s="138"/>
      <c r="C122" s="138"/>
      <c r="D122" s="138"/>
      <c r="E122" s="140"/>
      <c r="F122" s="161"/>
      <c r="G122" s="160"/>
      <c r="H122" s="134"/>
    </row>
    <row r="123" spans="1:8">
      <c r="A123" s="137"/>
      <c r="B123" s="138"/>
      <c r="C123" s="138"/>
      <c r="D123" s="138"/>
      <c r="E123" s="140"/>
      <c r="F123" s="161"/>
      <c r="G123" s="160"/>
      <c r="H123" s="134"/>
    </row>
    <row r="124" spans="1:8">
      <c r="A124" s="137"/>
      <c r="B124" s="147"/>
      <c r="C124" s="147"/>
      <c r="D124" s="147"/>
      <c r="E124" s="140"/>
      <c r="F124" s="162"/>
      <c r="G124" s="160"/>
      <c r="H124" s="134"/>
    </row>
    <row r="125" spans="1:8">
      <c r="A125" s="137"/>
      <c r="B125" s="147"/>
      <c r="C125" s="147"/>
      <c r="D125" s="147"/>
      <c r="E125" s="140"/>
      <c r="F125" s="162"/>
      <c r="G125" s="160"/>
      <c r="H125" s="134"/>
    </row>
    <row r="126" spans="1:8">
      <c r="A126" s="137"/>
      <c r="B126" s="147"/>
      <c r="C126" s="147"/>
      <c r="D126" s="147"/>
      <c r="E126" s="140"/>
      <c r="F126" s="162"/>
      <c r="G126" s="160"/>
      <c r="H126" s="134"/>
    </row>
    <row r="127" spans="1:8">
      <c r="A127" s="137"/>
      <c r="B127" s="147"/>
      <c r="C127" s="147"/>
      <c r="D127" s="147"/>
      <c r="E127" s="140"/>
      <c r="F127" s="162"/>
      <c r="G127" s="160"/>
      <c r="H127" s="134"/>
    </row>
    <row r="128" spans="1:8">
      <c r="A128" s="137"/>
      <c r="B128" s="147"/>
      <c r="C128" s="147"/>
      <c r="D128" s="147"/>
      <c r="E128" s="140"/>
      <c r="F128" s="162"/>
      <c r="G128" s="160"/>
      <c r="H128" s="134"/>
    </row>
    <row r="129" spans="1:8">
      <c r="A129" s="137"/>
      <c r="B129" s="147"/>
      <c r="C129" s="147"/>
      <c r="D129" s="147"/>
      <c r="E129" s="140"/>
      <c r="F129" s="162"/>
      <c r="G129" s="160"/>
      <c r="H129" s="134"/>
    </row>
    <row r="130" spans="1:8">
      <c r="A130" s="137"/>
      <c r="B130" s="147"/>
      <c r="C130" s="147"/>
      <c r="D130" s="147"/>
      <c r="E130" s="140"/>
      <c r="F130" s="162"/>
      <c r="G130" s="160"/>
      <c r="H130" s="134"/>
    </row>
    <row r="131" spans="1:8">
      <c r="A131" s="137"/>
      <c r="B131" s="147"/>
      <c r="C131" s="147"/>
      <c r="D131" s="147"/>
      <c r="E131" s="140"/>
      <c r="F131" s="162"/>
      <c r="G131" s="160"/>
      <c r="H131" s="134"/>
    </row>
    <row r="132" spans="1:8">
      <c r="A132" s="137"/>
      <c r="B132" s="147"/>
      <c r="C132" s="147"/>
      <c r="D132" s="147"/>
      <c r="E132" s="140"/>
      <c r="F132" s="162"/>
      <c r="G132" s="160"/>
      <c r="H132" s="134"/>
    </row>
    <row r="133" spans="1:8">
      <c r="A133" s="137"/>
      <c r="B133" s="147"/>
      <c r="C133" s="147"/>
      <c r="D133" s="147"/>
      <c r="E133" s="140"/>
      <c r="F133" s="162"/>
      <c r="G133" s="160"/>
      <c r="H133" s="134"/>
    </row>
    <row r="134" spans="1:8">
      <c r="A134" s="137"/>
      <c r="B134" s="147"/>
      <c r="C134" s="147"/>
      <c r="D134" s="147"/>
      <c r="E134" s="140"/>
      <c r="F134" s="162"/>
      <c r="G134" s="160"/>
      <c r="H134" s="134"/>
    </row>
    <row r="135" spans="1:8">
      <c r="A135" s="137"/>
      <c r="B135" s="147"/>
      <c r="C135" s="147"/>
      <c r="D135" s="147"/>
      <c r="E135" s="140"/>
      <c r="F135" s="162"/>
      <c r="G135" s="160"/>
      <c r="H135" s="134"/>
    </row>
    <row r="136" spans="1:8">
      <c r="A136" s="137"/>
      <c r="B136" s="147"/>
      <c r="C136" s="147"/>
      <c r="D136" s="147"/>
      <c r="E136" s="140"/>
      <c r="F136" s="162"/>
      <c r="G136" s="160"/>
      <c r="H136" s="134"/>
    </row>
    <row r="137" spans="1:8">
      <c r="A137" s="137"/>
      <c r="B137" s="147"/>
      <c r="C137" s="147"/>
      <c r="D137" s="147"/>
      <c r="E137" s="140"/>
      <c r="F137" s="162"/>
      <c r="G137" s="160"/>
      <c r="H137" s="134"/>
    </row>
    <row r="138" spans="1:8">
      <c r="A138" s="137"/>
      <c r="B138" s="147"/>
      <c r="C138" s="147"/>
      <c r="D138" s="147"/>
      <c r="E138" s="140"/>
      <c r="F138" s="162"/>
      <c r="G138" s="160"/>
      <c r="H138" s="134"/>
    </row>
    <row r="139" spans="1:8">
      <c r="A139" s="137"/>
      <c r="B139" s="147"/>
      <c r="C139" s="147"/>
      <c r="D139" s="147"/>
      <c r="E139" s="140"/>
      <c r="F139" s="162"/>
      <c r="G139" s="160"/>
      <c r="H139" s="134"/>
    </row>
    <row r="140" spans="1:8">
      <c r="A140" s="137"/>
      <c r="B140" s="147"/>
      <c r="C140" s="147"/>
      <c r="D140" s="147"/>
      <c r="E140" s="140"/>
      <c r="F140" s="162"/>
      <c r="G140" s="160"/>
      <c r="H140" s="134"/>
    </row>
    <row r="141" spans="1:8">
      <c r="A141" s="137"/>
      <c r="B141" s="147"/>
      <c r="C141" s="147"/>
      <c r="D141" s="147"/>
      <c r="E141" s="140"/>
      <c r="F141" s="162"/>
      <c r="G141" s="160"/>
      <c r="H141" s="134"/>
    </row>
    <row r="142" spans="1:8">
      <c r="A142" s="137"/>
      <c r="B142" s="147"/>
      <c r="C142" s="147"/>
      <c r="D142" s="147"/>
      <c r="E142" s="140"/>
      <c r="F142" s="162"/>
      <c r="G142" s="160"/>
      <c r="H142" s="134"/>
    </row>
    <row r="143" spans="1:8">
      <c r="A143" s="137"/>
      <c r="B143" s="147"/>
      <c r="C143" s="147"/>
      <c r="D143" s="147"/>
      <c r="E143" s="140"/>
      <c r="F143" s="162"/>
      <c r="G143" s="160"/>
      <c r="H143" s="134"/>
    </row>
    <row r="144" spans="1:8">
      <c r="A144" s="137"/>
      <c r="B144" s="147"/>
      <c r="C144" s="147"/>
      <c r="D144" s="147"/>
      <c r="E144" s="140"/>
      <c r="F144" s="162"/>
      <c r="G144" s="160"/>
      <c r="H144" s="134"/>
    </row>
    <row r="145" spans="1:8">
      <c r="A145" s="137"/>
      <c r="B145" s="147"/>
      <c r="C145" s="147"/>
      <c r="D145" s="147"/>
      <c r="E145" s="140"/>
      <c r="F145" s="162"/>
      <c r="G145" s="160"/>
      <c r="H145" s="134"/>
    </row>
    <row r="146" spans="1:8">
      <c r="A146" s="137"/>
      <c r="B146" s="147"/>
      <c r="C146" s="147"/>
      <c r="D146" s="147"/>
      <c r="E146" s="140"/>
      <c r="F146" s="162"/>
      <c r="G146" s="160"/>
      <c r="H146" s="134"/>
    </row>
    <row r="147" spans="1:8">
      <c r="A147" s="137"/>
      <c r="B147" s="147"/>
      <c r="C147" s="147"/>
      <c r="D147" s="147"/>
      <c r="E147" s="140"/>
      <c r="F147" s="162"/>
      <c r="G147" s="160"/>
      <c r="H147" s="134"/>
    </row>
    <row r="148" spans="1:8">
      <c r="A148" s="137"/>
      <c r="B148" s="147"/>
      <c r="C148" s="147"/>
      <c r="D148" s="147"/>
      <c r="E148" s="140"/>
      <c r="F148" s="162"/>
      <c r="G148" s="160"/>
      <c r="H148" s="134"/>
    </row>
    <row r="149" spans="1:8">
      <c r="A149" s="137"/>
      <c r="B149" s="147"/>
      <c r="C149" s="147"/>
      <c r="D149" s="147"/>
      <c r="E149" s="140"/>
      <c r="F149" s="162"/>
      <c r="G149" s="160"/>
      <c r="H149" s="134"/>
    </row>
    <row r="150" spans="1:8">
      <c r="A150" s="137"/>
      <c r="B150" s="147"/>
      <c r="C150" s="147"/>
      <c r="D150" s="156"/>
      <c r="E150" s="140"/>
      <c r="F150" s="162"/>
      <c r="G150" s="160"/>
      <c r="H150" s="134"/>
    </row>
    <row r="151" spans="1:8">
      <c r="A151" s="137"/>
      <c r="B151" s="147"/>
      <c r="C151" s="147"/>
      <c r="D151" s="156"/>
      <c r="E151" s="140"/>
      <c r="F151" s="162"/>
      <c r="G151" s="160"/>
      <c r="H151" s="134"/>
    </row>
    <row r="152" spans="1:8">
      <c r="A152" s="163"/>
      <c r="B152" s="164"/>
      <c r="C152" s="164"/>
      <c r="D152" s="156"/>
      <c r="E152" s="165"/>
      <c r="F152" s="166"/>
      <c r="G152" s="160"/>
      <c r="H152" s="134"/>
    </row>
    <row r="153" spans="1:8">
      <c r="A153" s="137"/>
      <c r="B153" s="147"/>
      <c r="C153" s="147"/>
      <c r="D153" s="139"/>
      <c r="E153" s="140"/>
      <c r="F153" s="162"/>
      <c r="G153" s="160"/>
      <c r="H153" s="134"/>
    </row>
    <row r="154" spans="1:8">
      <c r="A154" s="137"/>
      <c r="B154" s="147"/>
      <c r="C154" s="147"/>
      <c r="D154" s="139"/>
      <c r="E154" s="140"/>
      <c r="F154" s="162"/>
      <c r="G154" s="160"/>
      <c r="H154" s="134"/>
    </row>
    <row r="155" spans="1:8">
      <c r="A155" s="137"/>
      <c r="B155" s="147"/>
      <c r="C155" s="147"/>
      <c r="D155" s="139"/>
      <c r="E155" s="140"/>
      <c r="F155" s="162"/>
      <c r="G155" s="160"/>
      <c r="H155" s="134"/>
    </row>
    <row r="156" spans="1:8">
      <c r="A156" s="137"/>
      <c r="B156" s="147"/>
      <c r="C156" s="147"/>
      <c r="D156" s="139"/>
      <c r="E156" s="140"/>
      <c r="F156" s="162"/>
      <c r="G156" s="160"/>
      <c r="H156" s="134"/>
    </row>
    <row r="157" spans="1:8">
      <c r="A157" s="137"/>
      <c r="B157" s="147"/>
      <c r="C157" s="147"/>
      <c r="D157" s="139"/>
      <c r="E157" s="140"/>
      <c r="F157" s="162"/>
      <c r="G157" s="160"/>
      <c r="H157" s="134"/>
    </row>
    <row r="158" spans="1:8">
      <c r="A158" s="137"/>
      <c r="B158" s="147"/>
      <c r="C158" s="147"/>
      <c r="D158" s="139"/>
      <c r="E158" s="140"/>
      <c r="F158" s="162"/>
      <c r="G158" s="160"/>
      <c r="H158" s="134"/>
    </row>
    <row r="159" spans="1:8">
      <c r="A159" s="137"/>
      <c r="B159" s="147"/>
      <c r="C159" s="147"/>
      <c r="D159" s="147"/>
      <c r="E159" s="140"/>
      <c r="F159" s="162"/>
      <c r="G159" s="160"/>
      <c r="H159" s="134"/>
    </row>
    <row r="160" spans="1:8">
      <c r="A160" s="137"/>
      <c r="B160" s="147"/>
      <c r="C160" s="147"/>
      <c r="D160" s="147"/>
      <c r="E160" s="140"/>
      <c r="F160" s="162"/>
      <c r="G160" s="160"/>
      <c r="H160" s="134"/>
    </row>
    <row r="161" spans="1:8">
      <c r="A161" s="137"/>
      <c r="B161" s="147"/>
      <c r="C161" s="147"/>
      <c r="D161" s="147"/>
      <c r="E161" s="140"/>
      <c r="F161" s="162"/>
      <c r="G161" s="160"/>
      <c r="H161" s="134"/>
    </row>
    <row r="162" spans="1:8">
      <c r="A162" s="167"/>
      <c r="B162" s="139"/>
      <c r="C162" s="139"/>
      <c r="D162" s="139"/>
      <c r="E162" s="157"/>
      <c r="F162" s="151"/>
      <c r="G162" s="160"/>
      <c r="H162" s="134"/>
    </row>
    <row r="163" spans="1:8">
      <c r="A163" s="149"/>
      <c r="B163" s="139"/>
      <c r="C163" s="139"/>
      <c r="D163" s="139"/>
      <c r="E163" s="157"/>
      <c r="F163" s="151"/>
      <c r="G163" s="160"/>
      <c r="H163" s="134"/>
    </row>
    <row r="164" spans="1:8">
      <c r="A164" s="149"/>
      <c r="B164" s="139"/>
      <c r="C164" s="139"/>
      <c r="D164" s="139"/>
      <c r="E164" s="140"/>
      <c r="F164" s="141"/>
      <c r="G164" s="160"/>
      <c r="H164" s="134"/>
    </row>
    <row r="165" spans="1:8">
      <c r="A165" s="149"/>
      <c r="B165" s="139"/>
      <c r="C165" s="139"/>
      <c r="D165" s="139"/>
      <c r="E165" s="140"/>
      <c r="F165" s="141"/>
      <c r="G165" s="160"/>
      <c r="H165" s="134"/>
    </row>
    <row r="166" spans="1:8">
      <c r="A166" s="149"/>
      <c r="B166" s="139"/>
      <c r="C166" s="139"/>
      <c r="D166" s="139"/>
      <c r="E166" s="140"/>
      <c r="F166" s="141"/>
      <c r="G166" s="160"/>
      <c r="H166" s="134"/>
    </row>
    <row r="167" spans="1:8">
      <c r="A167" s="149"/>
      <c r="B167" s="139"/>
      <c r="C167" s="139"/>
      <c r="D167" s="139"/>
      <c r="E167" s="140"/>
      <c r="F167" s="141"/>
      <c r="G167" s="160"/>
      <c r="H167" s="134"/>
    </row>
    <row r="168" spans="1:8">
      <c r="A168" s="149"/>
      <c r="B168" s="139"/>
      <c r="C168" s="139"/>
      <c r="D168" s="139"/>
      <c r="E168" s="140"/>
      <c r="F168" s="141"/>
      <c r="G168" s="160"/>
      <c r="H168" s="134"/>
    </row>
    <row r="169" spans="1:8">
      <c r="A169" s="149"/>
      <c r="B169" s="139"/>
      <c r="C169" s="139"/>
      <c r="D169" s="139"/>
      <c r="E169" s="140"/>
      <c r="F169" s="141"/>
      <c r="G169" s="160"/>
      <c r="H169" s="134"/>
    </row>
    <row r="170" spans="1:8">
      <c r="A170" s="155"/>
      <c r="B170" s="139"/>
      <c r="C170" s="139"/>
      <c r="D170" s="139"/>
      <c r="E170" s="140"/>
      <c r="F170" s="141"/>
      <c r="G170" s="160"/>
      <c r="H170" s="134"/>
    </row>
    <row r="171" spans="1:8">
      <c r="A171" s="155"/>
      <c r="B171" s="139"/>
      <c r="C171" s="139"/>
      <c r="D171" s="139"/>
      <c r="E171" s="140"/>
      <c r="F171" s="141"/>
      <c r="G171" s="160"/>
      <c r="H171" s="134"/>
    </row>
    <row r="172" spans="1:8">
      <c r="A172" s="155"/>
      <c r="B172" s="139"/>
      <c r="C172" s="139"/>
      <c r="D172" s="139"/>
      <c r="E172" s="140"/>
      <c r="F172" s="141"/>
      <c r="G172" s="160"/>
      <c r="H172" s="134"/>
    </row>
    <row r="173" spans="1:8">
      <c r="A173" s="149"/>
      <c r="B173" s="139"/>
      <c r="C173" s="139"/>
      <c r="D173" s="139"/>
      <c r="E173" s="140"/>
      <c r="F173" s="141"/>
      <c r="G173" s="160"/>
      <c r="H173" s="134"/>
    </row>
    <row r="174" spans="1:8">
      <c r="A174" s="155"/>
      <c r="B174" s="139"/>
      <c r="C174" s="139"/>
      <c r="D174" s="139"/>
      <c r="E174" s="140"/>
      <c r="F174" s="141"/>
      <c r="G174" s="160"/>
      <c r="H174" s="134"/>
    </row>
    <row r="175" spans="1:8">
      <c r="A175" s="137"/>
      <c r="B175" s="139"/>
      <c r="C175" s="139"/>
      <c r="D175" s="139"/>
      <c r="E175" s="140"/>
      <c r="F175" s="141"/>
      <c r="G175" s="160"/>
      <c r="H175" s="134"/>
    </row>
    <row r="176" spans="1:8">
      <c r="A176" s="137"/>
      <c r="B176" s="139"/>
      <c r="C176" s="139"/>
      <c r="D176" s="139"/>
      <c r="E176" s="140"/>
      <c r="F176" s="141"/>
      <c r="G176" s="160"/>
      <c r="H176" s="134"/>
    </row>
    <row r="177" spans="1:8">
      <c r="A177" s="137"/>
      <c r="B177" s="139"/>
      <c r="C177" s="139"/>
      <c r="D177" s="139"/>
      <c r="E177" s="140"/>
      <c r="F177" s="141"/>
      <c r="G177" s="160"/>
      <c r="H177" s="134"/>
    </row>
    <row r="178" spans="1:8">
      <c r="A178" s="137"/>
      <c r="B178" s="139"/>
      <c r="C178" s="139"/>
      <c r="D178" s="139"/>
      <c r="E178" s="140"/>
      <c r="F178" s="141"/>
      <c r="G178" s="160"/>
      <c r="H178" s="134"/>
    </row>
    <row r="179" spans="1:8">
      <c r="A179" s="137"/>
      <c r="B179" s="139"/>
      <c r="C179" s="139"/>
      <c r="D179" s="139"/>
      <c r="E179" s="140"/>
      <c r="F179" s="141"/>
      <c r="G179" s="160"/>
      <c r="H179" s="134"/>
    </row>
    <row r="180" spans="1:8">
      <c r="A180" s="137"/>
      <c r="B180" s="139"/>
      <c r="C180" s="139"/>
      <c r="D180" s="139"/>
      <c r="E180" s="140"/>
      <c r="F180" s="141"/>
      <c r="G180" s="160"/>
      <c r="H180" s="134"/>
    </row>
    <row r="181" spans="1:8">
      <c r="A181" s="137"/>
      <c r="B181" s="139"/>
      <c r="C181" s="139"/>
      <c r="D181" s="139"/>
      <c r="E181" s="140"/>
      <c r="F181" s="141"/>
      <c r="G181" s="160"/>
      <c r="H181" s="134"/>
    </row>
    <row r="182" spans="1:8">
      <c r="A182" s="137"/>
      <c r="B182" s="139"/>
      <c r="C182" s="139"/>
      <c r="D182" s="139"/>
      <c r="E182" s="140"/>
      <c r="F182" s="141"/>
      <c r="G182" s="160"/>
      <c r="H182" s="134"/>
    </row>
    <row r="183" spans="1:8">
      <c r="A183" s="137"/>
      <c r="B183" s="139"/>
      <c r="C183" s="139"/>
      <c r="D183" s="139"/>
      <c r="E183" s="140"/>
      <c r="F183" s="141"/>
      <c r="G183" s="160"/>
      <c r="H183" s="134"/>
    </row>
    <row r="184" spans="1:8">
      <c r="A184" s="137"/>
      <c r="B184" s="139"/>
      <c r="C184" s="139"/>
      <c r="D184" s="139"/>
      <c r="E184" s="140"/>
      <c r="F184" s="141"/>
      <c r="G184" s="160"/>
      <c r="H184" s="134"/>
    </row>
    <row r="185" spans="1:8">
      <c r="A185" s="137"/>
      <c r="B185" s="139"/>
      <c r="C185" s="139"/>
      <c r="D185" s="139"/>
      <c r="E185" s="140"/>
      <c r="F185" s="141"/>
      <c r="G185" s="160"/>
      <c r="H185" s="134"/>
    </row>
    <row r="186" spans="1:8">
      <c r="A186" s="137"/>
      <c r="B186" s="139"/>
      <c r="C186" s="139"/>
      <c r="D186" s="139"/>
      <c r="E186" s="140"/>
      <c r="F186" s="141"/>
      <c r="G186" s="160"/>
      <c r="H186" s="134"/>
    </row>
    <row r="187" spans="1:8">
      <c r="A187" s="137"/>
      <c r="B187" s="139"/>
      <c r="C187" s="139"/>
      <c r="D187" s="139"/>
      <c r="E187" s="140"/>
      <c r="F187" s="141"/>
      <c r="G187" s="160"/>
      <c r="H187" s="134"/>
    </row>
    <row r="188" spans="1:8">
      <c r="A188" s="137"/>
      <c r="B188" s="139"/>
      <c r="C188" s="139"/>
      <c r="D188" s="139"/>
      <c r="E188" s="140"/>
      <c r="F188" s="141"/>
      <c r="G188" s="160"/>
      <c r="H188" s="134"/>
    </row>
    <row r="189" spans="1:8">
      <c r="A189" s="137"/>
      <c r="B189" s="139"/>
      <c r="C189" s="139"/>
      <c r="D189" s="139"/>
      <c r="E189" s="140"/>
      <c r="F189" s="161"/>
      <c r="G189" s="160"/>
      <c r="H189" s="134"/>
    </row>
    <row r="190" spans="1:8">
      <c r="A190" s="137"/>
      <c r="B190" s="139"/>
      <c r="C190" s="139"/>
      <c r="D190" s="139"/>
      <c r="E190" s="140"/>
      <c r="F190" s="161"/>
      <c r="G190" s="160"/>
      <c r="H190" s="134"/>
    </row>
    <row r="191" spans="1:8">
      <c r="A191" s="137"/>
      <c r="B191" s="139"/>
      <c r="C191" s="139"/>
      <c r="D191" s="139"/>
      <c r="E191" s="140"/>
      <c r="F191" s="141"/>
      <c r="G191" s="160"/>
      <c r="H191" s="134"/>
    </row>
    <row r="192" spans="1:8">
      <c r="A192" s="137"/>
      <c r="B192" s="139"/>
      <c r="C192" s="139"/>
      <c r="D192" s="139"/>
      <c r="E192" s="140"/>
      <c r="F192" s="141"/>
      <c r="G192" s="160"/>
      <c r="H192" s="134"/>
    </row>
    <row r="193" spans="1:8">
      <c r="A193" s="137"/>
      <c r="B193" s="139"/>
      <c r="C193" s="139"/>
      <c r="D193" s="139"/>
      <c r="E193" s="140"/>
      <c r="F193" s="141"/>
      <c r="G193" s="160"/>
      <c r="H193" s="134"/>
    </row>
    <row r="194" spans="1:8">
      <c r="A194" s="137"/>
      <c r="B194" s="139"/>
      <c r="C194" s="139"/>
      <c r="D194" s="139"/>
      <c r="E194" s="140"/>
      <c r="F194" s="141"/>
      <c r="G194" s="160"/>
      <c r="H194" s="134"/>
    </row>
    <row r="195" spans="1:8">
      <c r="A195" s="137"/>
      <c r="B195" s="139"/>
      <c r="C195" s="139"/>
      <c r="D195" s="139"/>
      <c r="E195" s="140"/>
      <c r="F195" s="141"/>
      <c r="G195" s="160"/>
      <c r="H195" s="134"/>
    </row>
    <row r="196" spans="1:8">
      <c r="A196" s="137"/>
      <c r="B196" s="139"/>
      <c r="C196" s="139"/>
      <c r="D196" s="139"/>
      <c r="E196" s="140"/>
      <c r="F196" s="141"/>
      <c r="G196" s="160"/>
      <c r="H196" s="134"/>
    </row>
    <row r="197" spans="1:8">
      <c r="A197" s="137"/>
      <c r="B197" s="139"/>
      <c r="C197" s="139"/>
      <c r="D197" s="139"/>
      <c r="E197" s="140"/>
      <c r="F197" s="141"/>
      <c r="G197" s="160"/>
      <c r="H197" s="134"/>
    </row>
    <row r="198" spans="1:8">
      <c r="A198" s="137"/>
      <c r="B198" s="139"/>
      <c r="C198" s="139"/>
      <c r="D198" s="139"/>
      <c r="E198" s="140"/>
      <c r="F198" s="141"/>
      <c r="G198" s="160"/>
      <c r="H198" s="134"/>
    </row>
    <row r="199" spans="1:8">
      <c r="A199" s="137"/>
      <c r="B199" s="139"/>
      <c r="C199" s="139"/>
      <c r="D199" s="139"/>
      <c r="E199" s="140"/>
      <c r="F199" s="141"/>
      <c r="G199" s="160"/>
      <c r="H199" s="134"/>
    </row>
    <row r="200" spans="1:8">
      <c r="A200" s="137"/>
      <c r="B200" s="139"/>
      <c r="C200" s="139"/>
      <c r="D200" s="139"/>
      <c r="E200" s="140"/>
      <c r="F200" s="141"/>
      <c r="G200" s="160"/>
      <c r="H200" s="134"/>
    </row>
    <row r="201" spans="1:8">
      <c r="A201" s="137"/>
      <c r="B201" s="139"/>
      <c r="C201" s="139"/>
      <c r="D201" s="139"/>
      <c r="E201" s="140"/>
      <c r="F201" s="141"/>
      <c r="G201" s="160"/>
      <c r="H201" s="134"/>
    </row>
    <row r="202" spans="1:8">
      <c r="A202" s="137"/>
      <c r="B202" s="139"/>
      <c r="C202" s="139"/>
      <c r="D202" s="139"/>
      <c r="E202" s="140"/>
      <c r="F202" s="141"/>
      <c r="G202" s="160"/>
      <c r="H202" s="134"/>
    </row>
    <row r="203" spans="1:8">
      <c r="A203" s="137"/>
      <c r="B203" s="139"/>
      <c r="C203" s="139"/>
      <c r="D203" s="139"/>
      <c r="E203" s="140"/>
      <c r="F203" s="141"/>
      <c r="G203" s="160"/>
      <c r="H203" s="134"/>
    </row>
    <row r="204" spans="1:8">
      <c r="A204" s="137"/>
      <c r="B204" s="139"/>
      <c r="C204" s="139"/>
      <c r="D204" s="139"/>
      <c r="E204" s="140"/>
      <c r="F204" s="141"/>
      <c r="G204" s="160"/>
      <c r="H204" s="134"/>
    </row>
    <row r="205" spans="1:8">
      <c r="A205" s="137"/>
      <c r="B205" s="139"/>
      <c r="C205" s="139"/>
      <c r="D205" s="139"/>
      <c r="E205" s="140"/>
      <c r="F205" s="141"/>
      <c r="G205" s="160"/>
      <c r="H205" s="134"/>
    </row>
    <row r="206" spans="1:8">
      <c r="A206" s="137"/>
      <c r="B206" s="139"/>
      <c r="C206" s="139"/>
      <c r="D206" s="139"/>
      <c r="E206" s="140"/>
      <c r="F206" s="141"/>
      <c r="G206" s="160"/>
      <c r="H206" s="134"/>
    </row>
    <row r="207" spans="1:8">
      <c r="A207" s="137"/>
      <c r="B207" s="139"/>
      <c r="C207" s="139"/>
      <c r="D207" s="139"/>
      <c r="E207" s="140"/>
      <c r="F207" s="141"/>
      <c r="G207" s="160"/>
      <c r="H207" s="134"/>
    </row>
    <row r="208" spans="1:8">
      <c r="A208" s="137"/>
      <c r="B208" s="139"/>
      <c r="C208" s="139"/>
      <c r="D208" s="139"/>
      <c r="E208" s="140"/>
      <c r="F208" s="141"/>
      <c r="G208" s="160"/>
      <c r="H208" s="134"/>
    </row>
    <row r="209" spans="1:8">
      <c r="A209" s="137"/>
      <c r="B209" s="139"/>
      <c r="C209" s="139"/>
      <c r="D209" s="139"/>
      <c r="E209" s="140"/>
      <c r="F209" s="141"/>
      <c r="G209" s="160"/>
      <c r="H209" s="134"/>
    </row>
    <row r="210" spans="1:8">
      <c r="A210" s="137"/>
      <c r="B210" s="139"/>
      <c r="C210" s="139"/>
      <c r="D210" s="139"/>
      <c r="E210" s="140"/>
      <c r="F210" s="141"/>
      <c r="G210" s="160"/>
      <c r="H210" s="134"/>
    </row>
    <row r="211" spans="1:8">
      <c r="A211" s="137"/>
      <c r="B211" s="139"/>
      <c r="C211" s="139"/>
      <c r="D211" s="139"/>
      <c r="E211" s="140"/>
      <c r="F211" s="141"/>
      <c r="G211" s="160"/>
      <c r="H211" s="134"/>
    </row>
    <row r="212" spans="1:8">
      <c r="A212" s="137"/>
      <c r="B212" s="139"/>
      <c r="C212" s="139"/>
      <c r="D212" s="139"/>
      <c r="E212" s="140"/>
      <c r="F212" s="141"/>
      <c r="G212" s="160"/>
      <c r="H212" s="134"/>
    </row>
    <row r="213" spans="1:8">
      <c r="A213" s="137"/>
      <c r="B213" s="139"/>
      <c r="C213" s="139"/>
      <c r="D213" s="139"/>
      <c r="E213" s="140"/>
      <c r="F213" s="141"/>
      <c r="G213" s="160"/>
      <c r="H213" s="134"/>
    </row>
    <row r="214" spans="1:8">
      <c r="A214" s="137"/>
      <c r="B214" s="139"/>
      <c r="C214" s="139"/>
      <c r="D214" s="139"/>
      <c r="E214" s="140"/>
      <c r="F214" s="161"/>
      <c r="G214" s="160"/>
      <c r="H214" s="134"/>
    </row>
    <row r="215" spans="1:8">
      <c r="A215" s="137"/>
      <c r="B215" s="139"/>
      <c r="C215" s="139"/>
      <c r="D215" s="139"/>
      <c r="E215" s="140"/>
      <c r="F215" s="141"/>
      <c r="G215" s="160"/>
      <c r="H215" s="134"/>
    </row>
    <row r="216" spans="1:8">
      <c r="A216" s="137"/>
      <c r="B216" s="139"/>
      <c r="C216" s="139"/>
      <c r="D216" s="139"/>
      <c r="E216" s="140"/>
      <c r="F216" s="141"/>
      <c r="G216" s="160"/>
      <c r="H216" s="134"/>
    </row>
    <row r="217" spans="1:8">
      <c r="A217" s="137"/>
      <c r="B217" s="139"/>
      <c r="C217" s="139"/>
      <c r="D217" s="139"/>
      <c r="E217" s="140"/>
      <c r="F217" s="141"/>
      <c r="G217" s="160"/>
      <c r="H217" s="134"/>
    </row>
    <row r="218" spans="1:8">
      <c r="A218" s="137"/>
      <c r="B218" s="139"/>
      <c r="C218" s="139"/>
      <c r="D218" s="139"/>
      <c r="E218" s="140"/>
      <c r="F218" s="141"/>
      <c r="G218" s="160"/>
      <c r="H218" s="134"/>
    </row>
    <row r="219" spans="1:8">
      <c r="A219" s="137"/>
      <c r="B219" s="139"/>
      <c r="C219" s="139"/>
      <c r="D219" s="139"/>
      <c r="E219" s="140"/>
      <c r="F219" s="141"/>
      <c r="G219" s="160"/>
      <c r="H219" s="134"/>
    </row>
    <row r="220" spans="1:8">
      <c r="A220" s="137"/>
      <c r="B220" s="139"/>
      <c r="C220" s="139"/>
      <c r="D220" s="139"/>
      <c r="E220" s="140"/>
      <c r="F220" s="141"/>
      <c r="G220" s="160"/>
      <c r="H220" s="134"/>
    </row>
    <row r="221" spans="1:8">
      <c r="A221" s="137"/>
      <c r="B221" s="139"/>
      <c r="C221" s="139"/>
      <c r="D221" s="139"/>
      <c r="E221" s="140"/>
      <c r="F221" s="141"/>
      <c r="G221" s="160"/>
      <c r="H221" s="134"/>
    </row>
    <row r="222" spans="1:8">
      <c r="A222" s="137"/>
      <c r="B222" s="139"/>
      <c r="C222" s="139"/>
      <c r="D222" s="139"/>
      <c r="E222" s="140"/>
      <c r="F222" s="141"/>
      <c r="G222" s="160"/>
      <c r="H222" s="134"/>
    </row>
    <row r="223" spans="1:8">
      <c r="A223" s="137"/>
      <c r="B223" s="139"/>
      <c r="C223" s="139"/>
      <c r="D223" s="139"/>
      <c r="E223" s="140"/>
      <c r="F223" s="141"/>
      <c r="G223" s="160"/>
      <c r="H223" s="134"/>
    </row>
    <row r="224" spans="1:8">
      <c r="A224" s="137"/>
      <c r="B224" s="139"/>
      <c r="C224" s="139"/>
      <c r="D224" s="139"/>
      <c r="E224" s="140"/>
      <c r="F224" s="141"/>
      <c r="G224" s="160"/>
      <c r="H224" s="134"/>
    </row>
    <row r="225" spans="1:8">
      <c r="A225" s="137"/>
      <c r="B225" s="139"/>
      <c r="C225" s="139"/>
      <c r="D225" s="139"/>
      <c r="E225" s="140"/>
      <c r="F225" s="141"/>
      <c r="G225" s="160"/>
      <c r="H225" s="134"/>
    </row>
    <row r="226" spans="1:8">
      <c r="A226" s="137"/>
      <c r="B226" s="139"/>
      <c r="C226" s="139"/>
      <c r="D226" s="139"/>
      <c r="E226" s="140"/>
      <c r="F226" s="141"/>
      <c r="G226" s="160"/>
      <c r="H226" s="134"/>
    </row>
    <row r="227" spans="1:8">
      <c r="A227" s="137"/>
      <c r="B227" s="139"/>
      <c r="C227" s="139"/>
      <c r="D227" s="139"/>
      <c r="E227" s="140"/>
      <c r="F227" s="141"/>
      <c r="G227" s="160"/>
      <c r="H227" s="134"/>
    </row>
    <row r="228" spans="1:8">
      <c r="A228" s="137"/>
      <c r="B228" s="139"/>
      <c r="C228" s="139"/>
      <c r="D228" s="139"/>
      <c r="E228" s="140"/>
      <c r="F228" s="141"/>
      <c r="G228" s="160"/>
      <c r="H228" s="134"/>
    </row>
    <row r="229" spans="1:8">
      <c r="A229" s="137"/>
      <c r="B229" s="139"/>
      <c r="C229" s="139"/>
      <c r="D229" s="139"/>
      <c r="E229" s="140"/>
      <c r="F229" s="141"/>
      <c r="G229" s="160"/>
      <c r="H229" s="134"/>
    </row>
    <row r="230" spans="1:8">
      <c r="A230" s="137"/>
      <c r="B230" s="139"/>
      <c r="C230" s="139"/>
      <c r="D230" s="139"/>
      <c r="E230" s="140"/>
      <c r="F230" s="141"/>
      <c r="G230" s="160"/>
      <c r="H230" s="134"/>
    </row>
    <row r="231" spans="1:8">
      <c r="A231" s="137"/>
      <c r="B231" s="139"/>
      <c r="C231" s="139"/>
      <c r="D231" s="139"/>
      <c r="E231" s="140"/>
      <c r="F231" s="141"/>
      <c r="H231" s="134"/>
    </row>
    <row r="232" spans="1:8">
      <c r="A232" s="137"/>
      <c r="B232" s="139"/>
      <c r="C232" s="139"/>
      <c r="D232" s="139"/>
      <c r="E232" s="140"/>
      <c r="F232" s="141"/>
      <c r="H232" s="134"/>
    </row>
    <row r="233" spans="1:8">
      <c r="A233" s="137"/>
      <c r="B233" s="156"/>
      <c r="C233" s="156"/>
      <c r="D233" s="156"/>
      <c r="E233" s="157"/>
      <c r="F233" s="151"/>
      <c r="H233" s="134"/>
    </row>
    <row r="234" spans="1:8">
      <c r="A234" s="137"/>
      <c r="B234" s="139"/>
      <c r="C234" s="139"/>
      <c r="D234" s="139"/>
      <c r="E234" s="140"/>
      <c r="F234" s="141"/>
      <c r="G234" s="160"/>
      <c r="H234" s="134"/>
    </row>
    <row r="235" spans="1:8">
      <c r="A235" s="137"/>
      <c r="B235" s="139"/>
      <c r="C235" s="139"/>
      <c r="D235" s="139"/>
      <c r="E235" s="140"/>
      <c r="F235" s="141"/>
      <c r="G235" s="160"/>
      <c r="H235" s="134"/>
    </row>
    <row r="236" spans="1:8">
      <c r="A236" s="137"/>
      <c r="B236" s="139"/>
      <c r="C236" s="139"/>
      <c r="D236" s="139"/>
      <c r="E236" s="140"/>
      <c r="F236" s="141"/>
      <c r="G236" s="160"/>
      <c r="H236" s="134"/>
    </row>
    <row r="237" spans="1:8">
      <c r="A237" s="137"/>
      <c r="B237" s="139"/>
      <c r="C237" s="139"/>
      <c r="D237" s="139"/>
      <c r="E237" s="140"/>
      <c r="F237" s="141"/>
      <c r="G237" s="160"/>
      <c r="H237" s="134"/>
    </row>
    <row r="238" spans="1:8">
      <c r="A238" s="137"/>
      <c r="B238" s="139"/>
      <c r="C238" s="139"/>
      <c r="D238" s="139"/>
      <c r="E238" s="140"/>
      <c r="F238" s="141"/>
      <c r="G238" s="160"/>
      <c r="H238" s="134"/>
    </row>
    <row r="239" spans="1:8">
      <c r="A239" s="137"/>
      <c r="B239" s="139"/>
      <c r="C239" s="139"/>
      <c r="D239" s="139"/>
      <c r="E239" s="140"/>
      <c r="F239" s="141"/>
      <c r="G239" s="160"/>
      <c r="H239" s="134"/>
    </row>
    <row r="240" spans="1:8">
      <c r="A240" s="137"/>
      <c r="B240" s="139"/>
      <c r="C240" s="139"/>
      <c r="D240" s="139"/>
      <c r="E240" s="140"/>
      <c r="F240" s="141"/>
      <c r="G240" s="160"/>
      <c r="H240" s="134"/>
    </row>
    <row r="241" spans="1:8">
      <c r="A241" s="137"/>
      <c r="B241" s="139"/>
      <c r="C241" s="139"/>
      <c r="D241" s="139"/>
      <c r="E241" s="140"/>
      <c r="F241" s="162"/>
      <c r="H241" s="134"/>
    </row>
    <row r="242" spans="1:8">
      <c r="A242" s="137"/>
      <c r="B242" s="139"/>
      <c r="C242" s="139"/>
      <c r="D242" s="139"/>
      <c r="E242" s="140"/>
      <c r="F242" s="162"/>
      <c r="H242" s="134"/>
    </row>
    <row r="243" spans="1:8">
      <c r="A243" s="137"/>
      <c r="B243" s="139"/>
      <c r="C243" s="139"/>
      <c r="D243" s="139"/>
      <c r="E243" s="140"/>
      <c r="F243" s="162"/>
      <c r="H243" s="134"/>
    </row>
    <row r="244" spans="1:8">
      <c r="A244" s="137"/>
      <c r="B244" s="139"/>
      <c r="C244" s="139"/>
      <c r="D244" s="139"/>
      <c r="E244" s="140"/>
      <c r="F244" s="162"/>
      <c r="H244" s="134"/>
    </row>
    <row r="245" spans="1:8">
      <c r="A245" s="137"/>
      <c r="B245" s="139"/>
      <c r="C245" s="139"/>
      <c r="D245" s="139"/>
      <c r="E245" s="140"/>
      <c r="F245" s="162"/>
      <c r="H245" s="134"/>
    </row>
    <row r="246" spans="1:8">
      <c r="A246" s="137"/>
      <c r="B246" s="139"/>
      <c r="C246" s="139"/>
      <c r="D246" s="139"/>
      <c r="E246" s="140"/>
      <c r="F246" s="162"/>
      <c r="H246" s="134"/>
    </row>
    <row r="247" spans="1:8">
      <c r="A247" s="137"/>
      <c r="B247" s="139"/>
      <c r="C247" s="139"/>
      <c r="D247" s="139"/>
      <c r="E247" s="140"/>
      <c r="F247" s="162"/>
      <c r="H247" s="134"/>
    </row>
    <row r="248" spans="1:8">
      <c r="A248" s="137">
        <v>43299</v>
      </c>
      <c r="B248" s="139">
        <v>8</v>
      </c>
      <c r="C248" s="139">
        <v>54</v>
      </c>
      <c r="D248" s="139">
        <f t="shared" ref="D248:D257" si="4">IF(((C248="")*AND(B248="")),"",(C248-B248))</f>
        <v>46</v>
      </c>
      <c r="E248" s="140" t="str">
        <f t="shared" ref="E248:E257" si="5">IF(D248="","",IF(D248&lt;60,"Pass","Fail"))</f>
        <v>Pass</v>
      </c>
      <c r="F248" s="162">
        <v>1159</v>
      </c>
      <c r="H248" s="134"/>
    </row>
    <row r="249" spans="1:8">
      <c r="A249" s="137">
        <v>43300</v>
      </c>
      <c r="B249" s="139">
        <v>10</v>
      </c>
      <c r="C249" s="139">
        <v>68</v>
      </c>
      <c r="D249" s="139">
        <f t="shared" si="4"/>
        <v>58</v>
      </c>
      <c r="E249" s="140" t="str">
        <f t="shared" si="5"/>
        <v>Pass</v>
      </c>
      <c r="F249" s="162">
        <v>1335</v>
      </c>
      <c r="H249" s="134"/>
    </row>
    <row r="250" spans="1:8">
      <c r="A250" s="137"/>
      <c r="B250" s="139"/>
      <c r="C250" s="139"/>
      <c r="D250" s="139" t="str">
        <f t="shared" si="4"/>
        <v/>
      </c>
      <c r="E250" s="140" t="str">
        <f t="shared" si="5"/>
        <v/>
      </c>
      <c r="F250" s="162"/>
      <c r="H250" s="134"/>
    </row>
    <row r="251" spans="1:8">
      <c r="A251" s="137"/>
      <c r="B251" s="139"/>
      <c r="C251" s="139"/>
      <c r="D251" s="139" t="str">
        <f t="shared" si="4"/>
        <v/>
      </c>
      <c r="E251" s="140" t="str">
        <f t="shared" si="5"/>
        <v/>
      </c>
      <c r="F251" s="162"/>
      <c r="H251" s="134"/>
    </row>
    <row r="252" spans="1:8">
      <c r="A252" s="137"/>
      <c r="B252" s="139"/>
      <c r="C252" s="139"/>
      <c r="D252" s="139" t="str">
        <f t="shared" si="4"/>
        <v/>
      </c>
      <c r="E252" s="140" t="str">
        <f t="shared" si="5"/>
        <v/>
      </c>
      <c r="F252" s="162"/>
      <c r="H252" s="134"/>
    </row>
    <row r="253" spans="1:8">
      <c r="A253" s="137"/>
      <c r="B253" s="139"/>
      <c r="C253" s="139"/>
      <c r="D253" s="139" t="str">
        <f t="shared" si="4"/>
        <v/>
      </c>
      <c r="E253" s="140" t="str">
        <f t="shared" si="5"/>
        <v/>
      </c>
      <c r="F253" s="162"/>
      <c r="H253" s="134"/>
    </row>
    <row r="254" spans="1:8">
      <c r="A254" s="137"/>
      <c r="B254" s="139"/>
      <c r="C254" s="139"/>
      <c r="D254" s="139" t="str">
        <f t="shared" si="4"/>
        <v/>
      </c>
      <c r="E254" s="140" t="str">
        <f t="shared" si="5"/>
        <v/>
      </c>
      <c r="F254" s="162"/>
      <c r="H254" s="134"/>
    </row>
    <row r="255" spans="1:8">
      <c r="A255" s="137"/>
      <c r="B255" s="139"/>
      <c r="C255" s="139"/>
      <c r="D255" s="139" t="str">
        <f t="shared" si="4"/>
        <v/>
      </c>
      <c r="E255" s="140" t="str">
        <f t="shared" si="5"/>
        <v/>
      </c>
      <c r="F255" s="162"/>
      <c r="H255" s="134"/>
    </row>
    <row r="256" spans="1:8">
      <c r="A256" s="137"/>
      <c r="B256" s="139"/>
      <c r="C256" s="139"/>
      <c r="D256" s="139" t="str">
        <f t="shared" si="4"/>
        <v/>
      </c>
      <c r="E256" s="140" t="str">
        <f t="shared" si="5"/>
        <v/>
      </c>
      <c r="F256" s="162"/>
      <c r="H256" s="134"/>
    </row>
    <row r="257" spans="1:8">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25"/>
  </cols>
  <sheetData>
    <row r="1" spans="2:22">
      <c r="B1" s="124" t="s">
        <v>111</v>
      </c>
      <c r="G1" s="124" t="s">
        <v>112</v>
      </c>
      <c r="K1" s="124" t="s">
        <v>113</v>
      </c>
      <c r="O1" s="124" t="s">
        <v>114</v>
      </c>
    </row>
    <row r="2" spans="2:22" ht="13.5" thickBot="1">
      <c r="B2" s="125" t="s">
        <v>115</v>
      </c>
      <c r="C2" s="125" t="s">
        <v>101</v>
      </c>
      <c r="D2" s="125" t="s">
        <v>116</v>
      </c>
      <c r="S2" s="125" t="s">
        <v>165</v>
      </c>
      <c r="T2" s="125" t="s">
        <v>115</v>
      </c>
      <c r="U2" s="125" t="s">
        <v>166</v>
      </c>
      <c r="V2" s="125" t="s">
        <v>167</v>
      </c>
    </row>
    <row r="3" spans="2:22" ht="13.5" thickBot="1">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5" thickBot="1">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5" thickBot="1">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5" thickBot="1">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5" thickBot="1">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5" thickBot="1">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5" thickBot="1">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5" thickBot="1">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5" thickBot="1">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5" thickBot="1">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5" thickBot="1">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5" thickBot="1">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5" thickBot="1">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5" thickBot="1">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5" thickBot="1">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5" thickBot="1">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5" thickBot="1">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5" thickBot="1">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5" thickBot="1">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5" thickBot="1">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5" thickBot="1">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5" thickBot="1">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5" thickBot="1">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5" thickBot="1">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5" thickBot="1">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5" thickBot="1">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5" thickBot="1">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5" thickBot="1">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5" thickBot="1">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5" thickBot="1">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5" thickBot="1">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5" thickBot="1">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5" thickBot="1">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5" thickBot="1">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5" thickBot="1">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5" thickBot="1">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5" thickBot="1">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5" thickBot="1">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5" thickBot="1">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51" t="s">
        <v>121</v>
      </c>
      <c r="C2" s="452"/>
      <c r="D2" s="452"/>
      <c r="E2" s="452"/>
      <c r="F2" s="37"/>
      <c r="G2" s="37"/>
      <c r="H2" s="37"/>
      <c r="I2" s="452" t="s">
        <v>122</v>
      </c>
      <c r="J2" s="452"/>
      <c r="K2" s="452"/>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3" t="s">
        <v>125</v>
      </c>
      <c r="C8" s="454"/>
      <c r="D8" s="454"/>
      <c r="E8" s="454"/>
      <c r="F8" s="50"/>
      <c r="G8" s="50"/>
      <c r="H8" s="50"/>
      <c r="I8" s="455" t="s">
        <v>122</v>
      </c>
      <c r="J8" s="455"/>
      <c r="K8" s="455"/>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6" t="s">
        <v>127</v>
      </c>
      <c r="C14" s="457"/>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2019-12-07T05:10:31Z</dcterms:modified>
</cp:coreProperties>
</file>